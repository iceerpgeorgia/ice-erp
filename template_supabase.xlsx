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next-postgres-starter\public\"/>
    </mc:Choice>
  </mc:AlternateContent>
  <xr:revisionPtr revIDLastSave="0" documentId="13_ncr:1_{CEACFCA8-25B0-4895-BC25-8941F20F4CAC}" xr6:coauthVersionLast="47" xr6:coauthVersionMax="47" xr10:uidLastSave="{00000000-0000-0000-0000-000000000000}"/>
  <bookViews>
    <workbookView xWindow="-120" yWindow="-120" windowWidth="29040" windowHeight="15720" xr2:uid="{00000000-000D-0000-FFFF-FFFF00000000}"/>
  </bookViews>
  <sheets>
    <sheet name="Handover" sheetId="4" r:id="rId1"/>
    <sheet name="Placeholders" sheetId="5" r:id="rId2"/>
    <sheet name="Jobs" sheetId="1" r:id="rId3"/>
    <sheet name="Income Payments" sheetId="2" r:id="rId4"/>
    <sheet name="Job Distributions" sheetId="3" r:id="rId5"/>
  </sheets>
  <definedNames>
    <definedName name="Contract_Date">Placeholders!$B$18</definedName>
    <definedName name="Handover_Date">Placeholders!$B$2</definedName>
    <definedName name="Nominal_Handover_Price">Handover!$J$17:$J$64</definedName>
    <definedName name="Project_Address">Placeholders!$B$10</definedName>
    <definedName name="Project_Counteragent_Address_Line_1">Placeholders!$B$7</definedName>
    <definedName name="Project_Counteragent_Address_Line_2">Placeholders!$B$8</definedName>
    <definedName name="Project_Counteragent_Director">Placeholders!$B$6</definedName>
    <definedName name="Project_Counteragent_Director_Genitive">Placeholders!$B$5</definedName>
    <definedName name="Project_Counteragent_Entity_Type">Placeholders!$B$3</definedName>
    <definedName name="Project_Counteragent_ID">Placeholders!$B$9</definedName>
    <definedName name="Project_Counteragent_Name">Placeholders!$B$4</definedName>
    <definedName name="Project_Currency">Placeholders!$B$19</definedName>
    <definedName name="Project_Department">Placeholders!$B$1</definedName>
    <definedName name="Project_Insider_Address_Line1">Placeholders!$B$14</definedName>
    <definedName name="Project_Insider_Address_Line2">Placeholders!$B$15</definedName>
    <definedName name="Project_Insider_Director_Genitive">Placeholders!$B$16</definedName>
    <definedName name="Project_Insider_Director_Normative">Placeholders!$B$17</definedName>
    <definedName name="Project_Insider_Entity_Type">Placeholders!$B$11</definedName>
    <definedName name="Project_Insider_ID">Placeholders!$B$13</definedName>
    <definedName name="Project_Insider_Name">Placeholders!$B$12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4" l="1"/>
  <c r="H69" i="4"/>
  <c r="C69" i="4"/>
  <c r="I4" i="4"/>
  <c r="C6" i="4"/>
  <c r="J16" i="4"/>
  <c r="K17" i="4" a="1"/>
  <c r="K17" i="4" s="1"/>
  <c r="K64" i="4" s="1"/>
  <c r="J17" i="4" a="1"/>
  <c r="J17" i="4" s="1"/>
  <c r="J64" i="4" s="1"/>
  <c r="I17" i="4" a="1"/>
  <c r="I17" i="4" s="1"/>
  <c r="H17" i="4" a="1"/>
  <c r="H17" i="4" s="1"/>
  <c r="G17" i="4" a="1"/>
  <c r="G17" i="4" s="1"/>
  <c r="F17" i="4" a="1"/>
  <c r="F17" i="4" s="1"/>
  <c r="E17" i="4" a="1"/>
  <c r="E17" i="4" s="1"/>
  <c r="D17" i="4" a="1"/>
  <c r="D17" i="4" s="1"/>
  <c r="C17" i="4" s="1"/>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<sst xmlns="http://schemas.openxmlformats.org/spreadsheetml/2006/main" count="30" uniqueCount="30">
  <si>
    <t>მიღება-ჩაბარების აქტი</t>
  </si>
  <si>
    <t>#</t>
  </si>
  <si>
    <t>მწარმოებელი</t>
  </si>
  <si>
    <t>თანხა ₾</t>
  </si>
  <si>
    <t>ჯამი</t>
  </si>
  <si>
    <t>კონტ. #</t>
  </si>
  <si>
    <t>საქარხნო 
ნომერი</t>
  </si>
  <si>
    <t>სართ.</t>
  </si>
  <si>
    <t>ამწეობა
 (კგ)</t>
  </si>
  <si>
    <t>სერტიფიკატის #</t>
  </si>
  <si>
    <t>ცხრილში მოცემული თანხები მოცემულია მონტაჟის ღირებულების და დღგ-ს ჩათვლით.
1. მხარეები აცხადებენ, რომ ამ თარიღისთვის ხელშეკრულებით ნაკისრი ვალდებულებავ შემსრულებლის მიერ გაწეულია სრულად და ჯეროვნად. 
2. წინამდებარე აქტზე ხელის მოწერით მხარეები ადასტურებენ, რომ ერთმანეთის მიმართ პრეტენზია არ გააჩნიათ.
3. წინამდებარე აქტი შედგენილია თანაბარი იურიდიული ძალის მქონე 2 (ორი) ეგზემპლარად, ერთი ეგზემპლარი გადაეცემა დამკვეთს, ხოლო ერთი - შემსრულებელს.</t>
  </si>
  <si>
    <t>Project_Department</t>
  </si>
  <si>
    <t>Handover_Date</t>
  </si>
  <si>
    <t>Project_Counteragent_Entity_Type</t>
  </si>
  <si>
    <t>Project_Counteragent_Name</t>
  </si>
  <si>
    <t>Project_Counteragent_Address_Line_1</t>
  </si>
  <si>
    <t>Project_Counteragent_Address_Line_2</t>
  </si>
  <si>
    <t>Project_Counteragent_Director</t>
  </si>
  <si>
    <t>Project_Counteragent_ID</t>
  </si>
  <si>
    <t>Project_Address</t>
  </si>
  <si>
    <t>Project_Counteragent_Director_Genitive</t>
  </si>
  <si>
    <t>Project_Insider_Entity_Type</t>
  </si>
  <si>
    <t>Project_Insider_Name</t>
  </si>
  <si>
    <t>Project_Insider_Address_Line1</t>
  </si>
  <si>
    <t>Project_Insider_Address_Line2</t>
  </si>
  <si>
    <t>Project_Insider_Director_Genitive</t>
  </si>
  <si>
    <t>Project_Insider_Director_Normative</t>
  </si>
  <si>
    <t>Contract_Date</t>
  </si>
  <si>
    <t>Project_Currency</t>
  </si>
  <si>
    <t>Project_Insider_ID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</si>
</sst>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5" formatCode="dd\.mm\.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1"/>
      <color theme="1"/>
      <name val="Sylfaen"/>
      <family val="1"/>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applyNumberFormat="1"/>
    <xf numFmtId="4" fontId="0" fillId="0" borderId="0" xfId="0" applyNumberFormat="1"/>
    <xf numFmtId="164" fontId="0" fillId="0" borderId="0" xfId="0" applyNumberFormat="1"/>
    <xf numFmtId="10" fontId="0" fillId="0" borderId="0" xfId="0" applyNumberFormat="1"/>
    <xf numFmtId="0" fontId="0" fillId="0" borderId="0" xfId="0" applyNumberFormat="1" applyAlignment="1">
      <alignment horizontal="center"/>
    </xf>
    <xf numFmtId="0" fontId="0" fillId="0" borderId="0" xfId="0" applyNumberFormat="1" applyAlignment="1"/>
    <xf numFmtId="0" fontId="0" fillId="2" borderId="1" xfId="0" applyNumberFormat="1" applyFill="1" applyBorder="1" applyAlignment="1">
      <alignment horizontal="center"/>
    </xf>
    <xf numFmtId="0" fontId="0" fillId="0" borderId="1" xfId="0" applyNumberFormat="1" applyBorder="1" applyAlignment="1">
      <alignment horizontal="center"/>
    </xf>
    <xf numFmtId="43" fontId="0" fillId="0" borderId="1" xfId="1" applyFont="1" applyBorder="1" applyAlignment="1">
      <alignment horizontal="center"/>
    </xf>
    <xf numFmtId="0" fontId="0" fillId="0" borderId="0" xfId="0"/>
    <xf numFmtId="0" fontId="0" fillId="2" borderId="1" xfId="0" applyNumberFormat="1" applyFill="1" applyBorder="1" applyAlignment="1">
      <alignment horizontal="center" wrapText="1"/>
    </xf>
    <xf numFmtId="0" fontId="2" fillId="0" borderId="0" xfId="0" applyNumberFormat="1" applyFont="1" applyAlignment="1">
      <alignment horizontal="center"/>
    </xf>
    <xf numFmtId="0" fontId="0" fillId="0" borderId="0" xfId="0" quotePrefix="1" applyNumberFormat="1"/>
    <xf numFmtId="165" fontId="0" fillId="0" borderId="0" xfId="0" applyNumberFormat="1"/>
    <xf numFmtId="0" fontId="0" fillId="3" borderId="0" xfId="0" applyNumberFormat="1" applyFont="1" applyFill="1"/>
    <xf numFmtId="165" fontId="0" fillId="3" borderId="0" xfId="0" applyNumberFormat="1" applyFont="1" applyFill="1"/>
    <xf numFmtId="0" fontId="0" fillId="0" borderId="0" xfId="0" applyNumberFormat="1" applyAlignment="1">
      <alignment horizontal="center"/>
    </xf>
    <xf numFmtId="165" fontId="0" fillId="0" borderId="0" xfId="0" applyNumberFormat="1" applyAlignment="1">
      <alignment horizontal="center"/>
    </xf>
    <xf numFmtId="0" fontId="0" fillId="0" borderId="0" xfId="0" applyNumberFormat="1" applyAlignment="1">
      <alignment horizontal="justify" vertical="justify" wrapText="1"/>
    </xf>
    <xf numFmtId="0" fontId="2" fillId="0" borderId="0" xfId="0" applyNumberFormat="1" applyFont="1" applyAlignment="1">
      <alignment horizontal="center"/>
    </xf>
    <xf numFmtId="0" fontId="0" fillId="0" borderId="0" xfId="0" applyNumberFormat="1" applyAlignment="1">
      <alignment horizontal="center"/>
    </xf>
    <xf numFmtId="0" fontId="3" fillId="0" borderId="0" xfId="0" applyNumberFormat="1" applyFont="1" applyAlignment="1">
      <alignment horizontal="justify" vertical="justify" wrapText="1"/>
    </xf>
    <xf numFmtId="0" fontId="3" fillId="0" borderId="0" xfId="0" applyNumberFormat="1" applyFont="1" applyAlignment="1">
      <alignment horizontal="justify" vertical="justify"/>
    </xf>
    <xf numFmtId="0" fontId="0" fillId="0" borderId="0" xfId="0" applyNumberFormat="1" applyAlignment="1">
      <alignment horizontal="center" vertical="top" wrapText="1"/>
    </xf>
    <xf numFmtId="0" fontId="0" fillId="0" borderId="0" xfId="0" applyNumberFormat="1" applyAlignment="1">
      <alignment horizontal="center" vertical="top"/>
    </xf>
    <xf numFmtId="0" fontId="0" fillId="0" borderId="1" xfId="0" applyNumberFormat="1" applyBorder="1" applyAlignment="1">
      <alignment horizont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8</v>
    <v>1</v>
  </rv>
  <rv s="1">
    <v>0</v>
    <v>8</v>
    <v>1</v>
    <v>3</v>
  </rv>
</rvData>
</file>

<file path=xl/richData/rdrichvaluestructure.xml><?xml version="1.0" encoding="utf-8"?>
<rvStructures xmlns="http://schemas.microsoft.com/office/spreadsheetml/2017/richdata" count="2">
  <s t="_error">
    <k n="errorType" t="i"/>
    <k n="propagated" t="b"/>
  </s>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BC11-7207-41CD-A3C8-355D7D7D75EF}">
  <sheetPr codeName="Sheet1"/>
  <dimension ref="C1:W85"/>
  <sheetViews>
    <sheetView tabSelected="1" workbookViewId="0">
      <selection activeCell="A80" sqref="A80:XFD1048576"/>
    </sheetView>
  </sheetViews>
  <sheetFormatPr defaultColWidth="0" defaultRowHeight="15.75" zeroHeight="1" x14ac:dyDescent="0.25"/>
  <cols>
    <col min="1" max="2" width="2.625" customWidth="1"/>
    <col min="3" max="3" width="4.5" customWidth="1"/>
    <col min="4" max="4" width="8.5" customWidth="1"/>
    <col min="5" max="5" width="13.5" bestFit="1" customWidth="1"/>
    <col min="6" max="6" width="9.25" bestFit="1" customWidth="1"/>
    <col min="7" max="7" width="8" bestFit="1" customWidth="1"/>
    <col min="8" max="8" width="6.25" bestFit="1" customWidth="1"/>
    <col min="9" max="9" width="15.625" bestFit="1" customWidth="1"/>
    <col min="10" max="10" width="11.625" customWidth="1"/>
    <col min="11" max="11" width="13.75" customWidth="1"/>
    <col min="12" max="12" width="2.625" customWidth="1"/>
    <col min="13" max="15" width="2.625" hidden="1"/>
    <col min="16" max="16" width="7.75" hidden="1"/>
    <col min="24" max="16384" width="2.625" hidden="1"/>
  </cols>
  <sheetData>
    <row r="1" spans="3:23" x14ac:dyDescent="0.25">
      <c r="C1" s="19" t="s">
        <v>0</v>
      </c>
      <c r="D1" s="20"/>
      <c r="E1" s="20"/>
      <c r="F1" s="20"/>
      <c r="G1" s="20"/>
      <c r="H1" s="20"/>
      <c r="I1" s="20"/>
      <c r="J1" s="20"/>
      <c r="K1" s="20"/>
    </row>
    <row r="2" spans="3:23" x14ac:dyDescent="0.25">
      <c r="G2" s="19"/>
      <c r="H2" s="19"/>
      <c r="I2" s="11"/>
    </row>
    <row r="3" spans="3:23" x14ac:dyDescent="0.25">
      <c r="O3" s="16"/>
      <c r="P3" s="17"/>
      <c r="Q3" s="17"/>
      <c r="R3" s="17"/>
      <c r="S3" s="17"/>
      <c r="T3" s="17"/>
      <c r="U3" s="17"/>
      <c r="V3" s="17"/>
      <c r="W3" s="17"/>
    </row>
    <row r="4" spans="3:23" x14ac:dyDescent="0.25">
      <c r="C4" s="19" t="b">
        <f>IF(VLOOKUP("Project_Department",Placeholders!A:B,2,FALSE)&lt;&gt;"",IF(
    VLOOKUP("Project_Department",Placeholders!A:B,2,FALSE)="Tbilisi",
    "ქ. თბილისი",
    "ქ. ბათუმი"
))</f>
        <v>0</v>
      </c>
      <c r="D4" s="19"/>
      <c r="E4" s="19"/>
      <c r="I4" s="19" t="str">
        <f>DAY(VLOOKUP("Handover_Date",Placeholders!A:B,2,FALSE))&amp;
" "&amp;
IFERROR(
    VLOOKUP(
        MONTH(VLOOKUP("Handover_Date",Placeholders!A:B,2,FALSE)),
        {1,"იანვარი";2,"თებერვალი";3,"მარტი";4,"აპრილი";5,"მაისი";6,"ივნისი";7,"ივლისი";8,"აგვისტო";9,"სექტემბერი";10,"ოქტომბერი";11,"ნოემბერი";12,"დეკემბერი"},
        2,
        FALSE
    ),
    ""
)&amp;
" "&amp;
YEAR(VLOOKUP("Handover_Date",Placeholders!A:B,2,FALSE))</f>
        <v>0 იანვარი 1900</v>
      </c>
      <c r="J4" s="19"/>
      <c r="K4" s="19"/>
    </row>
    <row r="5" spans="3:23" x14ac:dyDescent="0.25"/>
    <row r="6" spans="3:23" ht="28.5" customHeight="1" x14ac:dyDescent="0.25">
      <c r="C6" s="18" t="str">
        <f>"     ერთი მხრივ "&amp;VLOOKUP("Project_Counteragent_Entity_Type",Placeholders!A:B,2,FALSE)&amp;" "&amp;VLOOKUP("Project_Counteragent_Name",Placeholders!A:B,2,FALSE)&amp;
" - წარმოდგენილი დირექტორის "&amp;VLOOKUP("Project_Counteragent_Director_Genitive",Placeholders!A:B,2,FALSE)&amp;
" სახით (შემდგომში დამკვეთი)."&amp;CHAR(10)&amp;
"მისამართი :"&amp;VLOOKUP("Project_Counteragent_Address_Line_1",Placeholders!A:B,2,FALSE)&amp;" "&amp;VLOOKUP("Project_Counteragent_Address_Line_2",Placeholders!A:B,2,FALSE)&amp;
CHAR(10)&amp;
"საიდენტიფიკაციო კოდი: "&amp;VLOOKUP("Project_Counteragent_ID",Placeholders!A:B,2,FALSE)&amp;
CHAR(10)&amp;CHAR(10)&amp;
"     მეორე მხრივ, "&amp;VLOOKUP("Project_Insider_Entity_Type",Placeholders!A:B,2,FALSE)&amp;" "&amp;VLOOKUP("Project_Insider_Name",Placeholders!A:B,2,FALSE)&amp;
" წარმოდგენილი დირექტორის "&amp;VLOOKUP("Project_Insider_Director_Genitive",Placeholders!A:B,2,FALSE)&amp;
" სახით (შემდგომში შემსრულებელი)."&amp;
CHAR(10)&amp;
"მისამართი: "&amp;VLOOKUP("Project_Insider_Address_Line1",Placeholders!A:B,2,FALSE)&amp;" "&amp;VLOOKUP("Project_Insider_Address_Line2",Placeholders!A:B,2,FALSE)&amp;
CHAR(10)&amp;
"საიდენტიფიკაციო ნომერი: "&amp;VLOOKUP("Project_Insider_ID",Placeholders!A:B,2,FALSE)&amp;"."&amp;
CHAR(10)&amp;CHAR(10)&amp;
"     ვადგენთ წინამდებარე აქტს მასზედ, რომ "&amp;
IFERROR(
    YEAR(VLOOKUP("Contract_Date",Placeholders!A:B,2,FALSE))&amp;
    " წლის "&amp;
    DAY(VLOOKUP("Contract_Date",Placeholders!A:B,2,FALSE))&amp;
    " "&amp;
    VLOOKUP(
        MONTH(VLOOKUP("Contract_Date",Placeholders!A:B,2,FALSE)),
        {1,"იანვარის";2,"თებერვალის";3,"მარტის";4,"აპრილის";5,"მაისის";6,"ივნისის";7,"ივლისის";8,"აგვისტოს";9,"სექტემბრის";10,"ოქტომბრის";11,"ნოემბრის";12,"დეკემბრის"},
        2,
        FALSE
    ),
    ""
)&amp;
" ხელშეკრულების თანახმად დამკვეთმა მიიღო, ხოლო შემსრულებელმა ჩააბარა დამკვეთის ობიექტზე, მისამართზე "&amp;
VLOOKUP("Project_Address",Placeholders!A:B,2,FALSE)&amp;
" ქვემოთ მოცემული ერთეულები:"</f>
        <v xml:space="preserve">     ერთი მხრივ   - წარმოდგენილი დირექტორის  სახით (შემდგომში დამკვეთი).
მისამართი : 
საიდენტიფიკაციო კოდი: 
     მეორე მხრივ,   წარმოდგენილი დირექტორის  სახით (შემდგომში შემსრულებელი).
მისამართი:  
საიდენტიფიკაციო ნომერი: .
     ვადგენთ წინამდებარე აქტს მასზედ, რომ 1900 წლის 0 იანვარის ხელშეკრულების თანახმად დამკვეთმა მიიღო, ხოლო შემსრულებელმა ჩააბარა დამკვეთის ობიექტზე, მისამართზე  ქვემოთ მოცემული ერთეულები:</v>
      </c>
      <c r="D6" s="18"/>
      <c r="E6" s="18"/>
      <c r="F6" s="18"/>
      <c r="G6" s="18"/>
      <c r="H6" s="18"/>
      <c r="I6" s="18"/>
      <c r="J6" s="18"/>
      <c r="K6" s="18"/>
    </row>
    <row r="7" spans="3:23" ht="28.5" customHeight="1" x14ac:dyDescent="0.25">
      <c r="C7" s="18"/>
      <c r="D7" s="18"/>
      <c r="E7" s="18"/>
      <c r="F7" s="18"/>
      <c r="G7" s="18"/>
      <c r="H7" s="18"/>
      <c r="I7" s="18"/>
      <c r="J7" s="18"/>
      <c r="K7" s="18"/>
    </row>
    <row r="8" spans="3:23" ht="28.5" customHeight="1" x14ac:dyDescent="0.25">
      <c r="C8" s="18"/>
      <c r="D8" s="18"/>
      <c r="E8" s="18"/>
      <c r="F8" s="18"/>
      <c r="G8" s="18"/>
      <c r="H8" s="18"/>
      <c r="I8" s="18"/>
      <c r="J8" s="18"/>
      <c r="K8" s="18"/>
    </row>
    <row r="9" spans="3:23" ht="28.5" customHeight="1" x14ac:dyDescent="0.25">
      <c r="C9" s="18"/>
      <c r="D9" s="18"/>
      <c r="E9" s="18"/>
      <c r="F9" s="18"/>
      <c r="G9" s="18"/>
      <c r="H9" s="18"/>
      <c r="I9" s="18"/>
      <c r="J9" s="18"/>
      <c r="K9" s="18"/>
    </row>
    <row r="10" spans="3:23" ht="28.5" customHeight="1" x14ac:dyDescent="0.25">
      <c r="C10" s="18"/>
      <c r="D10" s="18"/>
      <c r="E10" s="18"/>
      <c r="F10" s="18"/>
      <c r="G10" s="18"/>
      <c r="H10" s="18"/>
      <c r="I10" s="18"/>
      <c r="J10" s="18"/>
      <c r="K10" s="18"/>
    </row>
    <row r="11" spans="3:23" ht="28.5" customHeight="1" x14ac:dyDescent="0.25">
      <c r="C11" s="18"/>
      <c r="D11" s="18"/>
      <c r="E11" s="18"/>
      <c r="F11" s="18"/>
      <c r="G11" s="18"/>
      <c r="H11" s="18"/>
      <c r="I11" s="18"/>
      <c r="J11" s="18"/>
      <c r="K11" s="18"/>
    </row>
    <row r="12" spans="3:23" ht="28.5" customHeight="1" x14ac:dyDescent="0.25">
      <c r="C12" s="18"/>
      <c r="D12" s="18"/>
      <c r="E12" s="18"/>
      <c r="F12" s="18"/>
      <c r="G12" s="18"/>
      <c r="H12" s="18"/>
      <c r="I12" s="18"/>
      <c r="J12" s="18"/>
      <c r="K12" s="18"/>
    </row>
    <row r="13" spans="3:23" ht="28.5" customHeight="1" x14ac:dyDescent="0.25">
      <c r="C13" s="18"/>
      <c r="D13" s="18"/>
      <c r="E13" s="18"/>
      <c r="F13" s="18"/>
      <c r="G13" s="18"/>
      <c r="H13" s="18"/>
      <c r="I13" s="18"/>
      <c r="J13" s="18"/>
      <c r="K13" s="18"/>
    </row>
    <row r="14" spans="3:23" ht="28.5" customHeight="1" x14ac:dyDescent="0.25">
      <c r="C14" s="18"/>
      <c r="D14" s="18"/>
      <c r="E14" s="18"/>
      <c r="F14" s="18"/>
      <c r="G14" s="18"/>
      <c r="H14" s="18"/>
      <c r="I14" s="18"/>
      <c r="J14" s="18"/>
      <c r="K14" s="18"/>
    </row>
    <row r="15" spans="3:23" x14ac:dyDescent="0.25"/>
    <row r="16" spans="3:23" ht="31.5" x14ac:dyDescent="0.25">
      <c r="C16" s="6" t="s">
        <v>1</v>
      </c>
      <c r="D16" s="6" t="s">
        <v>5</v>
      </c>
      <c r="E16" s="6" t="s">
        <v>2</v>
      </c>
      <c r="F16" s="10" t="s">
        <v>6</v>
      </c>
      <c r="G16" s="10" t="s">
        <v>8</v>
      </c>
      <c r="H16" s="6" t="s">
        <v>7</v>
      </c>
      <c r="I16" s="6" t="s">
        <v>9</v>
      </c>
      <c r="J16" s="6" t="str">
        <f>"თანხა "&amp;IF(Project_Currency="USD"," $", IF(Project_Currency = "EUR", " €"," ₾"))</f>
        <v>თანხა  ₾</v>
      </c>
      <c r="K16" s="6" t="s">
        <v>3</v>
      </c>
    </row>
    <row r="17" spans="3:11" x14ac:dyDescent="0.25">
      <c r="C17" s="7" t="e" vm="1">
        <f ca="1">IF(D17&lt;&gt;"",ROW()-16,"")</f>
        <v>#VALUE!</v>
      </c>
      <c r="D17" s="7" t="e" cm="1" vm="2">
        <f t="array" aca="1" ref="D17" ca="1">_xlfn._xlws.FILTER(Jobs!A:A,Jobs!M:M= Handover_Date)</f>
        <v>#VALUE!</v>
      </c>
      <c r="E17" s="7" t="e" cm="1" vm="2">
        <f t="array" aca="1" ref="E17" ca="1">_xlfn._xlws.FILTER( Jobs!C:C,Jobs!M:M= Handover_Date)</f>
        <v>#VALUE!</v>
      </c>
      <c r="F17" s="7" t="e" cm="1" vm="2">
        <f t="array" aca="1" ref="F17" ca="1">_xlfn._xlws.FILTER(   Jobs!B:B,Jobs!M:M= Handover_Date)</f>
        <v>#VALUE!</v>
      </c>
      <c r="G17" s="7" t="e" cm="1" vm="2">
        <f t="array" aca="1" ref="G17" ca="1">_xlfn._xlws.FILTER(  Jobs!E:E,Jobs!M:M= Handover_Date)&amp;" კგ"</f>
        <v>#VALUE!</v>
      </c>
      <c r="H17" s="7" t="e" cm="1" vm="2">
        <f t="array" aca="1" ref="H17" ca="1">_xlfn._xlws.FILTER(   Jobs!D:D,Jobs!M:M= Handover_Date)</f>
        <v>#VALUE!</v>
      </c>
      <c r="I17" s="7" t="e" cm="1" vm="2">
        <f t="array" aca="1" ref="I17" ca="1">_xlfn._xlws.FILTER(    Jobs!N:N,Jobs!M:M= Handover_Date)</f>
        <v>#VALUE!</v>
      </c>
      <c r="J17" s="8" t="e" cm="1" vm="2">
        <f t="array" aca="1" ref="J17" ca="1">_xlfn._xlws.FILTER(    Jobs!F:F,Jobs!M:M= Handover_Date)</f>
        <v>#VALUE!</v>
      </c>
      <c r="K17" s="8" t="e" cm="1" vm="2">
        <f t="array" aca="1" ref="K17" ca="1">_xlfn._xlws.FILTER(     Jobs!K:K,Jobs!M:M= Handover_Date)</f>
        <v>#VALUE!</v>
      </c>
    </row>
    <row r="18" spans="3:11" x14ac:dyDescent="0.25">
      <c r="C18" s="7" t="str">
        <f t="shared" ref="C18:C63" si="0">IF(D18&lt;&gt;"",ROW()-16,"")</f>
        <v/>
      </c>
      <c r="D18" s="7"/>
      <c r="E18" s="7"/>
      <c r="F18" s="7"/>
      <c r="G18" s="7"/>
      <c r="H18" s="7"/>
      <c r="I18" s="7"/>
      <c r="J18" s="8"/>
      <c r="K18" s="8"/>
    </row>
    <row r="19" spans="3:11" x14ac:dyDescent="0.25">
      <c r="C19" s="7" t="str">
        <f t="shared" si="0"/>
        <v/>
      </c>
      <c r="D19" s="7"/>
      <c r="E19" s="7"/>
      <c r="F19" s="7"/>
      <c r="G19" s="7"/>
      <c r="H19" s="7"/>
      <c r="I19" s="7"/>
      <c r="J19" s="8"/>
      <c r="K19" s="8"/>
    </row>
    <row r="20" spans="3:11" x14ac:dyDescent="0.25">
      <c r="C20" s="7" t="str">
        <f t="shared" si="0"/>
        <v/>
      </c>
      <c r="D20" s="7"/>
      <c r="E20" s="7"/>
      <c r="F20" s="7"/>
      <c r="G20" s="7"/>
      <c r="H20" s="7"/>
      <c r="I20" s="7"/>
      <c r="J20" s="8"/>
      <c r="K20" s="8"/>
    </row>
    <row r="21" spans="3:11" x14ac:dyDescent="0.25">
      <c r="C21" s="7" t="str">
        <f t="shared" si="0"/>
        <v/>
      </c>
      <c r="D21" s="7"/>
      <c r="E21" s="7"/>
      <c r="F21" s="7"/>
      <c r="G21" s="7"/>
      <c r="H21" s="7"/>
      <c r="I21" s="7"/>
      <c r="J21" s="8"/>
      <c r="K21" s="8"/>
    </row>
    <row r="22" spans="3:11" x14ac:dyDescent="0.25">
      <c r="C22" s="7" t="str">
        <f t="shared" si="0"/>
        <v/>
      </c>
      <c r="D22" s="7"/>
      <c r="E22" s="7"/>
      <c r="F22" s="7"/>
      <c r="G22" s="7"/>
      <c r="H22" s="7"/>
      <c r="I22" s="7"/>
      <c r="J22" s="8"/>
      <c r="K22" s="8"/>
    </row>
    <row r="23" spans="3:11" x14ac:dyDescent="0.25">
      <c r="C23" s="7" t="str">
        <f t="shared" si="0"/>
        <v/>
      </c>
      <c r="D23" s="7"/>
      <c r="E23" s="7"/>
      <c r="F23" s="7"/>
      <c r="G23" s="7"/>
      <c r="H23" s="7"/>
      <c r="I23" s="7"/>
      <c r="J23" s="8"/>
      <c r="K23" s="8"/>
    </row>
    <row r="24" spans="3:11" x14ac:dyDescent="0.25">
      <c r="C24" s="7" t="str">
        <f t="shared" si="0"/>
        <v/>
      </c>
      <c r="D24" s="7"/>
      <c r="E24" s="7"/>
      <c r="F24" s="7"/>
      <c r="G24" s="7"/>
      <c r="H24" s="7"/>
      <c r="I24" s="7"/>
      <c r="J24" s="8"/>
      <c r="K24" s="8"/>
    </row>
    <row r="25" spans="3:11" x14ac:dyDescent="0.25">
      <c r="C25" s="7" t="str">
        <f t="shared" si="0"/>
        <v/>
      </c>
      <c r="D25" s="7"/>
      <c r="E25" s="7"/>
      <c r="F25" s="7"/>
      <c r="G25" s="7"/>
      <c r="H25" s="7"/>
      <c r="I25" s="7"/>
      <c r="J25" s="8"/>
      <c r="K25" s="8"/>
    </row>
    <row r="26" spans="3:11" x14ac:dyDescent="0.25">
      <c r="C26" s="7" t="str">
        <f t="shared" si="0"/>
        <v/>
      </c>
      <c r="D26" s="7"/>
      <c r="E26" s="7"/>
      <c r="F26" s="7"/>
      <c r="G26" s="7"/>
      <c r="H26" s="7"/>
      <c r="I26" s="7"/>
      <c r="J26" s="8"/>
      <c r="K26" s="8"/>
    </row>
    <row r="27" spans="3:11" x14ac:dyDescent="0.25">
      <c r="C27" s="7" t="str">
        <f t="shared" si="0"/>
        <v/>
      </c>
      <c r="D27" s="7"/>
      <c r="E27" s="7"/>
      <c r="F27" s="7"/>
      <c r="G27" s="7"/>
      <c r="H27" s="7"/>
      <c r="I27" s="7"/>
      <c r="J27" s="8"/>
      <c r="K27" s="8"/>
    </row>
    <row r="28" spans="3:11" x14ac:dyDescent="0.25">
      <c r="C28" s="7" t="str">
        <f t="shared" si="0"/>
        <v/>
      </c>
      <c r="D28" s="7"/>
      <c r="E28" s="7"/>
      <c r="F28" s="7"/>
      <c r="G28" s="7"/>
      <c r="H28" s="7"/>
      <c r="I28" s="7"/>
      <c r="J28" s="8"/>
      <c r="K28" s="8"/>
    </row>
    <row r="29" spans="3:11" x14ac:dyDescent="0.25">
      <c r="C29" s="7" t="str">
        <f t="shared" si="0"/>
        <v/>
      </c>
      <c r="D29" s="7"/>
      <c r="E29" s="7"/>
      <c r="F29" s="7"/>
      <c r="G29" s="7"/>
      <c r="H29" s="7"/>
      <c r="I29" s="7"/>
      <c r="J29" s="8"/>
      <c r="K29" s="8"/>
    </row>
    <row r="30" spans="3:11" x14ac:dyDescent="0.25">
      <c r="C30" s="7" t="str">
        <f t="shared" si="0"/>
        <v/>
      </c>
      <c r="D30" s="7"/>
      <c r="E30" s="7"/>
      <c r="F30" s="7"/>
      <c r="G30" s="7"/>
      <c r="H30" s="7"/>
      <c r="I30" s="7"/>
      <c r="J30" s="8"/>
      <c r="K30" s="8"/>
    </row>
    <row r="31" spans="3:11" x14ac:dyDescent="0.25">
      <c r="C31" s="7" t="str">
        <f t="shared" si="0"/>
        <v/>
      </c>
      <c r="D31" s="7"/>
      <c r="E31" s="7"/>
      <c r="F31" s="7"/>
      <c r="G31" s="7"/>
      <c r="H31" s="7"/>
      <c r="I31" s="7"/>
      <c r="J31" s="8"/>
      <c r="K31" s="8"/>
    </row>
    <row r="32" spans="3:11" x14ac:dyDescent="0.25">
      <c r="C32" s="7" t="str">
        <f t="shared" si="0"/>
        <v/>
      </c>
      <c r="D32" s="7"/>
      <c r="E32" s="7"/>
      <c r="F32" s="7"/>
      <c r="G32" s="7"/>
      <c r="H32" s="7"/>
      <c r="I32" s="7"/>
      <c r="J32" s="8"/>
      <c r="K32" s="8"/>
    </row>
    <row r="33" spans="3:11" x14ac:dyDescent="0.25">
      <c r="C33" s="7" t="str">
        <f t="shared" si="0"/>
        <v/>
      </c>
      <c r="D33" s="7"/>
      <c r="E33" s="7"/>
      <c r="F33" s="7"/>
      <c r="G33" s="7"/>
      <c r="H33" s="7"/>
      <c r="I33" s="7"/>
      <c r="J33" s="8"/>
      <c r="K33" s="8"/>
    </row>
    <row r="34" spans="3:11" x14ac:dyDescent="0.25">
      <c r="C34" s="7" t="str">
        <f t="shared" si="0"/>
        <v/>
      </c>
      <c r="D34" s="7"/>
      <c r="E34" s="7"/>
      <c r="F34" s="7"/>
      <c r="G34" s="7"/>
      <c r="H34" s="7"/>
      <c r="I34" s="7"/>
      <c r="J34" s="8"/>
      <c r="K34" s="8"/>
    </row>
    <row r="35" spans="3:11" x14ac:dyDescent="0.25">
      <c r="C35" s="7" t="str">
        <f t="shared" si="0"/>
        <v/>
      </c>
      <c r="D35" s="7"/>
      <c r="E35" s="7"/>
      <c r="F35" s="7"/>
      <c r="G35" s="7"/>
      <c r="H35" s="7"/>
      <c r="I35" s="7"/>
      <c r="J35" s="8"/>
      <c r="K35" s="8"/>
    </row>
    <row r="36" spans="3:11" x14ac:dyDescent="0.25">
      <c r="C36" s="7" t="str">
        <f t="shared" si="0"/>
        <v/>
      </c>
      <c r="D36" s="7"/>
      <c r="E36" s="7"/>
      <c r="F36" s="7"/>
      <c r="G36" s="7"/>
      <c r="H36" s="7"/>
      <c r="I36" s="7"/>
      <c r="J36" s="8"/>
      <c r="K36" s="8"/>
    </row>
    <row r="37" spans="3:11" x14ac:dyDescent="0.25">
      <c r="C37" s="7" t="str">
        <f t="shared" si="0"/>
        <v/>
      </c>
      <c r="D37" s="7"/>
      <c r="E37" s="7"/>
      <c r="F37" s="7"/>
      <c r="G37" s="7"/>
      <c r="H37" s="7"/>
      <c r="I37" s="7"/>
      <c r="J37" s="8"/>
      <c r="K37" s="8"/>
    </row>
    <row r="38" spans="3:11" x14ac:dyDescent="0.25">
      <c r="C38" s="7" t="str">
        <f t="shared" si="0"/>
        <v/>
      </c>
      <c r="D38" s="7"/>
      <c r="E38" s="7"/>
      <c r="F38" s="7"/>
      <c r="G38" s="7"/>
      <c r="H38" s="7"/>
      <c r="I38" s="7"/>
      <c r="J38" s="8"/>
      <c r="K38" s="8"/>
    </row>
    <row r="39" spans="3:11" x14ac:dyDescent="0.25">
      <c r="C39" s="7" t="str">
        <f t="shared" si="0"/>
        <v/>
      </c>
      <c r="D39" s="7"/>
      <c r="E39" s="7"/>
      <c r="F39" s="7"/>
      <c r="G39" s="7"/>
      <c r="H39" s="7"/>
      <c r="I39" s="7"/>
      <c r="J39" s="8"/>
      <c r="K39" s="8"/>
    </row>
    <row r="40" spans="3:11" x14ac:dyDescent="0.25">
      <c r="C40" s="7" t="str">
        <f t="shared" si="0"/>
        <v/>
      </c>
      <c r="D40" s="7"/>
      <c r="E40" s="7"/>
      <c r="F40" s="7"/>
      <c r="G40" s="7"/>
      <c r="H40" s="7"/>
      <c r="I40" s="7"/>
      <c r="J40" s="8"/>
      <c r="K40" s="8"/>
    </row>
    <row r="41" spans="3:11" x14ac:dyDescent="0.25">
      <c r="C41" s="7" t="str">
        <f t="shared" si="0"/>
        <v/>
      </c>
      <c r="D41" s="7"/>
      <c r="E41" s="7"/>
      <c r="F41" s="7"/>
      <c r="G41" s="7"/>
      <c r="H41" s="7"/>
      <c r="I41" s="7"/>
      <c r="J41" s="8"/>
      <c r="K41" s="8"/>
    </row>
    <row r="42" spans="3:11" x14ac:dyDescent="0.25">
      <c r="C42" s="7" t="str">
        <f t="shared" si="0"/>
        <v/>
      </c>
      <c r="D42" s="7"/>
      <c r="E42" s="7"/>
      <c r="F42" s="7"/>
      <c r="G42" s="7"/>
      <c r="H42" s="7"/>
      <c r="I42" s="7"/>
      <c r="J42" s="8"/>
      <c r="K42" s="8"/>
    </row>
    <row r="43" spans="3:11" x14ac:dyDescent="0.25">
      <c r="C43" s="7" t="str">
        <f t="shared" si="0"/>
        <v/>
      </c>
      <c r="D43" s="7"/>
      <c r="E43" s="7"/>
      <c r="F43" s="7"/>
      <c r="G43" s="7"/>
      <c r="H43" s="7"/>
      <c r="I43" s="7"/>
      <c r="J43" s="8"/>
      <c r="K43" s="8"/>
    </row>
    <row r="44" spans="3:11" x14ac:dyDescent="0.25">
      <c r="C44" s="7" t="str">
        <f t="shared" si="0"/>
        <v/>
      </c>
      <c r="D44" s="7"/>
      <c r="E44" s="7"/>
      <c r="F44" s="7"/>
      <c r="G44" s="7"/>
      <c r="H44" s="7"/>
      <c r="I44" s="7"/>
      <c r="J44" s="8"/>
      <c r="K44" s="8"/>
    </row>
    <row r="45" spans="3:11" x14ac:dyDescent="0.25">
      <c r="C45" s="7" t="str">
        <f t="shared" si="0"/>
        <v/>
      </c>
      <c r="D45" s="7"/>
      <c r="E45" s="7"/>
      <c r="F45" s="7"/>
      <c r="G45" s="7"/>
      <c r="H45" s="7"/>
      <c r="I45" s="7"/>
      <c r="J45" s="8"/>
      <c r="K45" s="8"/>
    </row>
    <row r="46" spans="3:11" x14ac:dyDescent="0.25">
      <c r="C46" s="7" t="str">
        <f t="shared" si="0"/>
        <v/>
      </c>
      <c r="D46" s="7"/>
      <c r="E46" s="7"/>
      <c r="F46" s="7"/>
      <c r="G46" s="7"/>
      <c r="H46" s="7"/>
      <c r="I46" s="7"/>
      <c r="J46" s="8"/>
      <c r="K46" s="8"/>
    </row>
    <row r="47" spans="3:11" x14ac:dyDescent="0.25">
      <c r="C47" s="7" t="str">
        <f t="shared" si="0"/>
        <v/>
      </c>
      <c r="D47" s="7"/>
      <c r="E47" s="7"/>
      <c r="F47" s="7"/>
      <c r="G47" s="7"/>
      <c r="H47" s="7"/>
      <c r="I47" s="7"/>
      <c r="J47" s="8"/>
      <c r="K47" s="8"/>
    </row>
    <row r="48" spans="3:11" x14ac:dyDescent="0.25">
      <c r="C48" s="7" t="str">
        <f t="shared" si="0"/>
        <v/>
      </c>
      <c r="D48" s="7"/>
      <c r="E48" s="7"/>
      <c r="F48" s="7"/>
      <c r="G48" s="7"/>
      <c r="H48" s="7"/>
      <c r="I48" s="7"/>
      <c r="J48" s="8"/>
      <c r="K48" s="8"/>
    </row>
    <row r="49" spans="3:11" x14ac:dyDescent="0.25">
      <c r="C49" s="7" t="str">
        <f t="shared" si="0"/>
        <v/>
      </c>
      <c r="D49" s="7"/>
      <c r="E49" s="7"/>
      <c r="F49" s="7"/>
      <c r="G49" s="7"/>
      <c r="H49" s="7"/>
      <c r="I49" s="7"/>
      <c r="J49" s="8"/>
      <c r="K49" s="8"/>
    </row>
    <row r="50" spans="3:11" x14ac:dyDescent="0.25">
      <c r="C50" s="7" t="str">
        <f t="shared" si="0"/>
        <v/>
      </c>
      <c r="D50" s="7"/>
      <c r="E50" s="7"/>
      <c r="F50" s="7"/>
      <c r="G50" s="7"/>
      <c r="H50" s="7"/>
      <c r="I50" s="7"/>
      <c r="J50" s="8"/>
      <c r="K50" s="8"/>
    </row>
    <row r="51" spans="3:11" x14ac:dyDescent="0.25">
      <c r="C51" s="7" t="str">
        <f t="shared" si="0"/>
        <v/>
      </c>
      <c r="D51" s="7"/>
      <c r="E51" s="7"/>
      <c r="F51" s="7"/>
      <c r="G51" s="7"/>
      <c r="H51" s="7"/>
      <c r="I51" s="7"/>
      <c r="J51" s="8"/>
      <c r="K51" s="8"/>
    </row>
    <row r="52" spans="3:11" x14ac:dyDescent="0.25">
      <c r="C52" s="7" t="str">
        <f t="shared" si="0"/>
        <v/>
      </c>
      <c r="D52" s="7"/>
      <c r="E52" s="7"/>
      <c r="F52" s="7"/>
      <c r="G52" s="7"/>
      <c r="H52" s="7"/>
      <c r="I52" s="7"/>
      <c r="J52" s="8"/>
      <c r="K52" s="8"/>
    </row>
    <row r="53" spans="3:11" x14ac:dyDescent="0.25">
      <c r="C53" s="7" t="str">
        <f t="shared" si="0"/>
        <v/>
      </c>
      <c r="D53" s="7"/>
      <c r="E53" s="7"/>
      <c r="F53" s="7"/>
      <c r="G53" s="7"/>
      <c r="H53" s="7"/>
      <c r="I53" s="7"/>
      <c r="J53" s="8"/>
      <c r="K53" s="8"/>
    </row>
    <row r="54" spans="3:11" x14ac:dyDescent="0.25">
      <c r="C54" s="7" t="str">
        <f t="shared" si="0"/>
        <v/>
      </c>
      <c r="D54" s="7"/>
      <c r="E54" s="7"/>
      <c r="F54" s="7"/>
      <c r="G54" s="7"/>
      <c r="H54" s="7"/>
      <c r="I54" s="7"/>
      <c r="J54" s="8"/>
      <c r="K54" s="8"/>
    </row>
    <row r="55" spans="3:11" x14ac:dyDescent="0.25">
      <c r="C55" s="7" t="str">
        <f t="shared" si="0"/>
        <v/>
      </c>
      <c r="D55" s="7"/>
      <c r="E55" s="7"/>
      <c r="F55" s="7"/>
      <c r="G55" s="7"/>
      <c r="H55" s="7"/>
      <c r="I55" s="7"/>
      <c r="J55" s="8"/>
      <c r="K55" s="8"/>
    </row>
    <row r="56" spans="3:11" x14ac:dyDescent="0.25">
      <c r="C56" s="7" t="str">
        <f t="shared" si="0"/>
        <v/>
      </c>
      <c r="D56" s="7"/>
      <c r="E56" s="7"/>
      <c r="F56" s="7"/>
      <c r="G56" s="7"/>
      <c r="H56" s="7"/>
      <c r="I56" s="7"/>
      <c r="J56" s="8"/>
      <c r="K56" s="8"/>
    </row>
    <row r="57" spans="3:11" x14ac:dyDescent="0.25">
      <c r="C57" s="7" t="str">
        <f t="shared" si="0"/>
        <v/>
      </c>
      <c r="D57" s="7"/>
      <c r="E57" s="7"/>
      <c r="F57" s="7"/>
      <c r="G57" s="7"/>
      <c r="H57" s="7"/>
      <c r="I57" s="7"/>
      <c r="J57" s="8"/>
      <c r="K57" s="8"/>
    </row>
    <row r="58" spans="3:11" x14ac:dyDescent="0.25">
      <c r="C58" s="7" t="str">
        <f t="shared" si="0"/>
        <v/>
      </c>
      <c r="D58" s="7"/>
      <c r="E58" s="7"/>
      <c r="F58" s="7"/>
      <c r="G58" s="7"/>
      <c r="H58" s="7"/>
      <c r="I58" s="7"/>
      <c r="J58" s="8"/>
      <c r="K58" s="8"/>
    </row>
    <row r="59" spans="3:11" x14ac:dyDescent="0.25">
      <c r="C59" s="7" t="str">
        <f t="shared" si="0"/>
        <v/>
      </c>
      <c r="D59" s="7"/>
      <c r="E59" s="7"/>
      <c r="F59" s="7"/>
      <c r="G59" s="7"/>
      <c r="H59" s="7"/>
      <c r="I59" s="7"/>
      <c r="J59" s="8"/>
      <c r="K59" s="8"/>
    </row>
    <row r="60" spans="3:11" x14ac:dyDescent="0.25">
      <c r="C60" s="7" t="str">
        <f t="shared" si="0"/>
        <v/>
      </c>
      <c r="D60" s="7"/>
      <c r="E60" s="7"/>
      <c r="F60" s="7"/>
      <c r="G60" s="7"/>
      <c r="H60" s="7"/>
      <c r="I60" s="7"/>
      <c r="J60" s="8"/>
      <c r="K60" s="8"/>
    </row>
    <row r="61" spans="3:11" x14ac:dyDescent="0.25">
      <c r="C61" s="7" t="str">
        <f t="shared" si="0"/>
        <v/>
      </c>
      <c r="D61" s="7"/>
      <c r="E61" s="7"/>
      <c r="F61" s="7"/>
      <c r="G61" s="7"/>
      <c r="H61" s="7"/>
      <c r="I61" s="7"/>
      <c r="J61" s="8"/>
      <c r="K61" s="8"/>
    </row>
    <row r="62" spans="3:11" x14ac:dyDescent="0.25">
      <c r="C62" s="7" t="str">
        <f t="shared" si="0"/>
        <v/>
      </c>
      <c r="D62" s="7"/>
      <c r="E62" s="7"/>
      <c r="F62" s="7"/>
      <c r="G62" s="7"/>
      <c r="H62" s="7"/>
      <c r="I62" s="7"/>
      <c r="J62" s="8"/>
      <c r="K62" s="8"/>
    </row>
    <row r="63" spans="3:11" x14ac:dyDescent="0.25">
      <c r="C63" s="7" t="str">
        <f t="shared" si="0"/>
        <v/>
      </c>
      <c r="D63" s="7"/>
      <c r="E63" s="7"/>
      <c r="F63" s="7"/>
      <c r="G63" s="7"/>
      <c r="H63" s="7"/>
      <c r="I63" s="7"/>
      <c r="J63" s="8"/>
      <c r="K63" s="8"/>
    </row>
    <row r="64" spans="3:11" x14ac:dyDescent="0.25">
      <c r="C64" s="25" t="s">
        <v>4</v>
      </c>
      <c r="D64" s="25"/>
      <c r="E64" s="25"/>
      <c r="F64" s="25"/>
      <c r="G64" s="25"/>
      <c r="H64" s="25"/>
      <c r="I64" s="7"/>
      <c r="J64" s="8" t="e" vm="1">
        <f ca="1">SUM(J17:J63)</f>
        <v>#VALUE!</v>
      </c>
      <c r="K64" s="8" t="e" vm="1">
        <f ca="1">SUM(K17:K63)</f>
        <v>#VALUE!</v>
      </c>
    </row>
    <row r="65" spans="3:12" x14ac:dyDescent="0.25">
      <c r="C65" s="4"/>
      <c r="D65" s="4"/>
    </row>
    <row r="66" spans="3:12" ht="139.5" customHeight="1" x14ac:dyDescent="0.25">
      <c r="C66" s="21" t="s">
        <v>10</v>
      </c>
      <c r="D66" s="22"/>
      <c r="E66" s="22"/>
      <c r="F66" s="22"/>
      <c r="G66" s="22"/>
      <c r="H66" s="22"/>
      <c r="I66" s="22"/>
      <c r="J66" s="22"/>
      <c r="K66" s="22"/>
    </row>
    <row r="67" spans="3:12" x14ac:dyDescent="0.25">
      <c r="C67" s="4"/>
      <c r="D67" s="4"/>
    </row>
    <row r="68" spans="3:12" x14ac:dyDescent="0.25">
      <c r="C68" s="4"/>
      <c r="D68" s="4"/>
    </row>
    <row r="69" spans="3:12" ht="15.75" customHeight="1" x14ac:dyDescent="0.25">
      <c r="C69" s="23" t="str">
        <f>VLOOKUP("Project_Counteragent_Entity_Type",Placeholders!A:B,2,FALSE)&amp;
" "&amp;
VLOOKUP("Project_Counteragent_Name",Placeholders!A:B,2,FALSE)&amp;
CHAR(10)&amp;CHAR(10)&amp;
"(დამკვეთი)"&amp;
CHAR(10)&amp;CHAR(10)&amp;CHAR(10)&amp;CHAR(10)&amp;
"----------------------------------"&amp;
CHAR(10)&amp;
"დირექტორი"&amp;
CHAR(10)&amp;
VLOOKUP("Project_Counteragent_Director",Placeholders!A:B,2,FALSE)</f>
        <v xml:space="preserve"> 
(დამკვეთი)
----------------------------------
დირექტორი
</v>
      </c>
      <c r="D69" s="24"/>
      <c r="E69" s="24"/>
      <c r="F69" s="24"/>
      <c r="G69" s="24"/>
      <c r="H69" s="23" t="str">
        <f>VLOOKUP("Project_Insider_Entity_Type",Placeholders!A:B,2,FALSE)&amp;
" "&amp;
VLOOKUP("Project_Insider_Name",Placeholders!A:B,2,FALSE)&amp;
CHAR(10)&amp;CHAR(10)&amp;
"(შემსრულებელი)"&amp;
CHAR(10)&amp;CHAR(10)&amp;CHAR(10)&amp;CHAR(10)&amp;
"----------------------------------"&amp;
CHAR(10)&amp;
"დირექტორი"&amp;
CHAR(10)&amp;
VLOOKUP("Project_Insider_Director_Normative",Placeholders!A:B,2,FALSE)</f>
        <v xml:space="preserve"> 
(შემსრულებელი)
----------------------------------
დირექტორი
</v>
      </c>
      <c r="I69" s="24"/>
      <c r="J69" s="24"/>
      <c r="K69" s="24"/>
      <c r="L69" s="5"/>
    </row>
    <row r="70" spans="3:12" x14ac:dyDescent="0.25">
      <c r="C70" s="24"/>
      <c r="D70" s="24"/>
      <c r="E70" s="24"/>
      <c r="F70" s="24"/>
      <c r="G70" s="24"/>
      <c r="H70" s="24"/>
      <c r="I70" s="24"/>
      <c r="J70" s="24"/>
      <c r="K70" s="24"/>
      <c r="L70" s="5"/>
    </row>
    <row r="71" spans="3:12" x14ac:dyDescent="0.25">
      <c r="C71" s="24"/>
      <c r="D71" s="24"/>
      <c r="E71" s="24"/>
      <c r="F71" s="24"/>
      <c r="G71" s="24"/>
      <c r="H71" s="24"/>
      <c r="I71" s="24"/>
      <c r="J71" s="24"/>
      <c r="K71" s="24"/>
      <c r="L71" s="5"/>
    </row>
    <row r="72" spans="3:12" x14ac:dyDescent="0.25">
      <c r="C72" s="24"/>
      <c r="D72" s="24"/>
      <c r="E72" s="24"/>
      <c r="F72" s="24"/>
      <c r="G72" s="24"/>
      <c r="H72" s="24"/>
      <c r="I72" s="24"/>
      <c r="J72" s="24"/>
      <c r="K72" s="24"/>
      <c r="L72" s="5"/>
    </row>
    <row r="73" spans="3:12" x14ac:dyDescent="0.25">
      <c r="C73" s="24"/>
      <c r="D73" s="24"/>
      <c r="E73" s="24"/>
      <c r="F73" s="24"/>
      <c r="G73" s="24"/>
      <c r="H73" s="24"/>
      <c r="I73" s="24"/>
      <c r="J73" s="24"/>
      <c r="K73" s="24"/>
      <c r="L73" s="5"/>
    </row>
    <row r="74" spans="3:12" x14ac:dyDescent="0.25">
      <c r="C74" s="24"/>
      <c r="D74" s="24"/>
      <c r="E74" s="24"/>
      <c r="F74" s="24"/>
      <c r="G74" s="24"/>
      <c r="H74" s="24"/>
      <c r="I74" s="24"/>
      <c r="J74" s="24"/>
      <c r="K74" s="24"/>
      <c r="L74" s="5"/>
    </row>
    <row r="75" spans="3:12" x14ac:dyDescent="0.25">
      <c r="C75" s="24"/>
      <c r="D75" s="24"/>
      <c r="E75" s="24"/>
      <c r="F75" s="24"/>
      <c r="G75" s="24"/>
      <c r="H75" s="24"/>
      <c r="I75" s="24"/>
      <c r="J75" s="24"/>
      <c r="K75" s="24"/>
      <c r="L75" s="5"/>
    </row>
    <row r="76" spans="3:12" x14ac:dyDescent="0.25">
      <c r="C76" s="24"/>
      <c r="D76" s="24"/>
      <c r="E76" s="24"/>
      <c r="F76" s="24"/>
      <c r="G76" s="24"/>
      <c r="H76" s="24"/>
      <c r="I76" s="24"/>
      <c r="J76" s="24"/>
      <c r="K76" s="24"/>
      <c r="L76" s="5"/>
    </row>
    <row r="77" spans="3:12" x14ac:dyDescent="0.25">
      <c r="C77" s="24"/>
      <c r="D77" s="24"/>
      <c r="E77" s="24"/>
      <c r="F77" s="24"/>
      <c r="G77" s="24"/>
      <c r="H77" s="24"/>
      <c r="I77" s="24"/>
      <c r="J77" s="24"/>
      <c r="K77" s="24"/>
      <c r="L77" s="5"/>
    </row>
    <row r="78" spans="3:12" x14ac:dyDescent="0.25">
      <c r="C78" s="24"/>
      <c r="D78" s="24"/>
      <c r="E78" s="24"/>
      <c r="F78" s="24"/>
      <c r="G78" s="24"/>
      <c r="H78" s="24"/>
      <c r="I78" s="24"/>
      <c r="J78" s="24"/>
      <c r="K78" s="24"/>
      <c r="L78" s="5"/>
    </row>
    <row r="79" spans="3:12" x14ac:dyDescent="0.25">
      <c r="C79" s="24"/>
      <c r="D79" s="24"/>
      <c r="E79" s="24"/>
      <c r="F79" s="24"/>
      <c r="G79" s="24"/>
      <c r="H79" s="24"/>
      <c r="I79" s="24"/>
      <c r="J79" s="24"/>
      <c r="K79" s="24"/>
      <c r="L79" s="5"/>
    </row>
    <row r="80" spans="3:12" hidden="1" x14ac:dyDescent="0.25">
      <c r="C80" s="4"/>
      <c r="D80" s="4"/>
    </row>
    <row r="81" spans="3:4" hidden="1" x14ac:dyDescent="0.25">
      <c r="C81" s="4"/>
      <c r="D81" s="4"/>
    </row>
    <row r="82" spans="3:4" hidden="1" x14ac:dyDescent="0.25">
      <c r="C82" s="4"/>
      <c r="D82" s="4"/>
    </row>
    <row r="83" spans="3:4" hidden="1" x14ac:dyDescent="0.25">
      <c r="C83" s="4"/>
      <c r="D83" s="4"/>
    </row>
    <row r="84" spans="3:4" hidden="1" x14ac:dyDescent="0.25">
      <c r="C84" s="4"/>
      <c r="D84" s="4"/>
    </row>
    <row r="85" spans="3:4" hidden="1" x14ac:dyDescent="0.25">
      <c r="C85" s="4"/>
      <c r="D85" s="4"/>
    </row>
  </sheetData>
  <mergeCells count="10">
    <mergeCell ref="P3:W3"/>
    <mergeCell ref="C6:K14"/>
    <mergeCell ref="C1:K1"/>
    <mergeCell ref="C66:K66"/>
    <mergeCell ref="C69:G79"/>
    <mergeCell ref="H69:K79"/>
    <mergeCell ref="C64:H64"/>
    <mergeCell ref="G2:H2"/>
    <mergeCell ref="C4:E4"/>
    <mergeCell ref="I4:K4"/>
  </mergeCells>
  <printOptions headings="1" gridLines="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75467D-43AF-4C81-932C-5A9EE6AB67C4}">
          <x14:formula1>
            <xm:f>Jobs!$M$2:$M$100</xm:f>
          </x14:formula1>
          <xm:sqref>P3:W3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909F-CBC3-41A4-B2F0-79C9D9F424AC}">
  <sheetPr codeName="Sheet2"/>
  <dimension ref="A1:E19"/>
  <sheetViews>
    <sheetView workbookViewId="0">
      <selection activeCell="B1" sqref="B1:B18"/>
    </sheetView>
  </sheetViews>
  <sheetFormatPr defaultRowHeight="15.75" x14ac:dyDescent="0.25"/>
  <cols>
    <col min="1" max="1" width="36.125" bestFit="1" customWidth="1"/>
    <col min="2" max="2" width="76.125" bestFit="1" customWidth="1"/>
  </cols>
  <sheetData>
    <row r="1" spans="1:2">
      <c r="A1" t="s">
        <v>Project_Department</v>
      </c>
      <c r="B1" t="s">
        <v/>
      </c>
    </row>
    <row r="2" spans="1:2">
      <c r="A2" t="s">
        <v>Handover_Date</v>
      </c>
      <c r="B2" t="s">
        <v/>
      </c>
    </row>
    <row r="3" spans="1:2">
      <c r="A3" t="s">
        <v>Project_Counteragent_Entity_Type</v>
      </c>
      <c r="B3" t="s">
        <v/>
      </c>
    </row>
    <row r="4" spans="1:2">
      <c r="A4" t="s">
        <v>Project_Counteragent_Name</v>
      </c>
      <c r="B4" t="s">
        <v/>
      </c>
    </row>
    <row r="5" spans="1:2">
      <c r="A5" t="s">
        <v>Project_Counteragent_Director_Genitive</v>
      </c>
      <c r="B5" t="s">
        <v/>
      </c>
    </row>
    <row r="6" spans="1:2">
      <c r="A6" t="s">
        <v>Project_Counteragent_Director</v>
      </c>
      <c r="B6" t="s">
        <v/>
      </c>
    </row>
    <row r="7" spans="1:2">
      <c r="A7" t="s">
        <v>Project_Counteragent_Address_Line_1</v>
      </c>
      <c r="B7" t="s">
        <v/>
      </c>
    </row>
    <row r="8" spans="1:2">
      <c r="A8" t="s">
        <v>Project_Counteragent_Address_Line_2</v>
      </c>
      <c r="B8" t="s">
        <v/>
      </c>
    </row>
    <row r="9" spans="1:2">
      <c r="A9" t="s">
        <v>Project_Counteragent_ID</v>
      </c>
      <c r="B9" t="s">
        <v/>
      </c>
    </row>
    <row r="10" spans="1:2">
      <c r="A10" t="s">
        <v>Project_Address</v>
      </c>
      <c r="B10" t="s">
        <v/>
      </c>
    </row>
    <row r="11" spans="1:2">
      <c r="A11" t="s">
        <v>Project_Insider_Entity_Type</v>
      </c>
      <c r="B11" t="s">
        <v/>
      </c>
    </row>
    <row r="12" spans="1:2">
      <c r="A12" t="s">
        <v>Project_Insider_Name</v>
      </c>
      <c r="B12" t="s">
        <v/>
      </c>
    </row>
    <row r="13" spans="1:2">
      <c r="A13" t="s">
        <v>Project_Insider_ID</v>
      </c>
      <c r="B13" t="s">
        <v/>
      </c>
    </row>
    <row r="14" spans="1:2">
      <c r="A14" t="s">
        <v>Project_Insider_Address_Line1</v>
      </c>
      <c r="B14" t="s">
        <v/>
      </c>
    </row>
    <row r="15" spans="1:2">
      <c r="A15" t="s">
        <v>Project_Insider_Address_Line2</v>
      </c>
      <c r="B15" t="s">
        <v/>
      </c>
    </row>
    <row r="16" spans="1:2">
      <c r="A16" t="s">
        <v>Project_Insider_Director_Genitive</v>
      </c>
      <c r="B16" t="s">
        <v/>
      </c>
    </row>
    <row r="17" spans="1:2">
      <c r="A17" t="s">
        <v>Project_Insider_Director</v>
      </c>
      <c r="B17" t="s">
        <v/>
      </c>
    </row>
    <row r="18" spans="1:2">
      <c r="A18" t="s">
        <v>Contract_Date</v>
      </c>
      <c r="B18" t="s">
        <v/>
      </c>
    </row>
    <row r="19" spans="1:2">
      <c r="A19" t="s">
        <v>Project_Currency</v>
      </c>
      <c r="B19" t="s">
        <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6"/>
  <sheetViews>
    <sheetView workbookViewId="0">
      <selection sqref="A1:N6"/>
    </sheetView>
  </sheetViews>
  <sheetFormatPr defaultRowHeight="15.75" x14ac:dyDescent="0.25"/>
  <cols>
    <col min="1" max="1" width="8.75" bestFit="1" customWidth="1"/>
    <col min="2" max="2" width="9.5" bestFit="1" customWidth="1"/>
    <col min="3" max="3" width="10.875" bestFit="1" customWidth="1"/>
    <col min="4" max="4" width="5.75" bestFit="1" customWidth="1"/>
    <col min="5" max="5" width="10.375" bestFit="1" customWidth="1"/>
    <col min="6" max="6" width="10.75" bestFit="1" customWidth="1"/>
    <col min="7" max="7" width="11.625" bestFit="1" customWidth="1"/>
    <col min="8" max="8" width="9.875" bestFit="1" customWidth="1"/>
    <col min="9" max="9" width="12.5" bestFit="1" customWidth="1"/>
    <col min="10" max="10" width="8.875" bestFit="1" customWidth="1"/>
    <col min="11" max="11" width="9.875" bestFit="1" customWidth="1"/>
    <col min="12" max="12" width="6.75" bestFit="1" customWidth="1"/>
    <col min="13" max="13" width="11.75" bestFit="1" customWidth="1"/>
    <col min="14" max="14" width="13.875" bestFit="1" customWidth="1"/>
  </cols>
  <sheetData>
    <row r="1" spans="1:14" x14ac:dyDescent="0.25">
      <c r="A1" s="9"/>
      <c r="B1" s="9"/>
      <c r="C1" s="9"/>
      <c r="D1" s="9"/>
      <c r="E1" s="9"/>
      <c r="F1" s="9"/>
      <c r="G1" s="9"/>
      <c r="H1" s="9"/>
      <c r="I1" s="9"/>
      <c r="J1" s="9"/>
      <c r="K1" s="9"/>
      <c r="L1" s="9"/>
      <c r="M1" s="9"/>
      <c r="N1" s="9"/>
    </row>
    <row r="2" spans="1:14" x14ac:dyDescent="0.25">
      <c r="A2" s="9"/>
      <c r="B2" s="9"/>
      <c r="C2" s="9"/>
      <c r="D2" s="9"/>
      <c r="E2" s="9"/>
      <c r="F2" s="1"/>
      <c r="G2" s="1"/>
      <c r="H2" s="1"/>
      <c r="I2" s="1"/>
      <c r="J2" s="1"/>
      <c r="K2" s="1"/>
      <c r="L2" s="9"/>
      <c r="M2" s="2"/>
      <c r="N2" s="9"/>
    </row>
    <row r="3" spans="1:14" x14ac:dyDescent="0.25">
      <c r="A3" s="9"/>
      <c r="B3" s="9"/>
      <c r="C3" s="9"/>
      <c r="D3" s="9"/>
      <c r="E3" s="9"/>
      <c r="F3" s="1"/>
      <c r="G3" s="1"/>
      <c r="H3" s="1"/>
      <c r="I3" s="1"/>
      <c r="J3" s="1"/>
      <c r="K3" s="1"/>
      <c r="L3" s="9"/>
      <c r="M3" s="2"/>
      <c r="N3" s="9"/>
    </row>
    <row r="4" spans="1:14" x14ac:dyDescent="0.25">
      <c r="A4" s="9"/>
      <c r="B4" s="9"/>
      <c r="C4" s="9"/>
      <c r="D4" s="9"/>
      <c r="E4" s="9"/>
      <c r="F4" s="1"/>
      <c r="G4" s="1"/>
      <c r="H4" s="1"/>
      <c r="I4" s="1"/>
      <c r="J4" s="1"/>
      <c r="K4" s="1"/>
      <c r="L4" s="9"/>
      <c r="M4" s="2"/>
      <c r="N4" s="9"/>
    </row>
    <row r="5" spans="1:14" x14ac:dyDescent="0.25">
      <c r="A5" s="9"/>
      <c r="B5" s="9"/>
      <c r="C5" s="9"/>
      <c r="D5" s="9"/>
      <c r="E5" s="9"/>
      <c r="F5" s="1"/>
      <c r="G5" s="1"/>
      <c r="H5" s="1"/>
      <c r="I5" s="1"/>
      <c r="J5" s="1"/>
      <c r="K5" s="1"/>
      <c r="L5" s="9"/>
      <c r="M5" s="2"/>
      <c r="N5" s="9"/>
    </row>
    <row r="6" spans="1:14" x14ac:dyDescent="0.25">
      <c r="A6" s="9"/>
      <c r="B6" s="9"/>
      <c r="C6" s="9"/>
      <c r="D6" s="9"/>
      <c r="E6" s="9"/>
      <c r="F6" s="1"/>
      <c r="G6" s="1"/>
      <c r="H6" s="1"/>
      <c r="I6" s="1"/>
      <c r="J6" s="1"/>
      <c r="K6" s="1"/>
      <c r="L6" s="9"/>
      <c r="M6" s="9"/>
      <c r="N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2:H7"/>
  <sheetViews>
    <sheetView workbookViewId="0">
      <selection activeCell="H7" sqref="A1:H7"/>
    </sheetView>
  </sheetViews>
  <sheetFormatPr defaultRowHeight="15.75" x14ac:dyDescent="0.25"/>
  <cols>
    <col min="1" max="1" width="10.25" bestFit="1" customWidth="1"/>
    <col min="2" max="2" width="17.125" bestFit="1" customWidth="1"/>
    <col min="3" max="3" width="62.875" bestFit="1" customWidth="1"/>
    <col min="4" max="6" width="8.875" bestFit="1" customWidth="1"/>
    <col min="7" max="7" width="7.75" bestFit="1" customWidth="1"/>
    <col min="8" max="8" width="8.875" bestFit="1" customWidth="1"/>
  </cols>
  <sheetData>
    <row r="2" spans="1:8" x14ac:dyDescent="0.25">
      <c r="A2" s="2"/>
      <c r="D2" s="1"/>
      <c r="E2" s="1"/>
      <c r="F2" s="1"/>
      <c r="G2" s="3"/>
      <c r="H2" s="1"/>
    </row>
    <row r="3" spans="1:8" x14ac:dyDescent="0.25">
      <c r="A3" s="2"/>
      <c r="D3" s="1"/>
      <c r="E3" s="1"/>
      <c r="F3" s="1"/>
      <c r="G3" s="3"/>
      <c r="H3" s="1"/>
    </row>
    <row r="4" spans="1:8" x14ac:dyDescent="0.25">
      <c r="A4" s="2"/>
      <c r="D4" s="1"/>
      <c r="E4" s="1"/>
      <c r="F4" s="1"/>
      <c r="G4" s="3"/>
      <c r="H4" s="1"/>
    </row>
    <row r="5" spans="1:8" x14ac:dyDescent="0.25">
      <c r="A5" s="2"/>
      <c r="D5" s="1"/>
      <c r="E5" s="1"/>
      <c r="F5" s="1"/>
      <c r="G5" s="3"/>
      <c r="H5" s="1"/>
    </row>
    <row r="6" spans="1:8" x14ac:dyDescent="0.25">
      <c r="A6" s="2"/>
      <c r="D6" s="1"/>
      <c r="E6" s="1"/>
      <c r="F6" s="1"/>
      <c r="G6" s="3"/>
      <c r="H6" s="1"/>
    </row>
    <row r="7" spans="1:8" x14ac:dyDescent="0.25">
      <c r="A7" s="2"/>
      <c r="D7" s="1"/>
      <c r="E7" s="1"/>
      <c r="F7" s="1"/>
      <c r="G7" s="3"/>
      <c r="H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2:P24"/>
  <sheetViews>
    <sheetView workbookViewId="0">
      <selection sqref="A1:P24"/>
    </sheetView>
  </sheetViews>
  <sheetFormatPr defaultRowHeight="15.75" x14ac:dyDescent="0.25"/>
  <cols>
    <col min="1" max="1" width="9.875" bestFit="1" customWidth="1"/>
    <col min="2" max="2" width="14.5" bestFit="1" customWidth="1"/>
    <col min="3" max="3" width="7.875" bestFit="1" customWidth="1"/>
    <col min="4" max="4" width="9.875" bestFit="1" customWidth="1"/>
    <col min="5" max="5" width="62.875" bestFit="1" customWidth="1"/>
    <col min="6" max="6" width="17.125" bestFit="1" customWidth="1"/>
    <col min="7" max="7" width="22.25" bestFit="1" customWidth="1"/>
    <col min="8" max="8" width="153.375" bestFit="1" customWidth="1"/>
    <col min="9" max="9" width="11.875" bestFit="1" customWidth="1"/>
    <col min="10" max="10" width="10.875" bestFit="1" customWidth="1"/>
    <col min="11" max="11" width="8.75" bestFit="1" customWidth="1"/>
    <col min="12" max="12" width="9.5" bestFit="1" customWidth="1"/>
    <col min="13" max="13" width="10.75" bestFit="1" customWidth="1"/>
    <col min="14" max="14" width="10.875" bestFit="1" customWidth="1"/>
    <col min="15" max="15" width="16.75" bestFit="1" customWidth="1"/>
    <col min="16" max="16" width="29.25" bestFit="1" customWidth="1"/>
  </cols>
  <sheetData>
    <row r="2" spans="1:16" x14ac:dyDescent="0.25">
      <c r="A2" s="2"/>
      <c r="B2" s="1"/>
      <c r="D2" s="1"/>
      <c r="M2" s="1"/>
      <c r="N2" s="3"/>
      <c r="O2" s="1"/>
      <c r="P2" s="1"/>
    </row>
    <row r="3" spans="1:16" x14ac:dyDescent="0.25">
      <c r="A3" s="2"/>
      <c r="B3" s="1"/>
      <c r="D3" s="1"/>
      <c r="M3" s="1"/>
      <c r="N3" s="3"/>
      <c r="O3" s="1"/>
      <c r="P3" s="1"/>
    </row>
    <row r="4" spans="1:16" x14ac:dyDescent="0.25">
      <c r="A4" s="2"/>
      <c r="B4" s="1"/>
      <c r="D4" s="1"/>
      <c r="M4" s="1"/>
      <c r="N4" s="3"/>
      <c r="O4" s="1"/>
      <c r="P4" s="1"/>
    </row>
    <row r="5" spans="1:16" x14ac:dyDescent="0.25">
      <c r="A5" s="2"/>
      <c r="B5" s="1"/>
      <c r="D5" s="1"/>
      <c r="M5" s="1"/>
      <c r="N5" s="3"/>
      <c r="O5" s="1"/>
      <c r="P5" s="1"/>
    </row>
    <row r="6" spans="1:16" x14ac:dyDescent="0.25">
      <c r="A6" s="2"/>
      <c r="B6" s="1"/>
      <c r="D6" s="1"/>
      <c r="M6" s="1"/>
      <c r="N6" s="3"/>
      <c r="O6" s="1"/>
      <c r="P6" s="1"/>
    </row>
    <row r="7" spans="1:16" x14ac:dyDescent="0.25">
      <c r="A7" s="2"/>
      <c r="B7" s="1"/>
      <c r="D7" s="1"/>
      <c r="M7" s="1"/>
      <c r="N7" s="3"/>
      <c r="O7" s="1"/>
      <c r="P7" s="1"/>
    </row>
    <row r="8" spans="1:16" x14ac:dyDescent="0.25">
      <c r="A8" s="2"/>
      <c r="B8" s="1"/>
      <c r="D8" s="1"/>
      <c r="M8" s="1"/>
      <c r="N8" s="3"/>
      <c r="O8" s="1"/>
      <c r="P8" s="1"/>
    </row>
    <row r="9" spans="1:16" x14ac:dyDescent="0.25">
      <c r="A9" s="2"/>
      <c r="B9" s="1"/>
      <c r="D9" s="1"/>
      <c r="M9" s="1"/>
      <c r="N9" s="3"/>
      <c r="O9" s="1"/>
      <c r="P9" s="1"/>
    </row>
    <row r="10" spans="1:16" x14ac:dyDescent="0.25">
      <c r="A10" s="2"/>
      <c r="B10" s="1"/>
      <c r="D10" s="1"/>
      <c r="M10" s="1"/>
      <c r="N10" s="3"/>
      <c r="O10" s="1"/>
      <c r="P10" s="1"/>
    </row>
    <row r="11" spans="1:16" x14ac:dyDescent="0.25">
      <c r="A11" s="2"/>
      <c r="B11" s="1"/>
      <c r="D11" s="1"/>
      <c r="M11" s="1"/>
      <c r="N11" s="3"/>
      <c r="O11" s="1"/>
      <c r="P11" s="1"/>
    </row>
    <row r="12" spans="1:16" x14ac:dyDescent="0.25">
      <c r="A12" s="2"/>
      <c r="B12" s="1"/>
      <c r="D12" s="1"/>
      <c r="M12" s="1"/>
      <c r="N12" s="3"/>
      <c r="O12" s="1"/>
      <c r="P12" s="1"/>
    </row>
    <row r="13" spans="1:16" x14ac:dyDescent="0.25">
      <c r="A13" s="2"/>
      <c r="B13" s="1"/>
      <c r="D13" s="1"/>
      <c r="M13" s="1"/>
      <c r="N13" s="3"/>
      <c r="O13" s="1"/>
      <c r="P13" s="1"/>
    </row>
    <row r="14" spans="1:16" x14ac:dyDescent="0.25">
      <c r="A14" s="2"/>
      <c r="B14" s="1"/>
      <c r="D14" s="1"/>
      <c r="M14" s="1"/>
      <c r="N14" s="3"/>
      <c r="O14" s="1"/>
      <c r="P14" s="1"/>
    </row>
    <row r="15" spans="1:16" x14ac:dyDescent="0.25">
      <c r="A15" s="2"/>
      <c r="B15" s="1"/>
      <c r="D15" s="1"/>
      <c r="M15" s="1"/>
      <c r="N15" s="3"/>
      <c r="O15" s="1"/>
      <c r="P15" s="1"/>
    </row>
    <row r="16" spans="1:16" x14ac:dyDescent="0.25">
      <c r="A16" s="2"/>
      <c r="B16" s="1"/>
      <c r="D16" s="1"/>
      <c r="M16" s="1"/>
      <c r="N16" s="3"/>
      <c r="O16" s="1"/>
      <c r="P16" s="1"/>
    </row>
    <row r="17" spans="1:16" x14ac:dyDescent="0.25">
      <c r="A17" s="2"/>
      <c r="B17" s="1"/>
      <c r="D17" s="1"/>
      <c r="M17" s="1"/>
      <c r="N17" s="3"/>
      <c r="O17" s="1"/>
      <c r="P17" s="1"/>
    </row>
    <row r="18" spans="1:16" x14ac:dyDescent="0.25">
      <c r="A18" s="2"/>
      <c r="B18" s="1"/>
      <c r="D18" s="1"/>
      <c r="M18" s="1"/>
      <c r="N18" s="3"/>
      <c r="O18" s="1"/>
      <c r="P18" s="1"/>
    </row>
    <row r="19" spans="1:16" x14ac:dyDescent="0.25">
      <c r="A19" s="2"/>
      <c r="B19" s="1"/>
      <c r="D19" s="1"/>
      <c r="M19" s="1"/>
      <c r="N19" s="3"/>
      <c r="O19" s="1"/>
      <c r="P19" s="1"/>
    </row>
    <row r="20" spans="1:16" x14ac:dyDescent="0.25">
      <c r="A20" s="2"/>
      <c r="B20" s="1"/>
      <c r="D20" s="1"/>
      <c r="M20" s="1"/>
      <c r="N20" s="3"/>
      <c r="O20" s="1"/>
      <c r="P20" s="1"/>
    </row>
    <row r="21" spans="1:16" x14ac:dyDescent="0.25">
      <c r="A21" s="2"/>
      <c r="B21" s="1"/>
      <c r="D21" s="1"/>
      <c r="M21" s="1"/>
      <c r="N21" s="3"/>
      <c r="O21" s="1"/>
      <c r="P21" s="1"/>
    </row>
    <row r="22" spans="1:16" x14ac:dyDescent="0.25">
      <c r="A22" s="2"/>
      <c r="B22" s="1"/>
      <c r="D22" s="1"/>
      <c r="M22" s="1"/>
      <c r="N22" s="3"/>
      <c r="O22" s="1"/>
      <c r="P22" s="1"/>
    </row>
    <row r="23" spans="1:16" x14ac:dyDescent="0.25">
      <c r="A23" s="2"/>
      <c r="B23" s="1"/>
      <c r="D23" s="1"/>
      <c r="M23" s="1"/>
      <c r="N23" s="3"/>
      <c r="O23" s="1"/>
      <c r="P23" s="1"/>
    </row>
    <row r="24" spans="1:16" x14ac:dyDescent="0.25">
      <c r="A24" s="2"/>
      <c r="B24" s="1"/>
      <c r="D24" s="1"/>
      <c r="M24" s="1"/>
      <c r="N24" s="3"/>
      <c r="O24" s="1"/>
      <c r="P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Handover</vt:lpstr>
      <vt:lpstr>Placeholders</vt:lpstr>
      <vt:lpstr>Jobs</vt:lpstr>
      <vt:lpstr>Income Payments</vt:lpstr>
      <vt:lpstr>Job Distributions</vt:lpstr>
      <vt:lpstr>Contract_Date</vt:lpstr>
      <vt:lpstr>Handover_Date</vt:lpstr>
      <vt:lpstr>Nominal_Handover_Price</vt:lpstr>
      <vt:lpstr>Project_Address</vt:lpstr>
      <vt:lpstr>Project_Counteragent_Address_Line_1</vt:lpstr>
      <vt:lpstr>Project_Counteragent_Address_Line_2</vt:lpstr>
      <vt:lpstr>Project_Counteragent_Director</vt:lpstr>
      <vt:lpstr>Project_Counteragent_Director_Genitive</vt:lpstr>
      <vt:lpstr>Project_Counteragent_Entity_Type</vt:lpstr>
      <vt:lpstr>Project_Counteragent_ID</vt:lpstr>
      <vt:lpstr>Project_Counteragent_Name</vt:lpstr>
      <vt:lpstr>Project_Currency</vt:lpstr>
      <vt:lpstr>Project_Department</vt:lpstr>
      <vt:lpstr>Project_Insider_Address_Line1</vt:lpstr>
      <vt:lpstr>Project_Insider_Address_Line2</vt:lpstr>
      <vt:lpstr>Project_Insider_Director_Genitive</vt:lpstr>
      <vt:lpstr>Project_Insider_Director_Normative</vt:lpstr>
      <vt:lpstr>Project_Insider_Entity_Type</vt:lpstr>
      <vt:lpstr>Project_Insider_ID</vt:lpstr>
      <vt:lpstr>Project_Insider_Name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Giorgi Nikabadze</cp:lastModifiedBy>
  <dcterms:created xsi:type="dcterms:W3CDTF">2026-06-08T16:17:06Z</dcterms:created>
  <dcterms:modified xsi:type="dcterms:W3CDTF">2026-06-24T10:44:53Z</dcterms:modified>
</cp:coreProperties>
</file>