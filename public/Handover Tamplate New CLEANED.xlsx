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next-postgres-starter\public\"/>
    </mc:Choice>
  </mc:AlternateContent>
  <xr:revisionPtr revIDLastSave="0" documentId="13_ncr:1_{CEACFCA8-25B0-4895-BC25-8941F20F4CAC}" xr6:coauthVersionLast="47" xr6:coauthVersionMax="47" xr10:uidLastSave="{00000000-0000-0000-0000-000000000000}"/>
  <bookViews>
    <workbookView xWindow="-120" yWindow="-120" windowWidth="29040" windowHeight="15720" xr2:uid="{00000000-000D-0000-FFFF-FFFF00000000}"/>
  </bookViews>
  <sheets>
    <sheet name="Handover" sheetId="4" r:id="rId1"/>
    <sheet name="Placeholders" sheetId="5" r:id="rId2"/>
    <sheet name="Jobs" sheetId="1" r:id="rId3"/>
    <sheet name="Income Payments" sheetId="2" r:id="rId4"/>
    <sheet name="Job Distributions" sheetId="3" r:id="rId5"/>
  </sheets>
  <definedNames>
    <definedName name="Contract_Date">Placeholders!$B$18</definedName>
    <definedName name="Handover_Date">Placeholders!$B$2</definedName>
    <definedName name="Nominal_Handover_Price">Handover!$J$17:$J$64</definedName>
    <definedName name="Project_Address">Placeholders!$B$10</definedName>
    <definedName name="Project_Counteragent_Address_Line_1">Placeholders!$B$7</definedName>
    <definedName name="Project_Counteragent_Address_Line_2">Placeholders!$B$8</definedName>
    <definedName name="Project_Counteragent_Director">Placeholders!$B$6</definedName>
    <definedName name="Project_Counteragent_Director_Genitive">Placeholders!$B$5</definedName>
    <definedName name="Project_Counteragent_Entity_Type">Placeholders!$B$3</definedName>
    <definedName name="Project_Counteragent_ID">Placeholders!$B$9</definedName>
    <definedName name="Project_Counteragent_Name">Placeholders!$B$4</definedName>
    <definedName name="Project_Currency">Placeholders!$B$19</definedName>
    <definedName name="Project_Department">Placeholders!$B$1</definedName>
    <definedName name="Project_Insider_Address_Line1">Placeholders!$B$14</definedName>
    <definedName name="Project_Insider_Address_Line2">Placeholders!$B$15</definedName>
    <definedName name="Project_Insider_Director_Genitive">Placeholders!$B$16</definedName>
    <definedName name="Project_Insider_Director_Normative">Placeholders!$B$17</definedName>
    <definedName name="Project_Insider_Entity_Type">Placeholders!$B$11</definedName>
    <definedName name="Project_Insider_ID">Placeholders!$B$13</definedName>
    <definedName name="Project_Insider_Name">Placeholders!$B$12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4" l="1"/>
  <c r="H69" i="4"/>
  <c r="C69" i="4"/>
  <c r="I4" i="4"/>
  <c r="C6" i="4"/>
  <c r="J16" i="4"/>
  <c r="K17" i="4" a="1"/>
  <c r="K17" i="4" s="1"/>
  <c r="K64" i="4" s="1"/>
  <c r="J17" i="4" a="1"/>
  <c r="J17" i="4" s="1"/>
  <c r="J64" i="4" s="1"/>
  <c r="I17" i="4" a="1"/>
  <c r="I17" i="4" s="1"/>
  <c r="H17" i="4" a="1"/>
  <c r="H17" i="4" s="1"/>
  <c r="G17" i="4" a="1"/>
  <c r="G17" i="4" s="1"/>
  <c r="F17" i="4" a="1"/>
  <c r="F17" i="4" s="1"/>
  <c r="E17" i="4" a="1"/>
  <c r="E17" i="4" s="1"/>
  <c r="D17" i="4" a="1"/>
  <c r="D17" i="4" s="1"/>
  <c r="C17" i="4" s="1"/>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<sst xmlns="http://schemas.openxmlformats.org/spreadsheetml/2006/main" count="30" uniqueCount="30">
  <si>
    <t>მიღება-ჩაბარების აქტი</t>
  </si>
  <si>
    <t>#</t>
  </si>
  <si>
    <t>მწარმოებელი</t>
  </si>
  <si>
    <t>თანხა ₾</t>
  </si>
  <si>
    <t>ჯამი</t>
  </si>
  <si>
    <t>კონტ. #</t>
  </si>
  <si>
    <t>საქარხნო 
ნომერი</t>
  </si>
  <si>
    <t>სართ.</t>
  </si>
  <si>
    <t>ამწეობა
 (კგ)</t>
  </si>
  <si>
    <t>სერტიფიკატის #</t>
  </si>
  <si>
    <t>ცხრილში მოცემული თანხები მოცემულია მონტაჟის ღირებულების და დღგ-ს ჩათვლით.
1. მხარეები აცხადებენ, რომ ამ თარიღისთვის ხელშეკრულებით ნაკისრი ვალდებულებავ შემსრულებლის მიერ გაწეულია სრულად და ჯეროვნად. 
2. წინამდებარე აქტზე ხელის მოწერით მხარეები ადასტურებენ, რომ ერთმანეთის მიმართ პრეტენზია არ გააჩნიათ.
3. წინამდებარე აქტი შედგენილია თანაბარი იურიდიული ძალის მქონე 2 (ორი) ეგზემპლარად, ერთი ეგზემპლარი გადაეცემა დამკვეთს, ხოლო ერთი - შემსრულებელს.</t>
  </si>
  <si>
    <t>Project_Department</t>
  </si>
  <si>
    <t>Handover_Date</t>
  </si>
  <si>
    <t>Project_Counteragent_Entity_Type</t>
  </si>
  <si>
    <t>Project_Counteragent_Name</t>
  </si>
  <si>
    <t>Project_Counteragent_Address_Line_1</t>
  </si>
  <si>
    <t>Project_Counteragent_Address_Line_2</t>
  </si>
  <si>
    <t>Project_Counteragent_Director</t>
  </si>
  <si>
    <t>Project_Counteragent_ID</t>
  </si>
  <si>
    <t>Project_Address</t>
  </si>
  <si>
    <t>Project_Counteragent_Director_Genitive</t>
  </si>
  <si>
    <t>Project_Insider_Entity_Type</t>
  </si>
  <si>
    <t>Project_Insider_Name</t>
  </si>
  <si>
    <t>Project_Insider_Address_Line1</t>
  </si>
  <si>
    <t>Project_Insider_Address_Line2</t>
  </si>
  <si>
    <t>Project_Insider_Director_Genitive</t>
  </si>
  <si>
    <t>Project_Insider_Director_Normative</t>
  </si>
  <si>
    <t>Contract_Date</t>
  </si>
  <si>
    <t>Project_Currency</t>
  </si>
  <si>
    <t>Project_Insider_ID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</si>
</sst>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5" formatCode="dd\.mm\.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1"/>
      <color theme="1"/>
      <name val="Sylfaen"/>
      <family val="1"/>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applyNumberFormat="1"/>
    <xf numFmtId="4" fontId="0" fillId="0" borderId="0" xfId="0" applyNumberFormat="1"/>
    <xf numFmtId="164" fontId="0" fillId="0" borderId="0" xfId="0" applyNumberFormat="1"/>
    <xf numFmtId="10" fontId="0" fillId="0" borderId="0" xfId="0" applyNumberFormat="1"/>
    <xf numFmtId="0" fontId="0" fillId="0" borderId="0" xfId="0" applyNumberFormat="1" applyAlignment="1">
      <alignment horizontal="center"/>
    </xf>
    <xf numFmtId="0" fontId="0" fillId="0" borderId="0" xfId="0" applyNumberFormat="1" applyAlignment="1"/>
    <xf numFmtId="0" fontId="0" fillId="2" borderId="1" xfId="0" applyNumberFormat="1" applyFill="1" applyBorder="1" applyAlignment="1">
      <alignment horizontal="center"/>
    </xf>
    <xf numFmtId="0" fontId="0" fillId="0" borderId="1" xfId="0" applyNumberFormat="1" applyBorder="1" applyAlignment="1">
      <alignment horizontal="center"/>
    </xf>
    <xf numFmtId="43" fontId="0" fillId="0" borderId="1" xfId="1" applyFont="1" applyBorder="1" applyAlignment="1">
      <alignment horizontal="center"/>
    </xf>
    <xf numFmtId="0" fontId="0" fillId="0" borderId="0" xfId="0"/>
    <xf numFmtId="0" fontId="0" fillId="2" borderId="1" xfId="0" applyNumberFormat="1" applyFill="1" applyBorder="1" applyAlignment="1">
      <alignment horizontal="center" wrapText="1"/>
    </xf>
    <xf numFmtId="0" fontId="2" fillId="0" borderId="0" xfId="0" applyNumberFormat="1" applyFont="1" applyAlignment="1">
      <alignment horizontal="center"/>
    </xf>
    <xf numFmtId="0" fontId="0" fillId="0" borderId="0" xfId="0" quotePrefix="1" applyNumberFormat="1"/>
    <xf numFmtId="165" fontId="0" fillId="0" borderId="0" xfId="0" applyNumberFormat="1"/>
    <xf numFmtId="0" fontId="0" fillId="3" borderId="0" xfId="0" applyNumberFormat="1" applyFont="1" applyFill="1"/>
    <xf numFmtId="165" fontId="0" fillId="3" borderId="0" xfId="0" applyNumberFormat="1" applyFont="1" applyFill="1"/>
    <xf numFmtId="0" fontId="0" fillId="0" borderId="0" xfId="0" applyNumberFormat="1" applyAlignment="1">
      <alignment horizontal="center"/>
    </xf>
    <xf numFmtId="165" fontId="0" fillId="0" borderId="0" xfId="0" applyNumberFormat="1" applyAlignment="1">
      <alignment horizontal="center"/>
    </xf>
    <xf numFmtId="0" fontId="0" fillId="0" borderId="0" xfId="0" applyNumberFormat="1" applyAlignment="1">
      <alignment horizontal="justify" vertical="justify" wrapText="1"/>
    </xf>
    <xf numFmtId="0" fontId="2" fillId="0" borderId="0" xfId="0" applyNumberFormat="1" applyFont="1" applyAlignment="1">
      <alignment horizontal="center"/>
    </xf>
    <xf numFmtId="0" fontId="0" fillId="0" borderId="0" xfId="0" applyNumberFormat="1" applyAlignment="1">
      <alignment horizontal="center"/>
    </xf>
    <xf numFmtId="0" fontId="3" fillId="0" borderId="0" xfId="0" applyNumberFormat="1" applyFont="1" applyAlignment="1">
      <alignment horizontal="justify" vertical="justify" wrapText="1"/>
    </xf>
    <xf numFmtId="0" fontId="3" fillId="0" borderId="0" xfId="0" applyNumberFormat="1" applyFont="1" applyAlignment="1">
      <alignment horizontal="justify" vertical="justify"/>
    </xf>
    <xf numFmtId="0" fontId="0" fillId="0" borderId="0" xfId="0" applyNumberFormat="1" applyAlignment="1">
      <alignment horizontal="center" vertical="top" wrapText="1"/>
    </xf>
    <xf numFmtId="0" fontId="0" fillId="0" borderId="0" xfId="0" applyNumberFormat="1" applyAlignment="1">
      <alignment horizontal="center" vertical="top"/>
    </xf>
    <xf numFmtId="0" fontId="0" fillId="0" borderId="1" xfId="0" applyNumberFormat="1" applyBorder="1" applyAlignment="1">
      <alignment horizont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8</v>
    <v>1</v>
  </rv>
  <rv s="1">
    <v>0</v>
    <v>8</v>
    <v>1</v>
    <v>3</v>
  </rv>
</rvData>
</file>

<file path=xl/richData/rdrichvaluestructure.xml><?xml version="1.0" encoding="utf-8"?>
<rvStructures xmlns="http://schemas.microsoft.com/office/spreadsheetml/2017/richdata" count="2">
  <s t="_error">
    <k n="errorType" t="i"/>
    <k n="propagated" t="b"/>
  </s>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BC11-7207-41CD-A3C8-355D7D7D75EF}">
  <sheetPr codeName="Sheet1"/>
  <dimension ref="C1:W85"/>
  <sheetViews>
    <sheetView tabSelected="1" workbookViewId="0">
      <selection activeCell="A80" sqref="A80:XFD1048576"/>
    </sheetView>
  </sheetViews>
  <sheetFormatPr defaultColWidth="0" defaultRowHeight="15.75" zeroHeight="1" x14ac:dyDescent="0.25"/>
  <cols>
    <col min="1" max="2" width="2.625" customWidth="1"/>
    <col min="3" max="3" width="4.5" customWidth="1"/>
    <col min="4" max="4" width="8.5" customWidth="1"/>
    <col min="5" max="5" width="13.5" bestFit="1" customWidth="1"/>
    <col min="6" max="6" width="9.25" bestFit="1" customWidth="1"/>
    <col min="7" max="7" width="8" bestFit="1" customWidth="1"/>
    <col min="8" max="8" width="6.25" bestFit="1" customWidth="1"/>
    <col min="9" max="9" width="15.625" bestFit="1" customWidth="1"/>
    <col min="10" max="10" width="11.625" customWidth="1"/>
    <col min="11" max="11" width="13.75" customWidth="1"/>
    <col min="12" max="12" width="2.625" customWidth="1"/>
    <col min="13" max="15" width="2.625" hidden="1"/>
    <col min="16" max="16" width="7.75" hidden="1"/>
    <col min="24" max="16384" width="2.625" hidden="1"/>
  </cols>
  <sheetData>
    <row r="1" spans="3:23" x14ac:dyDescent="0.25">
      <c r="C1" s="19" t="s"/>
      <c r="D1" s="20"/>
      <c r="E1" s="20"/>
      <c r="F1" s="20"/>
      <c r="G1" s="20"/>
      <c r="H1" s="20"/>
      <c r="I1" s="20"/>
      <c r="J1" s="20"/>
      <c r="K1" s="20"/>
    </row>
    <row r="2" spans="3:23" x14ac:dyDescent="0.25">
      <c r="G2" s="19"/>
      <c r="H2" s="19"/>
      <c r="I2" s="11"/>
    </row>
    <row r="3" spans="3:23" x14ac:dyDescent="0.25">
      <c r="O3" s="16"/>
      <c r="P3" s="17"/>
      <c r="Q3" s="17"/>
      <c r="R3" s="17"/>
      <c r="S3" s="17"/>
      <c r="T3" s="17"/>
      <c r="U3" s="17"/>
      <c r="V3" s="17"/>
      <c r="W3" s="17"/>
    </row>
    <row r="4" spans="3:23" x14ac:dyDescent="0.25">
      <c r="C4" s="19" t="b">
        <f>IF(VLOOKUP("Project_Department",Placeholders!A:B,2,FALSE)&lt;&gt;"",IF(
    VLOOKUP("Project_Department",Placeholders!A:B,2,FALSE)="Tbilisi",
    "ქ. თბილისი",
    "ქ. ბათუმი"
))</f>
      </c>
      <c r="D4" s="19"/>
      <c r="E4" s="19"/>
      <c r="I4" s="19" t="str">
        <f>DAY(VLOOKUP("Handover_Date",Placeholders!A:B,2,FALSE))&amp;
" "&amp;
IFERROR(
    VLOOKUP(
        MONTH(VLOOKUP("Handover_Date",Placeholders!A:B,2,FALSE)),
        {1,"იანვარი";2,"თებერვალი";3,"მარტი";4,"აპრილი";5,"მაისი";6,"ივნისი";7,"ივლისი";8,"აგვისტო";9,"სექტემბერი";10,"ოქტომბერი";11,"ნოემბერი";12,"დეკემბერი"},
        2,
        FALSE
    ),
    ""
)&amp;
" "&amp;
YEAR(VLOOKUP("Handover_Date",Placeholders!A:B,2,FALSE))</f>
      </c>
      <c r="J4" s="19"/>
      <c r="K4" s="19"/>
    </row>
    <row r="5" spans="3:23" x14ac:dyDescent="0.25"/>
    <row r="6" spans="3:23" ht="28.5" customHeight="1" x14ac:dyDescent="0.25">
      <c r="C6" s="18" t="str">
        <f>"     ერთი მხრივ "&amp;VLOOKUP("Project_Counteragent_Entity_Type",Placeholders!A:B,2,FALSE)&amp;" "&amp;VLOOKUP("Project_Counteragent_Name",Placeholders!A:B,2,FALSE)&amp;
" - წარმოდგენილი დირექტორის "&amp;VLOOKUP("Project_Counteragent_Director_Genitive",Placeholders!A:B,2,FALSE)&amp;
" სახით (შემდგომში დამკვეთი)."&amp;CHAR(10)&amp;
"მისამართი :"&amp;VLOOKUP("Project_Counteragent_Address_Line_1",Placeholders!A:B,2,FALSE)&amp;" "&amp;VLOOKUP("Project_Counteragent_Address_Line_2",Placeholders!A:B,2,FALSE)&amp;
CHAR(10)&amp;
"საიდენტიფიკაციო კოდი: "&amp;VLOOKUP("Project_Counteragent_ID",Placeholders!A:B,2,FALSE)&amp;
CHAR(10)&amp;CHAR(10)&amp;
"     მეორე მხრივ, "&amp;VLOOKUP("Project_Insider_Entity_Type",Placeholders!A:B,2,FALSE)&amp;" "&amp;VLOOKUP("Project_Insider_Name",Placeholders!A:B,2,FALSE)&amp;
" წარმოდგენილი დირექტორის "&amp;VLOOKUP("Project_Insider_Director_Genitive",Placeholders!A:B,2,FALSE)&amp;
" სახით (შემდგომში შემსრულებელი)."&amp;
CHAR(10)&amp;
"მისამართი: "&amp;VLOOKUP("Project_Insider_Address_Line1",Placeholders!A:B,2,FALSE)&amp;" "&amp;VLOOKUP("Project_Insider_Address_Line2",Placeholders!A:B,2,FALSE)&amp;
CHAR(10)&amp;
"საიდენტიფიკაციო ნომერი: "&amp;VLOOKUP("Project_Insider_ID",Placeholders!A:B,2,FALSE)&amp;"."&amp;
CHAR(10)&amp;CHAR(10)&amp;
"     ვადგენთ წინამდებარე აქტს მასზედ, რომ "&amp;
IFERROR(
    YEAR(VLOOKUP("Contract_Date",Placeholders!A:B,2,FALSE))&amp;
    " წლის "&amp;
    DAY(VLOOKUP("Contract_Date",Placeholders!A:B,2,FALSE))&amp;
    " "&amp;
    VLOOKUP(
        MONTH(VLOOKUP("Contract_Date",Placeholders!A:B,2,FALSE)),
        {1,"იანვარის";2,"თებერვალის";3,"მარტის";4,"აპრილის";5,"მაისის";6,"ივნისის";7,"ივლისის";8,"აგვისტოს";9,"სექტემბრის";10,"ოქტომბრის";11,"ნოემბრის";12,"დეკემბრის"},
        2,
        FALSE
    ),
    ""
)&amp;
" ხელშეკრულების თანახმად დამკვეთმა მიიღო, ხოლო შემსრულებელმა ჩააბარა დამკვეთის ობიექტზე, მისამართზე "&amp;
VLOOKUP("Project_Address",Placeholders!A:B,2,FALSE)&amp;
" ქვემოთ მოცემული ერთეულები:"</f>
        <v xml:space="preserve">     ერთი მხრივ   - წარმოდგენილი დირექტორის  სახით (შემდგომში დამკვეთი).
მისამართი : 
საიდენტიფიკაციო კოდი: 
     მეორე მხრივ,   წარმოდგენილი დირექტორის  სახით (შემდგომში შემსრულებელი).
მისამართი:  
საიდენტიფიკაციო ნომერი: .
     ვადგენთ წინამდებარე აქტს მასზედ, რომ 1900 წლის 0 იანვარის ხელშეკრულების თანახმად დამკვეთმა მიიღო, ხოლო შემსრულებელმა ჩააბარა დამკვეთის ობიექტზე, მისამართზე  ქვემოთ მოცემული ერთეულები:</v>
      </c>
      <c r="D6" s="18"/>
      <c r="E6" s="18"/>
      <c r="F6" s="18"/>
      <c r="G6" s="18"/>
      <c r="H6" s="18"/>
      <c r="I6" s="18"/>
      <c r="J6" s="18"/>
      <c r="K6" s="18"/>
    </row>
    <row r="7" spans="3:23" ht="28.5" customHeight="1" x14ac:dyDescent="0.25">
      <c r="C7" s="18"/>
      <c r="D7" s="18"/>
      <c r="E7" s="18"/>
      <c r="F7" s="18"/>
      <c r="G7" s="18"/>
      <c r="H7" s="18"/>
      <c r="I7" s="18"/>
      <c r="J7" s="18"/>
      <c r="K7" s="18"/>
    </row>
    <row r="8" spans="3:23" ht="28.5" customHeight="1" x14ac:dyDescent="0.25">
      <c r="C8" s="18"/>
      <c r="D8" s="18"/>
      <c r="E8" s="18"/>
      <c r="F8" s="18"/>
      <c r="G8" s="18"/>
      <c r="H8" s="18"/>
      <c r="I8" s="18"/>
      <c r="J8" s="18"/>
      <c r="K8" s="18"/>
    </row>
    <row r="9" spans="3:23" ht="28.5" customHeight="1" x14ac:dyDescent="0.25">
      <c r="C9" s="18"/>
      <c r="D9" s="18"/>
      <c r="E9" s="18"/>
      <c r="F9" s="18"/>
      <c r="G9" s="18"/>
      <c r="H9" s="18"/>
      <c r="I9" s="18"/>
      <c r="J9" s="18"/>
      <c r="K9" s="18"/>
    </row>
    <row r="10" spans="3:23" ht="28.5" customHeight="1" x14ac:dyDescent="0.25">
      <c r="C10" s="18"/>
      <c r="D10" s="18"/>
      <c r="E10" s="18"/>
      <c r="F10" s="18"/>
      <c r="G10" s="18"/>
      <c r="H10" s="18"/>
      <c r="I10" s="18"/>
      <c r="J10" s="18"/>
      <c r="K10" s="18"/>
    </row>
    <row r="11" spans="3:23" ht="28.5" customHeight="1" x14ac:dyDescent="0.25">
      <c r="C11" s="18"/>
      <c r="D11" s="18"/>
      <c r="E11" s="18"/>
      <c r="F11" s="18"/>
      <c r="G11" s="18"/>
      <c r="H11" s="18"/>
      <c r="I11" s="18"/>
      <c r="J11" s="18"/>
      <c r="K11" s="18"/>
    </row>
    <row r="12" spans="3:23" ht="28.5" customHeight="1" x14ac:dyDescent="0.25">
      <c r="C12" s="18"/>
      <c r="D12" s="18"/>
      <c r="E12" s="18"/>
      <c r="F12" s="18"/>
      <c r="G12" s="18"/>
      <c r="H12" s="18"/>
      <c r="I12" s="18"/>
      <c r="J12" s="18"/>
      <c r="K12" s="18"/>
    </row>
    <row r="13" spans="3:23" ht="28.5" customHeight="1" x14ac:dyDescent="0.25">
      <c r="C13" s="18"/>
      <c r="D13" s="18"/>
      <c r="E13" s="18"/>
      <c r="F13" s="18"/>
      <c r="G13" s="18"/>
      <c r="H13" s="18"/>
      <c r="I13" s="18"/>
      <c r="J13" s="18"/>
      <c r="K13" s="18"/>
    </row>
    <row r="14" spans="3:23" ht="28.5" customHeight="1" x14ac:dyDescent="0.25">
      <c r="C14" s="18"/>
      <c r="D14" s="18"/>
      <c r="E14" s="18"/>
      <c r="F14" s="18"/>
      <c r="G14" s="18"/>
      <c r="H14" s="18"/>
      <c r="I14" s="18"/>
      <c r="J14" s="18"/>
      <c r="K14" s="18"/>
    </row>
    <row r="15" spans="3:23" x14ac:dyDescent="0.25"/>
    <row r="16" spans="3:23" ht="31.5" x14ac:dyDescent="0.25">
      <c r="C16" s="6" t="s"/>
      <c r="D16" s="6" t="s"/>
      <c r="E16" s="6" t="s"/>
      <c r="F16" s="10" t="s"/>
      <c r="G16" s="10" t="s"/>
      <c r="H16" s="6" t="s"/>
      <c r="I16" s="6" t="s"/>
      <c r="J16" s="6" t="str">
        <f>"თანხა "&amp;IF(Project_Currency="USD"," $", IF(Project_Currency = "EUR", " €"," ₾"))</f>
      </c>
      <c r="K16" s="6" t="s"/>
    </row>
    <row r="17" spans="3:11" x14ac:dyDescent="0.25">
      <c r="C17" s="7" t="e" vm="1">
        <f ca="1">IF(D17&lt;&gt;"",ROW()-16,"")</f>
      </c>
      <c r="D17" s="7" t="e" cm="1" vm="2">
        <f t="array" aca="1" ref="D17" ca="1">_xlfn._xlws.FILTER(Jobs!A:A,Jobs!M:M= Handover_Date)</f>
      </c>
      <c r="E17" s="7" t="e" cm="1" vm="2">
        <f t="array" aca="1" ref="E17" ca="1">_xlfn._xlws.FILTER( Jobs!C:C,Jobs!M:M= Handover_Date)</f>
      </c>
      <c r="F17" s="7" t="e" cm="1" vm="2">
        <f t="array" aca="1" ref="F17" ca="1">_xlfn._xlws.FILTER(   Jobs!B:B,Jobs!M:M= Handover_Date)</f>
      </c>
      <c r="G17" s="7" t="e" cm="1" vm="2">
        <f t="array" aca="1" ref="G17" ca="1">_xlfn._xlws.FILTER(  Jobs!E:E,Jobs!M:M= Handover_Date)&amp;" კგ"</f>
      </c>
      <c r="H17" s="7" t="e" cm="1" vm="2">
        <f t="array" aca="1" ref="H17" ca="1">_xlfn._xlws.FILTER(   Jobs!D:D,Jobs!M:M= Handover_Date)</f>
      </c>
      <c r="I17" s="7" t="e" cm="1" vm="2">
        <f t="array" aca="1" ref="I17" ca="1">_xlfn._xlws.FILTER(    Jobs!N:N,Jobs!M:M= Handover_Date)</f>
      </c>
      <c r="J17" s="8" t="e" cm="1" vm="2">
        <f t="array" aca="1" ref="J17" ca="1">_xlfn._xlws.FILTER(    Jobs!F:F,Jobs!M:M= Handover_Date)</f>
      </c>
      <c r="K17" s="8" t="e" cm="1" vm="2">
        <f t="array" aca="1" ref="K17" ca="1">_xlfn._xlws.FILTER(     Jobs!K:K,Jobs!M:M= Handover_Date)</f>
      </c>
    </row>
    <row r="18" spans="3:11" x14ac:dyDescent="0.25">
      <c r="C18" s="7" t="str">
        <f t="shared" ref="C18:C63" si="0">IF(D18&lt;&gt;"",ROW()-16,"")</f>
        <v/>
      </c>
      <c r="D18" s="7"/>
      <c r="E18" s="7"/>
      <c r="F18" s="7"/>
      <c r="G18" s="7"/>
      <c r="H18" s="7"/>
      <c r="I18" s="7"/>
      <c r="J18" s="8"/>
      <c r="K18" s="8"/>
    </row>
    <row r="19" spans="3:11" x14ac:dyDescent="0.25">
      <c r="C19" s="7" t="str">
        <f t="shared" si="0"/>
        <v/>
      </c>
      <c r="D19" s="7"/>
      <c r="E19" s="7"/>
      <c r="F19" s="7"/>
      <c r="G19" s="7"/>
      <c r="H19" s="7"/>
      <c r="I19" s="7"/>
      <c r="J19" s="8"/>
      <c r="K19" s="8"/>
    </row>
    <row r="20" spans="3:11" x14ac:dyDescent="0.25">
      <c r="C20" s="7" t="str">
        <f t="shared" si="0"/>
        <v/>
      </c>
      <c r="D20" s="7"/>
      <c r="E20" s="7"/>
      <c r="F20" s="7"/>
      <c r="G20" s="7"/>
      <c r="H20" s="7"/>
      <c r="I20" s="7"/>
      <c r="J20" s="8"/>
      <c r="K20" s="8"/>
    </row>
    <row r="21" spans="3:11" x14ac:dyDescent="0.25">
      <c r="C21" s="7" t="str">
        <f t="shared" si="0"/>
        <v/>
      </c>
      <c r="D21" s="7"/>
      <c r="E21" s="7"/>
      <c r="F21" s="7"/>
      <c r="G21" s="7"/>
      <c r="H21" s="7"/>
      <c r="I21" s="7"/>
      <c r="J21" s="8"/>
      <c r="K21" s="8"/>
    </row>
    <row r="22" spans="3:11" x14ac:dyDescent="0.25">
      <c r="C22" s="7" t="str">
        <f t="shared" si="0"/>
        <v/>
      </c>
      <c r="D22" s="7"/>
      <c r="E22" s="7"/>
      <c r="F22" s="7"/>
      <c r="G22" s="7"/>
      <c r="H22" s="7"/>
      <c r="I22" s="7"/>
      <c r="J22" s="8"/>
      <c r="K22" s="8"/>
    </row>
    <row r="23" spans="3:11" x14ac:dyDescent="0.25">
      <c r="C23" s="7" t="str">
        <f t="shared" si="0"/>
        <v/>
      </c>
      <c r="D23" s="7"/>
      <c r="E23" s="7"/>
      <c r="F23" s="7"/>
      <c r="G23" s="7"/>
      <c r="H23" s="7"/>
      <c r="I23" s="7"/>
      <c r="J23" s="8"/>
      <c r="K23" s="8"/>
    </row>
    <row r="24" spans="3:11" x14ac:dyDescent="0.25">
      <c r="C24" s="7" t="str">
        <f t="shared" si="0"/>
        <v/>
      </c>
      <c r="D24" s="7"/>
      <c r="E24" s="7"/>
      <c r="F24" s="7"/>
      <c r="G24" s="7"/>
      <c r="H24" s="7"/>
      <c r="I24" s="7"/>
      <c r="J24" s="8"/>
      <c r="K24" s="8"/>
    </row>
    <row r="25" spans="3:11" x14ac:dyDescent="0.25">
      <c r="C25" s="7" t="str">
        <f t="shared" si="0"/>
        <v/>
      </c>
      <c r="D25" s="7"/>
      <c r="E25" s="7"/>
      <c r="F25" s="7"/>
      <c r="G25" s="7"/>
      <c r="H25" s="7"/>
      <c r="I25" s="7"/>
      <c r="J25" s="8"/>
      <c r="K25" s="8"/>
    </row>
    <row r="26" spans="3:11" x14ac:dyDescent="0.25">
      <c r="C26" s="7" t="str">
        <f t="shared" si="0"/>
        <v/>
      </c>
      <c r="D26" s="7"/>
      <c r="E26" s="7"/>
      <c r="F26" s="7"/>
      <c r="G26" s="7"/>
      <c r="H26" s="7"/>
      <c r="I26" s="7"/>
      <c r="J26" s="8"/>
      <c r="K26" s="8"/>
    </row>
    <row r="27" spans="3:11" x14ac:dyDescent="0.25">
      <c r="C27" s="7" t="str">
        <f t="shared" si="0"/>
        <v/>
      </c>
      <c r="D27" s="7"/>
      <c r="E27" s="7"/>
      <c r="F27" s="7"/>
      <c r="G27" s="7"/>
      <c r="H27" s="7"/>
      <c r="I27" s="7"/>
      <c r="J27" s="8"/>
      <c r="K27" s="8"/>
    </row>
    <row r="28" spans="3:11" x14ac:dyDescent="0.25">
      <c r="C28" s="7" t="str">
        <f t="shared" si="0"/>
        <v/>
      </c>
      <c r="D28" s="7"/>
      <c r="E28" s="7"/>
      <c r="F28" s="7"/>
      <c r="G28" s="7"/>
      <c r="H28" s="7"/>
      <c r="I28" s="7"/>
      <c r="J28" s="8"/>
      <c r="K28" s="8"/>
    </row>
    <row r="29" spans="3:11" x14ac:dyDescent="0.25">
      <c r="C29" s="7" t="str">
        <f t="shared" si="0"/>
        <v/>
      </c>
      <c r="D29" s="7"/>
      <c r="E29" s="7"/>
      <c r="F29" s="7"/>
      <c r="G29" s="7"/>
      <c r="H29" s="7"/>
      <c r="I29" s="7"/>
      <c r="J29" s="8"/>
      <c r="K29" s="8"/>
    </row>
    <row r="30" spans="3:11" x14ac:dyDescent="0.25">
      <c r="C30" s="7" t="str">
        <f t="shared" si="0"/>
        <v/>
      </c>
      <c r="D30" s="7"/>
      <c r="E30" s="7"/>
      <c r="F30" s="7"/>
      <c r="G30" s="7"/>
      <c r="H30" s="7"/>
      <c r="I30" s="7"/>
      <c r="J30" s="8"/>
      <c r="K30" s="8"/>
    </row>
    <row r="31" spans="3:11" x14ac:dyDescent="0.25">
      <c r="C31" s="7" t="str">
        <f t="shared" si="0"/>
        <v/>
      </c>
      <c r="D31" s="7"/>
      <c r="E31" s="7"/>
      <c r="F31" s="7"/>
      <c r="G31" s="7"/>
      <c r="H31" s="7"/>
      <c r="I31" s="7"/>
      <c r="J31" s="8"/>
      <c r="K31" s="8"/>
    </row>
    <row r="32" spans="3:11" x14ac:dyDescent="0.25">
      <c r="C32" s="7" t="str">
        <f t="shared" si="0"/>
        <v/>
      </c>
      <c r="D32" s="7"/>
      <c r="E32" s="7"/>
      <c r="F32" s="7"/>
      <c r="G32" s="7"/>
      <c r="H32" s="7"/>
      <c r="I32" s="7"/>
      <c r="J32" s="8"/>
      <c r="K32" s="8"/>
    </row>
    <row r="33" spans="3:11" x14ac:dyDescent="0.25">
      <c r="C33" s="7" t="str">
        <f t="shared" si="0"/>
        <v/>
      </c>
      <c r="D33" s="7"/>
      <c r="E33" s="7"/>
      <c r="F33" s="7"/>
      <c r="G33" s="7"/>
      <c r="H33" s="7"/>
      <c r="I33" s="7"/>
      <c r="J33" s="8"/>
      <c r="K33" s="8"/>
    </row>
    <row r="34" spans="3:11" x14ac:dyDescent="0.25">
      <c r="C34" s="7" t="str">
        <f t="shared" si="0"/>
        <v/>
      </c>
      <c r="D34" s="7"/>
      <c r="E34" s="7"/>
      <c r="F34" s="7"/>
      <c r="G34" s="7"/>
      <c r="H34" s="7"/>
      <c r="I34" s="7"/>
      <c r="J34" s="8"/>
      <c r="K34" s="8"/>
    </row>
    <row r="35" spans="3:11" x14ac:dyDescent="0.25">
      <c r="C35" s="7" t="str">
        <f t="shared" si="0"/>
        <v/>
      </c>
      <c r="D35" s="7"/>
      <c r="E35" s="7"/>
      <c r="F35" s="7"/>
      <c r="G35" s="7"/>
      <c r="H35" s="7"/>
      <c r="I35" s="7"/>
      <c r="J35" s="8"/>
      <c r="K35" s="8"/>
    </row>
    <row r="36" spans="3:11" x14ac:dyDescent="0.25">
      <c r="C36" s="7" t="str">
        <f t="shared" si="0"/>
        <v/>
      </c>
      <c r="D36" s="7"/>
      <c r="E36" s="7"/>
      <c r="F36" s="7"/>
      <c r="G36" s="7"/>
      <c r="H36" s="7"/>
      <c r="I36" s="7"/>
      <c r="J36" s="8"/>
      <c r="K36" s="8"/>
    </row>
    <row r="37" spans="3:11" x14ac:dyDescent="0.25">
      <c r="C37" s="7" t="str">
        <f t="shared" si="0"/>
        <v/>
      </c>
      <c r="D37" s="7"/>
      <c r="E37" s="7"/>
      <c r="F37" s="7"/>
      <c r="G37" s="7"/>
      <c r="H37" s="7"/>
      <c r="I37" s="7"/>
      <c r="J37" s="8"/>
      <c r="K37" s="8"/>
    </row>
    <row r="38" spans="3:11" x14ac:dyDescent="0.25">
      <c r="C38" s="7" t="str">
        <f t="shared" si="0"/>
        <v/>
      </c>
      <c r="D38" s="7"/>
      <c r="E38" s="7"/>
      <c r="F38" s="7"/>
      <c r="G38" s="7"/>
      <c r="H38" s="7"/>
      <c r="I38" s="7"/>
      <c r="J38" s="8"/>
      <c r="K38" s="8"/>
    </row>
    <row r="39" spans="3:11" x14ac:dyDescent="0.25">
      <c r="C39" s="7" t="str">
        <f t="shared" si="0"/>
        <v/>
      </c>
      <c r="D39" s="7"/>
      <c r="E39" s="7"/>
      <c r="F39" s="7"/>
      <c r="G39" s="7"/>
      <c r="H39" s="7"/>
      <c r="I39" s="7"/>
      <c r="J39" s="8"/>
      <c r="K39" s="8"/>
    </row>
    <row r="40" spans="3:11" x14ac:dyDescent="0.25">
      <c r="C40" s="7" t="str">
        <f t="shared" si="0"/>
        <v/>
      </c>
      <c r="D40" s="7"/>
      <c r="E40" s="7"/>
      <c r="F40" s="7"/>
      <c r="G40" s="7"/>
      <c r="H40" s="7"/>
      <c r="I40" s="7"/>
      <c r="J40" s="8"/>
      <c r="K40" s="8"/>
    </row>
    <row r="41" spans="3:11" x14ac:dyDescent="0.25">
      <c r="C41" s="7" t="str">
        <f t="shared" si="0"/>
        <v/>
      </c>
      <c r="D41" s="7"/>
      <c r="E41" s="7"/>
      <c r="F41" s="7"/>
      <c r="G41" s="7"/>
      <c r="H41" s="7"/>
      <c r="I41" s="7"/>
      <c r="J41" s="8"/>
      <c r="K41" s="8"/>
    </row>
    <row r="42" spans="3:11" x14ac:dyDescent="0.25">
      <c r="C42" s="7" t="str">
        <f t="shared" si="0"/>
        <v/>
      </c>
      <c r="D42" s="7"/>
      <c r="E42" s="7"/>
      <c r="F42" s="7"/>
      <c r="G42" s="7"/>
      <c r="H42" s="7"/>
      <c r="I42" s="7"/>
      <c r="J42" s="8"/>
      <c r="K42" s="8"/>
    </row>
    <row r="43" spans="3:11" x14ac:dyDescent="0.25">
      <c r="C43" s="7" t="str">
        <f t="shared" si="0"/>
        <v/>
      </c>
      <c r="D43" s="7"/>
      <c r="E43" s="7"/>
      <c r="F43" s="7"/>
      <c r="G43" s="7"/>
      <c r="H43" s="7"/>
      <c r="I43" s="7"/>
      <c r="J43" s="8"/>
      <c r="K43" s="8"/>
    </row>
    <row r="44" spans="3:11" x14ac:dyDescent="0.25">
      <c r="C44" s="7" t="str">
        <f t="shared" si="0"/>
        <v/>
      </c>
      <c r="D44" s="7"/>
      <c r="E44" s="7"/>
      <c r="F44" s="7"/>
      <c r="G44" s="7"/>
      <c r="H44" s="7"/>
      <c r="I44" s="7"/>
      <c r="J44" s="8"/>
      <c r="K44" s="8"/>
    </row>
    <row r="45" spans="3:11" x14ac:dyDescent="0.25">
      <c r="C45" s="7" t="str">
        <f t="shared" si="0"/>
        <v/>
      </c>
      <c r="D45" s="7"/>
      <c r="E45" s="7"/>
      <c r="F45" s="7"/>
      <c r="G45" s="7"/>
      <c r="H45" s="7"/>
      <c r="I45" s="7"/>
      <c r="J45" s="8"/>
      <c r="K45" s="8"/>
    </row>
    <row r="46" spans="3:11" x14ac:dyDescent="0.25">
      <c r="C46" s="7" t="str">
        <f t="shared" si="0"/>
        <v/>
      </c>
      <c r="D46" s="7"/>
      <c r="E46" s="7"/>
      <c r="F46" s="7"/>
      <c r="G46" s="7"/>
      <c r="H46" s="7"/>
      <c r="I46" s="7"/>
      <c r="J46" s="8"/>
      <c r="K46" s="8"/>
    </row>
    <row r="47" spans="3:11" x14ac:dyDescent="0.25">
      <c r="C47" s="7" t="str">
        <f t="shared" si="0"/>
        <v/>
      </c>
      <c r="D47" s="7"/>
      <c r="E47" s="7"/>
      <c r="F47" s="7"/>
      <c r="G47" s="7"/>
      <c r="H47" s="7"/>
      <c r="I47" s="7"/>
      <c r="J47" s="8"/>
      <c r="K47" s="8"/>
    </row>
    <row r="48" spans="3:11" x14ac:dyDescent="0.25">
      <c r="C48" s="7" t="str">
        <f t="shared" si="0"/>
        <v/>
      </c>
      <c r="D48" s="7"/>
      <c r="E48" s="7"/>
      <c r="F48" s="7"/>
      <c r="G48" s="7"/>
      <c r="H48" s="7"/>
      <c r="I48" s="7"/>
      <c r="J48" s="8"/>
      <c r="K48" s="8"/>
    </row>
    <row r="49" spans="3:11" x14ac:dyDescent="0.25">
      <c r="C49" s="7" t="str">
        <f t="shared" si="0"/>
        <v/>
      </c>
      <c r="D49" s="7"/>
      <c r="E49" s="7"/>
      <c r="F49" s="7"/>
      <c r="G49" s="7"/>
      <c r="H49" s="7"/>
      <c r="I49" s="7"/>
      <c r="J49" s="8"/>
      <c r="K49" s="8"/>
    </row>
    <row r="50" spans="3:11" x14ac:dyDescent="0.25">
      <c r="C50" s="7" t="str">
        <f t="shared" si="0"/>
        <v/>
      </c>
      <c r="D50" s="7"/>
      <c r="E50" s="7"/>
      <c r="F50" s="7"/>
      <c r="G50" s="7"/>
      <c r="H50" s="7"/>
      <c r="I50" s="7"/>
      <c r="J50" s="8"/>
      <c r="K50" s="8"/>
    </row>
    <row r="51" spans="3:11" x14ac:dyDescent="0.25">
      <c r="C51" s="7" t="str">
        <f t="shared" si="0"/>
        <v/>
      </c>
      <c r="D51" s="7"/>
      <c r="E51" s="7"/>
      <c r="F51" s="7"/>
      <c r="G51" s="7"/>
      <c r="H51" s="7"/>
      <c r="I51" s="7"/>
      <c r="J51" s="8"/>
      <c r="K51" s="8"/>
    </row>
    <row r="52" spans="3:11" x14ac:dyDescent="0.25">
      <c r="C52" s="7" t="str">
        <f t="shared" si="0"/>
        <v/>
      </c>
      <c r="D52" s="7"/>
      <c r="E52" s="7"/>
      <c r="F52" s="7"/>
      <c r="G52" s="7"/>
      <c r="H52" s="7"/>
      <c r="I52" s="7"/>
      <c r="J52" s="8"/>
      <c r="K52" s="8"/>
    </row>
    <row r="53" spans="3:11" x14ac:dyDescent="0.25">
      <c r="C53" s="7" t="str">
        <f t="shared" si="0"/>
        <v/>
      </c>
      <c r="D53" s="7"/>
      <c r="E53" s="7"/>
      <c r="F53" s="7"/>
      <c r="G53" s="7"/>
      <c r="H53" s="7"/>
      <c r="I53" s="7"/>
      <c r="J53" s="8"/>
      <c r="K53" s="8"/>
    </row>
    <row r="54" spans="3:11" x14ac:dyDescent="0.25">
      <c r="C54" s="7" t="str">
        <f t="shared" si="0"/>
        <v/>
      </c>
      <c r="D54" s="7"/>
      <c r="E54" s="7"/>
      <c r="F54" s="7"/>
      <c r="G54" s="7"/>
      <c r="H54" s="7"/>
      <c r="I54" s="7"/>
      <c r="J54" s="8"/>
      <c r="K54" s="8"/>
    </row>
    <row r="55" spans="3:11" x14ac:dyDescent="0.25">
      <c r="C55" s="7" t="str">
        <f t="shared" si="0"/>
        <v/>
      </c>
      <c r="D55" s="7"/>
      <c r="E55" s="7"/>
      <c r="F55" s="7"/>
      <c r="G55" s="7"/>
      <c r="H55" s="7"/>
      <c r="I55" s="7"/>
      <c r="J55" s="8"/>
      <c r="K55" s="8"/>
    </row>
    <row r="56" spans="3:11" x14ac:dyDescent="0.25">
      <c r="C56" s="7" t="str">
        <f t="shared" si="0"/>
        <v/>
      </c>
      <c r="D56" s="7"/>
      <c r="E56" s="7"/>
      <c r="F56" s="7"/>
      <c r="G56" s="7"/>
      <c r="H56" s="7"/>
      <c r="I56" s="7"/>
      <c r="J56" s="8"/>
      <c r="K56" s="8"/>
    </row>
    <row r="57" spans="3:11" x14ac:dyDescent="0.25">
      <c r="C57" s="7" t="str">
        <f t="shared" si="0"/>
        <v/>
      </c>
      <c r="D57" s="7"/>
      <c r="E57" s="7"/>
      <c r="F57" s="7"/>
      <c r="G57" s="7"/>
      <c r="H57" s="7"/>
      <c r="I57" s="7"/>
      <c r="J57" s="8"/>
      <c r="K57" s="8"/>
    </row>
    <row r="58" spans="3:11" x14ac:dyDescent="0.25">
      <c r="C58" s="7" t="str">
        <f t="shared" si="0"/>
        <v/>
      </c>
      <c r="D58" s="7"/>
      <c r="E58" s="7"/>
      <c r="F58" s="7"/>
      <c r="G58" s="7"/>
      <c r="H58" s="7"/>
      <c r="I58" s="7"/>
      <c r="J58" s="8"/>
      <c r="K58" s="8"/>
    </row>
    <row r="59" spans="3:11" x14ac:dyDescent="0.25">
      <c r="C59" s="7" t="str">
        <f t="shared" si="0"/>
        <v/>
      </c>
      <c r="D59" s="7"/>
      <c r="E59" s="7"/>
      <c r="F59" s="7"/>
      <c r="G59" s="7"/>
      <c r="H59" s="7"/>
      <c r="I59" s="7"/>
      <c r="J59" s="8"/>
      <c r="K59" s="8"/>
    </row>
    <row r="60" spans="3:11" x14ac:dyDescent="0.25">
      <c r="C60" s="7" t="str">
        <f t="shared" si="0"/>
        <v/>
      </c>
      <c r="D60" s="7"/>
      <c r="E60" s="7"/>
      <c r="F60" s="7"/>
      <c r="G60" s="7"/>
      <c r="H60" s="7"/>
      <c r="I60" s="7"/>
      <c r="J60" s="8"/>
      <c r="K60" s="8"/>
    </row>
    <row r="61" spans="3:11" x14ac:dyDescent="0.25">
      <c r="C61" s="7" t="str">
        <f t="shared" si="0"/>
        <v/>
      </c>
      <c r="D61" s="7"/>
      <c r="E61" s="7"/>
      <c r="F61" s="7"/>
      <c r="G61" s="7"/>
      <c r="H61" s="7"/>
      <c r="I61" s="7"/>
      <c r="J61" s="8"/>
      <c r="K61" s="8"/>
    </row>
    <row r="62" spans="3:11" x14ac:dyDescent="0.25">
      <c r="C62" s="7" t="str">
        <f t="shared" si="0"/>
        <v/>
      </c>
      <c r="D62" s="7"/>
      <c r="E62" s="7"/>
      <c r="F62" s="7"/>
      <c r="G62" s="7"/>
      <c r="H62" s="7"/>
      <c r="I62" s="7"/>
      <c r="J62" s="8"/>
      <c r="K62" s="8"/>
    </row>
    <row r="63" spans="3:11" x14ac:dyDescent="0.25">
      <c r="C63" s="7" t="str">
        <f t="shared" si="0"/>
        <v/>
      </c>
      <c r="D63" s="7"/>
      <c r="E63" s="7"/>
      <c r="F63" s="7"/>
      <c r="G63" s="7"/>
      <c r="H63" s="7"/>
      <c r="I63" s="7"/>
      <c r="J63" s="8"/>
      <c r="K63" s="8"/>
    </row>
    <row r="64" spans="3:11" x14ac:dyDescent="0.25">
      <c r="C64" s="25" t="s"/>
      <c r="D64" s="25"/>
      <c r="E64" s="25"/>
      <c r="F64" s="25"/>
      <c r="G64" s="25"/>
      <c r="H64" s="25"/>
      <c r="I64" s="7"/>
      <c r="J64" s="8" t="e" vm="1">
        <f ca="1">SUM(J17:J63)</f>
      </c>
      <c r="K64" s="8" t="e" vm="1">
        <f ca="1">SUM(K17:K63)</f>
      </c>
    </row>
    <row r="65" spans="3:12" x14ac:dyDescent="0.25">
      <c r="C65" s="4"/>
      <c r="D65" s="4"/>
    </row>
    <row r="66" spans="3:12" ht="139.5" customHeight="1" x14ac:dyDescent="0.25">
      <c r="C66" s="21" t="s"/>
      <c r="D66" s="22"/>
      <c r="E66" s="22"/>
      <c r="F66" s="22"/>
      <c r="G66" s="22"/>
      <c r="H66" s="22"/>
      <c r="I66" s="22"/>
      <c r="J66" s="22"/>
      <c r="K66" s="22"/>
    </row>
    <row r="67" spans="3:12" x14ac:dyDescent="0.25">
      <c r="C67" s="4"/>
      <c r="D67" s="4"/>
    </row>
    <row r="68" spans="3:12" x14ac:dyDescent="0.25">
      <c r="C68" s="4"/>
      <c r="D68" s="4"/>
    </row>
    <row r="69" spans="3:12" ht="15.75" customHeight="1" x14ac:dyDescent="0.25">
      <c r="C69" s="23" t="str">
        <f>VLOOKUP("Project_Counteragent_Entity_Type",Placeholders!A:B,2,FALSE)&amp;
" "&amp;
VLOOKUP("Project_Counteragent_Name",Placeholders!A:B,2,FALSE)&amp;
CHAR(10)&amp;CHAR(10)&amp;
"(დამკვეთი)"&amp;
CHAR(10)&amp;CHAR(10)&amp;CHAR(10)&amp;CHAR(10)&amp;
"----------------------------------"&amp;
CHAR(10)&amp;
"დირექტორი"&amp;
CHAR(10)&amp;
VLOOKUP("Project_Counteragent_Director",Placeholders!A:B,2,FALSE)</f>
        <v xml:space="preserve"> 
(დამკვეთი)
----------------------------------
დირექტორი
</v>
      </c>
      <c r="D69" s="24"/>
      <c r="E69" s="24"/>
      <c r="F69" s="24"/>
      <c r="G69" s="24"/>
      <c r="H69" s="23" t="str">
        <f>VLOOKUP("Project_Insider_Entity_Type",Placeholders!A:B,2,FALSE)&amp;
" "&amp;
VLOOKUP("Project_Insider_Name",Placeholders!A:B,2,FALSE)&amp;
CHAR(10)&amp;CHAR(10)&amp;
"(შემსრულებელი)"&amp;
CHAR(10)&amp;CHAR(10)&amp;CHAR(10)&amp;CHAR(10)&amp;
"----------------------------------"&amp;
CHAR(10)&amp;
"დირექტორი"&amp;
CHAR(10)&amp;
VLOOKUP("Project_Insider_Director_Normative",Placeholders!A:B,2,FALSE)</f>
        <v xml:space="preserve"> 
(შემსრულებელი)
----------------------------------
დირექტორი
</v>
      </c>
      <c r="I69" s="24"/>
      <c r="J69" s="24"/>
      <c r="K69" s="24"/>
      <c r="L69" s="5"/>
    </row>
    <row r="70" spans="3:12" x14ac:dyDescent="0.25">
      <c r="C70" s="24"/>
      <c r="D70" s="24"/>
      <c r="E70" s="24"/>
      <c r="F70" s="24"/>
      <c r="G70" s="24"/>
      <c r="H70" s="24"/>
      <c r="I70" s="24"/>
      <c r="J70" s="24"/>
      <c r="K70" s="24"/>
      <c r="L70" s="5"/>
    </row>
    <row r="71" spans="3:12" x14ac:dyDescent="0.25">
      <c r="C71" s="24"/>
      <c r="D71" s="24"/>
      <c r="E71" s="24"/>
      <c r="F71" s="24"/>
      <c r="G71" s="24"/>
      <c r="H71" s="24"/>
      <c r="I71" s="24"/>
      <c r="J71" s="24"/>
      <c r="K71" s="24"/>
      <c r="L71" s="5"/>
    </row>
    <row r="72" spans="3:12" x14ac:dyDescent="0.25">
      <c r="C72" s="24"/>
      <c r="D72" s="24"/>
      <c r="E72" s="24"/>
      <c r="F72" s="24"/>
      <c r="G72" s="24"/>
      <c r="H72" s="24"/>
      <c r="I72" s="24"/>
      <c r="J72" s="24"/>
      <c r="K72" s="24"/>
      <c r="L72" s="5"/>
    </row>
    <row r="73" spans="3:12" x14ac:dyDescent="0.25">
      <c r="C73" s="24"/>
      <c r="D73" s="24"/>
      <c r="E73" s="24"/>
      <c r="F73" s="24"/>
      <c r="G73" s="24"/>
      <c r="H73" s="24"/>
      <c r="I73" s="24"/>
      <c r="J73" s="24"/>
      <c r="K73" s="24"/>
      <c r="L73" s="5"/>
    </row>
    <row r="74" spans="3:12" x14ac:dyDescent="0.25">
      <c r="C74" s="24"/>
      <c r="D74" s="24"/>
      <c r="E74" s="24"/>
      <c r="F74" s="24"/>
      <c r="G74" s="24"/>
      <c r="H74" s="24"/>
      <c r="I74" s="24"/>
      <c r="J74" s="24"/>
      <c r="K74" s="24"/>
      <c r="L74" s="5"/>
    </row>
    <row r="75" spans="3:12" x14ac:dyDescent="0.25">
      <c r="C75" s="24"/>
      <c r="D75" s="24"/>
      <c r="E75" s="24"/>
      <c r="F75" s="24"/>
      <c r="G75" s="24"/>
      <c r="H75" s="24"/>
      <c r="I75" s="24"/>
      <c r="J75" s="24"/>
      <c r="K75" s="24"/>
      <c r="L75" s="5"/>
    </row>
    <row r="76" spans="3:12" x14ac:dyDescent="0.25">
      <c r="C76" s="24"/>
      <c r="D76" s="24"/>
      <c r="E76" s="24"/>
      <c r="F76" s="24"/>
      <c r="G76" s="24"/>
      <c r="H76" s="24"/>
      <c r="I76" s="24"/>
      <c r="J76" s="24"/>
      <c r="K76" s="24"/>
      <c r="L76" s="5"/>
    </row>
    <row r="77" spans="3:12" x14ac:dyDescent="0.25">
      <c r="C77" s="24"/>
      <c r="D77" s="24"/>
      <c r="E77" s="24"/>
      <c r="F77" s="24"/>
      <c r="G77" s="24"/>
      <c r="H77" s="24"/>
      <c r="I77" s="24"/>
      <c r="J77" s="24"/>
      <c r="K77" s="24"/>
      <c r="L77" s="5"/>
    </row>
    <row r="78" spans="3:12" x14ac:dyDescent="0.25">
      <c r="C78" s="24"/>
      <c r="D78" s="24"/>
      <c r="E78" s="24"/>
      <c r="F78" s="24"/>
      <c r="G78" s="24"/>
      <c r="H78" s="24"/>
      <c r="I78" s="24"/>
      <c r="J78" s="24"/>
      <c r="K78" s="24"/>
      <c r="L78" s="5"/>
    </row>
    <row r="79" spans="3:12" x14ac:dyDescent="0.25">
      <c r="C79" s="24"/>
      <c r="D79" s="24"/>
      <c r="E79" s="24"/>
      <c r="F79" s="24"/>
      <c r="G79" s="24"/>
      <c r="H79" s="24"/>
      <c r="I79" s="24"/>
      <c r="J79" s="24"/>
      <c r="K79" s="24"/>
      <c r="L79" s="5"/>
    </row>
    <row r="80" spans="3:12" hidden="1" x14ac:dyDescent="0.25">
      <c r="C80" s="4"/>
      <c r="D80" s="4"/>
    </row>
    <row r="81" spans="3:4" hidden="1" x14ac:dyDescent="0.25">
      <c r="C81" s="4"/>
      <c r="D81" s="4"/>
    </row>
    <row r="82" spans="3:4" hidden="1" x14ac:dyDescent="0.25">
      <c r="C82" s="4"/>
      <c r="D82" s="4"/>
    </row>
    <row r="83" spans="3:4" hidden="1" x14ac:dyDescent="0.25">
      <c r="C83" s="4"/>
      <c r="D83" s="4"/>
    </row>
    <row r="84" spans="3:4" hidden="1" x14ac:dyDescent="0.25">
      <c r="C84" s="4"/>
      <c r="D84" s="4"/>
    </row>
    <row r="85" spans="3:4" hidden="1" x14ac:dyDescent="0.25">
      <c r="C85" s="4"/>
      <c r="D85" s="4"/>
    </row>
  </sheetData>
  <mergeCells count="10">
    <mergeCell ref="P3:W3"/>
    <mergeCell ref="C6:K14"/>
    <mergeCell ref="C1:K1"/>
    <mergeCell ref="C66:K66"/>
    <mergeCell ref="C69:G79"/>
    <mergeCell ref="H69:K79"/>
    <mergeCell ref="C64:H64"/>
    <mergeCell ref="G2:H2"/>
    <mergeCell ref="C4:E4"/>
    <mergeCell ref="I4:K4"/>
  </mergeCells>
  <printOptions headings="1" gridLines="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75467D-43AF-4C81-932C-5A9EE6AB67C4}">
          <x14:formula1>
            <xm:f>Jobs!$M$2:$M$100</xm:f>
          </x14:formula1>
          <xm:sqref>P3:W3</xm:sqref>
        </x14:dataValidation>
      </x14:dataValidations>
    </ext>
  </extLst>
</worksheet>
</file>

<file path=xl/worksheets/sheet2.xml><?xml version="1.0" encoding="utf-8"?>
<worksheet xmlns="http://schemas.openxmlformats.org/spreadsheetml/2006/main" xmlns:r="http://schemas.openxmlformats.org/officeDocument/2006/relationships">
  <dimension ref="A1:B21"/>
  <sheetViews>
    <sheetView workbookViewId="0"/>
  </sheetViews>
  <cols>
    <col min="1" max="1" width="40.83203125" customWidth="1"/>
    <col min="2" max="2" width="50.83203125" customWidth="1"/>
  </cols>
  <sheetData>
    <row r="1">
      <c r="A1" t="str">
        <v>Placeholder Name</v>
      </c>
      <c r="B1" t="str">
        <v>Value</v>
      </c>
    </row>
    <row r="2">
      <c r="A2" t="str">
        <v>Project_Department</v>
      </c>
      <c r="B2" t="str">
        <v>Tbilisi</v>
      </c>
    </row>
    <row r="3">
      <c r="A3" t="str">
        <v>Handover_Date</v>
      </c>
      <c r="B3" s="2">
        <v>45846</v>
      </c>
    </row>
    <row r="4">
      <c r="A4" t="str">
        <v>Project_Counteragent_Entity_Type</v>
      </c>
      <c r="B4" t="str">
        <v>შპს</v>
      </c>
    </row>
    <row r="5">
      <c r="A5" t="str">
        <v>Project_Counteragent_Name</v>
      </c>
      <c r="B5" t="str">
        <v>ოპტიმა</v>
      </c>
    </row>
    <row r="6">
      <c r="A6" t="str">
        <v>Project_Counteragent_Director_Genitive</v>
      </c>
      <c r="B6" t="str">
        <v>შორენა დარჩიაშვილის</v>
      </c>
    </row>
    <row r="7">
      <c r="A7" t="str">
        <v>Project_Counteragent_Director</v>
      </c>
      <c r="B7" t="str">
        <v>შორენა დარჩიაშვილი</v>
      </c>
    </row>
    <row r="8">
      <c r="A8" t="str">
        <v>Project_Counteragent_Address_Line_1</v>
      </c>
      <c r="B8" t="str">
        <v>ქ. თბილისი, ალ. ყაზბეგის გამზ., N15, საოფისე ფართი, დ ბლოკი, 4 სართული</v>
      </c>
    </row>
    <row r="9">
      <c r="A9" t="str">
        <v>Project_Counteragent_Address_Line_2</v>
      </c>
      <c r="B9" t="str">
        <v/>
      </c>
    </row>
    <row r="10">
      <c r="A10" t="str">
        <v>Project_Counteragent_ID</v>
      </c>
      <c r="B10" t="str">
        <v>405160819</v>
      </c>
    </row>
    <row r="11">
      <c r="A11" t="str">
        <v>Project_Address</v>
      </c>
      <c r="B11" t="str">
        <v>ქალაქი თბილისში, ჭყონდიდელის ქუჩაზე ს/კ: 01.12.12.024.213 (II კორპუსი), ს/კ:01.12.12.024.215 (III კორპუსი); ს/კ: 01.12.12.024.214 (IV კორპუსი); ს/კ: 01.12.12.024.212 (Vკორპუსი), ს/კ: 01.12.12.024.224 (VI-VII კორპუსები); ს/კ: 01.12.12.024.262 (VIII-IX-X კორპუსები), ს/კ: 01.12.12.024.260 (XI კორპუსი); ს/კ: 01.12.12.025.216 (XII კორპუსი)</v>
      </c>
    </row>
    <row r="12">
      <c r="A12" t="str">
        <v>Project_Insider_Entity_Type</v>
      </c>
      <c r="B12" t="str">
        <v>შპს</v>
      </c>
    </row>
    <row r="13">
      <c r="A13" t="str">
        <v>Project_Insider_Name</v>
      </c>
      <c r="B13" t="str">
        <v>აი-სი-ი</v>
      </c>
    </row>
    <row r="14">
      <c r="A14" t="str">
        <v>Project_Insider_ID</v>
      </c>
      <c r="B14" t="str">
        <v>400017245</v>
      </c>
    </row>
    <row r="15">
      <c r="A15" t="str">
        <v>Project_Insider_Address_Line1</v>
      </c>
      <c r="B15" t="str">
        <v>ქ. თბილისი,ვაკის რაიონი, ზურაბ ანჯაფარიძის I შესახვევი N 4</v>
      </c>
    </row>
    <row r="16">
      <c r="A16" t="str">
        <v>Project_Insider_Address_Line2</v>
      </c>
      <c r="B16" t="str">
        <v/>
      </c>
    </row>
    <row r="17">
      <c r="A17" t="str">
        <v>Project_Insider_Director_Genitive</v>
      </c>
      <c r="B17" t="str">
        <v>გიორგი ბახტაძის</v>
      </c>
    </row>
    <row r="18">
      <c r="A18" t="str">
        <v>Project_Insider_Director_Normative</v>
      </c>
      <c r="B18" t="str">
        <v>გიორგი ბახტაძე</v>
      </c>
    </row>
    <row r="19">
      <c r="A19" t="str">
        <v>Contract_Date</v>
      </c>
      <c r="B19" s="2">
        <v>45846</v>
      </c>
    </row>
    <row r="20">
      <c r="A20" t="str">
        <v>Project_Currency</v>
      </c>
      <c r="B20" t="str">
        <v>USD</v>
      </c>
    </row>
    <row r="21">
      <c r="A21" t="str">
        <v/>
      </c>
      <c r="B21" t="str">
        <v/>
      </c>
    </row>
  </sheetData>
  <ignoredErrors>
    <ignoredError numberStoredAsText="1" sqref="A1:B21"/>
  </ignoredErrors>
</worksheet>
</file>

<file path=xl/worksheets/sheet3.xml><?xml version="1.0" encoding="utf-8"?>
<worksheet xmlns="http://schemas.openxmlformats.org/spreadsheetml/2006/main" xmlns:r="http://schemas.openxmlformats.org/officeDocument/2006/relationships">
  <dimension ref="A1:N23"/>
  <sheetViews>
    <sheetView workbookViewId="0"/>
  </sheetViews>
  <cols>
    <col min="1" max="1" width="10.83203125" customWidth="1"/>
    <col min="2" max="2" width="12.83203125" customWidth="1"/>
    <col min="3" max="3" width="12.83203125" customWidth="1"/>
    <col min="4" max="4" width="8.83203125" customWidth="1"/>
    <col min="5" max="5" width="13.83203125" customWidth="1"/>
    <col min="6" max="6" width="15.83203125" customWidth="1"/>
    <col min="7" max="7" width="14.83203125" customWidth="1"/>
    <col min="8" max="8" width="20.83203125" customWidth="1"/>
    <col min="9" max="9" width="15.83203125" customWidth="1"/>
    <col min="10" max="10" width="11.83203125" customWidth="1"/>
    <col min="11" max="11" width="11.83203125" customWidth="1"/>
    <col min="12" max="12" width="8.83203125" customWidth="1"/>
    <col min="13" max="13" width="16.83203125" customWidth="1"/>
    <col min="14" max="14" width="18.83203125" customWidth="1"/>
  </cols>
  <sheetData>
    <row r="1">
      <c r="A1" t="str">
        <v>Job Name</v>
      </c>
      <c r="B1" t="str">
        <v>Factory No</v>
      </c>
      <c r="C1" t="str">
        <v>Brand Name</v>
      </c>
      <c r="D1" t="str">
        <v>Floors</v>
      </c>
      <c r="E1" t="str">
        <v>Weight (kg)</v>
      </c>
      <c r="F1" t="str">
        <v>Selling Price</v>
      </c>
      <c r="G1" t="str">
        <v>Paid Nominal</v>
      </c>
      <c r="H1" t="str">
        <v>Paid GEL</v>
      </c>
      <c r="I1" t="str">
        <v>Debit Nominal</v>
      </c>
      <c r="J1" t="str">
        <v>Debit GEL</v>
      </c>
      <c r="K1" t="str">
        <v>Total GEL</v>
      </c>
      <c r="L1" t="str">
        <v>Type</v>
      </c>
      <c r="M1" t="str">
        <v>Lift Cert Date</v>
      </c>
      <c r="N1" t="str">
        <v>Lift Cert Doc No</v>
      </c>
    </row>
    <row r="2">
      <c r="A2" t="str">
        <v>L0301</v>
      </c>
      <c r="B2" t="str">
        <v>K6NC1206</v>
      </c>
      <c r="C2" t="str">
        <v>OTIS</v>
      </c>
      <c r="D2">
        <v>10</v>
      </c>
      <c r="E2">
        <v>400</v>
      </c>
      <c r="F2" s="1">
        <v>38805</v>
      </c>
      <c r="G2" s="1">
        <v>27163.5</v>
      </c>
      <c r="H2" s="1">
        <v>73636.56</v>
      </c>
      <c r="I2" s="1">
        <v>11641.5</v>
      </c>
      <c r="J2" s="1">
        <v>31306.32</v>
      </c>
      <c r="K2" s="1">
        <v>104942.88</v>
      </c>
      <c r="L2" t="str">
        <v>NOT FF</v>
      </c>
      <c r="M2" s="2">
        <v>46148</v>
      </c>
      <c r="N2" t="str">
        <v>0746-26</v>
      </c>
    </row>
    <row r="3">
      <c r="A3" t="str">
        <v>L0302</v>
      </c>
      <c r="B3" t="str">
        <v>K6NC1207</v>
      </c>
      <c r="C3" t="str">
        <v>OTIS</v>
      </c>
      <c r="D3">
        <v>10</v>
      </c>
      <c r="E3">
        <v>400</v>
      </c>
      <c r="F3" s="1">
        <v>38805</v>
      </c>
      <c r="G3" s="1">
        <v>27163.5</v>
      </c>
      <c r="H3" s="1">
        <v>73636.56</v>
      </c>
      <c r="I3" s="1">
        <v>11641.5</v>
      </c>
      <c r="J3" s="1">
        <v>31306.32</v>
      </c>
      <c r="K3" s="1">
        <v>104942.88</v>
      </c>
      <c r="L3" t="str">
        <v>NOT FF</v>
      </c>
      <c r="M3" s="2">
        <v>46148</v>
      </c>
      <c r="N3" t="str">
        <v>0747-26</v>
      </c>
    </row>
    <row r="4">
      <c r="A4" t="str">
        <v>L0401</v>
      </c>
      <c r="B4" t="str">
        <v>K6NC1208</v>
      </c>
      <c r="C4" t="str">
        <v>OTIS</v>
      </c>
      <c r="D4">
        <v>10</v>
      </c>
      <c r="E4">
        <v>320</v>
      </c>
      <c r="F4" s="1">
        <v>37310</v>
      </c>
      <c r="G4" s="1">
        <v>35444.5</v>
      </c>
      <c r="H4" s="1">
        <v>95941.73</v>
      </c>
      <c r="I4" s="1">
        <v>1865.5</v>
      </c>
      <c r="J4" s="1">
        <v>5024.91</v>
      </c>
      <c r="K4" s="1">
        <v>100966.64</v>
      </c>
      <c r="L4" t="str">
        <v>NOT FF</v>
      </c>
      <c r="M4" s="2">
        <v>46132</v>
      </c>
      <c r="N4" t="str">
        <v>0594-26</v>
      </c>
    </row>
    <row r="5">
      <c r="A5" t="str">
        <v>L0402</v>
      </c>
      <c r="B5" t="str">
        <v>K6NC1209</v>
      </c>
      <c r="C5" t="str">
        <v>OTIS</v>
      </c>
      <c r="D5">
        <v>10</v>
      </c>
      <c r="E5">
        <v>320</v>
      </c>
      <c r="F5" s="1">
        <v>37310</v>
      </c>
      <c r="G5" s="1">
        <v>35444.5</v>
      </c>
      <c r="H5" s="1">
        <v>95941.73</v>
      </c>
      <c r="I5" s="1">
        <v>1865.5</v>
      </c>
      <c r="J5" s="1">
        <v>5024.91</v>
      </c>
      <c r="K5" s="1">
        <v>100966.64</v>
      </c>
      <c r="L5" t="str">
        <v>NOT FF</v>
      </c>
      <c r="M5" s="2">
        <v>46132</v>
      </c>
      <c r="N5" t="str">
        <v>0608-26</v>
      </c>
    </row>
    <row r="6">
      <c r="A6" t="str">
        <v>L0501</v>
      </c>
      <c r="B6" t="str">
        <v>K6NC1210</v>
      </c>
      <c r="C6" t="str">
        <v>OTIS</v>
      </c>
      <c r="D6">
        <v>10</v>
      </c>
      <c r="E6">
        <v>320</v>
      </c>
      <c r="F6" s="1">
        <v>37310</v>
      </c>
      <c r="G6" s="1">
        <v>26117</v>
      </c>
      <c r="H6" s="1">
        <v>70799.64</v>
      </c>
      <c r="I6" s="1">
        <v>11193</v>
      </c>
      <c r="J6" s="1">
        <v>29825.99</v>
      </c>
      <c r="K6" s="1">
        <v>100625.63</v>
      </c>
      <c r="L6" t="str">
        <v>NOT FF</v>
      </c>
      <c r="M6" s="2">
        <v>46178</v>
      </c>
      <c r="N6" t="str">
        <v>0976-26</v>
      </c>
    </row>
    <row r="7">
      <c r="A7" t="str">
        <v>L0502</v>
      </c>
      <c r="B7" t="str">
        <v>K6NC1211</v>
      </c>
      <c r="C7" t="str">
        <v>OTIS</v>
      </c>
      <c r="D7">
        <v>10</v>
      </c>
      <c r="E7">
        <v>320</v>
      </c>
      <c r="F7" s="1">
        <v>37310</v>
      </c>
      <c r="G7" s="1">
        <v>26117</v>
      </c>
      <c r="H7" s="1">
        <v>70799.64</v>
      </c>
      <c r="I7" s="1">
        <v>11193</v>
      </c>
      <c r="J7" s="1">
        <v>29825.99</v>
      </c>
      <c r="K7" s="1">
        <v>100625.63</v>
      </c>
      <c r="L7" t="str">
        <v>NOT FF</v>
      </c>
      <c r="M7" s="2">
        <v>46178</v>
      </c>
      <c r="N7" t="str">
        <v>0977-26</v>
      </c>
    </row>
    <row r="8">
      <c r="A8" t="str">
        <v>L0601</v>
      </c>
      <c r="B8" t="str">
        <v>K6NC1212</v>
      </c>
      <c r="C8" t="str">
        <v>OTIS</v>
      </c>
      <c r="D8">
        <v>10</v>
      </c>
      <c r="E8">
        <v>630</v>
      </c>
      <c r="F8" s="1">
        <v>44840</v>
      </c>
      <c r="G8" s="1">
        <v>31388</v>
      </c>
      <c r="H8" s="1">
        <v>85088.61</v>
      </c>
      <c r="I8" s="1">
        <v>13452</v>
      </c>
      <c r="J8" s="1">
        <v>35684.12</v>
      </c>
      <c r="K8" s="1">
        <v>120772.73</v>
      </c>
      <c r="L8" t="str">
        <v>NOT FF</v>
      </c>
      <c r="M8" s="2">
        <v>46192</v>
      </c>
      <c r="N8" t="str">
        <v>1097-26</v>
      </c>
    </row>
    <row r="9">
      <c r="A9" t="str">
        <v>L0602</v>
      </c>
      <c r="B9" t="str">
        <v>K6NC1213</v>
      </c>
      <c r="C9" t="str">
        <v>OTIS</v>
      </c>
      <c r="D9">
        <v>10</v>
      </c>
      <c r="E9">
        <v>630</v>
      </c>
      <c r="F9" s="1">
        <v>44840</v>
      </c>
      <c r="G9" s="1">
        <v>31388</v>
      </c>
      <c r="H9" s="1">
        <v>85088.61</v>
      </c>
      <c r="I9" s="1">
        <v>13452</v>
      </c>
      <c r="J9" s="1">
        <v>35684.12</v>
      </c>
      <c r="K9" s="1">
        <v>120772.73</v>
      </c>
      <c r="L9" t="str">
        <v>NOT FF</v>
      </c>
      <c r="M9" s="2">
        <v>46192</v>
      </c>
      <c r="N9" t="str">
        <v>1096-26</v>
      </c>
    </row>
    <row r="10">
      <c r="A10" t="str">
        <v>L0701</v>
      </c>
      <c r="B10" t="str">
        <v>K6NC1214</v>
      </c>
      <c r="C10" t="str">
        <v>OTIS</v>
      </c>
      <c r="D10">
        <v>10</v>
      </c>
      <c r="E10">
        <v>630</v>
      </c>
      <c r="F10" s="1">
        <v>44840</v>
      </c>
      <c r="G10" s="1">
        <v>31388</v>
      </c>
      <c r="H10" s="1">
        <v>85088.61</v>
      </c>
      <c r="I10" s="1">
        <v>13452</v>
      </c>
      <c r="J10" s="1">
        <v>0</v>
      </c>
      <c r="K10" s="1">
        <v>0</v>
      </c>
      <c r="L10" t="str">
        <v>NOT FF</v>
      </c>
      <c r="M10" s="2" t="str">
        <v/>
      </c>
      <c r="N10" t="str">
        <v/>
      </c>
    </row>
    <row r="11">
      <c r="A11" t="str">
        <v>L0702</v>
      </c>
      <c r="B11" t="str">
        <v>K6NC1215</v>
      </c>
      <c r="C11" t="str">
        <v>OTIS</v>
      </c>
      <c r="D11">
        <v>10</v>
      </c>
      <c r="E11">
        <v>630</v>
      </c>
      <c r="F11" s="1">
        <v>44840</v>
      </c>
      <c r="G11" s="1">
        <v>31388</v>
      </c>
      <c r="H11" s="1">
        <v>85088.61</v>
      </c>
      <c r="I11" s="1">
        <v>13452</v>
      </c>
      <c r="J11" s="1">
        <v>0</v>
      </c>
      <c r="K11" s="1">
        <v>0</v>
      </c>
      <c r="L11" t="str">
        <v>NOT FF</v>
      </c>
      <c r="M11" s="2" t="str">
        <v/>
      </c>
      <c r="N11" t="str">
        <v/>
      </c>
    </row>
    <row r="12">
      <c r="A12" t="str">
        <v>L0801</v>
      </c>
      <c r="B12" t="str">
        <v>K6NC1216</v>
      </c>
      <c r="C12" t="str">
        <v>OTIS</v>
      </c>
      <c r="D12">
        <v>11</v>
      </c>
      <c r="E12">
        <v>630</v>
      </c>
      <c r="F12" s="1">
        <v>47220</v>
      </c>
      <c r="G12" s="1">
        <v>44859</v>
      </c>
      <c r="H12" s="1">
        <v>121425.04999999999</v>
      </c>
      <c r="I12" s="1">
        <v>2361</v>
      </c>
      <c r="J12" s="1">
        <v>6370.21</v>
      </c>
      <c r="K12" s="1">
        <v>127795.26</v>
      </c>
      <c r="L12" t="str">
        <v>NOT FF</v>
      </c>
      <c r="M12" s="2">
        <v>46118</v>
      </c>
      <c r="N12" t="str">
        <v>0560-26</v>
      </c>
    </row>
    <row r="13">
      <c r="A13" t="str">
        <v>L0802</v>
      </c>
      <c r="B13" t="str">
        <v>K6NC1217</v>
      </c>
      <c r="C13" t="str">
        <v>OTIS</v>
      </c>
      <c r="D13">
        <v>11</v>
      </c>
      <c r="E13">
        <v>630</v>
      </c>
      <c r="F13" s="1">
        <v>47220</v>
      </c>
      <c r="G13" s="1">
        <v>44859</v>
      </c>
      <c r="H13" s="1">
        <v>121425.04999999999</v>
      </c>
      <c r="I13" s="1">
        <v>2361</v>
      </c>
      <c r="J13" s="1">
        <v>6370.21</v>
      </c>
      <c r="K13" s="1">
        <v>127795.26</v>
      </c>
      <c r="L13" t="str">
        <v>NOT FF</v>
      </c>
      <c r="M13" s="2">
        <v>46118</v>
      </c>
      <c r="N13" t="str">
        <v>0561-26</v>
      </c>
    </row>
    <row r="14">
      <c r="A14" t="str">
        <v>L0901</v>
      </c>
      <c r="B14" t="str">
        <v>K6NC1218</v>
      </c>
      <c r="C14" t="str">
        <v>OTIS</v>
      </c>
      <c r="D14">
        <v>11</v>
      </c>
      <c r="E14">
        <v>630</v>
      </c>
      <c r="F14" s="1">
        <v>47220</v>
      </c>
      <c r="G14" s="1">
        <v>44859</v>
      </c>
      <c r="H14" s="1">
        <v>121425.04999999999</v>
      </c>
      <c r="I14" s="1">
        <v>2361</v>
      </c>
      <c r="J14" s="1">
        <v>6359.59</v>
      </c>
      <c r="K14" s="1">
        <v>127784.64</v>
      </c>
      <c r="L14" t="str">
        <v>NOT FF</v>
      </c>
      <c r="M14" s="2">
        <v>46132</v>
      </c>
      <c r="N14" t="str">
        <v>0607-26</v>
      </c>
    </row>
    <row r="15">
      <c r="A15" t="str">
        <v>L0902</v>
      </c>
      <c r="B15" t="str">
        <v>K6NC1219</v>
      </c>
      <c r="C15" t="str">
        <v>OTIS</v>
      </c>
      <c r="D15">
        <v>11</v>
      </c>
      <c r="E15">
        <v>630</v>
      </c>
      <c r="F15" s="1">
        <v>47220</v>
      </c>
      <c r="G15" s="1">
        <v>44859</v>
      </c>
      <c r="H15" s="1">
        <v>121425.04999999999</v>
      </c>
      <c r="I15" s="1">
        <v>2361</v>
      </c>
      <c r="J15" s="1">
        <v>6359.59</v>
      </c>
      <c r="K15" s="1">
        <v>127784.64</v>
      </c>
      <c r="L15" t="str">
        <v>NOT FF</v>
      </c>
      <c r="M15" s="2">
        <v>46132</v>
      </c>
      <c r="N15" t="str">
        <v>0593-26</v>
      </c>
    </row>
    <row r="16">
      <c r="A16" t="str">
        <v>L1001</v>
      </c>
      <c r="B16" t="str">
        <v>K6NC1220</v>
      </c>
      <c r="C16" t="str">
        <v>OTIS</v>
      </c>
      <c r="D16">
        <v>11</v>
      </c>
      <c r="E16">
        <v>630</v>
      </c>
      <c r="F16" s="1">
        <v>47220</v>
      </c>
      <c r="G16" s="1">
        <v>37776</v>
      </c>
      <c r="H16" s="1">
        <v>102366.11</v>
      </c>
      <c r="I16" s="1">
        <v>9444</v>
      </c>
      <c r="J16" s="1">
        <v>25438.36</v>
      </c>
      <c r="K16" s="1">
        <v>127804.47</v>
      </c>
      <c r="L16" t="str">
        <v>NOT FF</v>
      </c>
      <c r="M16" s="2">
        <v>46136</v>
      </c>
      <c r="N16" t="str">
        <v>0666-26</v>
      </c>
    </row>
    <row r="17">
      <c r="A17" t="str">
        <v>L1002</v>
      </c>
      <c r="B17" t="str">
        <v>K6NC1221</v>
      </c>
      <c r="C17" t="str">
        <v>OTIS</v>
      </c>
      <c r="D17">
        <v>11</v>
      </c>
      <c r="E17">
        <v>630</v>
      </c>
      <c r="F17" s="1">
        <v>47220</v>
      </c>
      <c r="G17" s="1">
        <v>37776</v>
      </c>
      <c r="H17" s="1">
        <v>102366.11</v>
      </c>
      <c r="I17" s="1">
        <v>9444</v>
      </c>
      <c r="J17" s="1">
        <v>25438.36</v>
      </c>
      <c r="K17" s="1">
        <v>127804.47</v>
      </c>
      <c r="L17" t="str">
        <v>NOT FF</v>
      </c>
      <c r="M17" s="2">
        <v>46136</v>
      </c>
      <c r="N17" t="str">
        <v>0667-26</v>
      </c>
    </row>
    <row r="18">
      <c r="A18" t="str">
        <v>L1101</v>
      </c>
      <c r="B18" t="str">
        <v>K6NC1222</v>
      </c>
      <c r="C18" t="str">
        <v>OTIS</v>
      </c>
      <c r="D18">
        <v>26</v>
      </c>
      <c r="E18">
        <v>1050</v>
      </c>
      <c r="F18" s="1">
        <v>74170</v>
      </c>
      <c r="G18" s="1">
        <v>59336</v>
      </c>
      <c r="H18" s="1">
        <v>160789.8</v>
      </c>
      <c r="I18" s="1">
        <v>14834</v>
      </c>
      <c r="J18" s="1">
        <v>0</v>
      </c>
      <c r="K18" s="1">
        <v>0</v>
      </c>
      <c r="L18" t="str">
        <v>NOT FF</v>
      </c>
      <c r="M18" s="2" t="str">
        <v/>
      </c>
      <c r="N18" t="str">
        <v/>
      </c>
    </row>
    <row r="19">
      <c r="A19" t="str">
        <v>L1102</v>
      </c>
      <c r="B19" t="str">
        <v>K6NC1223</v>
      </c>
      <c r="C19" t="str">
        <v>OTIS</v>
      </c>
      <c r="D19">
        <v>26</v>
      </c>
      <c r="E19">
        <v>1050</v>
      </c>
      <c r="F19" s="1">
        <v>74170</v>
      </c>
      <c r="G19" s="1">
        <v>59336</v>
      </c>
      <c r="H19" s="1">
        <v>160789.8</v>
      </c>
      <c r="I19" s="1">
        <v>14834</v>
      </c>
      <c r="J19" s="1">
        <v>0</v>
      </c>
      <c r="K19" s="1">
        <v>0</v>
      </c>
      <c r="L19" t="str">
        <v>NOT FF</v>
      </c>
      <c r="M19" s="2" t="str">
        <v/>
      </c>
      <c r="N19" t="str">
        <v/>
      </c>
    </row>
    <row r="20">
      <c r="A20" t="str">
        <v>L1103</v>
      </c>
      <c r="B20" t="str">
        <v>K6NC1224</v>
      </c>
      <c r="C20" t="str">
        <v>OTIS</v>
      </c>
      <c r="D20">
        <v>26</v>
      </c>
      <c r="E20">
        <v>1600</v>
      </c>
      <c r="F20" s="1">
        <v>86040</v>
      </c>
      <c r="G20" s="1">
        <v>81738</v>
      </c>
      <c r="H20" s="1">
        <v>221249.71000000002</v>
      </c>
      <c r="I20" s="1">
        <v>4302</v>
      </c>
      <c r="J20" s="1">
        <v>11587.87</v>
      </c>
      <c r="K20" s="1">
        <v>232837.58</v>
      </c>
      <c r="L20" t="str">
        <v>NOT FF</v>
      </c>
      <c r="M20" s="2">
        <v>46132</v>
      </c>
      <c r="N20" t="str">
        <v>0622-26</v>
      </c>
    </row>
    <row r="21">
      <c r="A21" t="str">
        <v>L1201</v>
      </c>
      <c r="B21" t="str">
        <v>K6NC1225</v>
      </c>
      <c r="C21" t="str">
        <v>OTIS</v>
      </c>
      <c r="D21">
        <v>26</v>
      </c>
      <c r="E21">
        <v>1050</v>
      </c>
      <c r="F21" s="1">
        <v>74170</v>
      </c>
      <c r="G21" s="1">
        <v>59336</v>
      </c>
      <c r="H21" s="1">
        <v>160789.8</v>
      </c>
      <c r="I21" s="1">
        <v>14834</v>
      </c>
      <c r="J21" s="1">
        <v>0</v>
      </c>
      <c r="K21" s="1">
        <v>0</v>
      </c>
      <c r="L21" t="str">
        <v>NOT FF</v>
      </c>
      <c r="M21" s="2" t="str">
        <v/>
      </c>
      <c r="N21" t="str">
        <v/>
      </c>
    </row>
    <row r="22">
      <c r="A22" t="str">
        <v>L1202</v>
      </c>
      <c r="B22" t="str">
        <v>K6NC1226</v>
      </c>
      <c r="C22" t="str">
        <v>OTIS</v>
      </c>
      <c r="D22">
        <v>26</v>
      </c>
      <c r="E22">
        <v>1600</v>
      </c>
      <c r="F22" s="1">
        <v>86040</v>
      </c>
      <c r="G22" s="1">
        <v>81738</v>
      </c>
      <c r="H22" s="1">
        <v>221249.74</v>
      </c>
      <c r="I22" s="1">
        <v>4302</v>
      </c>
      <c r="J22" s="1">
        <v>11587.87</v>
      </c>
      <c r="K22" s="1">
        <v>232837.61</v>
      </c>
      <c r="L22" t="str">
        <v>NOT FF</v>
      </c>
      <c r="M22" s="2">
        <v>46132</v>
      </c>
      <c r="N22" t="str">
        <v>0623-26</v>
      </c>
    </row>
    <row r="23">
      <c r="A23" t="str">
        <v/>
      </c>
      <c r="B23" t="str">
        <v/>
      </c>
      <c r="C23" t="str">
        <v/>
      </c>
      <c r="D23" t="str">
        <v/>
      </c>
      <c r="E23" t="str">
        <v/>
      </c>
      <c r="F23" s="1">
        <v>1084120</v>
      </c>
      <c r="G23" s="1">
        <v>899474</v>
      </c>
      <c r="H23" s="1">
        <v>2436411.5700000003</v>
      </c>
      <c r="I23" s="1">
        <v>184646</v>
      </c>
      <c r="J23" s="1">
        <v>303194.73999999993</v>
      </c>
      <c r="K23" s="1">
        <v>2087059.69</v>
      </c>
      <c r="L23" t="str">
        <v/>
      </c>
      <c r="M23" t="str">
        <v/>
      </c>
      <c r="N23" t="str">
        <v/>
      </c>
    </row>
  </sheetData>
  <ignoredErrors>
    <ignoredError numberStoredAsText="1" sqref="A1:N23"/>
  </ignoredErrors>
</worksheet>
</file>

<file path=xl/worksheets/sheet4.xml><?xml version="1.0" encoding="utf-8"?>
<worksheet xmlns="http://schemas.openxmlformats.org/spreadsheetml/2006/main" xmlns:r="http://schemas.openxmlformats.org/officeDocument/2006/relationships">
  <dimension ref="A1:H8"/>
  <sheetViews>
    <sheetView workbookViewId="0"/>
  </sheetViews>
  <cols>
    <col min="1" max="1" width="13.83203125" customWidth="1"/>
    <col min="2" max="2" width="18.83203125" customWidth="1"/>
    <col min="3" max="3" width="50.83203125" customWidth="1"/>
    <col min="4" max="4" width="9.83203125" customWidth="1"/>
    <col min="5" max="5" width="8.83203125" customWidth="1"/>
    <col min="6" max="6" width="9.83203125" customWidth="1"/>
    <col min="7" max="7" width="8.83203125" customWidth="1"/>
    <col min="8" max="8" width="7.83203125" customWidth="1"/>
  </cols>
  <sheetData>
    <row r="1">
      <c r="A1" t="str">
        <v>Latest Date</v>
      </c>
      <c r="B1" t="str">
        <v>Payment ID</v>
      </c>
      <c r="C1" t="str">
        <v>Financial Code</v>
      </c>
      <c r="D1" t="str">
        <v>Accrual</v>
      </c>
      <c r="E1" t="str">
        <v>Order</v>
      </c>
      <c r="F1" t="str">
        <v>Payment</v>
      </c>
      <c r="G1" t="str">
        <v>Paid %</v>
      </c>
      <c r="H1" t="str">
        <v>Due</v>
      </c>
    </row>
    <row r="2">
      <c r="A2" s="2">
        <v>46105</v>
      </c>
      <c r="B2" t="str">
        <v>fcdee1_4a_820648</v>
      </c>
      <c r="C2" t="str">
        <v>1.1.1.1. (+) ლიფტების ავანსი</v>
      </c>
      <c r="D2" s="1">
        <v>325236</v>
      </c>
      <c r="E2" s="1">
        <v>325236</v>
      </c>
      <c r="F2" s="1">
        <v>325236</v>
      </c>
      <c r="G2" s="3">
        <v>1</v>
      </c>
      <c r="H2" s="1">
        <v>0</v>
      </c>
    </row>
    <row r="3">
      <c r="A3" s="2">
        <v>46105</v>
      </c>
      <c r="B3" t="str">
        <v>bc9ec3_0a_14f1b8</v>
      </c>
      <c r="C3" t="str">
        <v>1.1.1.2. (+) ლიფტების საქარხნო მზაობის ავანსი</v>
      </c>
      <c r="D3" s="1">
        <v>271030</v>
      </c>
      <c r="E3" s="1">
        <v>271030</v>
      </c>
      <c r="F3" s="1">
        <v>271030</v>
      </c>
      <c r="G3" s="3">
        <v>1</v>
      </c>
      <c r="H3" s="1">
        <v>0</v>
      </c>
    </row>
    <row r="4">
      <c r="A4" s="2">
        <v>46133</v>
      </c>
      <c r="B4" t="str">
        <v>8d434f_c5_1dbbf6</v>
      </c>
      <c r="C4" t="str">
        <v>1.1.1.4. (+) ლიფტების მონტაჟის პროგრესის ავანსი</v>
      </c>
      <c r="D4" s="1">
        <v>162618</v>
      </c>
      <c r="E4" s="1">
        <v>162618</v>
      </c>
      <c r="F4" s="1">
        <v>75253</v>
      </c>
      <c r="G4" s="3">
        <v>0.4628</v>
      </c>
      <c r="H4" s="1">
        <v>87365</v>
      </c>
    </row>
    <row r="5">
      <c r="A5" s="2">
        <v>46133</v>
      </c>
      <c r="B5" t="str">
        <v>604d3e_94_d1b168</v>
      </c>
      <c r="C5" t="str">
        <v>1.1.1.3. (+) ლიფტების საბაჟოზე შემოსვლის ან დასაწყობების ავანსი</v>
      </c>
      <c r="D5" s="1">
        <v>162618</v>
      </c>
      <c r="E5" s="1">
        <v>162618</v>
      </c>
      <c r="F5" s="1">
        <v>162618</v>
      </c>
      <c r="G5" s="3">
        <v>1</v>
      </c>
      <c r="H5" s="1">
        <v>0</v>
      </c>
    </row>
    <row r="6">
      <c r="A6" s="2">
        <v>46133</v>
      </c>
      <c r="B6" t="str">
        <v>276913_31_f9b0e0</v>
      </c>
      <c r="C6" t="str">
        <v>1.1.1.6. (+) ლიფტების თანხის დაკავების გარანტია</v>
      </c>
      <c r="D6" s="1">
        <v>54206</v>
      </c>
      <c r="E6" s="1">
        <v>54206</v>
      </c>
      <c r="F6" s="1">
        <v>0</v>
      </c>
      <c r="G6" s="3">
        <v>0</v>
      </c>
      <c r="H6" s="1">
        <v>54206</v>
      </c>
    </row>
    <row r="7">
      <c r="A7" s="2">
        <v>46146</v>
      </c>
      <c r="B7" t="str">
        <v>188100_d8_818266</v>
      </c>
      <c r="C7" t="str">
        <v>1.1.1.5. (+) ლიფტების ჩაბარება</v>
      </c>
      <c r="D7" s="1">
        <v>108412</v>
      </c>
      <c r="E7" s="1">
        <v>108412</v>
      </c>
      <c r="F7" s="1">
        <v>65337</v>
      </c>
      <c r="G7" s="3">
        <v>0.6027</v>
      </c>
      <c r="H7" s="1">
        <v>43075</v>
      </c>
    </row>
    <row r="8">
      <c r="A8" t="str">
        <v/>
      </c>
      <c r="B8" t="str">
        <v/>
      </c>
      <c r="C8" t="str">
        <v/>
      </c>
      <c r="D8" s="1">
        <v>1084120</v>
      </c>
      <c r="E8" s="1">
        <v>1084120</v>
      </c>
      <c r="F8" s="1">
        <v>899474</v>
      </c>
      <c r="G8">
        <v>4.0655</v>
      </c>
      <c r="H8" s="1">
        <v>184646</v>
      </c>
    </row>
  </sheetData>
  <ignoredErrors>
    <ignoredError numberStoredAsText="1" sqref="A1:H8"/>
  </ignoredErrors>
</worksheet>
</file>

<file path=xl/worksheets/sheet5.xml><?xml version="1.0" encoding="utf-8"?>
<worksheet xmlns="http://schemas.openxmlformats.org/spreadsheetml/2006/main" xmlns:r="http://schemas.openxmlformats.org/officeDocument/2006/relationships">
  <dimension ref="A1:P86"/>
  <sheetViews>
    <sheetView workbookViewId="0"/>
  </sheetViews>
  <cols>
    <col min="1" max="1" width="7.83203125" customWidth="1"/>
    <col min="2" max="2" width="16.83203125" customWidth="1"/>
    <col min="3" max="3" width="9.83203125" customWidth="1"/>
    <col min="4" max="4" width="11.83203125" customWidth="1"/>
    <col min="5" max="5" width="50.83203125" customWidth="1"/>
    <col min="6" max="6" width="18.83203125" customWidth="1"/>
    <col min="7" max="7" width="22.83203125" customWidth="1"/>
    <col min="8" max="8" width="50.83203125" customWidth="1"/>
    <col min="9" max="9" width="13.83203125" customWidth="1"/>
    <col min="10" max="10" width="14.83203125" customWidth="1"/>
    <col min="11" max="11" width="10.83203125" customWidth="1"/>
    <col min="12" max="12" width="12.83203125" customWidth="1"/>
    <col min="13" max="13" width="15.83203125" customWidth="1"/>
    <col min="14" max="14" width="21.83203125" customWidth="1"/>
    <col min="15" max="15" width="20.83203125" customWidth="1"/>
    <col min="16" max="16" width="35.83203125" customWidth="1"/>
  </cols>
  <sheetData>
    <row r="1">
      <c r="A1" t="str">
        <v>Date</v>
      </c>
      <c r="B1" t="str">
        <v>Nominal Amount</v>
      </c>
      <c r="C1" t="str">
        <v>Nom ISO</v>
      </c>
      <c r="D1" t="str">
        <v>Amount</v>
      </c>
      <c r="E1" t="str">
        <v>Financial Code</v>
      </c>
      <c r="F1" t="str">
        <v>Payment ID</v>
      </c>
      <c r="G1" t="str">
        <v>Batch ID</v>
      </c>
      <c r="H1" t="str">
        <v>Description</v>
      </c>
      <c r="I1" t="str">
        <v>ID1</v>
      </c>
      <c r="J1" t="str">
        <v>ID2</v>
      </c>
      <c r="K1" t="str">
        <v>Job Name</v>
      </c>
      <c r="L1" t="str">
        <v>Factory No</v>
      </c>
      <c r="M1" t="str">
        <v>Selling Price</v>
      </c>
      <c r="N1" t="str">
        <v>Allocation %</v>
      </c>
      <c r="O1" t="str">
        <v>Distributed Amount</v>
      </c>
      <c r="P1" t="str">
        <v>Distributed Amount (Account Curr)</v>
      </c>
    </row>
    <row r="2">
      <c r="A2" s="2">
        <v>46146</v>
      </c>
      <c r="B2" s="1">
        <v>65337</v>
      </c>
      <c r="C2" t="str">
        <v>USD</v>
      </c>
      <c r="D2" s="1">
        <v>175808.8</v>
      </c>
      <c r="E2" t="str">
        <v>1.1.1.5. (+) ლიფტების ჩაბარება</v>
      </c>
      <c r="F2" t="str">
        <v>188100_d8_818266</v>
      </c>
      <c r="G2" t="str">
        <v/>
      </c>
      <c r="H2"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2" t="str">
        <v>46313099636</v>
      </c>
      <c r="J2" t="str">
        <v>116332933840</v>
      </c>
      <c r="K2" t="str">
        <v>L0402</v>
      </c>
      <c r="L2" t="str">
        <v>K6NC1209</v>
      </c>
      <c r="M2" s="1" t="str">
        <v/>
      </c>
      <c r="N2" s="3">
        <v>0.0857</v>
      </c>
      <c r="O2" s="1">
        <v>5599.3809</v>
      </c>
      <c r="P2" s="1">
        <v>15066.814159999998</v>
      </c>
    </row>
    <row r="3">
      <c r="A3" s="2">
        <v>46146</v>
      </c>
      <c r="B3" s="1">
        <v>65337</v>
      </c>
      <c r="C3" t="str">
        <v>USD</v>
      </c>
      <c r="D3" s="1">
        <v>175808.8</v>
      </c>
      <c r="E3" t="str">
        <v>1.1.1.5. (+) ლიფტების ჩაბარება</v>
      </c>
      <c r="F3" t="str">
        <v>188100_d8_818266</v>
      </c>
      <c r="G3" t="str">
        <v/>
      </c>
      <c r="H3"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3" t="str">
        <v>46313099636</v>
      </c>
      <c r="J3" t="str">
        <v>116332933840</v>
      </c>
      <c r="K3" t="str">
        <v>L0801</v>
      </c>
      <c r="L3" t="str">
        <v>K6NC1216</v>
      </c>
      <c r="M3" s="1" t="str">
        <v/>
      </c>
      <c r="N3" s="3">
        <v>0.1084</v>
      </c>
      <c r="O3" s="1">
        <v>7082.5307999999995</v>
      </c>
      <c r="P3" s="1">
        <v>19057.673919999997</v>
      </c>
    </row>
    <row r="4">
      <c r="A4" s="2">
        <v>46146</v>
      </c>
      <c r="B4" s="1">
        <v>65337</v>
      </c>
      <c r="C4" t="str">
        <v>USD</v>
      </c>
      <c r="D4" s="1">
        <v>175808.8</v>
      </c>
      <c r="E4" t="str">
        <v>1.1.1.5. (+) ლიფტების ჩაბარება</v>
      </c>
      <c r="F4" t="str">
        <v>188100_d8_818266</v>
      </c>
      <c r="G4" t="str">
        <v/>
      </c>
      <c r="H4"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4" t="str">
        <v>46313099636</v>
      </c>
      <c r="J4" t="str">
        <v>116332933840</v>
      </c>
      <c r="K4" t="str">
        <v>L0802</v>
      </c>
      <c r="L4" t="str">
        <v>K6NC1217</v>
      </c>
      <c r="M4" s="1" t="str">
        <v/>
      </c>
      <c r="N4" s="3">
        <v>0.1084</v>
      </c>
      <c r="O4" s="1">
        <v>7082.5307999999995</v>
      </c>
      <c r="P4" s="1">
        <v>19057.673919999997</v>
      </c>
    </row>
    <row r="5">
      <c r="A5" s="2">
        <v>46146</v>
      </c>
      <c r="B5" s="1">
        <v>65337</v>
      </c>
      <c r="C5" t="str">
        <v>USD</v>
      </c>
      <c r="D5" s="1">
        <v>175808.8</v>
      </c>
      <c r="E5" t="str">
        <v>1.1.1.5. (+) ლიფტების ჩაბარება</v>
      </c>
      <c r="F5" t="str">
        <v>188100_d8_818266</v>
      </c>
      <c r="G5" t="str">
        <v/>
      </c>
      <c r="H5"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5" t="str">
        <v>46313099636</v>
      </c>
      <c r="J5" t="str">
        <v>116332933840</v>
      </c>
      <c r="K5" t="str">
        <v>L0901</v>
      </c>
      <c r="L5" t="str">
        <v>K6NC1218</v>
      </c>
      <c r="M5" s="1" t="str">
        <v/>
      </c>
      <c r="N5" s="3">
        <v>0.1084</v>
      </c>
      <c r="O5" s="1">
        <v>7082.5307999999995</v>
      </c>
      <c r="P5" s="1">
        <v>19057.673919999997</v>
      </c>
    </row>
    <row r="6">
      <c r="A6" s="2">
        <v>46146</v>
      </c>
      <c r="B6" s="1">
        <v>65337</v>
      </c>
      <c r="C6" t="str">
        <v>USD</v>
      </c>
      <c r="D6" s="1">
        <v>175808.8</v>
      </c>
      <c r="E6" t="str">
        <v>1.1.1.5. (+) ლიფტების ჩაბარება</v>
      </c>
      <c r="F6" t="str">
        <v>188100_d8_818266</v>
      </c>
      <c r="G6" t="str">
        <v/>
      </c>
      <c r="H6"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6" t="str">
        <v>46313099636</v>
      </c>
      <c r="J6" t="str">
        <v>116332933840</v>
      </c>
      <c r="K6" t="str">
        <v>L0902</v>
      </c>
      <c r="L6" t="str">
        <v>K6NC1219</v>
      </c>
      <c r="M6" s="1" t="str">
        <v/>
      </c>
      <c r="N6" s="3">
        <v>0.1084</v>
      </c>
      <c r="O6" s="1">
        <v>7082.5307999999995</v>
      </c>
      <c r="P6" s="1">
        <v>19057.673919999997</v>
      </c>
    </row>
    <row r="7">
      <c r="A7" s="2">
        <v>46146</v>
      </c>
      <c r="B7" s="1">
        <v>65337</v>
      </c>
      <c r="C7" t="str">
        <v>USD</v>
      </c>
      <c r="D7" s="1">
        <v>175808.8</v>
      </c>
      <c r="E7" t="str">
        <v>1.1.1.5. (+) ლიფტების ჩაბარება</v>
      </c>
      <c r="F7" t="str">
        <v>188100_d8_818266</v>
      </c>
      <c r="G7" t="str">
        <v/>
      </c>
      <c r="H7"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7" t="str">
        <v>46313099636</v>
      </c>
      <c r="J7" t="str">
        <v>116332933840</v>
      </c>
      <c r="K7" t="str">
        <v>L1103</v>
      </c>
      <c r="L7" t="str">
        <v>K6NC1224</v>
      </c>
      <c r="M7" s="1" t="str">
        <v/>
      </c>
      <c r="N7" s="3">
        <v>0.1975</v>
      </c>
      <c r="O7" s="1">
        <v>12904.0575</v>
      </c>
      <c r="P7" s="1">
        <v>34722.238</v>
      </c>
    </row>
    <row r="8">
      <c r="A8" s="2">
        <v>46146</v>
      </c>
      <c r="B8" s="1">
        <v>65337</v>
      </c>
      <c r="C8" t="str">
        <v>USD</v>
      </c>
      <c r="D8" s="1">
        <v>175808.8</v>
      </c>
      <c r="E8" t="str">
        <v>1.1.1.5. (+) ლიფტების ჩაბარება</v>
      </c>
      <c r="F8" t="str">
        <v>188100_d8_818266</v>
      </c>
      <c r="G8" t="str">
        <v/>
      </c>
      <c r="H8"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8" t="str">
        <v>46313099636</v>
      </c>
      <c r="J8" t="str">
        <v>116332933840</v>
      </c>
      <c r="K8" t="str">
        <v>L1202</v>
      </c>
      <c r="L8" t="str">
        <v>K6NC1226</v>
      </c>
      <c r="M8" s="1" t="str">
        <v/>
      </c>
      <c r="N8" s="3">
        <v>0.1975</v>
      </c>
      <c r="O8" s="1">
        <v>12904.0575</v>
      </c>
      <c r="P8" s="1">
        <v>34722.238</v>
      </c>
    </row>
    <row r="9">
      <c r="A9" s="2">
        <v>46146</v>
      </c>
      <c r="B9" s="1">
        <v>65337</v>
      </c>
      <c r="C9" t="str">
        <v>USD</v>
      </c>
      <c r="D9" s="1">
        <v>175808.8</v>
      </c>
      <c r="E9" t="str">
        <v>1.1.1.5. (+) ლიფტების ჩაბარება</v>
      </c>
      <c r="F9" t="str">
        <v>188100_d8_818266</v>
      </c>
      <c r="G9" t="str">
        <v/>
      </c>
      <c r="H9" t="str">
        <v>ხელშ.08,07,25,მ.ჩ.27,04,26, ხელშეკრულების პროდუქციის ნაწილის გადაცემა და თანმდევი მომსახურება დანართი N1-ის შესაბამისად ( ჭყონდიდელის მე-4,8,9,11,12 ბლოკების L0401, L0402, L0801, L0802, L0901, L0902, L1103 და L1202 ლიფტები)(65,337 დოლარი კურსი2.6908)</v>
      </c>
      <c r="I9" t="str">
        <v>46313099636</v>
      </c>
      <c r="J9" t="str">
        <v>116332933840</v>
      </c>
      <c r="K9" t="str">
        <v>L0401</v>
      </c>
      <c r="L9" t="str">
        <v>K6NC1208</v>
      </c>
      <c r="M9" s="1" t="str">
        <v/>
      </c>
      <c r="N9" s="3">
        <v>0.0857</v>
      </c>
      <c r="O9" s="1">
        <v>5599.3809</v>
      </c>
      <c r="P9" s="1">
        <v>15066.814159999998</v>
      </c>
    </row>
    <row r="10">
      <c r="A10" s="2">
        <v>46111</v>
      </c>
      <c r="B10" s="1">
        <v>75253</v>
      </c>
      <c r="C10" t="str">
        <v>USD</v>
      </c>
      <c r="D10" s="1">
        <v>203371.23</v>
      </c>
      <c r="E10" t="str">
        <v>1.1.1.4. (+) ლიფტების მონტაჟის პროგრესის ავანსი</v>
      </c>
      <c r="F10" t="str">
        <v>8d434f_c5_1dbbf6</v>
      </c>
      <c r="G10" t="str">
        <v/>
      </c>
      <c r="H10" t="str">
        <v>მ.ჩ.26,03,26, IV ტრანში, მე- 8,9,10,11,12 ლიფტების მექანიკური მონტაჟის ღირებულება(75,253 დოლარი კურსი 2.7025)</v>
      </c>
      <c r="I10" t="str">
        <v>45666506693</v>
      </c>
      <c r="J10" t="str">
        <v>114087366837</v>
      </c>
      <c r="K10" t="str">
        <v>L1202</v>
      </c>
      <c r="L10" t="str">
        <v>K6NC1226</v>
      </c>
      <c r="M10" s="1" t="str">
        <v/>
      </c>
      <c r="N10" s="3">
        <v>0.1143</v>
      </c>
      <c r="O10" s="1">
        <v>8601.4179</v>
      </c>
      <c r="P10" s="1">
        <v>23245.331589</v>
      </c>
    </row>
    <row r="11">
      <c r="A11" s="2">
        <v>46111</v>
      </c>
      <c r="B11" s="1">
        <v>75253</v>
      </c>
      <c r="C11" t="str">
        <v>USD</v>
      </c>
      <c r="D11" s="1">
        <v>203371.23</v>
      </c>
      <c r="E11" t="str">
        <v>1.1.1.4. (+) ლიფტების მონტაჟის პროგრესის ავანსი</v>
      </c>
      <c r="F11" t="str">
        <v>8d434f_c5_1dbbf6</v>
      </c>
      <c r="G11" t="str">
        <v/>
      </c>
      <c r="H11" t="str">
        <v>მ.ჩ.26,03,26, IV ტრანში, მე- 8,9,10,11,12 ლიფტების მექანიკური მონტაჟის ღირებულება(75,253 დოლარი კურსი 2.7025)</v>
      </c>
      <c r="I11" t="str">
        <v>45666506693</v>
      </c>
      <c r="J11" t="str">
        <v>114087366837</v>
      </c>
      <c r="K11" t="str">
        <v>L0901</v>
      </c>
      <c r="L11" t="str">
        <v>K6NC1218</v>
      </c>
      <c r="M11" s="1" t="str">
        <v/>
      </c>
      <c r="N11" s="3">
        <v>0.06269999999999999</v>
      </c>
      <c r="O11" s="1">
        <v>4718.3631</v>
      </c>
      <c r="P11" s="1">
        <v>12751.376121</v>
      </c>
    </row>
    <row r="12">
      <c r="A12" s="2">
        <v>46111</v>
      </c>
      <c r="B12" s="1">
        <v>75253</v>
      </c>
      <c r="C12" t="str">
        <v>USD</v>
      </c>
      <c r="D12" s="1">
        <v>203371.23</v>
      </c>
      <c r="E12" t="str">
        <v>1.1.1.4. (+) ლიფტების მონტაჟის პროგრესის ავანსი</v>
      </c>
      <c r="F12" t="str">
        <v>8d434f_c5_1dbbf6</v>
      </c>
      <c r="G12" t="str">
        <v/>
      </c>
      <c r="H12" t="str">
        <v>მ.ჩ.26,03,26, IV ტრანში, მე- 8,9,10,11,12 ლიფტების მექანიკური მონტაჟის ღირებულება(75,253 დოლარი კურსი 2.7025)</v>
      </c>
      <c r="I12" t="str">
        <v>45666506693</v>
      </c>
      <c r="J12" t="str">
        <v>114087366837</v>
      </c>
      <c r="K12" t="str">
        <v>L0902</v>
      </c>
      <c r="L12" t="str">
        <v>K6NC1219</v>
      </c>
      <c r="M12" s="1" t="str">
        <v/>
      </c>
      <c r="N12" s="3">
        <v>0.06269999999999999</v>
      </c>
      <c r="O12" s="1">
        <v>4718.3631</v>
      </c>
      <c r="P12" s="1">
        <v>12751.376121</v>
      </c>
    </row>
    <row r="13">
      <c r="A13" s="2">
        <v>46111</v>
      </c>
      <c r="B13" s="1">
        <v>75253</v>
      </c>
      <c r="C13" t="str">
        <v>USD</v>
      </c>
      <c r="D13" s="1">
        <v>203371.23</v>
      </c>
      <c r="E13" t="str">
        <v>1.1.1.4. (+) ლიფტების მონტაჟის პროგრესის ავანსი</v>
      </c>
      <c r="F13" t="str">
        <v>8d434f_c5_1dbbf6</v>
      </c>
      <c r="G13" t="str">
        <v/>
      </c>
      <c r="H13" t="str">
        <v>მ.ჩ.26,03,26, IV ტრანში, მე- 8,9,10,11,12 ლიფტების მექანიკური მონტაჟის ღირებულება(75,253 დოლარი კურსი 2.7025)</v>
      </c>
      <c r="I13" t="str">
        <v>45666506693</v>
      </c>
      <c r="J13" t="str">
        <v>114087366837</v>
      </c>
      <c r="K13" t="str">
        <v>L1001</v>
      </c>
      <c r="L13" t="str">
        <v>K6NC1220</v>
      </c>
      <c r="M13" s="1" t="str">
        <v/>
      </c>
      <c r="N13" s="3">
        <v>0.06269999999999999</v>
      </c>
      <c r="O13" s="1">
        <v>4718.3631</v>
      </c>
      <c r="P13" s="1">
        <v>12751.376121</v>
      </c>
    </row>
    <row r="14">
      <c r="A14" s="2">
        <v>46111</v>
      </c>
      <c r="B14" s="1">
        <v>75253</v>
      </c>
      <c r="C14" t="str">
        <v>USD</v>
      </c>
      <c r="D14" s="1">
        <v>203371.23</v>
      </c>
      <c r="E14" t="str">
        <v>1.1.1.4. (+) ლიფტების მონტაჟის პროგრესის ავანსი</v>
      </c>
      <c r="F14" t="str">
        <v>8d434f_c5_1dbbf6</v>
      </c>
      <c r="G14" t="str">
        <v/>
      </c>
      <c r="H14" t="str">
        <v>მ.ჩ.26,03,26, IV ტრანში, მე- 8,9,10,11,12 ლიფტების მექანიკური მონტაჟის ღირებულება(75,253 დოლარი კურსი 2.7025)</v>
      </c>
      <c r="I14" t="str">
        <v>45666506693</v>
      </c>
      <c r="J14" t="str">
        <v>114087366837</v>
      </c>
      <c r="K14" t="str">
        <v>L1002</v>
      </c>
      <c r="L14" t="str">
        <v>K6NC1221</v>
      </c>
      <c r="M14" s="1" t="str">
        <v/>
      </c>
      <c r="N14" s="3">
        <v>0.06269999999999999</v>
      </c>
      <c r="O14" s="1">
        <v>4718.3631</v>
      </c>
      <c r="P14" s="1">
        <v>12751.376121</v>
      </c>
    </row>
    <row r="15">
      <c r="A15" s="2">
        <v>46111</v>
      </c>
      <c r="B15" s="1">
        <v>75253</v>
      </c>
      <c r="C15" t="str">
        <v>USD</v>
      </c>
      <c r="D15" s="1">
        <v>203371.23</v>
      </c>
      <c r="E15" t="str">
        <v>1.1.1.4. (+) ლიფტების მონტაჟის პროგრესის ავანსი</v>
      </c>
      <c r="F15" t="str">
        <v>8d434f_c5_1dbbf6</v>
      </c>
      <c r="G15" t="str">
        <v/>
      </c>
      <c r="H15" t="str">
        <v>მ.ჩ.26,03,26, IV ტრანში, მე- 8,9,10,11,12 ლიფტების მექანიკური მონტაჟის ღირებულება(75,253 დოლარი კურსი 2.7025)</v>
      </c>
      <c r="I15" t="str">
        <v>45666506693</v>
      </c>
      <c r="J15" t="str">
        <v>114087366837</v>
      </c>
      <c r="K15" t="str">
        <v>L1101</v>
      </c>
      <c r="L15" t="str">
        <v>K6NC1222</v>
      </c>
      <c r="M15" s="1" t="str">
        <v/>
      </c>
      <c r="N15" s="3">
        <v>0.0986</v>
      </c>
      <c r="O15" s="1">
        <v>7419.9457999999995</v>
      </c>
      <c r="P15" s="1">
        <v>20052.403277999998</v>
      </c>
    </row>
    <row r="16">
      <c r="A16" s="2">
        <v>46111</v>
      </c>
      <c r="B16" s="1">
        <v>75253</v>
      </c>
      <c r="C16" t="str">
        <v>USD</v>
      </c>
      <c r="D16" s="1">
        <v>203371.23</v>
      </c>
      <c r="E16" t="str">
        <v>1.1.1.4. (+) ლიფტების მონტაჟის პროგრესის ავანსი</v>
      </c>
      <c r="F16" t="str">
        <v>8d434f_c5_1dbbf6</v>
      </c>
      <c r="G16" t="str">
        <v/>
      </c>
      <c r="H16" t="str">
        <v>მ.ჩ.26,03,26, IV ტრანში, მე- 8,9,10,11,12 ლიფტების მექანიკური მონტაჟის ღირებულება(75,253 დოლარი კურსი 2.7025)</v>
      </c>
      <c r="I16" t="str">
        <v>45666506693</v>
      </c>
      <c r="J16" t="str">
        <v>114087366837</v>
      </c>
      <c r="K16" t="str">
        <v>L1102</v>
      </c>
      <c r="L16" t="str">
        <v>K6NC1223</v>
      </c>
      <c r="M16" s="1" t="str">
        <v/>
      </c>
      <c r="N16" s="3">
        <v>0.0986</v>
      </c>
      <c r="O16" s="1">
        <v>7419.9457999999995</v>
      </c>
      <c r="P16" s="1">
        <v>20052.403277999998</v>
      </c>
    </row>
    <row r="17">
      <c r="A17" s="2">
        <v>46111</v>
      </c>
      <c r="B17" s="1">
        <v>75253</v>
      </c>
      <c r="C17" t="str">
        <v>USD</v>
      </c>
      <c r="D17" s="1">
        <v>203371.23</v>
      </c>
      <c r="E17" t="str">
        <v>1.1.1.4. (+) ლიფტების მონტაჟის პროგრესის ავანსი</v>
      </c>
      <c r="F17" t="str">
        <v>8d434f_c5_1dbbf6</v>
      </c>
      <c r="G17" t="str">
        <v/>
      </c>
      <c r="H17" t="str">
        <v>მ.ჩ.26,03,26, IV ტრანში, მე- 8,9,10,11,12 ლიფტების მექანიკური მონტაჟის ღირებულება(75,253 დოლარი კურსი 2.7025)</v>
      </c>
      <c r="I17" t="str">
        <v>45666506693</v>
      </c>
      <c r="J17" t="str">
        <v>114087366837</v>
      </c>
      <c r="K17" t="str">
        <v>L1103</v>
      </c>
      <c r="L17" t="str">
        <v>K6NC1224</v>
      </c>
      <c r="M17" s="1" t="str">
        <v/>
      </c>
      <c r="N17" s="3">
        <v>0.1143</v>
      </c>
      <c r="O17" s="1">
        <v>8601.4179</v>
      </c>
      <c r="P17" s="1">
        <v>23245.331589</v>
      </c>
    </row>
    <row r="18">
      <c r="A18" s="2">
        <v>46111</v>
      </c>
      <c r="B18" s="1">
        <v>75253</v>
      </c>
      <c r="C18" t="str">
        <v>USD</v>
      </c>
      <c r="D18" s="1">
        <v>203371.23</v>
      </c>
      <c r="E18" t="str">
        <v>1.1.1.4. (+) ლიფტების მონტაჟის პროგრესის ავანსი</v>
      </c>
      <c r="F18" t="str">
        <v>8d434f_c5_1dbbf6</v>
      </c>
      <c r="G18" t="str">
        <v/>
      </c>
      <c r="H18" t="str">
        <v>მ.ჩ.26,03,26, IV ტრანში, მე- 8,9,10,11,12 ლიფტების მექანიკური მონტაჟის ღირებულება(75,253 დოლარი კურსი 2.7025)</v>
      </c>
      <c r="I18" t="str">
        <v>45666506693</v>
      </c>
      <c r="J18" t="str">
        <v>114087366837</v>
      </c>
      <c r="K18" t="str">
        <v>L1201</v>
      </c>
      <c r="L18" t="str">
        <v>K6NC1225</v>
      </c>
      <c r="M18" s="1" t="str">
        <v/>
      </c>
      <c r="N18" s="3">
        <v>0.0986</v>
      </c>
      <c r="O18" s="1">
        <v>7419.9457999999995</v>
      </c>
      <c r="P18" s="1">
        <v>20052.403277999998</v>
      </c>
    </row>
    <row r="19">
      <c r="A19" s="2">
        <v>46111</v>
      </c>
      <c r="B19" s="1">
        <v>75253</v>
      </c>
      <c r="C19" t="str">
        <v>USD</v>
      </c>
      <c r="D19" s="1">
        <v>203371.23</v>
      </c>
      <c r="E19" t="str">
        <v>1.1.1.4. (+) ლიფტების მონტაჟის პროგრესის ავანსი</v>
      </c>
      <c r="F19" t="str">
        <v>8d434f_c5_1dbbf6</v>
      </c>
      <c r="G19" t="str">
        <v/>
      </c>
      <c r="H19" t="str">
        <v>მ.ჩ.26,03,26, IV ტრანში, მე- 8,9,10,11,12 ლიფტების მექანიკური მონტაჟის ღირებულება(75,253 დოლარი კურსი 2.7025)</v>
      </c>
      <c r="I19" t="str">
        <v>45666506693</v>
      </c>
      <c r="J19" t="str">
        <v>114087366837</v>
      </c>
      <c r="K19" t="str">
        <v>L0401</v>
      </c>
      <c r="L19" t="str">
        <v>K6NC1208</v>
      </c>
      <c r="M19" s="1" t="str">
        <v/>
      </c>
      <c r="N19" s="3">
        <v>0.0496</v>
      </c>
      <c r="O19" s="1">
        <v>3732.5488</v>
      </c>
      <c r="P19" s="1">
        <v>10087.213008</v>
      </c>
    </row>
    <row r="20">
      <c r="A20" s="2">
        <v>46111</v>
      </c>
      <c r="B20" s="1">
        <v>75253</v>
      </c>
      <c r="C20" t="str">
        <v>USD</v>
      </c>
      <c r="D20" s="1">
        <v>203371.23</v>
      </c>
      <c r="E20" t="str">
        <v>1.1.1.4. (+) ლიფტების მონტაჟის პროგრესის ავანსი</v>
      </c>
      <c r="F20" t="str">
        <v>8d434f_c5_1dbbf6</v>
      </c>
      <c r="G20" t="str">
        <v/>
      </c>
      <c r="H20" t="str">
        <v>მ.ჩ.26,03,26, IV ტრანში, მე- 8,9,10,11,12 ლიფტების მექანიკური მონტაჟის ღირებულება(75,253 დოლარი კურსი 2.7025)</v>
      </c>
      <c r="I20" t="str">
        <v>45666506693</v>
      </c>
      <c r="J20" t="str">
        <v>114087366837</v>
      </c>
      <c r="K20" t="str">
        <v>L0402</v>
      </c>
      <c r="L20" t="str">
        <v>K6NC1209</v>
      </c>
      <c r="M20" s="1" t="str">
        <v/>
      </c>
      <c r="N20" s="3">
        <v>0.0496</v>
      </c>
      <c r="O20" s="1">
        <v>3732.5488</v>
      </c>
      <c r="P20" s="1">
        <v>10087.213008</v>
      </c>
    </row>
    <row r="21">
      <c r="A21" s="2">
        <v>46111</v>
      </c>
      <c r="B21" s="1">
        <v>75253</v>
      </c>
      <c r="C21" t="str">
        <v>USD</v>
      </c>
      <c r="D21" s="1">
        <v>203371.23</v>
      </c>
      <c r="E21" t="str">
        <v>1.1.1.4. (+) ლიფტების მონტაჟის პროგრესის ავანსი</v>
      </c>
      <c r="F21" t="str">
        <v>8d434f_c5_1dbbf6</v>
      </c>
      <c r="G21" t="str">
        <v/>
      </c>
      <c r="H21" t="str">
        <v>მ.ჩ.26,03,26, IV ტრანში, მე- 8,9,10,11,12 ლიფტების მექანიკური მონტაჟის ღირებულება(75,253 დოლარი კურსი 2.7025)</v>
      </c>
      <c r="I21" t="str">
        <v>45666506693</v>
      </c>
      <c r="J21" t="str">
        <v>114087366837</v>
      </c>
      <c r="K21" t="str">
        <v>L0801</v>
      </c>
      <c r="L21" t="str">
        <v>K6NC1216</v>
      </c>
      <c r="M21" s="1" t="str">
        <v/>
      </c>
      <c r="N21" s="3">
        <v>0.06269999999999999</v>
      </c>
      <c r="O21" s="1">
        <v>4718.3631</v>
      </c>
      <c r="P21" s="1">
        <v>12751.376121</v>
      </c>
    </row>
    <row r="22">
      <c r="A22" s="2">
        <v>46111</v>
      </c>
      <c r="B22" s="1">
        <v>75253</v>
      </c>
      <c r="C22" t="str">
        <v>USD</v>
      </c>
      <c r="D22" s="1">
        <v>203371.23</v>
      </c>
      <c r="E22" t="str">
        <v>1.1.1.4. (+) ლიფტების მონტაჟის პროგრესის ავანსი</v>
      </c>
      <c r="F22" t="str">
        <v>8d434f_c5_1dbbf6</v>
      </c>
      <c r="G22" t="str">
        <v/>
      </c>
      <c r="H22" t="str">
        <v>მ.ჩ.26,03,26, IV ტრანში, მე- 8,9,10,11,12 ლიფტების მექანიკური მონტაჟის ღირებულება(75,253 დოლარი კურსი 2.7025)</v>
      </c>
      <c r="I22" t="str">
        <v>45666506693</v>
      </c>
      <c r="J22" t="str">
        <v>114087366837</v>
      </c>
      <c r="K22" t="str">
        <v>L0802</v>
      </c>
      <c r="L22" t="str">
        <v>K6NC1217</v>
      </c>
      <c r="M22" s="1" t="str">
        <v/>
      </c>
      <c r="N22" s="3">
        <v>0.06269999999999999</v>
      </c>
      <c r="O22" s="1">
        <v>4718.3631</v>
      </c>
      <c r="P22" s="1">
        <v>12751.376121</v>
      </c>
    </row>
    <row r="23">
      <c r="A23" s="2">
        <v>46045</v>
      </c>
      <c r="B23" s="1">
        <v>162618</v>
      </c>
      <c r="C23" t="str">
        <v>USD</v>
      </c>
      <c r="D23" s="1">
        <v>438190.46</v>
      </c>
      <c r="E23" t="str">
        <v>1.1.1.3. (+) ლიფტების საბაჟოზე შემოსვლის ან დასაწყობების ავანსი</v>
      </c>
      <c r="F23" t="str">
        <v>604d3e_94_d1b168</v>
      </c>
      <c r="G23" t="str">
        <v/>
      </c>
      <c r="H23"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3" t="str">
        <v>31558139150</v>
      </c>
      <c r="J23" t="str">
        <v>110061226831</v>
      </c>
      <c r="K23" t="str">
        <v>L0801</v>
      </c>
      <c r="L23" t="str">
        <v>K6NC1216</v>
      </c>
      <c r="M23" s="1" t="str">
        <v/>
      </c>
      <c r="N23" s="3">
        <v>0.0436</v>
      </c>
      <c r="O23" s="1">
        <v>7090.1448</v>
      </c>
      <c r="P23" s="1">
        <v>19105.104056</v>
      </c>
    </row>
    <row r="24">
      <c r="A24" s="2">
        <v>46045</v>
      </c>
      <c r="B24" s="1">
        <v>162618</v>
      </c>
      <c r="C24" t="str">
        <v>USD</v>
      </c>
      <c r="D24" s="1">
        <v>438190.46</v>
      </c>
      <c r="E24" t="str">
        <v>1.1.1.3. (+) ლიფტების საბაჟოზე შემოსვლის ან დასაწყობების ავანსი</v>
      </c>
      <c r="F24" t="str">
        <v>604d3e_94_d1b168</v>
      </c>
      <c r="G24" t="str">
        <v/>
      </c>
      <c r="H24"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4" t="str">
        <v>31558139150</v>
      </c>
      <c r="J24" t="str">
        <v>110061226831</v>
      </c>
      <c r="K24" t="str">
        <v>L0301</v>
      </c>
      <c r="L24" t="str">
        <v>K6NC1206</v>
      </c>
      <c r="M24" s="1" t="str">
        <v/>
      </c>
      <c r="N24" s="3">
        <v>0.0358</v>
      </c>
      <c r="O24" s="1">
        <v>5821.7244</v>
      </c>
      <c r="P24" s="1">
        <v>15687.218468000001</v>
      </c>
    </row>
    <row r="25">
      <c r="A25" s="2">
        <v>46045</v>
      </c>
      <c r="B25" s="1">
        <v>162618</v>
      </c>
      <c r="C25" t="str">
        <v>USD</v>
      </c>
      <c r="D25" s="1">
        <v>438190.46</v>
      </c>
      <c r="E25" t="str">
        <v>1.1.1.3. (+) ლიფტების საბაჟოზე შემოსვლის ან დასაწყობების ავანსი</v>
      </c>
      <c r="F25" t="str">
        <v>604d3e_94_d1b168</v>
      </c>
      <c r="G25" t="str">
        <v/>
      </c>
      <c r="H25"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5" t="str">
        <v>31558139150</v>
      </c>
      <c r="J25" t="str">
        <v>110061226831</v>
      </c>
      <c r="K25" t="str">
        <v>L0302</v>
      </c>
      <c r="L25" t="str">
        <v>K6NC1207</v>
      </c>
      <c r="M25" s="1" t="str">
        <v/>
      </c>
      <c r="N25" s="3">
        <v>0.0358</v>
      </c>
      <c r="O25" s="1">
        <v>5821.7244</v>
      </c>
      <c r="P25" s="1">
        <v>15687.218468000001</v>
      </c>
    </row>
    <row r="26">
      <c r="A26" s="2">
        <v>46045</v>
      </c>
      <c r="B26" s="1">
        <v>162618</v>
      </c>
      <c r="C26" t="str">
        <v>USD</v>
      </c>
      <c r="D26" s="1">
        <v>438190.46</v>
      </c>
      <c r="E26" t="str">
        <v>1.1.1.3. (+) ლიფტების საბაჟოზე შემოსვლის ან დასაწყობების ავანსი</v>
      </c>
      <c r="F26" t="str">
        <v>604d3e_94_d1b168</v>
      </c>
      <c r="G26" t="str">
        <v/>
      </c>
      <c r="H26"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6" t="str">
        <v>31558139150</v>
      </c>
      <c r="J26" t="str">
        <v>110061226831</v>
      </c>
      <c r="K26" t="str">
        <v>L0401</v>
      </c>
      <c r="L26" t="str">
        <v>K6NC1208</v>
      </c>
      <c r="M26" s="1" t="str">
        <v/>
      </c>
      <c r="N26" s="3">
        <v>0.0344</v>
      </c>
      <c r="O26" s="1">
        <v>5594.0592</v>
      </c>
      <c r="P26" s="1">
        <v>15073.751824</v>
      </c>
    </row>
    <row r="27">
      <c r="A27" s="2">
        <v>46045</v>
      </c>
      <c r="B27" s="1">
        <v>162618</v>
      </c>
      <c r="C27" t="str">
        <v>USD</v>
      </c>
      <c r="D27" s="1">
        <v>438190.46</v>
      </c>
      <c r="E27" t="str">
        <v>1.1.1.3. (+) ლიფტების საბაჟოზე შემოსვლის ან დასაწყობების ავანსი</v>
      </c>
      <c r="F27" t="str">
        <v>604d3e_94_d1b168</v>
      </c>
      <c r="G27" t="str">
        <v/>
      </c>
      <c r="H27"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7" t="str">
        <v>31558139150</v>
      </c>
      <c r="J27" t="str">
        <v>110061226831</v>
      </c>
      <c r="K27" t="str">
        <v>L0402</v>
      </c>
      <c r="L27" t="str">
        <v>K6NC1209</v>
      </c>
      <c r="M27" s="1" t="str">
        <v/>
      </c>
      <c r="N27" s="3">
        <v>0.0344</v>
      </c>
      <c r="O27" s="1">
        <v>5594.0592</v>
      </c>
      <c r="P27" s="1">
        <v>15073.751824</v>
      </c>
    </row>
    <row r="28">
      <c r="A28" s="2">
        <v>46045</v>
      </c>
      <c r="B28" s="1">
        <v>162618</v>
      </c>
      <c r="C28" t="str">
        <v>USD</v>
      </c>
      <c r="D28" s="1">
        <v>438190.46</v>
      </c>
      <c r="E28" t="str">
        <v>1.1.1.3. (+) ლიფტების საბაჟოზე შემოსვლის ან დასაწყობების ავანსი</v>
      </c>
      <c r="F28" t="str">
        <v>604d3e_94_d1b168</v>
      </c>
      <c r="G28" t="str">
        <v/>
      </c>
      <c r="H28"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8" t="str">
        <v>31558139150</v>
      </c>
      <c r="J28" t="str">
        <v>110061226831</v>
      </c>
      <c r="K28" t="str">
        <v>L0501</v>
      </c>
      <c r="L28" t="str">
        <v>K6NC1210</v>
      </c>
      <c r="M28" s="1" t="str">
        <v/>
      </c>
      <c r="N28" s="3">
        <v>0.0344</v>
      </c>
      <c r="O28" s="1">
        <v>5594.0592</v>
      </c>
      <c r="P28" s="1">
        <v>15073.751824</v>
      </c>
    </row>
    <row r="29">
      <c r="A29" s="2">
        <v>46045</v>
      </c>
      <c r="B29" s="1">
        <v>162618</v>
      </c>
      <c r="C29" t="str">
        <v>USD</v>
      </c>
      <c r="D29" s="1">
        <v>438190.46</v>
      </c>
      <c r="E29" t="str">
        <v>1.1.1.3. (+) ლიფტების საბაჟოზე შემოსვლის ან დასაწყობების ავანსი</v>
      </c>
      <c r="F29" t="str">
        <v>604d3e_94_d1b168</v>
      </c>
      <c r="G29" t="str">
        <v/>
      </c>
      <c r="H29"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29" t="str">
        <v>31558139150</v>
      </c>
      <c r="J29" t="str">
        <v>110061226831</v>
      </c>
      <c r="K29" t="str">
        <v>L0502</v>
      </c>
      <c r="L29" t="str">
        <v>K6NC1211</v>
      </c>
      <c r="M29" s="1" t="str">
        <v/>
      </c>
      <c r="N29" s="3">
        <v>0.0344</v>
      </c>
      <c r="O29" s="1">
        <v>5594.0592</v>
      </c>
      <c r="P29" s="1">
        <v>15073.751824</v>
      </c>
    </row>
    <row r="30">
      <c r="A30" s="2">
        <v>46045</v>
      </c>
      <c r="B30" s="1">
        <v>162618</v>
      </c>
      <c r="C30" t="str">
        <v>USD</v>
      </c>
      <c r="D30" s="1">
        <v>438190.46</v>
      </c>
      <c r="E30" t="str">
        <v>1.1.1.3. (+) ლიფტების საბაჟოზე შემოსვლის ან დასაწყობების ავანსი</v>
      </c>
      <c r="F30" t="str">
        <v>604d3e_94_d1b168</v>
      </c>
      <c r="G30" t="str">
        <v/>
      </c>
      <c r="H30"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0" t="str">
        <v>31558139150</v>
      </c>
      <c r="J30" t="str">
        <v>110061226831</v>
      </c>
      <c r="K30" t="str">
        <v>L0601</v>
      </c>
      <c r="L30" t="str">
        <v>K6NC1212</v>
      </c>
      <c r="M30" s="1" t="str">
        <v/>
      </c>
      <c r="N30" s="3">
        <v>0.0414</v>
      </c>
      <c r="O30" s="1">
        <v>6732.3852</v>
      </c>
      <c r="P30" s="1">
        <v>18141.085044</v>
      </c>
    </row>
    <row r="31">
      <c r="A31" s="2">
        <v>46045</v>
      </c>
      <c r="B31" s="1">
        <v>162618</v>
      </c>
      <c r="C31" t="str">
        <v>USD</v>
      </c>
      <c r="D31" s="1">
        <v>438190.46</v>
      </c>
      <c r="E31" t="str">
        <v>1.1.1.3. (+) ლიფტების საბაჟოზე შემოსვლის ან დასაწყობების ავანსი</v>
      </c>
      <c r="F31" t="str">
        <v>604d3e_94_d1b168</v>
      </c>
      <c r="G31" t="str">
        <v/>
      </c>
      <c r="H31"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1" t="str">
        <v>31558139150</v>
      </c>
      <c r="J31" t="str">
        <v>110061226831</v>
      </c>
      <c r="K31" t="str">
        <v>L0602</v>
      </c>
      <c r="L31" t="str">
        <v>K6NC1213</v>
      </c>
      <c r="M31" s="1" t="str">
        <v/>
      </c>
      <c r="N31" s="3">
        <v>0.0414</v>
      </c>
      <c r="O31" s="1">
        <v>6732.3852</v>
      </c>
      <c r="P31" s="1">
        <v>18141.085044</v>
      </c>
    </row>
    <row r="32">
      <c r="A32" s="2">
        <v>46045</v>
      </c>
      <c r="B32" s="1">
        <v>162618</v>
      </c>
      <c r="C32" t="str">
        <v>USD</v>
      </c>
      <c r="D32" s="1">
        <v>438190.46</v>
      </c>
      <c r="E32" t="str">
        <v>1.1.1.3. (+) ლიფტების საბაჟოზე შემოსვლის ან დასაწყობების ავანსი</v>
      </c>
      <c r="F32" t="str">
        <v>604d3e_94_d1b168</v>
      </c>
      <c r="G32" t="str">
        <v/>
      </c>
      <c r="H32"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2" t="str">
        <v>31558139150</v>
      </c>
      <c r="J32" t="str">
        <v>110061226831</v>
      </c>
      <c r="K32" t="str">
        <v>L0701</v>
      </c>
      <c r="L32" t="str">
        <v>K6NC1214</v>
      </c>
      <c r="M32" s="1" t="str">
        <v/>
      </c>
      <c r="N32" s="3">
        <v>0.0414</v>
      </c>
      <c r="O32" s="1">
        <v>6732.3852</v>
      </c>
      <c r="P32" s="1">
        <v>18141.085044</v>
      </c>
    </row>
    <row r="33">
      <c r="A33" s="2">
        <v>46045</v>
      </c>
      <c r="B33" s="1">
        <v>162618</v>
      </c>
      <c r="C33" t="str">
        <v>USD</v>
      </c>
      <c r="D33" s="1">
        <v>438190.46</v>
      </c>
      <c r="E33" t="str">
        <v>1.1.1.3. (+) ლიფტების საბაჟოზე შემოსვლის ან დასაწყობების ავანსი</v>
      </c>
      <c r="F33" t="str">
        <v>604d3e_94_d1b168</v>
      </c>
      <c r="G33" t="str">
        <v/>
      </c>
      <c r="H33"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3" t="str">
        <v>31558139150</v>
      </c>
      <c r="J33" t="str">
        <v>110061226831</v>
      </c>
      <c r="K33" t="str">
        <v>L0702</v>
      </c>
      <c r="L33" t="str">
        <v>K6NC1215</v>
      </c>
      <c r="M33" s="1" t="str">
        <v/>
      </c>
      <c r="N33" s="3">
        <v>0.0414</v>
      </c>
      <c r="O33" s="1">
        <v>6732.3852</v>
      </c>
      <c r="P33" s="1">
        <v>18141.085044</v>
      </c>
    </row>
    <row r="34">
      <c r="A34" s="2">
        <v>46045</v>
      </c>
      <c r="B34" s="1">
        <v>162618</v>
      </c>
      <c r="C34" t="str">
        <v>USD</v>
      </c>
      <c r="D34" s="1">
        <v>438190.46</v>
      </c>
      <c r="E34" t="str">
        <v>1.1.1.3. (+) ლიფტების საბაჟოზე შემოსვლის ან დასაწყობების ავანსი</v>
      </c>
      <c r="F34" t="str">
        <v>604d3e_94_d1b168</v>
      </c>
      <c r="G34" t="str">
        <v/>
      </c>
      <c r="H34"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4" t="str">
        <v>31558139150</v>
      </c>
      <c r="J34" t="str">
        <v>110061226831</v>
      </c>
      <c r="K34" t="str">
        <v>L0802</v>
      </c>
      <c r="L34" t="str">
        <v>K6NC1217</v>
      </c>
      <c r="M34" s="1" t="str">
        <v/>
      </c>
      <c r="N34" s="3">
        <v>0.0436</v>
      </c>
      <c r="O34" s="1">
        <v>7090.1448</v>
      </c>
      <c r="P34" s="1">
        <v>19105.104056</v>
      </c>
    </row>
    <row r="35">
      <c r="A35" s="2">
        <v>46045</v>
      </c>
      <c r="B35" s="1">
        <v>162618</v>
      </c>
      <c r="C35" t="str">
        <v>USD</v>
      </c>
      <c r="D35" s="1">
        <v>438190.46</v>
      </c>
      <c r="E35" t="str">
        <v>1.1.1.3. (+) ლიფტების საბაჟოზე შემოსვლის ან დასაწყობების ავანსი</v>
      </c>
      <c r="F35" t="str">
        <v>604d3e_94_d1b168</v>
      </c>
      <c r="G35" t="str">
        <v/>
      </c>
      <c r="H35"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5" t="str">
        <v>31558139150</v>
      </c>
      <c r="J35" t="str">
        <v>110061226831</v>
      </c>
      <c r="K35" t="str">
        <v>L0901</v>
      </c>
      <c r="L35" t="str">
        <v>K6NC1218</v>
      </c>
      <c r="M35" s="1" t="str">
        <v/>
      </c>
      <c r="N35" s="3">
        <v>0.0436</v>
      </c>
      <c r="O35" s="1">
        <v>7090.1448</v>
      </c>
      <c r="P35" s="1">
        <v>19105.104056</v>
      </c>
    </row>
    <row r="36">
      <c r="A36" s="2">
        <v>46045</v>
      </c>
      <c r="B36" s="1">
        <v>162618</v>
      </c>
      <c r="C36" t="str">
        <v>USD</v>
      </c>
      <c r="D36" s="1">
        <v>438190.46</v>
      </c>
      <c r="E36" t="str">
        <v>1.1.1.3. (+) ლიფტების საბაჟოზე შემოსვლის ან დასაწყობების ავანსი</v>
      </c>
      <c r="F36" t="str">
        <v>604d3e_94_d1b168</v>
      </c>
      <c r="G36" t="str">
        <v/>
      </c>
      <c r="H36"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6" t="str">
        <v>31558139150</v>
      </c>
      <c r="J36" t="str">
        <v>110061226831</v>
      </c>
      <c r="K36" t="str">
        <v>L0902</v>
      </c>
      <c r="L36" t="str">
        <v>K6NC1219</v>
      </c>
      <c r="M36" s="1" t="str">
        <v/>
      </c>
      <c r="N36" s="3">
        <v>0.0436</v>
      </c>
      <c r="O36" s="1">
        <v>7090.1448</v>
      </c>
      <c r="P36" s="1">
        <v>19105.104056</v>
      </c>
    </row>
    <row r="37">
      <c r="A37" s="2">
        <v>46045</v>
      </c>
      <c r="B37" s="1">
        <v>162618</v>
      </c>
      <c r="C37" t="str">
        <v>USD</v>
      </c>
      <c r="D37" s="1">
        <v>438190.46</v>
      </c>
      <c r="E37" t="str">
        <v>1.1.1.3. (+) ლიფტების საბაჟოზე შემოსვლის ან დასაწყობების ავანსი</v>
      </c>
      <c r="F37" t="str">
        <v>604d3e_94_d1b168</v>
      </c>
      <c r="G37" t="str">
        <v/>
      </c>
      <c r="H37"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7" t="str">
        <v>31558139150</v>
      </c>
      <c r="J37" t="str">
        <v>110061226831</v>
      </c>
      <c r="K37" t="str">
        <v>L1001</v>
      </c>
      <c r="L37" t="str">
        <v>K6NC1220</v>
      </c>
      <c r="M37" s="1" t="str">
        <v/>
      </c>
      <c r="N37" s="3">
        <v>0.0436</v>
      </c>
      <c r="O37" s="1">
        <v>7090.1448</v>
      </c>
      <c r="P37" s="1">
        <v>19105.104056</v>
      </c>
    </row>
    <row r="38">
      <c r="A38" s="2">
        <v>46045</v>
      </c>
      <c r="B38" s="1">
        <v>162618</v>
      </c>
      <c r="C38" t="str">
        <v>USD</v>
      </c>
      <c r="D38" s="1">
        <v>438190.46</v>
      </c>
      <c r="E38" t="str">
        <v>1.1.1.3. (+) ლიფტების საბაჟოზე შემოსვლის ან დასაწყობების ავანსი</v>
      </c>
      <c r="F38" t="str">
        <v>604d3e_94_d1b168</v>
      </c>
      <c r="G38" t="str">
        <v/>
      </c>
      <c r="H38"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8" t="str">
        <v>31558139150</v>
      </c>
      <c r="J38" t="str">
        <v>110061226831</v>
      </c>
      <c r="K38" t="str">
        <v>L1002</v>
      </c>
      <c r="L38" t="str">
        <v>K6NC1221</v>
      </c>
      <c r="M38" s="1" t="str">
        <v/>
      </c>
      <c r="N38" s="3">
        <v>0.0436</v>
      </c>
      <c r="O38" s="1">
        <v>7090.1448</v>
      </c>
      <c r="P38" s="1">
        <v>19105.104056</v>
      </c>
    </row>
    <row r="39">
      <c r="A39" s="2">
        <v>46045</v>
      </c>
      <c r="B39" s="1">
        <v>162618</v>
      </c>
      <c r="C39" t="str">
        <v>USD</v>
      </c>
      <c r="D39" s="1">
        <v>438190.46</v>
      </c>
      <c r="E39" t="str">
        <v>1.1.1.3. (+) ლიფტების საბაჟოზე შემოსვლის ან დასაწყობების ავანსი</v>
      </c>
      <c r="F39" t="str">
        <v>604d3e_94_d1b168</v>
      </c>
      <c r="G39" t="str">
        <v/>
      </c>
      <c r="H39"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39" t="str">
        <v>31558139150</v>
      </c>
      <c r="J39" t="str">
        <v>110061226831</v>
      </c>
      <c r="K39" t="str">
        <v>L1101</v>
      </c>
      <c r="L39" t="str">
        <v>K6NC1222</v>
      </c>
      <c r="M39" s="1" t="str">
        <v/>
      </c>
      <c r="N39" s="3">
        <v>0.0684</v>
      </c>
      <c r="O39" s="1">
        <v>11123.0712</v>
      </c>
      <c r="P39" s="1">
        <v>29972.227464000003</v>
      </c>
    </row>
    <row r="40">
      <c r="A40" s="2">
        <v>46045</v>
      </c>
      <c r="B40" s="1">
        <v>162618</v>
      </c>
      <c r="C40" t="str">
        <v>USD</v>
      </c>
      <c r="D40" s="1">
        <v>438190.46</v>
      </c>
      <c r="E40" t="str">
        <v>1.1.1.3. (+) ლიფტების საბაჟოზე შემოსვლის ან დასაწყობების ავანსი</v>
      </c>
      <c r="F40" t="str">
        <v>604d3e_94_d1b168</v>
      </c>
      <c r="G40" t="str">
        <v/>
      </c>
      <c r="H40"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40" t="str">
        <v>31558139150</v>
      </c>
      <c r="J40" t="str">
        <v>110061226831</v>
      </c>
      <c r="K40" t="str">
        <v>L1102</v>
      </c>
      <c r="L40" t="str">
        <v>K6NC1223</v>
      </c>
      <c r="M40" s="1" t="str">
        <v/>
      </c>
      <c r="N40" s="3">
        <v>0.0684</v>
      </c>
      <c r="O40" s="1">
        <v>11123.0712</v>
      </c>
      <c r="P40" s="1">
        <v>29972.227464000003</v>
      </c>
    </row>
    <row r="41">
      <c r="A41" s="2">
        <v>46045</v>
      </c>
      <c r="B41" s="1">
        <v>162618</v>
      </c>
      <c r="C41" t="str">
        <v>USD</v>
      </c>
      <c r="D41" s="1">
        <v>438190.46</v>
      </c>
      <c r="E41" t="str">
        <v>1.1.1.3. (+) ლიფტების საბაჟოზე შემოსვლის ან დასაწყობების ავანსი</v>
      </c>
      <c r="F41" t="str">
        <v>604d3e_94_d1b168</v>
      </c>
      <c r="G41" t="str">
        <v/>
      </c>
      <c r="H41"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41" t="str">
        <v>31558139150</v>
      </c>
      <c r="J41" t="str">
        <v>110061226831</v>
      </c>
      <c r="K41" t="str">
        <v>L1103</v>
      </c>
      <c r="L41" t="str">
        <v>K6NC1224</v>
      </c>
      <c r="M41" s="1" t="str">
        <v/>
      </c>
      <c r="N41" s="3">
        <v>0.0794</v>
      </c>
      <c r="O41" s="1">
        <v>12911.8692</v>
      </c>
      <c r="P41" s="1">
        <v>34792.322524</v>
      </c>
    </row>
    <row r="42">
      <c r="A42" s="2">
        <v>46045</v>
      </c>
      <c r="B42" s="1">
        <v>162618</v>
      </c>
      <c r="C42" t="str">
        <v>USD</v>
      </c>
      <c r="D42" s="1">
        <v>438190.46</v>
      </c>
      <c r="E42" t="str">
        <v>1.1.1.3. (+) ლიფტების საბაჟოზე შემოსვლის ან დასაწყობების ავანსი</v>
      </c>
      <c r="F42" t="str">
        <v>604d3e_94_d1b168</v>
      </c>
      <c r="G42" t="str">
        <v/>
      </c>
      <c r="H42"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42" t="str">
        <v>31558139150</v>
      </c>
      <c r="J42" t="str">
        <v>110061226831</v>
      </c>
      <c r="K42" t="str">
        <v>L1201</v>
      </c>
      <c r="L42" t="str">
        <v>K6NC1225</v>
      </c>
      <c r="M42" s="1" t="str">
        <v/>
      </c>
      <c r="N42" s="3">
        <v>0.0684</v>
      </c>
      <c r="O42" s="1">
        <v>11123.0712</v>
      </c>
      <c r="P42" s="1">
        <v>29972.227464000003</v>
      </c>
    </row>
    <row r="43">
      <c r="A43" s="2">
        <v>46045</v>
      </c>
      <c r="B43" s="1">
        <v>162618</v>
      </c>
      <c r="C43" t="str">
        <v>USD</v>
      </c>
      <c r="D43" s="1">
        <v>438190.46</v>
      </c>
      <c r="E43" t="str">
        <v>1.1.1.3. (+) ლიფტების საბაჟოზე შემოსვლის ან დასაწყობების ავანსი</v>
      </c>
      <c r="F43" t="str">
        <v>604d3e_94_d1b168</v>
      </c>
      <c r="G43" t="str">
        <v/>
      </c>
      <c r="H43" t="str">
        <v>ხელშ.08,07,25,ინვოისი 21.01.2026, III ტრანში, ჯამური ფასის 15%, ჭყონდიდელის ობიექტისთვის 23 ერთეული OTIS-ის ბრენდის ლიფტების წარმოება, ტრანსპორტირება, მიწოდება, ჩამოტვირთვა, ლიფტების ინსპექტირების სერთიფიკატის გაცემა(162,618 დოლარი კურსი 2.6946)</v>
      </c>
      <c r="I43" t="str">
        <v>31558139150</v>
      </c>
      <c r="J43" t="str">
        <v>110061226831</v>
      </c>
      <c r="K43" t="str">
        <v>L1202</v>
      </c>
      <c r="L43" t="str">
        <v>K6NC1226</v>
      </c>
      <c r="M43" s="1" t="str">
        <v/>
      </c>
      <c r="N43" s="3">
        <v>0.0794</v>
      </c>
      <c r="O43" s="1">
        <v>12911.8692</v>
      </c>
      <c r="P43" s="1">
        <v>34792.322524</v>
      </c>
    </row>
    <row r="44">
      <c r="A44" s="2">
        <v>45937</v>
      </c>
      <c r="B44" s="1">
        <v>271030</v>
      </c>
      <c r="C44" t="str">
        <v>USD</v>
      </c>
      <c r="D44" s="1">
        <v>737228.71</v>
      </c>
      <c r="E44" t="str">
        <v>1.1.1.2. (+) ლიფტების საქარხნო მზაობის ავანსი</v>
      </c>
      <c r="F44" t="str">
        <v>bc9ec3_0a_14f1b8</v>
      </c>
      <c r="G44" t="str">
        <v>BTC_369293_16_87D449</v>
      </c>
      <c r="H44"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4" t="str">
        <v>29698660805</v>
      </c>
      <c r="J44" t="str">
        <v>103703608507</v>
      </c>
      <c r="K44" t="str">
        <v>L0301</v>
      </c>
      <c r="L44" t="str">
        <v>K6NC1206</v>
      </c>
      <c r="M44" s="1" t="str">
        <v/>
      </c>
      <c r="N44" s="3">
        <v>0.0358</v>
      </c>
      <c r="O44" s="1">
        <v>9702.874</v>
      </c>
      <c r="P44" s="1">
        <v>26392.787817999997</v>
      </c>
    </row>
    <row r="45">
      <c r="A45" s="2">
        <v>45937</v>
      </c>
      <c r="B45" s="1">
        <v>271030</v>
      </c>
      <c r="C45" t="str">
        <v>USD</v>
      </c>
      <c r="D45" s="1">
        <v>737228.71</v>
      </c>
      <c r="E45" t="str">
        <v>1.1.1.2. (+) ლიფტების საქარხნო მზაობის ავანსი</v>
      </c>
      <c r="F45" t="str">
        <v>bc9ec3_0a_14f1b8</v>
      </c>
      <c r="G45" t="str">
        <v>BTC_369293_16_87D449</v>
      </c>
      <c r="H45"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5" t="str">
        <v>29698660805</v>
      </c>
      <c r="J45" t="str">
        <v>103703608507</v>
      </c>
      <c r="K45" t="str">
        <v>L0302</v>
      </c>
      <c r="L45" t="str">
        <v>K6NC1207</v>
      </c>
      <c r="M45" s="1" t="str">
        <v/>
      </c>
      <c r="N45" s="3">
        <v>0.0358</v>
      </c>
      <c r="O45" s="1">
        <v>9702.874</v>
      </c>
      <c r="P45" s="1">
        <v>26392.787817999997</v>
      </c>
    </row>
    <row r="46">
      <c r="A46" s="2">
        <v>45937</v>
      </c>
      <c r="B46" s="1">
        <v>271030</v>
      </c>
      <c r="C46" t="str">
        <v>USD</v>
      </c>
      <c r="D46" s="1">
        <v>737228.71</v>
      </c>
      <c r="E46" t="str">
        <v>1.1.1.2. (+) ლიფტების საქარხნო მზაობის ავანსი</v>
      </c>
      <c r="F46" t="str">
        <v>bc9ec3_0a_14f1b8</v>
      </c>
      <c r="G46" t="str">
        <v>BTC_369293_16_87D449</v>
      </c>
      <c r="H46"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6" t="str">
        <v>29698660805</v>
      </c>
      <c r="J46" t="str">
        <v>103703608507</v>
      </c>
      <c r="K46" t="str">
        <v>L0501</v>
      </c>
      <c r="L46" t="str">
        <v>K6NC1210</v>
      </c>
      <c r="M46" s="1" t="str">
        <v/>
      </c>
      <c r="N46" s="3">
        <v>0.0344</v>
      </c>
      <c r="O46" s="1">
        <v>9323.432</v>
      </c>
      <c r="P46" s="1">
        <v>25360.667623999998</v>
      </c>
    </row>
    <row r="47">
      <c r="A47" s="2">
        <v>45937</v>
      </c>
      <c r="B47" s="1">
        <v>271030</v>
      </c>
      <c r="C47" t="str">
        <v>USD</v>
      </c>
      <c r="D47" s="1">
        <v>737228.71</v>
      </c>
      <c r="E47" t="str">
        <v>1.1.1.2. (+) ლიფტების საქარხნო მზაობის ავანსი</v>
      </c>
      <c r="F47" t="str">
        <v>bc9ec3_0a_14f1b8</v>
      </c>
      <c r="G47" t="str">
        <v>BTC_369293_16_87D449</v>
      </c>
      <c r="H47"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7" t="str">
        <v>29698660805</v>
      </c>
      <c r="J47" t="str">
        <v>103703608507</v>
      </c>
      <c r="K47" t="str">
        <v>L0502</v>
      </c>
      <c r="L47" t="str">
        <v>K6NC1211</v>
      </c>
      <c r="M47" s="1" t="str">
        <v/>
      </c>
      <c r="N47" s="3">
        <v>0.0344</v>
      </c>
      <c r="O47" s="1">
        <v>9323.432</v>
      </c>
      <c r="P47" s="1">
        <v>25360.667623999998</v>
      </c>
    </row>
    <row r="48">
      <c r="A48" s="2">
        <v>45937</v>
      </c>
      <c r="B48" s="1">
        <v>271030</v>
      </c>
      <c r="C48" t="str">
        <v>USD</v>
      </c>
      <c r="D48" s="1">
        <v>737228.71</v>
      </c>
      <c r="E48" t="str">
        <v>1.1.1.2. (+) ლიფტების საქარხნო მზაობის ავანსი</v>
      </c>
      <c r="F48" t="str">
        <v>bc9ec3_0a_14f1b8</v>
      </c>
      <c r="G48" t="str">
        <v>BTC_369293_16_87D449</v>
      </c>
      <c r="H48"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8" t="str">
        <v>29698660805</v>
      </c>
      <c r="J48" t="str">
        <v>103703608507</v>
      </c>
      <c r="K48" t="str">
        <v>L0601</v>
      </c>
      <c r="L48" t="str">
        <v>K6NC1212</v>
      </c>
      <c r="M48" s="1" t="str">
        <v/>
      </c>
      <c r="N48" s="3">
        <v>0.0414</v>
      </c>
      <c r="O48" s="1">
        <v>11220.642</v>
      </c>
      <c r="P48" s="1">
        <v>30521.268593999997</v>
      </c>
    </row>
    <row r="49">
      <c r="A49" s="2">
        <v>45937</v>
      </c>
      <c r="B49" s="1">
        <v>271030</v>
      </c>
      <c r="C49" t="str">
        <v>USD</v>
      </c>
      <c r="D49" s="1">
        <v>737228.71</v>
      </c>
      <c r="E49" t="str">
        <v>1.1.1.2. (+) ლიფტების საქარხნო მზაობის ავანსი</v>
      </c>
      <c r="F49" t="str">
        <v>bc9ec3_0a_14f1b8</v>
      </c>
      <c r="G49" t="str">
        <v>BTC_369293_16_87D449</v>
      </c>
      <c r="H49"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49" t="str">
        <v>29698660805</v>
      </c>
      <c r="J49" t="str">
        <v>103703608507</v>
      </c>
      <c r="K49" t="str">
        <v>L0602</v>
      </c>
      <c r="L49" t="str">
        <v>K6NC1213</v>
      </c>
      <c r="M49" s="1" t="str">
        <v/>
      </c>
      <c r="N49" s="3">
        <v>0.0414</v>
      </c>
      <c r="O49" s="1">
        <v>11220.642</v>
      </c>
      <c r="P49" s="1">
        <v>30521.268593999997</v>
      </c>
    </row>
    <row r="50">
      <c r="A50" s="2">
        <v>45937</v>
      </c>
      <c r="B50" s="1">
        <v>271030</v>
      </c>
      <c r="C50" t="str">
        <v>USD</v>
      </c>
      <c r="D50" s="1">
        <v>737228.71</v>
      </c>
      <c r="E50" t="str">
        <v>1.1.1.2. (+) ლიფტების საქარხნო მზაობის ავანსი</v>
      </c>
      <c r="F50" t="str">
        <v>bc9ec3_0a_14f1b8</v>
      </c>
      <c r="G50" t="str">
        <v>BTC_369293_16_87D449</v>
      </c>
      <c r="H50"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0" t="str">
        <v>29698660805</v>
      </c>
      <c r="J50" t="str">
        <v>103703608507</v>
      </c>
      <c r="K50" t="str">
        <v>L0702</v>
      </c>
      <c r="L50" t="str">
        <v>K6NC1215</v>
      </c>
      <c r="M50" s="1" t="str">
        <v/>
      </c>
      <c r="N50" s="3">
        <v>0.0414</v>
      </c>
      <c r="O50" s="1">
        <v>11220.642</v>
      </c>
      <c r="P50" s="1">
        <v>30521.268593999997</v>
      </c>
    </row>
    <row r="51">
      <c r="A51" s="2">
        <v>45937</v>
      </c>
      <c r="B51" s="1">
        <v>271030</v>
      </c>
      <c r="C51" t="str">
        <v>USD</v>
      </c>
      <c r="D51" s="1">
        <v>737228.71</v>
      </c>
      <c r="E51" t="str">
        <v>1.1.1.2. (+) ლიფტების საქარხნო მზაობის ავანსი</v>
      </c>
      <c r="F51" t="str">
        <v>bc9ec3_0a_14f1b8</v>
      </c>
      <c r="G51" t="str">
        <v>BTC_369293_16_87D449</v>
      </c>
      <c r="H51"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1" t="str">
        <v>29698660805</v>
      </c>
      <c r="J51" t="str">
        <v>103703608507</v>
      </c>
      <c r="K51" t="str">
        <v>L0801</v>
      </c>
      <c r="L51" t="str">
        <v>K6NC1216</v>
      </c>
      <c r="M51" s="1" t="str">
        <v/>
      </c>
      <c r="N51" s="3">
        <v>0.0436</v>
      </c>
      <c r="O51" s="1">
        <v>11816.908</v>
      </c>
      <c r="P51" s="1">
        <v>32143.171756</v>
      </c>
    </row>
    <row r="52">
      <c r="A52" s="2">
        <v>45937</v>
      </c>
      <c r="B52" s="1">
        <v>271030</v>
      </c>
      <c r="C52" t="str">
        <v>USD</v>
      </c>
      <c r="D52" s="1">
        <v>737228.71</v>
      </c>
      <c r="E52" t="str">
        <v>1.1.1.2. (+) ლიფტების საქარხნო მზაობის ავანსი</v>
      </c>
      <c r="F52" t="str">
        <v>bc9ec3_0a_14f1b8</v>
      </c>
      <c r="G52" t="str">
        <v>BTC_369293_16_87D449</v>
      </c>
      <c r="H52"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2" t="str">
        <v>29698660805</v>
      </c>
      <c r="J52" t="str">
        <v>103703608507</v>
      </c>
      <c r="K52" t="str">
        <v>L0802</v>
      </c>
      <c r="L52" t="str">
        <v>K6NC1217</v>
      </c>
      <c r="M52" s="1" t="str">
        <v/>
      </c>
      <c r="N52" s="3">
        <v>0.0436</v>
      </c>
      <c r="O52" s="1">
        <v>11816.908</v>
      </c>
      <c r="P52" s="1">
        <v>32143.171756</v>
      </c>
    </row>
    <row r="53">
      <c r="A53" s="2">
        <v>45937</v>
      </c>
      <c r="B53" s="1">
        <v>271030</v>
      </c>
      <c r="C53" t="str">
        <v>USD</v>
      </c>
      <c r="D53" s="1">
        <v>737228.71</v>
      </c>
      <c r="E53" t="str">
        <v>1.1.1.2. (+) ლიფტების საქარხნო მზაობის ავანსი</v>
      </c>
      <c r="F53" t="str">
        <v>bc9ec3_0a_14f1b8</v>
      </c>
      <c r="G53" t="str">
        <v>BTC_369293_16_87D449</v>
      </c>
      <c r="H53"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3" t="str">
        <v>29698660805</v>
      </c>
      <c r="J53" t="str">
        <v>103703608507</v>
      </c>
      <c r="K53" t="str">
        <v>L0901</v>
      </c>
      <c r="L53" t="str">
        <v>K6NC1218</v>
      </c>
      <c r="M53" s="1" t="str">
        <v/>
      </c>
      <c r="N53" s="3">
        <v>0.0436</v>
      </c>
      <c r="O53" s="1">
        <v>11816.908</v>
      </c>
      <c r="P53" s="1">
        <v>32143.171756</v>
      </c>
    </row>
    <row r="54">
      <c r="A54" s="2">
        <v>45937</v>
      </c>
      <c r="B54" s="1">
        <v>271030</v>
      </c>
      <c r="C54" t="str">
        <v>USD</v>
      </c>
      <c r="D54" s="1">
        <v>737228.71</v>
      </c>
      <c r="E54" t="str">
        <v>1.1.1.2. (+) ლიფტების საქარხნო მზაობის ავანსი</v>
      </c>
      <c r="F54" t="str">
        <v>bc9ec3_0a_14f1b8</v>
      </c>
      <c r="G54" t="str">
        <v>BTC_369293_16_87D449</v>
      </c>
      <c r="H54"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4" t="str">
        <v>29698660805</v>
      </c>
      <c r="J54" t="str">
        <v>103703608507</v>
      </c>
      <c r="K54" t="str">
        <v>L0902</v>
      </c>
      <c r="L54" t="str">
        <v>K6NC1219</v>
      </c>
      <c r="M54" s="1" t="str">
        <v/>
      </c>
      <c r="N54" s="3">
        <v>0.0436</v>
      </c>
      <c r="O54" s="1">
        <v>11816.908</v>
      </c>
      <c r="P54" s="1">
        <v>32143.171756</v>
      </c>
    </row>
    <row r="55">
      <c r="A55" s="2">
        <v>45937</v>
      </c>
      <c r="B55" s="1">
        <v>271030</v>
      </c>
      <c r="C55" t="str">
        <v>USD</v>
      </c>
      <c r="D55" s="1">
        <v>737228.71</v>
      </c>
      <c r="E55" t="str">
        <v>1.1.1.2. (+) ლიფტების საქარხნო მზაობის ავანსი</v>
      </c>
      <c r="F55" t="str">
        <v>bc9ec3_0a_14f1b8</v>
      </c>
      <c r="G55" t="str">
        <v>BTC_369293_16_87D449</v>
      </c>
      <c r="H55"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5" t="str">
        <v>29698660805</v>
      </c>
      <c r="J55" t="str">
        <v>103703608507</v>
      </c>
      <c r="K55" t="str">
        <v>L1002</v>
      </c>
      <c r="L55" t="str">
        <v>K6NC1221</v>
      </c>
      <c r="M55" s="1" t="str">
        <v/>
      </c>
      <c r="N55" s="3">
        <v>0.0436</v>
      </c>
      <c r="O55" s="1">
        <v>11816.908</v>
      </c>
      <c r="P55" s="1">
        <v>32143.171756</v>
      </c>
    </row>
    <row r="56">
      <c r="A56" s="2">
        <v>45937</v>
      </c>
      <c r="B56" s="1">
        <v>271030</v>
      </c>
      <c r="C56" t="str">
        <v>USD</v>
      </c>
      <c r="D56" s="1">
        <v>737228.71</v>
      </c>
      <c r="E56" t="str">
        <v>1.1.1.2. (+) ლიფტების საქარხნო მზაობის ავანსი</v>
      </c>
      <c r="F56" t="str">
        <v>bc9ec3_0a_14f1b8</v>
      </c>
      <c r="G56" t="str">
        <v>BTC_369293_16_87D449</v>
      </c>
      <c r="H56"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6" t="str">
        <v>29698660805</v>
      </c>
      <c r="J56" t="str">
        <v>103703608507</v>
      </c>
      <c r="K56" t="str">
        <v>L1101</v>
      </c>
      <c r="L56" t="str">
        <v>K6NC1222</v>
      </c>
      <c r="M56" s="1" t="str">
        <v/>
      </c>
      <c r="N56" s="3">
        <v>0.0684</v>
      </c>
      <c r="O56" s="1">
        <v>18538.452</v>
      </c>
      <c r="P56" s="1">
        <v>50426.443763999996</v>
      </c>
    </row>
    <row r="57">
      <c r="A57" s="2">
        <v>45937</v>
      </c>
      <c r="B57" s="1">
        <v>271030</v>
      </c>
      <c r="C57" t="str">
        <v>USD</v>
      </c>
      <c r="D57" s="1">
        <v>737228.71</v>
      </c>
      <c r="E57" t="str">
        <v>1.1.1.2. (+) ლიფტების საქარხნო მზაობის ავანსი</v>
      </c>
      <c r="F57" t="str">
        <v>bc9ec3_0a_14f1b8</v>
      </c>
      <c r="G57" t="str">
        <v>BTC_369293_16_87D449</v>
      </c>
      <c r="H57"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7" t="str">
        <v>29698660805</v>
      </c>
      <c r="J57" t="str">
        <v>103703608507</v>
      </c>
      <c r="K57" t="str">
        <v>L1102</v>
      </c>
      <c r="L57" t="str">
        <v>K6NC1223</v>
      </c>
      <c r="M57" s="1" t="str">
        <v/>
      </c>
      <c r="N57" s="3">
        <v>0.0684</v>
      </c>
      <c r="O57" s="1">
        <v>18538.452</v>
      </c>
      <c r="P57" s="1">
        <v>50426.443763999996</v>
      </c>
    </row>
    <row r="58">
      <c r="A58" s="2">
        <v>45937</v>
      </c>
      <c r="B58" s="1">
        <v>271030</v>
      </c>
      <c r="C58" t="str">
        <v>USD</v>
      </c>
      <c r="D58" s="1">
        <v>737228.71</v>
      </c>
      <c r="E58" t="str">
        <v>1.1.1.2. (+) ლიფტების საქარხნო მზაობის ავანსი</v>
      </c>
      <c r="F58" t="str">
        <v>bc9ec3_0a_14f1b8</v>
      </c>
      <c r="G58" t="str">
        <v>BTC_369293_16_87D449</v>
      </c>
      <c r="H58"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8" t="str">
        <v>29698660805</v>
      </c>
      <c r="J58" t="str">
        <v>103703608507</v>
      </c>
      <c r="K58" t="str">
        <v>L1103</v>
      </c>
      <c r="L58" t="str">
        <v>K6NC1224</v>
      </c>
      <c r="M58" s="1" t="str">
        <v/>
      </c>
      <c r="N58" s="3">
        <v>0.0794</v>
      </c>
      <c r="O58" s="1">
        <v>21519.782</v>
      </c>
      <c r="P58" s="1">
        <v>58535.95957399999</v>
      </c>
    </row>
    <row r="59">
      <c r="A59" s="2">
        <v>45937</v>
      </c>
      <c r="B59" s="1">
        <v>271030</v>
      </c>
      <c r="C59" t="str">
        <v>USD</v>
      </c>
      <c r="D59" s="1">
        <v>737228.71</v>
      </c>
      <c r="E59" t="str">
        <v>1.1.1.2. (+) ლიფტების საქარხნო მზაობის ავანსი</v>
      </c>
      <c r="F59" t="str">
        <v>bc9ec3_0a_14f1b8</v>
      </c>
      <c r="G59" t="str">
        <v>BTC_369293_16_87D449</v>
      </c>
      <c r="H59"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59" t="str">
        <v>29698660805</v>
      </c>
      <c r="J59" t="str">
        <v>103703608507</v>
      </c>
      <c r="K59" t="str">
        <v>L1201</v>
      </c>
      <c r="L59" t="str">
        <v>K6NC1225</v>
      </c>
      <c r="M59" s="1" t="str">
        <v/>
      </c>
      <c r="N59" s="3">
        <v>0.0684</v>
      </c>
      <c r="O59" s="1">
        <v>18538.452</v>
      </c>
      <c r="P59" s="1">
        <v>50426.443763999996</v>
      </c>
    </row>
    <row r="60">
      <c r="A60" s="2">
        <v>45937</v>
      </c>
      <c r="B60" s="1">
        <v>271030</v>
      </c>
      <c r="C60" t="str">
        <v>USD</v>
      </c>
      <c r="D60" s="1">
        <v>737228.71</v>
      </c>
      <c r="E60" t="str">
        <v>1.1.1.2. (+) ლიფტების საქარხნო მზაობის ავანსი</v>
      </c>
      <c r="F60" t="str">
        <v>bc9ec3_0a_14f1b8</v>
      </c>
      <c r="G60" t="str">
        <v>BTC_369293_16_87D449</v>
      </c>
      <c r="H60"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60" t="str">
        <v>29698660805</v>
      </c>
      <c r="J60" t="str">
        <v>103703608507</v>
      </c>
      <c r="K60" t="str">
        <v>L0402</v>
      </c>
      <c r="L60" t="str">
        <v>K6NC1209</v>
      </c>
      <c r="M60" s="1" t="str">
        <v/>
      </c>
      <c r="N60" s="3">
        <v>0.0344</v>
      </c>
      <c r="O60" s="1">
        <v>9323.432</v>
      </c>
      <c r="P60" s="1">
        <v>25360.667623999998</v>
      </c>
    </row>
    <row r="61">
      <c r="A61" s="2">
        <v>45937</v>
      </c>
      <c r="B61" s="1">
        <v>271030</v>
      </c>
      <c r="C61" t="str">
        <v>USD</v>
      </c>
      <c r="D61" s="1">
        <v>737228.71</v>
      </c>
      <c r="E61" t="str">
        <v>1.1.1.2. (+) ლიფტების საქარხნო მზაობის ავანსი</v>
      </c>
      <c r="F61" t="str">
        <v>bc9ec3_0a_14f1b8</v>
      </c>
      <c r="G61" t="str">
        <v>BTC_369293_16_87D449</v>
      </c>
      <c r="H61"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61" t="str">
        <v>29698660805</v>
      </c>
      <c r="J61" t="str">
        <v>103703608507</v>
      </c>
      <c r="K61" t="str">
        <v>L0701</v>
      </c>
      <c r="L61" t="str">
        <v>K6NC1214</v>
      </c>
      <c r="M61" s="1" t="str">
        <v/>
      </c>
      <c r="N61" s="3">
        <v>0.0414</v>
      </c>
      <c r="O61" s="1">
        <v>11220.642</v>
      </c>
      <c r="P61" s="1">
        <v>30521.268593999997</v>
      </c>
    </row>
    <row r="62">
      <c r="A62" s="2">
        <v>45937</v>
      </c>
      <c r="B62" s="1">
        <v>271030</v>
      </c>
      <c r="C62" t="str">
        <v>USD</v>
      </c>
      <c r="D62" s="1">
        <v>737228.71</v>
      </c>
      <c r="E62" t="str">
        <v>1.1.1.2. (+) ლიფტების საქარხნო მზაობის ავანსი</v>
      </c>
      <c r="F62" t="str">
        <v>bc9ec3_0a_14f1b8</v>
      </c>
      <c r="G62" t="str">
        <v>BTC_369293_16_87D449</v>
      </c>
      <c r="H62"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62" t="str">
        <v>29698660805</v>
      </c>
      <c r="J62" t="str">
        <v>103703608507</v>
      </c>
      <c r="K62" t="str">
        <v>L1001</v>
      </c>
      <c r="L62" t="str">
        <v>K6NC1220</v>
      </c>
      <c r="M62" s="1" t="str">
        <v/>
      </c>
      <c r="N62" s="3">
        <v>0.0436</v>
      </c>
      <c r="O62" s="1">
        <v>11816.908</v>
      </c>
      <c r="P62" s="1">
        <v>32143.171756</v>
      </c>
    </row>
    <row r="63">
      <c r="A63" s="2">
        <v>45937</v>
      </c>
      <c r="B63" s="1">
        <v>271030</v>
      </c>
      <c r="C63" t="str">
        <v>USD</v>
      </c>
      <c r="D63" s="1">
        <v>737228.71</v>
      </c>
      <c r="E63" t="str">
        <v>1.1.1.2. (+) ლიფტების საქარხნო მზაობის ავანსი</v>
      </c>
      <c r="F63" t="str">
        <v>bc9ec3_0a_14f1b8</v>
      </c>
      <c r="G63" t="str">
        <v>BTC_369293_16_87D449</v>
      </c>
      <c r="H63"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63" t="str">
        <v>29698660805</v>
      </c>
      <c r="J63" t="str">
        <v>103703608507</v>
      </c>
      <c r="K63" t="str">
        <v>L1202</v>
      </c>
      <c r="L63" t="str">
        <v>K6NC1226</v>
      </c>
      <c r="M63" s="1" t="str">
        <v/>
      </c>
      <c r="N63" s="3">
        <v>0.0794</v>
      </c>
      <c r="O63" s="1">
        <v>21519.782</v>
      </c>
      <c r="P63" s="1">
        <v>58535.95957399999</v>
      </c>
    </row>
    <row r="64">
      <c r="A64" s="2">
        <v>45937</v>
      </c>
      <c r="B64" s="1">
        <v>271030</v>
      </c>
      <c r="C64" t="str">
        <v>USD</v>
      </c>
      <c r="D64" s="1">
        <v>737228.71</v>
      </c>
      <c r="E64" t="str">
        <v>1.1.1.2. (+) ლიფტების საქარხნო მზაობის ავანსი</v>
      </c>
      <c r="F64" t="str">
        <v>bc9ec3_0a_14f1b8</v>
      </c>
      <c r="G64" t="str">
        <v>BTC_369293_16_87D449</v>
      </c>
      <c r="H64" t="str">
        <v>ხელშ.08,07,25, II ტრანში-ჯამური ფასის 25%, ჭყონდიდელის ობიექტისთვის 23 ერთეული OTIS-ის ბრენდის ლიფტების წარმოება,საბანკო გარანტიების NADV1122456-25 და NADV1122549-25 საფუძველზე(271,030 დოლარი კურსი 2.7201 და 30,780 ევრო კურსი 3.1714)</v>
      </c>
      <c r="I64" t="str">
        <v>29698660805</v>
      </c>
      <c r="J64" t="str">
        <v>103703608507</v>
      </c>
      <c r="K64" t="str">
        <v>L0401</v>
      </c>
      <c r="L64" t="str">
        <v>K6NC1208</v>
      </c>
      <c r="M64" s="1" t="str">
        <v/>
      </c>
      <c r="N64" s="3">
        <v>0.0344</v>
      </c>
      <c r="O64" s="1">
        <v>9323.432</v>
      </c>
      <c r="P64" s="1">
        <v>25360.667623999998</v>
      </c>
    </row>
    <row r="65">
      <c r="A65" s="2">
        <v>45860</v>
      </c>
      <c r="B65" s="1">
        <v>325236</v>
      </c>
      <c r="C65" t="str">
        <v>USD</v>
      </c>
      <c r="D65" s="1">
        <v>881812.37</v>
      </c>
      <c r="E65" t="str">
        <v>1.1.1.1. (+) ლიფტების ავანსი</v>
      </c>
      <c r="F65" t="str">
        <v>fcdee1_4a_820648</v>
      </c>
      <c r="G65" t="str">
        <v>BTC_F990AE_19_BD9D4C</v>
      </c>
      <c r="H65"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65" t="str">
        <v>28429130017</v>
      </c>
      <c r="J65" t="str">
        <v>99494594832</v>
      </c>
      <c r="K65" t="str">
        <v>L0302</v>
      </c>
      <c r="L65" t="str">
        <v>K6NC1207</v>
      </c>
      <c r="M65" s="1" t="str">
        <v/>
      </c>
      <c r="N65" s="3">
        <v>0.0358</v>
      </c>
      <c r="O65" s="1">
        <v>11643.4488</v>
      </c>
      <c r="P65" s="1">
        <v>31568.882845999997</v>
      </c>
    </row>
    <row r="66">
      <c r="A66" s="2">
        <v>45860</v>
      </c>
      <c r="B66" s="1">
        <v>325236</v>
      </c>
      <c r="C66" t="str">
        <v>USD</v>
      </c>
      <c r="D66" s="1">
        <v>881812.37</v>
      </c>
      <c r="E66" t="str">
        <v>1.1.1.1. (+) ლიფტების ავანსი</v>
      </c>
      <c r="F66" t="str">
        <v>fcdee1_4a_820648</v>
      </c>
      <c r="G66" t="str">
        <v>BTC_F990AE_19_BD9D4C</v>
      </c>
      <c r="H66"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66" t="str">
        <v>28429130017</v>
      </c>
      <c r="J66" t="str">
        <v>99494594832</v>
      </c>
      <c r="K66" t="str">
        <v>L0501</v>
      </c>
      <c r="L66" t="str">
        <v>K6NC1210</v>
      </c>
      <c r="M66" s="1" t="str">
        <v/>
      </c>
      <c r="N66" s="3">
        <v>0.0344</v>
      </c>
      <c r="O66" s="1">
        <v>11188.1184</v>
      </c>
      <c r="P66" s="1">
        <v>30334.345528</v>
      </c>
    </row>
    <row r="67">
      <c r="A67" s="2">
        <v>45860</v>
      </c>
      <c r="B67" s="1">
        <v>325236</v>
      </c>
      <c r="C67" t="str">
        <v>USD</v>
      </c>
      <c r="D67" s="1">
        <v>881812.37</v>
      </c>
      <c r="E67" t="str">
        <v>1.1.1.1. (+) ლიფტების ავანსი</v>
      </c>
      <c r="F67" t="str">
        <v>fcdee1_4a_820648</v>
      </c>
      <c r="G67" t="str">
        <v>BTC_F990AE_19_BD9D4C</v>
      </c>
      <c r="H67"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67" t="str">
        <v>28429130017</v>
      </c>
      <c r="J67" t="str">
        <v>99494594832</v>
      </c>
      <c r="K67" t="str">
        <v>L0502</v>
      </c>
      <c r="L67" t="str">
        <v>K6NC1211</v>
      </c>
      <c r="M67" s="1" t="str">
        <v/>
      </c>
      <c r="N67" s="3">
        <v>0.0344</v>
      </c>
      <c r="O67" s="1">
        <v>11188.1184</v>
      </c>
      <c r="P67" s="1">
        <v>30334.345528</v>
      </c>
    </row>
    <row r="68">
      <c r="A68" s="2">
        <v>45860</v>
      </c>
      <c r="B68" s="1">
        <v>325236</v>
      </c>
      <c r="C68" t="str">
        <v>USD</v>
      </c>
      <c r="D68" s="1">
        <v>881812.37</v>
      </c>
      <c r="E68" t="str">
        <v>1.1.1.1. (+) ლიფტების ავანსი</v>
      </c>
      <c r="F68" t="str">
        <v>fcdee1_4a_820648</v>
      </c>
      <c r="G68" t="str">
        <v>BTC_F990AE_19_BD9D4C</v>
      </c>
      <c r="H68"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68" t="str">
        <v>28429130017</v>
      </c>
      <c r="J68" t="str">
        <v>99494594832</v>
      </c>
      <c r="K68" t="str">
        <v>L0601</v>
      </c>
      <c r="L68" t="str">
        <v>K6NC1212</v>
      </c>
      <c r="M68" s="1" t="str">
        <v/>
      </c>
      <c r="N68" s="3">
        <v>0.0414</v>
      </c>
      <c r="O68" s="1">
        <v>13464.7704</v>
      </c>
      <c r="P68" s="1">
        <v>36507.032118</v>
      </c>
    </row>
    <row r="69">
      <c r="A69" s="2">
        <v>45860</v>
      </c>
      <c r="B69" s="1">
        <v>325236</v>
      </c>
      <c r="C69" t="str">
        <v>USD</v>
      </c>
      <c r="D69" s="1">
        <v>881812.37</v>
      </c>
      <c r="E69" t="str">
        <v>1.1.1.1. (+) ლიფტების ავანსი</v>
      </c>
      <c r="F69" t="str">
        <v>fcdee1_4a_820648</v>
      </c>
      <c r="G69" t="str">
        <v>BTC_F990AE_19_BD9D4C</v>
      </c>
      <c r="H69"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69" t="str">
        <v>28429130017</v>
      </c>
      <c r="J69" t="str">
        <v>99494594832</v>
      </c>
      <c r="K69" t="str">
        <v>L0602</v>
      </c>
      <c r="L69" t="str">
        <v>K6NC1213</v>
      </c>
      <c r="M69" s="1" t="str">
        <v/>
      </c>
      <c r="N69" s="3">
        <v>0.0414</v>
      </c>
      <c r="O69" s="1">
        <v>13464.7704</v>
      </c>
      <c r="P69" s="1">
        <v>36507.032118</v>
      </c>
    </row>
    <row r="70">
      <c r="A70" s="2">
        <v>45860</v>
      </c>
      <c r="B70" s="1">
        <v>325236</v>
      </c>
      <c r="C70" t="str">
        <v>USD</v>
      </c>
      <c r="D70" s="1">
        <v>881812.37</v>
      </c>
      <c r="E70" t="str">
        <v>1.1.1.1. (+) ლიფტების ავანსი</v>
      </c>
      <c r="F70" t="str">
        <v>fcdee1_4a_820648</v>
      </c>
      <c r="G70" t="str">
        <v>BTC_F990AE_19_BD9D4C</v>
      </c>
      <c r="H70"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0" t="str">
        <v>28429130017</v>
      </c>
      <c r="J70" t="str">
        <v>99494594832</v>
      </c>
      <c r="K70" t="str">
        <v>L0702</v>
      </c>
      <c r="L70" t="str">
        <v>K6NC1215</v>
      </c>
      <c r="M70" s="1" t="str">
        <v/>
      </c>
      <c r="N70" s="3">
        <v>0.0414</v>
      </c>
      <c r="O70" s="1">
        <v>13464.7704</v>
      </c>
      <c r="P70" s="1">
        <v>36507.032118</v>
      </c>
    </row>
    <row r="71">
      <c r="A71" s="2">
        <v>45860</v>
      </c>
      <c r="B71" s="1">
        <v>325236</v>
      </c>
      <c r="C71" t="str">
        <v>USD</v>
      </c>
      <c r="D71" s="1">
        <v>881812.37</v>
      </c>
      <c r="E71" t="str">
        <v>1.1.1.1. (+) ლიფტების ავანსი</v>
      </c>
      <c r="F71" t="str">
        <v>fcdee1_4a_820648</v>
      </c>
      <c r="G71" t="str">
        <v>BTC_F990AE_19_BD9D4C</v>
      </c>
      <c r="H71"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1" t="str">
        <v>28429130017</v>
      </c>
      <c r="J71" t="str">
        <v>99494594832</v>
      </c>
      <c r="K71" t="str">
        <v>L0801</v>
      </c>
      <c r="L71" t="str">
        <v>K6NC1216</v>
      </c>
      <c r="M71" s="1" t="str">
        <v/>
      </c>
      <c r="N71" s="3">
        <v>0.0436</v>
      </c>
      <c r="O71" s="1">
        <v>14180.2896</v>
      </c>
      <c r="P71" s="1">
        <v>38447.019331999996</v>
      </c>
    </row>
    <row r="72">
      <c r="A72" s="2">
        <v>45860</v>
      </c>
      <c r="B72" s="1">
        <v>325236</v>
      </c>
      <c r="C72" t="str">
        <v>USD</v>
      </c>
      <c r="D72" s="1">
        <v>881812.37</v>
      </c>
      <c r="E72" t="str">
        <v>1.1.1.1. (+) ლიფტების ავანსი</v>
      </c>
      <c r="F72" t="str">
        <v>fcdee1_4a_820648</v>
      </c>
      <c r="G72" t="str">
        <v>BTC_F990AE_19_BD9D4C</v>
      </c>
      <c r="H72"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2" t="str">
        <v>28429130017</v>
      </c>
      <c r="J72" t="str">
        <v>99494594832</v>
      </c>
      <c r="K72" t="str">
        <v>L0802</v>
      </c>
      <c r="L72" t="str">
        <v>K6NC1217</v>
      </c>
      <c r="M72" s="1" t="str">
        <v/>
      </c>
      <c r="N72" s="3">
        <v>0.0436</v>
      </c>
      <c r="O72" s="1">
        <v>14180.2896</v>
      </c>
      <c r="P72" s="1">
        <v>38447.019331999996</v>
      </c>
    </row>
    <row r="73">
      <c r="A73" s="2">
        <v>45860</v>
      </c>
      <c r="B73" s="1">
        <v>325236</v>
      </c>
      <c r="C73" t="str">
        <v>USD</v>
      </c>
      <c r="D73" s="1">
        <v>881812.37</v>
      </c>
      <c r="E73" t="str">
        <v>1.1.1.1. (+) ლიფტების ავანსი</v>
      </c>
      <c r="F73" t="str">
        <v>fcdee1_4a_820648</v>
      </c>
      <c r="G73" t="str">
        <v>BTC_F990AE_19_BD9D4C</v>
      </c>
      <c r="H73"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3" t="str">
        <v>28429130017</v>
      </c>
      <c r="J73" t="str">
        <v>99494594832</v>
      </c>
      <c r="K73" t="str">
        <v>L0901</v>
      </c>
      <c r="L73" t="str">
        <v>K6NC1218</v>
      </c>
      <c r="M73" s="1" t="str">
        <v/>
      </c>
      <c r="N73" s="3">
        <v>0.0436</v>
      </c>
      <c r="O73" s="1">
        <v>14180.2896</v>
      </c>
      <c r="P73" s="1">
        <v>38447.019331999996</v>
      </c>
    </row>
    <row r="74">
      <c r="A74" s="2">
        <v>45860</v>
      </c>
      <c r="B74" s="1">
        <v>325236</v>
      </c>
      <c r="C74" t="str">
        <v>USD</v>
      </c>
      <c r="D74" s="1">
        <v>881812.37</v>
      </c>
      <c r="E74" t="str">
        <v>1.1.1.1. (+) ლიფტების ავანსი</v>
      </c>
      <c r="F74" t="str">
        <v>fcdee1_4a_820648</v>
      </c>
      <c r="G74" t="str">
        <v>BTC_F990AE_19_BD9D4C</v>
      </c>
      <c r="H74"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4" t="str">
        <v>28429130017</v>
      </c>
      <c r="J74" t="str">
        <v>99494594832</v>
      </c>
      <c r="K74" t="str">
        <v>L0902</v>
      </c>
      <c r="L74" t="str">
        <v>K6NC1219</v>
      </c>
      <c r="M74" s="1" t="str">
        <v/>
      </c>
      <c r="N74" s="3">
        <v>0.0436</v>
      </c>
      <c r="O74" s="1">
        <v>14180.2896</v>
      </c>
      <c r="P74" s="1">
        <v>38447.019331999996</v>
      </c>
    </row>
    <row r="75">
      <c r="A75" s="2">
        <v>45860</v>
      </c>
      <c r="B75" s="1">
        <v>325236</v>
      </c>
      <c r="C75" t="str">
        <v>USD</v>
      </c>
      <c r="D75" s="1">
        <v>881812.37</v>
      </c>
      <c r="E75" t="str">
        <v>1.1.1.1. (+) ლიფტების ავანსი</v>
      </c>
      <c r="F75" t="str">
        <v>fcdee1_4a_820648</v>
      </c>
      <c r="G75" t="str">
        <v>BTC_F990AE_19_BD9D4C</v>
      </c>
      <c r="H75"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5" t="str">
        <v>28429130017</v>
      </c>
      <c r="J75" t="str">
        <v>99494594832</v>
      </c>
      <c r="K75" t="str">
        <v>L0301</v>
      </c>
      <c r="L75" t="str">
        <v>K6NC1206</v>
      </c>
      <c r="M75" s="1" t="str">
        <v/>
      </c>
      <c r="N75" s="3">
        <v>0.0358</v>
      </c>
      <c r="O75" s="1">
        <v>11643.4488</v>
      </c>
      <c r="P75" s="1">
        <v>31568.882845999997</v>
      </c>
    </row>
    <row r="76">
      <c r="A76" s="2">
        <v>45860</v>
      </c>
      <c r="B76" s="1">
        <v>325236</v>
      </c>
      <c r="C76" t="str">
        <v>USD</v>
      </c>
      <c r="D76" s="1">
        <v>881812.37</v>
      </c>
      <c r="E76" t="str">
        <v>1.1.1.1. (+) ლიფტების ავანსი</v>
      </c>
      <c r="F76" t="str">
        <v>fcdee1_4a_820648</v>
      </c>
      <c r="G76" t="str">
        <v>BTC_F990AE_19_BD9D4C</v>
      </c>
      <c r="H76"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6" t="str">
        <v>28429130017</v>
      </c>
      <c r="J76" t="str">
        <v>99494594832</v>
      </c>
      <c r="K76" t="str">
        <v>L1002</v>
      </c>
      <c r="L76" t="str">
        <v>K6NC1221</v>
      </c>
      <c r="M76" s="1" t="str">
        <v/>
      </c>
      <c r="N76" s="3">
        <v>0.0436</v>
      </c>
      <c r="O76" s="1">
        <v>14180.2896</v>
      </c>
      <c r="P76" s="1">
        <v>38447.019331999996</v>
      </c>
    </row>
    <row r="77">
      <c r="A77" s="2">
        <v>45860</v>
      </c>
      <c r="B77" s="1">
        <v>325236</v>
      </c>
      <c r="C77" t="str">
        <v>USD</v>
      </c>
      <c r="D77" s="1">
        <v>881812.37</v>
      </c>
      <c r="E77" t="str">
        <v>1.1.1.1. (+) ლიფტების ავანსი</v>
      </c>
      <c r="F77" t="str">
        <v>fcdee1_4a_820648</v>
      </c>
      <c r="G77" t="str">
        <v>BTC_F990AE_19_BD9D4C</v>
      </c>
      <c r="H77"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7" t="str">
        <v>28429130017</v>
      </c>
      <c r="J77" t="str">
        <v>99494594832</v>
      </c>
      <c r="K77" t="str">
        <v>L1101</v>
      </c>
      <c r="L77" t="str">
        <v>K6NC1222</v>
      </c>
      <c r="M77" s="1" t="str">
        <v/>
      </c>
      <c r="N77" s="3">
        <v>0.0684</v>
      </c>
      <c r="O77" s="1">
        <v>22246.1424</v>
      </c>
      <c r="P77" s="1">
        <v>60315.966108</v>
      </c>
    </row>
    <row r="78">
      <c r="A78" s="2">
        <v>45860</v>
      </c>
      <c r="B78" s="1">
        <v>325236</v>
      </c>
      <c r="C78" t="str">
        <v>USD</v>
      </c>
      <c r="D78" s="1">
        <v>881812.37</v>
      </c>
      <c r="E78" t="str">
        <v>1.1.1.1. (+) ლიფტების ავანსი</v>
      </c>
      <c r="F78" t="str">
        <v>fcdee1_4a_820648</v>
      </c>
      <c r="G78" t="str">
        <v>BTC_F990AE_19_BD9D4C</v>
      </c>
      <c r="H78"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8" t="str">
        <v>28429130017</v>
      </c>
      <c r="J78" t="str">
        <v>99494594832</v>
      </c>
      <c r="K78" t="str">
        <v>L1102</v>
      </c>
      <c r="L78" t="str">
        <v>K6NC1223</v>
      </c>
      <c r="M78" s="1" t="str">
        <v/>
      </c>
      <c r="N78" s="3">
        <v>0.0684</v>
      </c>
      <c r="O78" s="1">
        <v>22246.1424</v>
      </c>
      <c r="P78" s="1">
        <v>60315.966108</v>
      </c>
    </row>
    <row r="79">
      <c r="A79" s="2">
        <v>45860</v>
      </c>
      <c r="B79" s="1">
        <v>325236</v>
      </c>
      <c r="C79" t="str">
        <v>USD</v>
      </c>
      <c r="D79" s="1">
        <v>881812.37</v>
      </c>
      <c r="E79" t="str">
        <v>1.1.1.1. (+) ლიფტების ავანსი</v>
      </c>
      <c r="F79" t="str">
        <v>fcdee1_4a_820648</v>
      </c>
      <c r="G79" t="str">
        <v>BTC_F990AE_19_BD9D4C</v>
      </c>
      <c r="H79"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79" t="str">
        <v>28429130017</v>
      </c>
      <c r="J79" t="str">
        <v>99494594832</v>
      </c>
      <c r="K79" t="str">
        <v>L1103</v>
      </c>
      <c r="L79" t="str">
        <v>K6NC1224</v>
      </c>
      <c r="M79" s="1" t="str">
        <v/>
      </c>
      <c r="N79" s="3">
        <v>0.0794</v>
      </c>
      <c r="O79" s="1">
        <v>25823.7384</v>
      </c>
      <c r="P79" s="1">
        <v>70015.902178</v>
      </c>
    </row>
    <row r="80">
      <c r="A80" s="2">
        <v>45860</v>
      </c>
      <c r="B80" s="1">
        <v>325236</v>
      </c>
      <c r="C80" t="str">
        <v>USD</v>
      </c>
      <c r="D80" s="1">
        <v>881812.37</v>
      </c>
      <c r="E80" t="str">
        <v>1.1.1.1. (+) ლიფტების ავანსი</v>
      </c>
      <c r="F80" t="str">
        <v>fcdee1_4a_820648</v>
      </c>
      <c r="G80" t="str">
        <v>BTC_F990AE_19_BD9D4C</v>
      </c>
      <c r="H80"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0" t="str">
        <v>28429130017</v>
      </c>
      <c r="J80" t="str">
        <v>99494594832</v>
      </c>
      <c r="K80" t="str">
        <v>L1201</v>
      </c>
      <c r="L80" t="str">
        <v>K6NC1225</v>
      </c>
      <c r="M80" s="1" t="str">
        <v/>
      </c>
      <c r="N80" s="3">
        <v>0.0684</v>
      </c>
      <c r="O80" s="1">
        <v>22246.1424</v>
      </c>
      <c r="P80" s="1">
        <v>60315.966108</v>
      </c>
    </row>
    <row r="81">
      <c r="A81" s="2">
        <v>45860</v>
      </c>
      <c r="B81" s="1">
        <v>325236</v>
      </c>
      <c r="C81" t="str">
        <v>USD</v>
      </c>
      <c r="D81" s="1">
        <v>881812.37</v>
      </c>
      <c r="E81" t="str">
        <v>1.1.1.1. (+) ლიფტების ავანსი</v>
      </c>
      <c r="F81" t="str">
        <v>fcdee1_4a_820648</v>
      </c>
      <c r="G81" t="str">
        <v>BTC_F990AE_19_BD9D4C</v>
      </c>
      <c r="H81"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1" t="str">
        <v>28429130017</v>
      </c>
      <c r="J81" t="str">
        <v>99494594832</v>
      </c>
      <c r="K81" t="str">
        <v>L0402</v>
      </c>
      <c r="L81" t="str">
        <v>K6NC1209</v>
      </c>
      <c r="M81" s="1" t="str">
        <v/>
      </c>
      <c r="N81" s="3">
        <v>0.0344</v>
      </c>
      <c r="O81" s="1">
        <v>11188.1184</v>
      </c>
      <c r="P81" s="1">
        <v>30334.345528</v>
      </c>
    </row>
    <row r="82">
      <c r="A82" s="2">
        <v>45860</v>
      </c>
      <c r="B82" s="1">
        <v>325236</v>
      </c>
      <c r="C82" t="str">
        <v>USD</v>
      </c>
      <c r="D82" s="1">
        <v>881812.37</v>
      </c>
      <c r="E82" t="str">
        <v>1.1.1.1. (+) ლიფტების ავანსი</v>
      </c>
      <c r="F82" t="str">
        <v>fcdee1_4a_820648</v>
      </c>
      <c r="G82" t="str">
        <v>BTC_F990AE_19_BD9D4C</v>
      </c>
      <c r="H82"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2" t="str">
        <v>28429130017</v>
      </c>
      <c r="J82" t="str">
        <v>99494594832</v>
      </c>
      <c r="K82" t="str">
        <v>L0701</v>
      </c>
      <c r="L82" t="str">
        <v>K6NC1214</v>
      </c>
      <c r="M82" s="1" t="str">
        <v/>
      </c>
      <c r="N82" s="3">
        <v>0.0414</v>
      </c>
      <c r="O82" s="1">
        <v>13464.7704</v>
      </c>
      <c r="P82" s="1">
        <v>36507.032118</v>
      </c>
    </row>
    <row r="83">
      <c r="A83" s="2">
        <v>45860</v>
      </c>
      <c r="B83" s="1">
        <v>325236</v>
      </c>
      <c r="C83" t="str">
        <v>USD</v>
      </c>
      <c r="D83" s="1">
        <v>881812.37</v>
      </c>
      <c r="E83" t="str">
        <v>1.1.1.1. (+) ლიფტების ავანსი</v>
      </c>
      <c r="F83" t="str">
        <v>fcdee1_4a_820648</v>
      </c>
      <c r="G83" t="str">
        <v>BTC_F990AE_19_BD9D4C</v>
      </c>
      <c r="H83"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3" t="str">
        <v>28429130017</v>
      </c>
      <c r="J83" t="str">
        <v>99494594832</v>
      </c>
      <c r="K83" t="str">
        <v>L1001</v>
      </c>
      <c r="L83" t="str">
        <v>K6NC1220</v>
      </c>
      <c r="M83" s="1" t="str">
        <v/>
      </c>
      <c r="N83" s="3">
        <v>0.0436</v>
      </c>
      <c r="O83" s="1">
        <v>14180.2896</v>
      </c>
      <c r="P83" s="1">
        <v>38447.019331999996</v>
      </c>
    </row>
    <row r="84">
      <c r="A84" s="2">
        <v>45860</v>
      </c>
      <c r="B84" s="1">
        <v>325236</v>
      </c>
      <c r="C84" t="str">
        <v>USD</v>
      </c>
      <c r="D84" s="1">
        <v>881812.37</v>
      </c>
      <c r="E84" t="str">
        <v>1.1.1.1. (+) ლიფტების ავანსი</v>
      </c>
      <c r="F84" t="str">
        <v>fcdee1_4a_820648</v>
      </c>
      <c r="G84" t="str">
        <v>BTC_F990AE_19_BD9D4C</v>
      </c>
      <c r="H84"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4" t="str">
        <v>28429130017</v>
      </c>
      <c r="J84" t="str">
        <v>99494594832</v>
      </c>
      <c r="K84" t="str">
        <v>L1202</v>
      </c>
      <c r="L84" t="str">
        <v>K6NC1226</v>
      </c>
      <c r="M84" s="1" t="str">
        <v/>
      </c>
      <c r="N84" s="3">
        <v>0.0794</v>
      </c>
      <c r="O84" s="1">
        <v>25823.7384</v>
      </c>
      <c r="P84" s="1">
        <v>70015.902178</v>
      </c>
    </row>
    <row r="85">
      <c r="A85" s="2">
        <v>45860</v>
      </c>
      <c r="B85" s="1">
        <v>325236</v>
      </c>
      <c r="C85" t="str">
        <v>USD</v>
      </c>
      <c r="D85" s="1">
        <v>881812.37</v>
      </c>
      <c r="E85" t="str">
        <v>1.1.1.1. (+) ლიფტების ავანსი</v>
      </c>
      <c r="F85" t="str">
        <v>fcdee1_4a_820648</v>
      </c>
      <c r="G85" t="str">
        <v>BTC_F990AE_19_BD9D4C</v>
      </c>
      <c r="H85" t="str">
        <v>ხელშ.08,07,25, I ტრანში-ჯამური ფასის 30%, ჭყონდიდელის ობიექტისთვის 23 ერთეული OTIS-ის ბრენდის ლიფტების წარმოება,საბანკო გარანტიების ADV1118474-25,ADV1118453-25საფუძველზე(325,236 დოლარი კურსი 2.7113 და 36,936ევრო კურსი 3.1565)</v>
      </c>
      <c r="I85" t="str">
        <v>28429130017</v>
      </c>
      <c r="J85" t="str">
        <v>99494594832</v>
      </c>
      <c r="K85" t="str">
        <v>L0401</v>
      </c>
      <c r="L85" t="str">
        <v>K6NC1208</v>
      </c>
      <c r="M85" s="1" t="str">
        <v/>
      </c>
      <c r="N85" s="3">
        <v>0.0344</v>
      </c>
      <c r="O85" s="1">
        <v>11188.1184</v>
      </c>
      <c r="P85" s="1">
        <v>30334.345528</v>
      </c>
    </row>
    <row r="86">
      <c r="A86" t="str">
        <v/>
      </c>
      <c r="B86" s="1">
        <v>17437549</v>
      </c>
      <c r="C86" t="str">
        <v/>
      </c>
      <c r="D86" s="1">
        <v>47252158.72999999</v>
      </c>
      <c r="E86" t="str">
        <v/>
      </c>
      <c r="F86" t="str">
        <v/>
      </c>
      <c r="G86" t="str">
        <v/>
      </c>
      <c r="H86" t="str">
        <v/>
      </c>
      <c r="I86" t="str">
        <v/>
      </c>
      <c r="J86" t="str">
        <v/>
      </c>
      <c r="K86" t="str">
        <v/>
      </c>
      <c r="L86" t="str">
        <v/>
      </c>
      <c r="M86" s="1">
        <v>0</v>
      </c>
      <c r="N86">
        <v>5.000999999999999</v>
      </c>
      <c r="O86" s="1">
        <v>899762.5030000006</v>
      </c>
      <c r="P86" s="1">
        <v>2437193.7883700007</v>
      </c>
    </row>
  </sheetData>
  <ignoredErrors>
    <ignoredError numberStoredAsText="1" sqref="A1:P86"/>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Handover</vt:lpstr>
      <vt:lpstr>Placeholders</vt:lpstr>
      <vt:lpstr>Jobs</vt:lpstr>
      <vt:lpstr>Income Payments</vt:lpstr>
      <vt:lpstr>Job Distributions</vt:lpstr>
      <vt:lpstr>Contract_Date</vt:lpstr>
      <vt:lpstr>Handover_Date</vt:lpstr>
      <vt:lpstr>Nominal_Handover_Price</vt:lpstr>
      <vt:lpstr>Project_Address</vt:lpstr>
      <vt:lpstr>Project_Counteragent_Address_Line_1</vt:lpstr>
      <vt:lpstr>Project_Counteragent_Address_Line_2</vt:lpstr>
      <vt:lpstr>Project_Counteragent_Director</vt:lpstr>
      <vt:lpstr>Project_Counteragent_Director_Genitive</vt:lpstr>
      <vt:lpstr>Project_Counteragent_Entity_Type</vt:lpstr>
      <vt:lpstr>Project_Counteragent_ID</vt:lpstr>
      <vt:lpstr>Project_Counteragent_Name</vt:lpstr>
      <vt:lpstr>Project_Currency</vt:lpstr>
      <vt:lpstr>Project_Department</vt:lpstr>
      <vt:lpstr>Project_Insider_Address_Line1</vt:lpstr>
      <vt:lpstr>Project_Insider_Address_Line2</vt:lpstr>
      <vt:lpstr>Project_Insider_Director_Genitive</vt:lpstr>
      <vt:lpstr>Project_Insider_Director_Normative</vt:lpstr>
      <vt:lpstr>Project_Insider_Entity_Type</vt:lpstr>
      <vt:lpstr>Project_Insider_ID</vt:lpstr>
      <vt:lpstr>Project_Insider_Name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Giorgi Nikabadze</cp:lastModifiedBy>
  <dcterms:created xsi:type="dcterms:W3CDTF">2026-06-08T16:17:06Z</dcterms:created>
  <dcterms:modified xsi:type="dcterms:W3CDTF">2026-06-24T10:44:53Z</dcterms:modified>
</cp:coreProperties>
</file>