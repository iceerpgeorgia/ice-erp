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s_OLD" sheetId="1" r:id="rId4"/>
    <sheet state="hidden" name="Old Info" sheetId="2" r:id="rId5"/>
    <sheet state="visible" name="Projects" sheetId="3" r:id="rId6"/>
    <sheet state="visible" name="Pivot Table 1" sheetId="4" r:id="rId7"/>
    <sheet state="visible" name="Sheet7" sheetId="5" r:id="rId8"/>
    <sheet state="visible" name="Sheet4" sheetId="6" r:id="rId9"/>
    <sheet state="visible" name="Sheet5" sheetId="7" r:id="rId10"/>
    <sheet state="visible" name="Sheet6" sheetId="8" r:id="rId11"/>
  </sheets>
  <definedNames>
    <definedName hidden="1" localSheetId="6" name="_xlnm._FilterDatabase">Sheet5!$A$1:$G$34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<sst xmlns="http://schemas.openxmlformats.org/spreadsheetml/2006/main" count="23760" uniqueCount="6725">
  <si>
    <t>Timestamp</t>
  </si>
  <si>
    <t>კონტრაგენტი :</t>
  </si>
  <si>
    <t>პროექტის დასახელება :</t>
  </si>
  <si>
    <t>შემოსავლის კოდი :</t>
  </si>
  <si>
    <t>თარიღი :</t>
  </si>
  <si>
    <t>თანხა :</t>
  </si>
  <si>
    <t>ვალუტა :</t>
  </si>
  <si>
    <t>პროექტის სტატუსი :</t>
  </si>
  <si>
    <t>თანამშრომელი :</t>
  </si>
  <si>
    <t>ORIS 1630 :</t>
  </si>
  <si>
    <t xml:space="preserve">კონტრაქტის # - </t>
  </si>
  <si>
    <t>პროექტი_GUID/</t>
  </si>
  <si>
    <t>პროექტი//</t>
  </si>
  <si>
    <t>შემოსავლის კოდი_GUID</t>
  </si>
  <si>
    <t>კონტრაგენტი_GUID</t>
  </si>
  <si>
    <t>თანამშრომელი_GUID</t>
  </si>
  <si>
    <t>[Collateral]</t>
  </si>
  <si>
    <t>Name1</t>
  </si>
  <si>
    <t>ოლიმპ ჯორჯია (ს.კ. 405231011) - შპს</t>
  </si>
  <si>
    <t>Biota Park</t>
  </si>
  <si>
    <t>1.1.1. (+) შემოსავალი ლიფტების რეალიზაციიდან</t>
  </si>
  <si>
    <t>USD</t>
  </si>
  <si>
    <t>მიმდინარე</t>
  </si>
  <si>
    <t>1 6 30 1270</t>
  </si>
  <si>
    <t>405231011/43767/1.1.1./1</t>
  </si>
  <si>
    <t>26A47FBE-6B71-4D89-B27B-4629DEEA1D34</t>
  </si>
  <si>
    <t>Biota Park | 1.1.1. (+) შემოსავალი ლიფტების რეალიზაციიდან | ოლიმპ ჯორჯია (ს.კ. 405231011) - შპს</t>
  </si>
  <si>
    <t>B59170EC-16CC-499A-9FF7-0428DCB8F727</t>
  </si>
  <si>
    <t>6DECD64D-60DA-49AE-A9B3-49D7E02F2D62</t>
  </si>
  <si>
    <t>gio.nikabadze@gmail.com</t>
  </si>
  <si>
    <t>ინდეკო (ს.კ. 202376133) - შპს</t>
  </si>
  <si>
    <t>Chakhrukhadze</t>
  </si>
  <si>
    <t>1 6 30 541 4</t>
  </si>
  <si>
    <t>202376133/43762/1.1.1./1</t>
  </si>
  <si>
    <t>BFCA9047-3C75-4EEB-9FE8-82617FFD3965</t>
  </si>
  <si>
    <t>Chakhrukhadze | 1.1.1. (+) შემოსავალი ლიფტების რეალიზაციიდან | ინდეკო (ს.კ. 202376133) - შპს</t>
  </si>
  <si>
    <t>8E8E99BE-75FC-49EC-9D89-960E30E7CB06</t>
  </si>
  <si>
    <t>Chakhrukhadze | 1.1.1. | ინდეკო  | 23,100.00 USD | 24.10.2019</t>
  </si>
  <si>
    <t>ბეტა ჯგუფი (ს.კ. 405171996) - შპს</t>
  </si>
  <si>
    <t>Med. University</t>
  </si>
  <si>
    <t>405171996/43767/1.1.1./1</t>
  </si>
  <si>
    <t>00664103-FB2D-4EA7-A2B7-28064D745999</t>
  </si>
  <si>
    <t>Med. University | 1.1.1. (+) შემოსავალი ლიფტების რეალიზაციიდან | ბეტა ჯგუფი (ს.კ. 405171996) - შპს</t>
  </si>
  <si>
    <t>3029E0C5-9337-4596-87DB-0A677D44A180</t>
  </si>
  <si>
    <t>Med. University | 1.1.1. | ბეტა ჯგუფი  | 42,500.00 USD | 29.10.2019</t>
  </si>
  <si>
    <t>გიოკაპიტალი (ს.კ. 406155841) - შპს</t>
  </si>
  <si>
    <t>Varketili</t>
  </si>
  <si>
    <t>1 6 30 1252</t>
  </si>
  <si>
    <t>406155841/43724/1.1.1./1</t>
  </si>
  <si>
    <t>80851DA9-84C4-4C2C-95FE-D6A0282F7B22</t>
  </si>
  <si>
    <t>Varketili | 1.1.1. (+) შემოსავალი ლიფტების რეალიზაციიდან | გიოკაპიტალი (ს.კ. 406155841) - შპს</t>
  </si>
  <si>
    <t>97BEEA92-7829-4A09-8B1C-D0FE871340D4</t>
  </si>
  <si>
    <t>Varketili | 1.1.1. | გიოკაპიტალი  | 48,500.00 USD | 16.09.2019</t>
  </si>
  <si>
    <t>რედ-კო (ს.კ. 405148415) - შპს</t>
  </si>
  <si>
    <t>Gudauri Redco Parking</t>
  </si>
  <si>
    <t>405148415/43734/1.1.1./1</t>
  </si>
  <si>
    <t>2E1DDD27-332A-4E4A-B571-52B4DE3B8E04</t>
  </si>
  <si>
    <t>Gudauri Redco Parking | 1.1.1. (+) შემოსავალი ლიფტების რეალიზაციიდან | რედ-კო (ს.კ. 405148415) - შპს</t>
  </si>
  <si>
    <t>DA9D440B-CACD-4076-8B91-BFFCA46814B6</t>
  </si>
  <si>
    <t>Gudauri Redco Parking | 1.1.1. | რედ-კო  | 28,000.00 USD | 26.09.2019</t>
  </si>
  <si>
    <t>მაია კვიჭიძე (ს.კ. 01008011243) - ფიზ. პირი</t>
  </si>
  <si>
    <t>Ortachala</t>
  </si>
  <si>
    <t>01008011243/43672/1.1.1./1</t>
  </si>
  <si>
    <t>83FEC832-A4EA-4380-B5E9-85BEEECE8FA4</t>
  </si>
  <si>
    <t>Ortachala | 1.1.1. (+) შემოსავალი ლიფტების რეალიზაციიდან | მაია კვიჭიძე (ს.კ. 01008011243) - ფიზ. პირი</t>
  </si>
  <si>
    <t>D5136DB7-C17A-4DDB-9797-D1B10612D28C</t>
  </si>
  <si>
    <t>Ortachala | 1.1.1. | მაია კვიჭიძე  | 24,000.00 USD | 26.07.2019</t>
  </si>
  <si>
    <t>მოდუსი (ს.კ. 245565669) - შპს</t>
  </si>
  <si>
    <t>Modus Agladze</t>
  </si>
  <si>
    <t>245565669/43633/1.1.1./1</t>
  </si>
  <si>
    <t>ABDEF9CC-F0E1-4950-B30C-D46A8A8A912C</t>
  </si>
  <si>
    <t>Modus Agladze | 1.1.1. (+) შემოსავალი ლიფტების რეალიზაციიდან | მოდუსი (ს.კ. 245565669) - შპს</t>
  </si>
  <si>
    <t>9729C88B-F3C5-441A-8782-0656302A37F2</t>
  </si>
  <si>
    <t>Modus Agladze | 1.1.1. | მოდუსი  | 57,000.00 USD | 17.06.2019</t>
  </si>
  <si>
    <t>ჰომბეი (ს.კ. 405255815) - შპს</t>
  </si>
  <si>
    <t>Crystal Bakuriani</t>
  </si>
  <si>
    <t>405255815/43608/1.1.1./1</t>
  </si>
  <si>
    <t>230FCB1B-1310-4C49-9D2C-9CD5F9A792A3</t>
  </si>
  <si>
    <t>Crystal Bakuriani | 1.1.1. (+) შემოსავალი ლიფტების რეალიზაციიდან | ჰომბეი (ს.კ. 405255815) - შპს</t>
  </si>
  <si>
    <t>AAFC235A-2BBF-4CEC-A2AE-F1AEBABC12E4</t>
  </si>
  <si>
    <t>Crystal Bakuriani | 1.1.1. | ჰომბეი  | 104,500.00 USD | 23.05.2019</t>
  </si>
  <si>
    <t>ანა აბუსერიძე (ს.კ. 61001051501) - ფიზ. პირი</t>
  </si>
  <si>
    <t>Abuseridze - Batumi</t>
  </si>
  <si>
    <t>1 6 30 1179</t>
  </si>
  <si>
    <t>61001051501/43622/1.1.1./1</t>
  </si>
  <si>
    <t>4E89F135-A0AD-4622-97BD-7B68EF6062F8</t>
  </si>
  <si>
    <t>Abuseridze - Batumi | 1.1.1. (+) შემოსავალი ლიფტების რეალიზაციიდან | ანა აბუსერიძე (ს.კ. 61001051501) - ფიზ. პირი</t>
  </si>
  <si>
    <t>15F35EBB-5A28-4C1B-B7CC-45FF3F31D4D6</t>
  </si>
  <si>
    <t>Abuseridze - Batumi | 1.1.1. | ანა აბუსერიძე  | 31,000.00 USD | 06.06.2019</t>
  </si>
  <si>
    <t>იუნიქს ქონსთრაქშენ კომპანი (ს.კ. 405133822) - შპს</t>
  </si>
  <si>
    <t>UNIX Marselle</t>
  </si>
  <si>
    <t>405133822/43607/1.1.1./1</t>
  </si>
  <si>
    <t>CFFC1C06-B78B-45A0-8A02-37A23706EAFC</t>
  </si>
  <si>
    <t>UNIX Marselle | 1.1.1. (+) შემოსავალი ლიფტების რეალიზაციიდან | იუნიქს ქონსთრაქშენ კომპანი (ს.კ. 405133822) - შპს</t>
  </si>
  <si>
    <t>B4968862-3843-414D-9E73-1A7611618B41</t>
  </si>
  <si>
    <t>UNIX Marselle | 1.1.1. | იუნიქს ქონსთრაქშენ კომპანი  | 340,000.00 USD | 22.05.2019</t>
  </si>
  <si>
    <t>თბილისი პალასი (ს.კ. 405253381) - შპს</t>
  </si>
  <si>
    <t>Tbilisi Palace</t>
  </si>
  <si>
    <t>405253381/43460/1.1.1./1</t>
  </si>
  <si>
    <t>125722B7-4DB0-4817-B1A4-DBA0B1B893D4</t>
  </si>
  <si>
    <t>Tbilisi Palace | 1.1.1. (+) შემოსავალი ლიფტების რეალიზაციიდან | თბილისი პალასი (ს.კ. 405253381) - შპს</t>
  </si>
  <si>
    <t>3F5B4217-38D4-4FB8-B3F3-E856A10FFF06</t>
  </si>
  <si>
    <t>Tbilisi Palace | 1.1.1. | თბილისი პალასი  | 160,000.00 USD | 26.12.2018</t>
  </si>
  <si>
    <t>თეგეტა მოტორსი (ს.კ. 202177205) - შპს</t>
  </si>
  <si>
    <t>Tegeta Batumi</t>
  </si>
  <si>
    <t>202177205/43479/1.1.1./1</t>
  </si>
  <si>
    <t>255604D7-5424-4548-9CAA-ECFF960BB6AE</t>
  </si>
  <si>
    <t>Tegeta Batumi | 1.1.1. (+) შემოსავალი ლიფტების რეალიზაციიდან | თეგეტა მოტორსი (ს.კ. 202177205) - შპს</t>
  </si>
  <si>
    <t>5A21C207-4868-4EA6-9B48-5D0F743D5535</t>
  </si>
  <si>
    <t>Tegeta Batumi | 1.1.1. | თეგეტა მოტორსი  | 28,650.00 USD | 14.01.2019</t>
  </si>
  <si>
    <t>Dar Building (ს.კ. 445420875) - შპს</t>
  </si>
  <si>
    <t>DAR TOWER</t>
  </si>
  <si>
    <t>1 6 30 853 1</t>
  </si>
  <si>
    <t>445420875/43363/1.1.1./1</t>
  </si>
  <si>
    <t>A4EE54E2-C9BC-44F8-8554-44B9037B38D2</t>
  </si>
  <si>
    <t>DAR TOWER | 1.1.1. (+) შემოსავალი ლიფტების რეალიზაციიდან | Dar Building (ს.კ. 445420875) - შპს</t>
  </si>
  <si>
    <t>7BF4A039-29BC-44AC-A87D-E8832394B94E</t>
  </si>
  <si>
    <t>DAR TOWER | 1.1.1. | Dar Building  | 1,046,340.00 USD | 20.09.2018</t>
  </si>
  <si>
    <t>ბათბილდინგი (ს.კ. 445509334) - შპს</t>
  </si>
  <si>
    <t>BAT Tower</t>
  </si>
  <si>
    <t>1 6 30 1039</t>
  </si>
  <si>
    <t>445509334/43461/1.1.1./1</t>
  </si>
  <si>
    <t>A7AFCD4C-CA26-464C-8F1B-E9A5240DCB0F</t>
  </si>
  <si>
    <t>BAT Tower | 1.1.1. (+) შემოსავალი ლიფტების რეალიზაციიდან | ბათბილდინგი (ს.კ. 445509334) - შპს</t>
  </si>
  <si>
    <t>DAE7B000-963F-42D9-AA35-8F3F2F8A3716</t>
  </si>
  <si>
    <t>BAT Tower | 1.1.1. | ბათბილდინგი  | 73,000.00 USD | 27.12.2018</t>
  </si>
  <si>
    <t>რუმი (ს.კ. 445481853) - შპს</t>
  </si>
  <si>
    <t>Rumi - batumi</t>
  </si>
  <si>
    <t>1 6 30 1335</t>
  </si>
  <si>
    <t>445481853/43816/1.1.1./1</t>
  </si>
  <si>
    <t>E95274D6-921C-43D1-B7C4-4F99A71C4005</t>
  </si>
  <si>
    <t>Rumi - batumi | 1.1.1. (+) შემოსავალი ლიფტების რეალიზაციიდან | რუმი (ს.კ. 445481853) - შპს</t>
  </si>
  <si>
    <t>BFABDF11-34C8-4815-A840-47DD5AAB9F4F</t>
  </si>
  <si>
    <t>Rumi - batumi | 1.1.1. | რუმი  | 114,550.00 USD | 17.12.2019</t>
  </si>
  <si>
    <t>ფალიაშვილის 63 (ს.კ. ICE000034) - ამხანაგობა</t>
  </si>
  <si>
    <t>Domus Paliashviliს 63</t>
  </si>
  <si>
    <t>GEL</t>
  </si>
  <si>
    <t>ICE000034/42948/1.1.1./1</t>
  </si>
  <si>
    <t>C897938C-00C4-4220-BAF1-CA29F3237D16</t>
  </si>
  <si>
    <t>Domus Paliashviliს 63 | 1.1.1. (+) შემოსავალი ლიფტების რეალიზაციიდან | ფალიაშვილის 63 (ს.კ. ICE000034) - ამხანაგობა</t>
  </si>
  <si>
    <t>7F0A41E4-FA68-43E7-A979-126560D14B58</t>
  </si>
  <si>
    <t>Domus Paliashviliს 63 | 1.1.1. | ფალიაშვილის 63  | 97,000.00 GEL | 01.08.2017</t>
  </si>
  <si>
    <t>ეკომეტრი (ს.კ. 404464030) - შპს</t>
  </si>
  <si>
    <t>Gelovani 52</t>
  </si>
  <si>
    <t>404464030/42923/1.1.1./1</t>
  </si>
  <si>
    <t>196F7BB2-781C-4FF2-BAEE-C30045DA8E1E</t>
  </si>
  <si>
    <t>Gelovani 52 | 1.1.1. (+) შემოსავალი ლიფტების რეალიზაციიდან | ეკომეტრი (ს.კ. 404464030) - შპს</t>
  </si>
  <si>
    <t>B25EF46E-8022-4949-A1EB-E8A1256C7A3B</t>
  </si>
  <si>
    <t>Gelovani 52 | 1.1.1. | ეკომეტრი  | 161,000.00 USD | 07.07.2017</t>
  </si>
  <si>
    <t>ჩემპიონი 2 (ს.კ. 248416432) - შპს</t>
  </si>
  <si>
    <t>Chempioni</t>
  </si>
  <si>
    <t>248416432/42536/1.1.1./1</t>
  </si>
  <si>
    <t>42197EB0-C73A-4679-8D11-1DD3BAC96135</t>
  </si>
  <si>
    <t>Chempioni | 1.1.1. (+) შემოსავალი ლიფტების რეალიზაციიდან | ჩემპიონი 2 (ს.კ. 248416432) - შპს</t>
  </si>
  <si>
    <t>967EE73E-8B77-4A8F-9FD3-AA36FF0ECB17</t>
  </si>
  <si>
    <t>Chempioni | 1.1.1. | ჩემპიონი 2  | 23,924.00 USD | 15.06.2016</t>
  </si>
  <si>
    <t>ნიუ თაიმ (ს.კ. 445440577) - შპს</t>
  </si>
  <si>
    <t>New Time</t>
  </si>
  <si>
    <t>445440577/42885/1.1.1./1</t>
  </si>
  <si>
    <t>7A83BC1F-C807-436E-9390-775B1D423BFD</t>
  </si>
  <si>
    <t>New Time | 1.1.1. (+) შემოსავალი ლიფტების რეალიზაციიდან | ნიუ თაიმ (ს.კ. 445440577) - შპს</t>
  </si>
  <si>
    <t>EEF69DEA-9E1B-41C3-B563-3922DCE0A9BD</t>
  </si>
  <si>
    <t>New Time | 1.1.1. | ნიუ თაიმ  | 150,000.00 USD | 30.05.2017</t>
  </si>
  <si>
    <t>ელტური-2008 (ს.კ. 248434038) - შპს</t>
  </si>
  <si>
    <t>Green Cape</t>
  </si>
  <si>
    <t>248434038/43460/1.1.1./1</t>
  </si>
  <si>
    <t>D9285AF5-11A4-4764-B11B-745E9DAF1D34</t>
  </si>
  <si>
    <t>Green Cape | 1.1.1. (+) შემოსავალი ლიფტების რეალიზაციიდან | ელტური-2008 (ს.კ. 248434038) - შპს</t>
  </si>
  <si>
    <t>0A7F5182-3B4F-4292-8569-FC31854BA5B4</t>
  </si>
  <si>
    <t>Green Cape | 1.1.1. | ელტური-2008  | 70,360.00 USD | 26.12.2018</t>
  </si>
  <si>
    <t>Indeko - shartava 39</t>
  </si>
  <si>
    <t>202376133/42345/1.1.1./1</t>
  </si>
  <si>
    <t>C5E1547A-8529-495B-974D-92544D0F1C66</t>
  </si>
  <si>
    <t>Indeko - shartava 39 | 1.1.1. (+) შემოსავალი ლიფტების რეალიზაციიდან | ინდეკო (ს.კ. 202376133) - შპს</t>
  </si>
  <si>
    <t>Indeko - shartava 39 | 1.1.1. | ინდეკო  | 155,520.00 USD | 26.12.2018</t>
  </si>
  <si>
    <t>Redco 1</t>
  </si>
  <si>
    <t>1 6 30 917 2</t>
  </si>
  <si>
    <t>405148415/43248/1.1.1./1</t>
  </si>
  <si>
    <t>D421D947-C097-4870-8EF1-C7F724377248</t>
  </si>
  <si>
    <t>Redco 1 | 1.1.1. (+) შემოსავალი ლიფტების რეალიზაციიდან | რედ-კო (ს.კ. 405148415) - შპს</t>
  </si>
  <si>
    <t>Redco 1 | 1.1.1. | რედ-კო  | 370,000.00 USD | 28.05.2018</t>
  </si>
  <si>
    <t>ბიზნეს ცენტრი დელისი (ს.კ. 204854014) - სს</t>
  </si>
  <si>
    <t>Delisi</t>
  </si>
  <si>
    <t>204854014/42598/1.1.1./1</t>
  </si>
  <si>
    <t>2496A0E0-1118-49DC-8A82-539003DC1B23</t>
  </si>
  <si>
    <t>Delisi | 1.1.1. (+) შემოსავალი ლიფტების რეალიზაციიდან | ბიზნეს ცენტრი დელისი (ს.კ. 204854014) - სს</t>
  </si>
  <si>
    <t>62F6C15C-8FCC-4A60-B37E-8A3DE9D20A48</t>
  </si>
  <si>
    <t>Delisi | 1.1.1. | ბიზნეს ცენტრი დელისი  | 53,454.00 USD | 16.08.2016</t>
  </si>
  <si>
    <t>შველა (ს.კ. 448396021) - შპს</t>
  </si>
  <si>
    <t>Shvela</t>
  </si>
  <si>
    <t>448396021/42536/1.1.1./1</t>
  </si>
  <si>
    <t>1C2CAB23-3967-41F9-AC61-62415AE0373C</t>
  </si>
  <si>
    <t>Shvela | 1.1.1. (+) შემოსავალი ლიფტების რეალიზაციიდან | შველა (ს.კ. 448396021) - შპს</t>
  </si>
  <si>
    <t>A5C44F5D-1F9C-4BC1-BD39-C8B2E88BC49A</t>
  </si>
  <si>
    <t>Shvela | 1.1.1. | შველა  | 50,206.00 USD | 15.06.2016</t>
  </si>
  <si>
    <t>ბკ კაპიტალი (ს.კ. 205057123) - შპს</t>
  </si>
  <si>
    <t>Moxy Zaabruken Hotel 1</t>
  </si>
  <si>
    <t>205057123/42647/1.1.1./1</t>
  </si>
  <si>
    <t>202843CA-C5C3-4057-8040-234B6C369B5E</t>
  </si>
  <si>
    <t>Moxy Zaabruken Hotel | 1.1.1. (+) შემოსავალი ლიფტების რეალიზაციიდან | ბკ კაპიტალი (ს.კ. 205057123) - შპს</t>
  </si>
  <si>
    <t>D57E2878-F57C-4B96-B89E-A8B81F35634A</t>
  </si>
  <si>
    <t>Moxy Zaabruken Hotel | 1.1.1. | ბკ კაპიტალი  | 157,608.67 USD | 04.10.2016</t>
  </si>
  <si>
    <t>ინჟინერთა ჯგუფი (ს.კ. 400101457) - შპს</t>
  </si>
  <si>
    <t>Tbilisi Gardens</t>
  </si>
  <si>
    <t>400101457/42723/1.1.1./1</t>
  </si>
  <si>
    <t>8C8C52A5-1A7C-485F-9AC8-043862EF3D55</t>
  </si>
  <si>
    <t>Tbilisi Gardens | 1.1.1. (+) შემოსავალი ლიფტების რეალიზაციიდან | ინჟინერთა ჯგუფი (ს.კ. 400101457) - შპს</t>
  </si>
  <si>
    <t>2ED6F730-5337-4222-94F9-284E801BCE61</t>
  </si>
  <si>
    <t>Tbilisi Gardens | 1.1.1. | ინჟინერთა ჯგუფი  | 325,000.00 USD | 19.12.2016</t>
  </si>
  <si>
    <t>Modus Kakhety HW</t>
  </si>
  <si>
    <t>245565669/42641/1.1.1./1</t>
  </si>
  <si>
    <t>BFD4409A-7F01-4C7C-9F40-73A80C2E63A6</t>
  </si>
  <si>
    <t>Modus Kakhety HW | 1.1.1. (+) შემოსავალი ლიფტების რეალიზაციიდან | მოდუსი (ს.კ. 245565669) - შპს</t>
  </si>
  <si>
    <t>Modus Kakhety HW | 1.1.1. | მოდუსი  | 25,000.00 USD | 28.09.2016</t>
  </si>
  <si>
    <t>სითი დეველოპმენტ (ს.კ. 404481324) - შპს</t>
  </si>
  <si>
    <t>Kbuleti Str. - Khomeriki</t>
  </si>
  <si>
    <t>404481324/42485/1.1.1./1</t>
  </si>
  <si>
    <t>A53105CE-1BDB-4625-B775-A01DA1F6C8AD</t>
  </si>
  <si>
    <t>Kbuleti Str. - Khomeriki | 1.1.1. (+) შემოსავალი ლიფტების რეალიზაციიდან | სითი დეველოპმენტ (ს.კ. 404481324) - შპს</t>
  </si>
  <si>
    <t>57A60218-744B-4922-BF21-F9C52A01DAF6</t>
  </si>
  <si>
    <t>Kbuleti Str. - Khomeriki | 1.1.1. | სითი დეველოპმენტ  | 36,577.00 USD | 25.04.2016</t>
  </si>
  <si>
    <t>დომუს დეველოპმენტ (ს.კ. 205210261) - შპს</t>
  </si>
  <si>
    <t>Domus</t>
  </si>
  <si>
    <t>205210261/42355/1.1.1./1</t>
  </si>
  <si>
    <t>F154242F-E028-49D8-B7BE-42EB31281CD5</t>
  </si>
  <si>
    <t>Domus | 1.1.1. (+) შემოსავალი ლიფტების რეალიზაციიდან | დომუს დეველოპმენტ (ს.კ. 205210261) - შპს</t>
  </si>
  <si>
    <t>A3C5943B-D1C3-4CB2-946C-86BF678B6183</t>
  </si>
  <si>
    <t>Domus | 1.1.1. | დომუს დეველოპმენტ  | 527,700.00 USD | 17.12.2015</t>
  </si>
  <si>
    <t>ირაკლი კაციტაძე (ს.კ. 01008004604) - ფიზ. პირი</t>
  </si>
  <si>
    <t>Paliashvili 23</t>
  </si>
  <si>
    <t>1.1.2. (+) შემოსავალი ლიფტების სერვისიდან - გეგმიური</t>
  </si>
  <si>
    <t>01008004604/43831/1.1.2./1</t>
  </si>
  <si>
    <t>6D999F5B-2199-4578-A47D-FDC2DF179273</t>
  </si>
  <si>
    <t>Paliashvili 23 | 1.1.2. (+) შემოსავალი ლიფტების სერვისიდან - გეგმიური | ირაკლი კაციტაძე (ს.კ. 01008004604) - ფიზ. პირი</t>
  </si>
  <si>
    <t>12238130-9D12-4099-A48B-9EB5A085E0F8</t>
  </si>
  <si>
    <t>9AE0C821-91FF-44A4-90E6-F71F98BC044C</t>
  </si>
  <si>
    <t>Paliashvili 23 | 1.1.2. | ირაკლი კაციტაძე  | 1.00 GEL | 01.01.2020</t>
  </si>
  <si>
    <t>Moxy Zabruken Restaurant</t>
  </si>
  <si>
    <t>205057123/43742/1.1.1./1</t>
  </si>
  <si>
    <t>5E543EA8-4A6A-4F8C-9F72-071B61F85EEB</t>
  </si>
  <si>
    <t>Moxy Zabruken Restaurant | 1.1.1. (+) შემოსავალი ლიფტების რეალიზაციიდან | ბკ კაპიტალი (ს.კ. 205057123) - შპს</t>
  </si>
  <si>
    <t>Moxy Zabruken Restaurant | 1.1.1. | ბკ კაპიტალი  | 78,804.33 USD | 04.10.2019</t>
  </si>
  <si>
    <t>ორბი ჯგუფი ბათუმი (ს.კ. 445468798) - შპს</t>
  </si>
  <si>
    <t>TWIN TOWER</t>
  </si>
  <si>
    <t>1 6 30 773 1</t>
  </si>
  <si>
    <t>445468798/43059/1.1.1./1</t>
  </si>
  <si>
    <t>C35D9FF1-3A09-4634-9BFA-87C709266063</t>
  </si>
  <si>
    <t>TWIN TOWER | 1.1.1. (+) შემოსავალი ლიფტების რეალიზაციიდან | ორბი ჯგუფი ბათუმი (ს.კ. 445468798) - შპს</t>
  </si>
  <si>
    <t>E284E0FD-A2B7-4D93-8E91-006FF0A8A4CE</t>
  </si>
  <si>
    <t>TWIN TOWER | 1.1.1. | ორბი ჯგუფი ბათუმი  | 3,273,908.00 USD | 20.11.2017</t>
  </si>
  <si>
    <t>აი ჯი დეველოფმენტ ჯორჯია (ს.კ. 404851503) - შპს</t>
  </si>
  <si>
    <t>City Mall</t>
  </si>
  <si>
    <t>1 6 30 971</t>
  </si>
  <si>
    <t>404851503/43354/1.1.1./1</t>
  </si>
  <si>
    <t>EA15EDA6-F906-4932-87BA-DDB8898D4EBC</t>
  </si>
  <si>
    <t>City Mall | 1.1.1. (+) შემოსავალი ლიფტების რეალიზაციიდან | აი ჯი დეველოფმენტ ჯორჯია (ს.კ. 404851503) - შპს</t>
  </si>
  <si>
    <t>DDFBBDF4-5DA2-4BD2-918A-77AAF121BF72</t>
  </si>
  <si>
    <t>City Mall | 1.1.1. | აი ჯი დეველოფმენტ ჯორჯია  | 1,194,345.00 USD | 11.09.2018</t>
  </si>
  <si>
    <t>რენთინგ ბიენბი (ს.კ. 404564244) - სს</t>
  </si>
  <si>
    <t>Renting BNB</t>
  </si>
  <si>
    <t>1 6 30 1429</t>
  </si>
  <si>
    <t>404564244/43886/1.1.1./1</t>
  </si>
  <si>
    <t>55F53FA9-CDDE-4FBA-91A1-FEAFA51B29A0</t>
  </si>
  <si>
    <t>Renting BNB | 1.1.1. (+) შემოსავალი ლიფტების რეალიზაციიდან | რენთინგ ბიენბი (ს.კ. 404564244) - სს</t>
  </si>
  <si>
    <t>9B349A17-7CE1-4232-98C6-02C565C3642C</t>
  </si>
  <si>
    <t>Renting BNB | 1.1.1. | რენთინგ ბიენბი  | 26,000.00 USD | 25.02.2020</t>
  </si>
  <si>
    <t>ტრანსმშენი (ს.კ. 212274812) - სს</t>
  </si>
  <si>
    <t>Aeroporti</t>
  </si>
  <si>
    <t>212274812/43699/1.1.1./1</t>
  </si>
  <si>
    <t>44F2F4A0-908E-42D1-B73F-04859CACCB08</t>
  </si>
  <si>
    <t>Aeroporti | 1.1.1. (+) შემოსავალი ლიფტების რეალიზაციიდან | ტრანსმშენი (ს.კ. 212274812) - სს</t>
  </si>
  <si>
    <t>9B21D54A-56D8-405D-95E2-A05872C7C1E9</t>
  </si>
  <si>
    <t>Aeroporti | 1.1.1. | ტრანსმშენი  | 20,000.00 USD | 22.08.2019</t>
  </si>
  <si>
    <t>Dividers Med Uni</t>
  </si>
  <si>
    <t>405171996/43477/1.1.1./1</t>
  </si>
  <si>
    <t>2F958FC8-AC98-416D-BEAC-E4C6006FCCB3</t>
  </si>
  <si>
    <t>Dividers Med Uni | 1.1.1. (+) შემოსავალი ლიფტების რეალიზაციიდან | ბეტა ჯგუფი (ს.კ. 405171996) - შპს</t>
  </si>
  <si>
    <t>Dividers Med Uni | 1.1.1. | ბეტა ჯგუფი  | 11,000.00 GEL | 12.01.2019</t>
  </si>
  <si>
    <t>ლუდსახარში ორი კათხა (ს.კ. 406283338) - შპს</t>
  </si>
  <si>
    <t>Brewery 1 (300KG)</t>
  </si>
  <si>
    <t>406283338/43896/1.1.1./1</t>
  </si>
  <si>
    <t>4DB7E760-9ECD-4426-BB50-E293E58D2B02</t>
  </si>
  <si>
    <t>Brewery 1 (300KG) | 1.1.1. (+) შემოსავალი ლიფტების რეალიზაციიდან | ლუდსახარში ორი კათხა (ს.კ. 406283338) - შპს</t>
  </si>
  <si>
    <t>1C2A10A9-FA2F-437B-8C70-F109D1C009EE</t>
  </si>
  <si>
    <t>Brewery 1 (300KG) | 1.1.1. | ლუდსახარში ორი კათხა  | 10,610.00 USD | 06.03.2020</t>
  </si>
  <si>
    <t>ახალშენი 2016 (ს.კ. 405136758) - შპს</t>
  </si>
  <si>
    <t>Khiliani</t>
  </si>
  <si>
    <t>405136758/43677/1.1.1./1</t>
  </si>
  <si>
    <t>E136ACFA-DBED-49EE-B224-24513754542C</t>
  </si>
  <si>
    <t>Khiliani | 1.1.1. (+) შემოსავალი ლიფტების რეალიზაციიდან | ახალშენი 2016 (ს.კ. 405136758) - შპს</t>
  </si>
  <si>
    <t>04FB28EA-5501-4B01-BA1D-C2955C0E1213</t>
  </si>
  <si>
    <t>Khiliani | 1.1.1. | ახალშენი 2016  | 26,400.00 USD | 31.07.2019</t>
  </si>
  <si>
    <t>ORBI Office Lift</t>
  </si>
  <si>
    <t>445468798/43788/1.1.1./1</t>
  </si>
  <si>
    <t>5B0BA252-1105-4374-8654-430AE04E8A64</t>
  </si>
  <si>
    <t>ORBI Office Lift | 1.1.1. (+) შემოსავალი ლიფტების რეალიზაციიდან | ორბი ჯგუფი ბათუმი (ს.კ. 445468798) - შპს</t>
  </si>
  <si>
    <t>ORBI Office Lift | 1.1.1. | ორბი ჯგუფი ბათუმი  | 30,000.00 USD | 19.11.2019</t>
  </si>
  <si>
    <t>IBIS Perovi</t>
  </si>
  <si>
    <t>1 6 30 1257 1</t>
  </si>
  <si>
    <t>405171996/43719/1.1.1./1</t>
  </si>
  <si>
    <t>3619FEF3-250F-43C1-93C3-B77FEADECC84</t>
  </si>
  <si>
    <t>IBIS Perovi | 1.1.1. (+) შემოსავალი ლიფტების რეალიზაციიდან | ბეტა ჯგუფი (ს.კ. 405171996) - შპს</t>
  </si>
  <si>
    <t>IBIS Perovi | 1.1.1. | ბეტა ჯგუფი  | 83,750.00 USD | 11.09.2019</t>
  </si>
  <si>
    <t>კანოპუსი (ს.კ. 405229881) - შპს</t>
  </si>
  <si>
    <t>Sololaki</t>
  </si>
  <si>
    <t>405229881/43769/1.1.1./1</t>
  </si>
  <si>
    <t>0159D5F2-86A6-4D6F-87C4-D563AB9AA860</t>
  </si>
  <si>
    <t>Sololaki | 1.1.1. (+) შემოსავალი ლიფტების რეალიზაციიდან | კანოპუსი (ს.კ. 405229881) - შპს</t>
  </si>
  <si>
    <t>F43C8D9B-B556-4114-B404-AEEFA8C31B20</t>
  </si>
  <si>
    <t>Sololaki | 1.1.1. | კანოპუსი  | 24,000.00 USD | 31.10.2019</t>
  </si>
  <si>
    <t>IBIS Perov Dumbwaiter</t>
  </si>
  <si>
    <t>405171996/43804/1.1.1./1</t>
  </si>
  <si>
    <t>B9668B49-46F2-4E2F-B183-F802279CAA6C</t>
  </si>
  <si>
    <t>IBIS Perov Dumbwaiter | 1.1.1. (+) შემოსავალი ლიფტების რეალიზაციიდან | ბეტა ჯგუფი (ს.კ. 405171996) - შპს</t>
  </si>
  <si>
    <t>IBIS Perov Dumbwaiter | 1.1.1. | ბეტა ჯგუფი  | 16,300.00 USD | 05.12.2019</t>
  </si>
  <si>
    <t>სითი რეალ ისთეით (ს.კ. 406067410) - შპს</t>
  </si>
  <si>
    <t>Kleemann Pekini</t>
  </si>
  <si>
    <t>406067410/43228/1.1.1./1</t>
  </si>
  <si>
    <t>7BF69DE1-9EA3-4EAE-9713-910380F15356</t>
  </si>
  <si>
    <t>Kleemann Pekini | 1.1.1. (+) შემოსავალი ლიფტების რეალიზაციიდან | სითი რეალ ისთეით (ს.კ. 406067410) - შპს</t>
  </si>
  <si>
    <t>04B265BA-02B2-4620-87C1-1D9CA09C8962</t>
  </si>
  <si>
    <t>Kleemann Pekini | 1.1.1. | სითი რეალ ისთეით  | 353,218.00 USD | 08.05.2018</t>
  </si>
  <si>
    <t>ანაგი (ს.კ. 245416401) - შპს</t>
  </si>
  <si>
    <t>Gudauri Alpic</t>
  </si>
  <si>
    <t>245416401/43732/1.1.1./1</t>
  </si>
  <si>
    <t>56B157A4-78FF-42DD-B032-B267792BBED8</t>
  </si>
  <si>
    <t>Gudauri Alpic | 1.1.1. (+) შემოსავალი ლიფტების რეალიზაციიდან | ანაგი (ს.კ. 245416401) - შპს</t>
  </si>
  <si>
    <t>7DDF7E55-92EE-4E47-9E16-F1D4D3FABF60</t>
  </si>
  <si>
    <t>Gudauri Alpic | 1.1.1. | ანაგი  | 81,000.00 USD | 24.09.2019</t>
  </si>
  <si>
    <t>Batumi Stadium</t>
  </si>
  <si>
    <t>245416401/43589/1.1.1./1</t>
  </si>
  <si>
    <t>8A712C8E-EE09-4385-8E22-3C7E70676923</t>
  </si>
  <si>
    <t>Batumi Stadium | 1.1.1. (+) შემოსავალი ლიფტების რეალიზაციიდან | ანაგი (ს.კ. 245416401) - შპს</t>
  </si>
  <si>
    <t>Batumi Stadium | 1.1.1. | ანაგი  | 139,932.66 USD | 04.05.2019</t>
  </si>
  <si>
    <t>დეველოპერული კომპანია მც კვადრატი (ს.კ. 404474403) - შპს</t>
  </si>
  <si>
    <t>Gazapkhuli</t>
  </si>
  <si>
    <t>404474403/43831/1.1.2./1</t>
  </si>
  <si>
    <t>F487D937-85D8-43B1-8D4D-27757BC0BE36</t>
  </si>
  <si>
    <t>Gazapkhuli | 1.1.2. (+) შემოსავალი ლიფტების სერვისიდან - გეგმიური | დეველოპერული კომპანია მც კვადრატი (ს.კ. 404474403) - შპს</t>
  </si>
  <si>
    <t>EC22924D-9707-4BC1-9814-FD45570D704B</t>
  </si>
  <si>
    <t>Gazapkhuli | 1.1.2. | დეველოპერული კომპანია მც კვადრატი  | 100.00 GEL | 01.01.2020</t>
  </si>
  <si>
    <t>თერმორუმი (ს.კ. 405134448) - შპს</t>
  </si>
  <si>
    <t>Thermoroom</t>
  </si>
  <si>
    <t>405134448/43546/1.1.1./1</t>
  </si>
  <si>
    <t>554B8399-3687-4503-A8C9-12E3BBDE60E9</t>
  </si>
  <si>
    <t>Thermoroom | 1.1.1. (+) შემოსავალი ლიფტების რეალიზაციიდან | თერმორუმი (ს.კ. 405134448) - შპს</t>
  </si>
  <si>
    <t>A71E107A-D0C2-4155-83C0-22DCD22BD19F</t>
  </si>
  <si>
    <t>Thermoroom | 1.1.1. | თერმორუმი  | 82,900.00 USD | 22.03.2019</t>
  </si>
  <si>
    <t>ტექნოკლიმა (ს.კ. 402009857) - შპს</t>
  </si>
  <si>
    <t>ENCORE Gudauri</t>
  </si>
  <si>
    <t>EUR</t>
  </si>
  <si>
    <t>402009857/43711/1.1.1./1</t>
  </si>
  <si>
    <t>165277AE-3A0C-494C-8C92-CC3A68C15375</t>
  </si>
  <si>
    <t>ENCORE Gudauri | 1.1.1. (+) შემოსავალი ლიფტების რეალიზაციიდან | ტექნოკლიმა (ს.კ. 402009857) - შპს</t>
  </si>
  <si>
    <t>967D325E-9818-4D9E-8716-3D66A117AF42</t>
  </si>
  <si>
    <t>ENCORE Gudauri | 1.1.1. | ტექნოკლიმა  | 180,540.00 EUR | 03.09.2019</t>
  </si>
  <si>
    <t>ჯი-ემ-თი სასტუმროები (ს.კ. 203842333) - შპს</t>
  </si>
  <si>
    <t>MOXY HVAC</t>
  </si>
  <si>
    <t>1.2.1. (+) შემოსავალი MEP დანადგარების რეალიზაციიდან</t>
  </si>
  <si>
    <t>203842333/43124/1.2.1./1</t>
  </si>
  <si>
    <t>C78D3D45-B3FB-4533-AE2E-53D8A5FA6C34</t>
  </si>
  <si>
    <t>MOXY HVAC | 1.2.1. (+) შემოსავალი MEP დანადგარების რეალიზაციიდან | ჯი-ემ-თი სასტუმროები (ს.კ. 203842333) - შპს</t>
  </si>
  <si>
    <t>FEA4B88F-633F-4422-B3D6-250792A2DA80</t>
  </si>
  <si>
    <t>9E3145B1-F47E-49C3-BF51-BCB9055ABC20</t>
  </si>
  <si>
    <t>MOXY HVAC | 1.2.1. | ჯი-ემ-თი სასტუმროები  | 416,156.43 USD | 24.01.2018</t>
  </si>
  <si>
    <t>1920 (ს.კ. 400247899) - შპს</t>
  </si>
  <si>
    <t>Paster Hostel</t>
  </si>
  <si>
    <t>400247899/43571/1.1.1./1</t>
  </si>
  <si>
    <t>59251EDF-2EEC-4871-ADAA-D7901FD7C84E</t>
  </si>
  <si>
    <t>Paster Hostel | 1.1.1. (+) შემოსავალი ლიფტების რეალიზაციიდან | 1920 (ს.კ. 400247899) - შპს</t>
  </si>
  <si>
    <t>30D1E20E-3889-4EAC-883A-6509ABFFA5D7</t>
  </si>
  <si>
    <t>Paster Hostel | 1.1.1. | 1920  | 36,200.00 USD | 16.04.2019</t>
  </si>
  <si>
    <t>გოჩა ჩხაიძე (ს.კ. 65002012107) - ფიზ. პირი</t>
  </si>
  <si>
    <t>Kaklebi</t>
  </si>
  <si>
    <t>65002012107/43566/1.1.1./1</t>
  </si>
  <si>
    <t>BCE7664A-F047-41AD-8D93-756E595D21F6</t>
  </si>
  <si>
    <t>Kaklebi | 1.1.1. (+) შემოსავალი ლიფტების რეალიზაციიდან | გოჩა ჩხაიძე (ს.კ. 65002012107) - ფიზ. პირი</t>
  </si>
  <si>
    <t>B658F42E-3F0A-44A3-B4ED-A7B4C1D8DEAE</t>
  </si>
  <si>
    <t>Kaklebi | 1.1.1. | გოჩა ჩხაიძე  | 37,760.00 USD | 11.04.2019</t>
  </si>
  <si>
    <t>სვირი + (ს.კ. 212916932) - შპს</t>
  </si>
  <si>
    <t>156-ე საჯარო სკოლა</t>
  </si>
  <si>
    <t>212916932/43861/1.1.1./1</t>
  </si>
  <si>
    <t>6E5F6760-7CEF-41CD-B373-B0F3B4EABCCA</t>
  </si>
  <si>
    <t>156-ე საჯარო სკოლა | 1.1.1. (+) შემოსავალი ლიფტების რეალიზაციიდან | სვირი + (ს.კ. 212916932) - შპს</t>
  </si>
  <si>
    <t>E0680301-116E-4D99-93F4-7C694EC80172</t>
  </si>
  <si>
    <t>156-ე საჯარო სკოლა | 1.1.1. | სვირი +  | 8,900.00 USD | 31.01.2020</t>
  </si>
  <si>
    <t>ორბი ჯგუფი (ს.კ. 245621849) - შპს</t>
  </si>
  <si>
    <t>Beach Tower</t>
  </si>
  <si>
    <t>245621849/43348/1.1.1./1</t>
  </si>
  <si>
    <t>A4E19F43-E4DA-4585-8CAE-4CC3E97F5AF8</t>
  </si>
  <si>
    <t>Beach Tower | 1.1.1. (+) შემოსავალი ლიფტების რეალიზაციიდან | ორბი ჯგუფი (ს.კ. 245621849) - შპს</t>
  </si>
  <si>
    <t>90293CD0-6262-4F6E-9B52-E8D909232966</t>
  </si>
  <si>
    <t>Beach Tower | 1.1.1. | ორბი ჯგუფი  | 650,000.00 USD | 05.09.2018</t>
  </si>
  <si>
    <t>მეპერსი (ს.კ. 402121887) - შპს</t>
  </si>
  <si>
    <t>Modus PU Duct</t>
  </si>
  <si>
    <t>402121887/43595/1.2.1./1</t>
  </si>
  <si>
    <t>A9B6FEBD-3A47-4DFB-ACC0-BE284A1FE961</t>
  </si>
  <si>
    <t>Modus PU Duct | 1.2.1. (+) შემოსავალი MEP დანადგარების რეალიზაციიდან | მეპერსი (ს.კ. 402121887) - შპს</t>
  </si>
  <si>
    <t>43EABC78-AF64-4C14-9FEF-C7E6A1B6F07E</t>
  </si>
  <si>
    <t>Modus PU Duct | 1.2.1. | მეპერსი  | 109,423.76 GEL | 10.05.2019</t>
  </si>
  <si>
    <t>Modus VRV</t>
  </si>
  <si>
    <t>402121887/43602/1.2.1./1</t>
  </si>
  <si>
    <t>FD1EDF0D-38F3-4DAD-BD01-A54531CAD071</t>
  </si>
  <si>
    <t>Modus VRV | 1.2.1. (+) შემოსავალი MEP დანადგარების რეალიზაციიდან | მეპერსი (ს.კ. 402121887) - შპს</t>
  </si>
  <si>
    <t>Modus VRV | 1.2.1. | მეპერსი  | 11,810.00 USD | 17.05.2019</t>
  </si>
  <si>
    <t>Ramada Melikishvili</t>
  </si>
  <si>
    <t>402121887/43633/1.2.1./1</t>
  </si>
  <si>
    <t>9A0748F1-7447-4E99-B52A-C299B2BE2267</t>
  </si>
  <si>
    <t>Ramada Melikishvili | 1.2.1. (+) შემოსავალი MEP დანადგარების რეალიზაციიდან | მეპერსი (ს.კ. 402121887) - შპს</t>
  </si>
  <si>
    <t>Ramada Melikishvili | 1.2.1. | მეპერსი  | 319,728.97 USD | 17.06.2019</t>
  </si>
  <si>
    <t>Ramada Melikishvili Additional</t>
  </si>
  <si>
    <t>402121887/43693/1.2.1./1</t>
  </si>
  <si>
    <t>300E878A-B016-48B5-A930-E3EDEEFB0FED</t>
  </si>
  <si>
    <t>Ramada Melikishvili Additional | 1.2.1. (+) შემოსავალი MEP დანადგარების რეალიზაციიდან | მეპერსი (ს.კ. 402121887) - შპს</t>
  </si>
  <si>
    <t>Ramada Melikishvili Additional | 1.2.1. | მეპერსი  | 11,636.28 USD | 16.08.2019</t>
  </si>
  <si>
    <t>Hilton Garden Mockup</t>
  </si>
  <si>
    <t>402121887/43597/1.2.1./1</t>
  </si>
  <si>
    <t>B866CCA1-4F5C-4C49-9517-CD64763AD8CC</t>
  </si>
  <si>
    <t>Hilton Garden Mockup | 1.2.1. (+) შემოსავალი MEP დანადგარების რეალიზაციიდან | მეპერსი (ს.კ. 402121887) - შპს</t>
  </si>
  <si>
    <t>Hilton Garden Mockup | 1.2.1. | მეპერსი  | 2,872.57 USD | 12.05.2019</t>
  </si>
  <si>
    <t>Kempinski Mockup</t>
  </si>
  <si>
    <t>402121887/43759/1.2.1./1</t>
  </si>
  <si>
    <t>3A44DBA7-152B-4C3D-8A70-C51193549F07</t>
  </si>
  <si>
    <t>Kempinski Mockup | 1.2.1. (+) შემოსავალი MEP დანადგარების რეალიზაციიდან | მეპერსი (ს.კ. 402121887) - შპს</t>
  </si>
  <si>
    <t>Kempinski Mockup | 1.2.1. | მეპერსი  | 2,244.12 USD | 21.10.2019</t>
  </si>
  <si>
    <t>Copper Pipes Stock</t>
  </si>
  <si>
    <t>402121887/43882/1.2.1./1</t>
  </si>
  <si>
    <t>89441EC7-27A5-4210-91F3-96BB35383900</t>
  </si>
  <si>
    <t>Copper Pipes Stock | 1.2.1. (+) შემოსავალი MEP დანადგარების რეალიზაციიდან | მეპერსი (ს.კ. 402121887) - შპს</t>
  </si>
  <si>
    <t>Copper Pipes Stock | 1.2.1. | მეპერსი  | 10,000.00 GEL | 21.02.2020</t>
  </si>
  <si>
    <t>Valves Med. University</t>
  </si>
  <si>
    <t>402121887/43815/1.2.1./1</t>
  </si>
  <si>
    <t>F4A2EDEE-7E84-4F30-91BA-5752286BD0A1</t>
  </si>
  <si>
    <t>Valves Med. University | 1.2.1. (+) შემოსავალი MEP დანადგარების რეალიზაციიდან | მეპერსი (ს.კ. 402121887) - შპს</t>
  </si>
  <si>
    <t>Valves Med. University | 1.2.1. | მეპერსი  | 881.46 EUR | 16.12.2019</t>
  </si>
  <si>
    <t>Orbi Bakuriani VRV</t>
  </si>
  <si>
    <t>402121887/43894/1.2.1./1</t>
  </si>
  <si>
    <t>740B928C-4173-4A00-8523-A29D1C596ECC</t>
  </si>
  <si>
    <t>Orbi Bakuriani VRV | 1.2.1. (+) შემოსავალი MEP დანადგარების რეალიზაციიდან | მეპერსი (ს.კ. 402121887) - შპს</t>
  </si>
  <si>
    <t>Orbi Bakuriani VRV | 1.2.1. | მეპერსი  | 87,484.25 USD | 04.03.2020</t>
  </si>
  <si>
    <t>Hilton Garden Inn VRV 1</t>
  </si>
  <si>
    <t>402121887/43900/1.2.1./1</t>
  </si>
  <si>
    <t>68E42D82-BE50-4F66-82A4-CDC4DEB322C3</t>
  </si>
  <si>
    <t>Hilton Garden Inn VRV 1 | 1.2.1. (+) შემოსავალი MEP დანადგარების რეალიზაციიდან | მეპერსი (ს.კ. 402121887) - შპს</t>
  </si>
  <si>
    <t>Hilton Garden Inn VRV 1 | 1.2.1. | მეპერსი  | 56,818.84 USD | 10.03.2020</t>
  </si>
  <si>
    <t>Hilton Garden Inn PIPES</t>
  </si>
  <si>
    <t>402121887/43903/1.2.1./1</t>
  </si>
  <si>
    <t>4723017E-EF0C-427F-BE8D-95A49C03170F</t>
  </si>
  <si>
    <t>Hilton Garden Inn PIPES | 1.2.1. (+) შემოსავალი MEP დანადგარების რეალიზაციიდან | მეპერსი (ს.კ. 402121887) - შპს</t>
  </si>
  <si>
    <t>Hilton Garden Inn PIPES | 1.2.1. | მეპერსი  | 8,684.86 USD | 13.03.2020</t>
  </si>
  <si>
    <t>OFFICE Dar Building</t>
  </si>
  <si>
    <t>445420875/44170/1.1.1./1</t>
  </si>
  <si>
    <t>E3FEF6DB-0C48-4832-A5CF-868EF7B591A4</t>
  </si>
  <si>
    <t>OFFICE Dar Building | 1.1.1. (+) შემოსავალი ლიფტების რეალიზაციიდან | Dar Building (ს.კ. 445420875) - შპს</t>
  </si>
  <si>
    <t>OFFICE Dar Building | 1.1.1. | Dar Building  | 20,800.00 USD | 05.12.2020</t>
  </si>
  <si>
    <t>Archi Digomi</t>
  </si>
  <si>
    <t>1 6 30 1132 3</t>
  </si>
  <si>
    <t>245416401/43955/1.1.1./1</t>
  </si>
  <si>
    <t>A68BEF97-923B-4D3C-8A08-9CF9311578B7</t>
  </si>
  <si>
    <t>Archi Digomi | 1.1.1. (+) შემოსავალი ლიფტების რეალიზაციიდან | ანაგი (ს.კ. 245416401) - შპს</t>
  </si>
  <si>
    <t>Archi Digomi | 1.1.1. | ანაგი  | 107,760.00 USD | 04.05.2020</t>
  </si>
  <si>
    <t>Spanish Retail Georgia (ს.კ. 404404774) - შპს</t>
  </si>
  <si>
    <t>Zara City Mall</t>
  </si>
  <si>
    <t>404404774/43800/1.1.2./1</t>
  </si>
  <si>
    <t>5D93EA98-C1B5-460B-B2FB-C526651B3F64</t>
  </si>
  <si>
    <t>Zara City Mall | 1.1.2. (+) შემოსავალი ლიფტების სერვისიდან - გეგმიური | Spanish Retail Georgia (ს.კ. 404404774) - შპს</t>
  </si>
  <si>
    <t>6DF25574-2F03-43D0-AEC4-2CD26A4A0C3A</t>
  </si>
  <si>
    <t>Zara City Mall | 1.1.2. | Spanish Retail Georgia  | 1,800.00 GEL | 01.12.2019</t>
  </si>
  <si>
    <t>გალერია ჰოტელ მენეჯმენტი (ს.კ. 404567508) - შპს</t>
  </si>
  <si>
    <t>Galleria Hotel</t>
  </si>
  <si>
    <t>404567508/43617/1.1.2./1</t>
  </si>
  <si>
    <t>7A62FB55-149C-4A13-B506-1117D0761263</t>
  </si>
  <si>
    <t>Galleria Hotel | 1.1.2. (+) შემოსავალი ლიფტების სერვისიდან - გეგმიური | გალერია ჰოტელ მენეჯმენტი (ს.კ. 404567508) - შპს</t>
  </si>
  <si>
    <t>75C62470-4093-4FB3-8DB7-F700FEC2C222</t>
  </si>
  <si>
    <t>Galleria Hotel | 1.1.2. | გალერია ჰოტელ მენეჯმენტი  | 300.00 USD | 01.06.2019</t>
  </si>
  <si>
    <t>ერა პალასი (ს.კ. 245619807) - შპს</t>
  </si>
  <si>
    <t>Era Palace</t>
  </si>
  <si>
    <t>245619807/43586/1.1.2./1</t>
  </si>
  <si>
    <t>75411B5D-3913-49E0-B5A6-48ED0D4EEBB6</t>
  </si>
  <si>
    <t>Era Palace | 1.1.2. (+) შემოსავალი ლიფტების სერვისიდან - გეგმიური | ერა პალასი (ს.კ. 245619807) - შპს</t>
  </si>
  <si>
    <t>71A96223-5CD1-4DA9-9617-A85A565B4669</t>
  </si>
  <si>
    <t>Era Palace | 1.1.2. | ერა პალასი  | 200.00 GEL | 01.05.2019</t>
  </si>
  <si>
    <t>თბილი სახლი (ს.კ. 204976179) - შპს</t>
  </si>
  <si>
    <t>Muzeums</t>
  </si>
  <si>
    <t>204976179/43497/1.1.2./1</t>
  </si>
  <si>
    <t>9D27243C-D81D-4430-90C4-5F8CCBF5809F</t>
  </si>
  <si>
    <t>Muzeums | 1.1.2. (+) შემოსავალი ლიფტების სერვისიდან - გეგმიური | თბილი სახლი (ს.კ. 204976179) - შპს</t>
  </si>
  <si>
    <t>726D9023-53A2-435E-8A5B-8BCEA9625E08</t>
  </si>
  <si>
    <t>Muzeums | 1.1.2. | თბილი სახლი  | 750.00 GEL | 01.02.2019</t>
  </si>
  <si>
    <t>UNIX Ipolit Ivanov</t>
  </si>
  <si>
    <t>1 6 31 902</t>
  </si>
  <si>
    <t>405133822/43539/1.1.2./1</t>
  </si>
  <si>
    <t>4C7A7F0C-187C-4D2B-857D-A522EE632F24</t>
  </si>
  <si>
    <t>UNIX Ipolit Ivanov | 1.1.2. (+) შემოსავალი ლიფტების სერვისიდან - გეგმიური | იუნიქს ქონსთრაქშენ კომპანი (ს.კ. 405133822) - შპს</t>
  </si>
  <si>
    <t>UNIX Ipolit Ivanov | 1.1.2. | იუნიქს ქონსთრაქშენ კომპანი  | 1,500.00 GEL | 15.03.2019</t>
  </si>
  <si>
    <t>პიქსელ მენეჯმენტი (ს.კ. 404862314) - შპს</t>
  </si>
  <si>
    <t>PIXEL</t>
  </si>
  <si>
    <t>1 6 31 1044</t>
  </si>
  <si>
    <t>404862314/43435/1.1.2./1</t>
  </si>
  <si>
    <t>5485535C-2F61-456A-9548-E6F7EE885A7B</t>
  </si>
  <si>
    <t>PIXEL | 1.1.2. (+) შემოსავალი ლიფტების სერვისიდან - გეგმიური | პიქსელ მენეჯმენტი (ს.კ. 404862314) - შპს</t>
  </si>
  <si>
    <t>42A1D3CC-F7CD-4EC1-A425-6E261EB22EBC</t>
  </si>
  <si>
    <t>PIXEL | 1.1.2. | პიქსელ მენეჯმენტი  | 1,645.00 USD | 01.12.2018</t>
  </si>
  <si>
    <t>დავუდ (ს.კ. 404438417) - სს</t>
  </si>
  <si>
    <t>Khetagurov Office</t>
  </si>
  <si>
    <t>404438417/43462/1.1.2./1</t>
  </si>
  <si>
    <t>1937421D-0C5D-47B3-84E7-F06B2CECE212</t>
  </si>
  <si>
    <t>Khetagurov Office | 1.1.2. (+) შემოსავალი ლიფტების სერვისიდან - გეგმიური | დავუდ (ს.კ. 404438417) - სს</t>
  </si>
  <si>
    <t>059C7B48-86B5-4FB3-AF87-564E29C595E9</t>
  </si>
  <si>
    <t>Khetagurov Office | 1.1.2. | დავუდ  | 1,000.00 GEL | 28.12.2018</t>
  </si>
  <si>
    <t>Galleria Tbilisi</t>
  </si>
  <si>
    <t>1 6 31 4 1</t>
  </si>
  <si>
    <t>204976179/43862/1.1.2./1</t>
  </si>
  <si>
    <t>0ABCF801-1738-4393-BF70-87C1FA8C9F0D</t>
  </si>
  <si>
    <t>Galleria Tbilisi | 1.1.2. (+) შემოსავალი ლიფტების სერვისიდან - გეგმიური | თბილი სახლი (ს.კ. 204976179) - შპს</t>
  </si>
  <si>
    <t>Galleria Tbilisi | 1.1.2. | თბილი სახლი  | 1.00 GEL | 01.02.2020</t>
  </si>
  <si>
    <t>თბილისი ცენტრალი (ს.კ. 205129653) - სს</t>
  </si>
  <si>
    <t>Tbilisi Central HVAC Service</t>
  </si>
  <si>
    <t>1.2.2. (+) შემოსავალი MEP დანადგარების სერვისიდან - გეგმიური</t>
  </si>
  <si>
    <t>1 6 31 1371</t>
  </si>
  <si>
    <t>205129653/44075/1.2.2./1</t>
  </si>
  <si>
    <t>F2EB27A3-4AED-4096-AF24-4B7A9C4512A7</t>
  </si>
  <si>
    <t>Tbilisi Central HVAC Service | 1.2.2. (+) შემოსავალი MEP დანადგარების სერვისიდან - გეგმიური | თბილისი ცენტრალი (ს.კ. 205129653) - სს</t>
  </si>
  <si>
    <t>31562B13-85C8-472E-8D02-01D802D635C1</t>
  </si>
  <si>
    <t>3D0B2E19-A7F7-45A1-A329-05C7D5F99C8A</t>
  </si>
  <si>
    <t>Tbilisi Central HVAC Service | 1.2.2. | თბილისი ცენტრალი  | 1.00 GEL | 01.09.2020</t>
  </si>
  <si>
    <t>ნინო კირცხალია (ს.კ. 01031005362) - ფიზ. პირი</t>
  </si>
  <si>
    <t>Mziuri</t>
  </si>
  <si>
    <t>01031005362/43831/1.1.2./1</t>
  </si>
  <si>
    <t>7D93AE81-A3AA-4EF2-A79C-0DE309E1B402</t>
  </si>
  <si>
    <t>Mziuri | 1.1.2. (+) შემოსავალი ლიფტების სერვისიდან - გეგმიური | ნინო კირცხალია (ს.კ. 01031005362) - ფიზ. პირი</t>
  </si>
  <si>
    <t>A5C53B51-103C-4B24-B833-6653108CDE4E</t>
  </si>
  <si>
    <t>Mziuri | 1.1.2. | ნინო კირცხალია  | 1.00 GEL | 01.01.2020</t>
  </si>
  <si>
    <t>Orbi Other</t>
  </si>
  <si>
    <t>445468798/43831/1.1.2./1</t>
  </si>
  <si>
    <t>DCE1FBA2-AC1D-4481-B551-0D2215188884</t>
  </si>
  <si>
    <t>Orbi Other | 1.1.2. (+) შემოსავალი ლიფტების სერვისიდან - გეგმიური | ორბი ჯგუფი ბათუმი (ს.კ. 445468798) - შპს</t>
  </si>
  <si>
    <t>Orbi Other | 1.1.2. | ორბი ჯგუფი ბათუმი  | 1.00 GEL | 01.01.2020</t>
  </si>
  <si>
    <t>ნირან პროპერტის დეველოპმენტი (ს.კ. 204564729) - შპს</t>
  </si>
  <si>
    <t>Bagebi</t>
  </si>
  <si>
    <t>204564729/43122/1.1.1./1</t>
  </si>
  <si>
    <t>DA0DFA6D-FB59-42CC-A78F-D211EFD8F169</t>
  </si>
  <si>
    <t>Bagebi | 1.1.1. (+) შემოსავალი ლიფტების რეალიზაციიდან | ნირან პროპერტის დეველოპმენტი (ს.კ. 204564729) - შპს</t>
  </si>
  <si>
    <t>ADBD14C7-72E2-4703-84A5-B47EC0ACB641</t>
  </si>
  <si>
    <t>Bagebi | 1.1.1. | ნირან პროპერტის დეველოპმენტი  | 132,998.00 USD | 22.01.2018</t>
  </si>
  <si>
    <t>ეიჩ ენდ ემ ჰენეს ენდ მაურიც ჯორჯია (ს.კ. 405164192) - შპს</t>
  </si>
  <si>
    <t>H&amp;M</t>
  </si>
  <si>
    <t>405164192/43831/1.1.2./1</t>
  </si>
  <si>
    <t>BF531404-15D2-4F83-B5B6-88709B6ADBF6</t>
  </si>
  <si>
    <t>H&amp;M | 1.1.2. (+) შემოსავალი ლიფტების სერვისიდან - გეგმიური | ეიჩ ენდ ემ ჰენეს ენდ მაურიც ჯორჯია (ს.კ. 405164192) - შპს</t>
  </si>
  <si>
    <t>5569F396-B588-4816-B115-348127388797</t>
  </si>
  <si>
    <t>H&amp;M | 1.1.2. | ეიჩ ენდ ემ ჰენეს ენდ მაურიც ჯორჯია  | 1.00 GEL | 01.01.2020</t>
  </si>
  <si>
    <t>ჯი ემ ემ (ს.კ. 405115174) - შპს</t>
  </si>
  <si>
    <t>Marshal Gelovanis 52</t>
  </si>
  <si>
    <t>405115174/43831/1.1.2./1</t>
  </si>
  <si>
    <t>96631073-7C4A-4C6C-B52A-4318B544C05B</t>
  </si>
  <si>
    <t>Marshal Gelovanis 52 | 1.1.2. (+) შემოსავალი ლიფტების სერვისიდან - გეგმიური | ჯი ემ ემ (ს.კ. 405115174) - შპს</t>
  </si>
  <si>
    <t>E6DBF0EF-BE8A-403C-B757-246FDF95B244</t>
  </si>
  <si>
    <t>Marshal Gelovanis 52 | 1.1.2. | ჯი ემ ემ  | 1.00 GEL | 01.01.2020</t>
  </si>
  <si>
    <t>ოლსერვისგრუპ (ს.კ. 406233552) - შპს</t>
  </si>
  <si>
    <t>Marshal Gelovani 52</t>
  </si>
  <si>
    <t>406233552/43466/1.1.2./1</t>
  </si>
  <si>
    <t>46C2E29A-C8A7-4F32-BAC6-1FA5D9731A7D</t>
  </si>
  <si>
    <t>Marshal Gelovani 52 | 1.1.2. (+) შემოსავალი ლიფტების სერვისიდან - გეგმიური | ოლსერვისგრუპ (ს.კ. 406233552) - შპს</t>
  </si>
  <si>
    <t>C08C6F90-5808-41D5-A1CC-2A1CCFAF531B</t>
  </si>
  <si>
    <t>Marshal Gelovani 52 | 1.1.2. | ოლსერვისგრუპ  | 1,200.00 GEL | 01.01.2019</t>
  </si>
  <si>
    <t>ოლსერვისჯგუფი (ს.კ. 406269041) - შპს</t>
  </si>
  <si>
    <t>406269041/43471/1.1.2./1</t>
  </si>
  <si>
    <t>4DE1AF55-BD4D-49EA-9CC2-7254972C4832</t>
  </si>
  <si>
    <t>Marshal Gelovani 52 | 1.1.2. (+) შემოსავალი ლიფტების სერვისიდან - გეგმიური | ოლსერვისჯგუფი (ს.კ. 406269041) - შპს</t>
  </si>
  <si>
    <t>F830C37E-1BED-416F-996D-C3C709C5F339</t>
  </si>
  <si>
    <t>Marshal Gelovani 52 | 1.1.2. | ოლსერვისჯგუფი  | 10.00 GEL | 06.01.2019</t>
  </si>
  <si>
    <t>არქი საბურთალო (ს.კ. 405176982) - შპს</t>
  </si>
  <si>
    <t>Archi Jikia Block C</t>
  </si>
  <si>
    <t>1 6 30 1453</t>
  </si>
  <si>
    <t>405176982/44170/1.1.1./1</t>
  </si>
  <si>
    <t>7F8895E0-BD86-4959-A763-AD1CD0F7FC77</t>
  </si>
  <si>
    <t>Archi Jikia Block C | 1.1.1. (+) შემოსავალი ლიფტების რეალიზაციიდან | არქი საბურთალო (ს.კ. 405176982) - შპს</t>
  </si>
  <si>
    <t>25CECFAB-615A-4A1E-AC57-B18B8A92799B</t>
  </si>
  <si>
    <t>Archi Jikia Block C | 1.1.1. | არქი საბურთალო  | 136,600.00 USD | 05.12.2020</t>
  </si>
  <si>
    <t>შატო მუხრანი (ს.კ. 205000381) - სს</t>
  </si>
  <si>
    <t>Shato Mukhrani Gen-Set 2020</t>
  </si>
  <si>
    <t>205000381/43990/1.2.1./1</t>
  </si>
  <si>
    <t>798DCBA8-C0CF-4CAA-83E5-397FD911AAF0</t>
  </si>
  <si>
    <t>Shato Mukhrani Gen-Set 2020 | 1.2.1. (+) შემოსავალი MEP დანადგარების რეალიზაციიდან | შატო მუხრანი (ს.კ. 205000381) - სს</t>
  </si>
  <si>
    <t>0E3C8876-D73B-417A-A61E-5FD08F98EDCB</t>
  </si>
  <si>
    <t>Shato Mukhrani Gen-Set 2020 | 1.2.1. | შატო მუხრანი  | 55,680.00 EUR | 08.06.2020</t>
  </si>
  <si>
    <t>ენსოლი (ს.კ. 205236190) - შპს</t>
  </si>
  <si>
    <t>205236190/43497/1.1.2./1</t>
  </si>
  <si>
    <t>1BF0C1A7-EC4F-48F6-B5F1-6257BAB8D882</t>
  </si>
  <si>
    <t>Galleria Tbilisi | 1.1.2. (+) შემოსავალი ლიფტების სერვისიდან - გეგმიური | ენსოლი (ს.კ. 205236190) - შპს</t>
  </si>
  <si>
    <t>E13FA661-3B3D-437A-A26D-FB16D4C0D1C1</t>
  </si>
  <si>
    <t>Galleria Tbilisi | 1.1.2. | ენსოლი  | 3,500.00 USD | 01.02.2019</t>
  </si>
  <si>
    <t>დომუსი (ს.კ. 404908864) - შპს</t>
  </si>
  <si>
    <t>404908864/43146/1.1.2./1</t>
  </si>
  <si>
    <t>4E9E5103-4BE9-4B72-838F-7CCF0A771578</t>
  </si>
  <si>
    <t>Domus | 1.1.2. (+) შემოსავალი ლიფტების სერვისიდან - გეგმიური | დომუსი (ს.კ. 404908864) - შპს</t>
  </si>
  <si>
    <t>B6B26BE3-174A-4141-A509-B6EE28D4677B</t>
  </si>
  <si>
    <t>Domus | 1.1.2. | დომუსი  | 1,400.00 USD | 15.02.2018</t>
  </si>
  <si>
    <t>როვშან მამადოვი (ს.კ. 67008001418) - ფიზ. პირი</t>
  </si>
  <si>
    <t>Rovshan Mamadovi</t>
  </si>
  <si>
    <t>67008001418/43999/1.2.1./1</t>
  </si>
  <si>
    <t>97C6ECBA-DA0F-4E2C-B8DB-26993DFCE122</t>
  </si>
  <si>
    <t>Rovshan Mamadovi | 1.2.1. (+) შემოსავალი MEP დანადგარების რეალიზაციიდან | როვშან მამადოვი (ს.კ. 67008001418) - ფიზ. პირი</t>
  </si>
  <si>
    <t>3E3BB97B-230C-48D5-B6EF-41C9AE93AE61</t>
  </si>
  <si>
    <t>Rovshan Mamadovi | 1.2.1. | როვშან მამადოვი  | 8,214.00 USD | 17.06.2020</t>
  </si>
  <si>
    <t>Sapatrulo</t>
  </si>
  <si>
    <t>8BDDF5BD-4A6B-4C8E-942A-C62E20BCD667</t>
  </si>
  <si>
    <t>Sapatrulo | 1.1.2. (+) შემოსავალი ლიფტების სერვისიდან - გეგმიური | თბილი სახლი (ს.კ. 204976179) - შპს</t>
  </si>
  <si>
    <t>Sapatrulo | 1.1.2. | თბილი სახლი  | 250.00 GEL | 01.02.2019</t>
  </si>
  <si>
    <t>Erovnuli</t>
  </si>
  <si>
    <t>ED933289-CEA4-446C-99AC-B1B310C1ECB5</t>
  </si>
  <si>
    <t>Erovnuli | 1.1.2. (+) შემოსავალი ლიფტების სერვისიდან - გეგმიური | თბილი სახლი (ს.კ. 204976179) - შპს</t>
  </si>
  <si>
    <t>Erovnuli | 1.1.2. | თბილი სახლი  | 500.00 GEL | 01.02.2019</t>
  </si>
  <si>
    <t>Gonio</t>
  </si>
  <si>
    <t>245619807/43617/1.1.2./1</t>
  </si>
  <si>
    <t>3D3A6BA2-FC37-4C7B-9979-9C6C932BA9BF</t>
  </si>
  <si>
    <t>Gonio | 1.1.2. (+) შემოსავალი ლიფტების სერვისიდან - გეგმიური | ერა პალასი (ს.კ. 245619807) - შპს</t>
  </si>
  <si>
    <t>Gonio | 1.1.2. | ერა პალასი  | 300.00 GEL | 01.06.2019</t>
  </si>
  <si>
    <t>Modus batumi</t>
  </si>
  <si>
    <t>245565669/43592/1.1.2./1</t>
  </si>
  <si>
    <t>07BBF564-E19D-46EA-8A32-44F28241B4B1</t>
  </si>
  <si>
    <t>Modus batumi | 1.1.2. (+) შემოსავალი ლიფტების სერვისიდან - გეგმიური | მოდუსი (ს.კ. 245565669) - შპს</t>
  </si>
  <si>
    <t>Modus batumi | 1.1.2. | მოდუსი  | 400.00 GEL | 07.05.2019</t>
  </si>
  <si>
    <t>ი. აბაშიძე 70 (ს.კ. ICE001082) - ამხანაგობა</t>
  </si>
  <si>
    <t>Abashidze 70</t>
  </si>
  <si>
    <t>1 6 31 1485</t>
  </si>
  <si>
    <t>ICE001082/44013/1.1.2./1</t>
  </si>
  <si>
    <t>AFEF3A3A-0240-4773-9C5F-B7AC3C14711D</t>
  </si>
  <si>
    <t>Abashidze 70 | 1.1.2. (+) შემოსავალი ლიფტების სერვისიდან - გეგმიური | ი. აბაშიძე 70 (ს.კ. ICE001082) - ამხანაგობა</t>
  </si>
  <si>
    <t>3D0E73E0-0C40-467D-922F-74E3D4746FBD</t>
  </si>
  <si>
    <t>Abashidze 70 | 1.1.2. | ი. აბაშიძე 70  | 3,000.00 GEL | 01.07.2020</t>
  </si>
  <si>
    <t>დელისი 2020 (ს.კ. ICE001083) - ამხანაგობა</t>
  </si>
  <si>
    <t>Epic gazapkhuli</t>
  </si>
  <si>
    <t>1 6 31 1470</t>
  </si>
  <si>
    <t>ICE001083/44014/1.1.2./1</t>
  </si>
  <si>
    <t>F132898D-4C52-4676-8689-21E7C2709157</t>
  </si>
  <si>
    <t>Epic gazapkhuli | 1.1.2. (+) შემოსავალი ლიფტების სერვისიდან - გეგმიური | დელისი 2020 (ს.კ. ICE001083) - ამხანაგობა</t>
  </si>
  <si>
    <t>E18CBC98-9D65-4F4A-ADC0-B7350770D6F8</t>
  </si>
  <si>
    <t>Epic gazapkhuli | 1.1.2. | დელისი 2020  | 500.00 GEL | 02.07.2020</t>
  </si>
  <si>
    <t>ბაგები (ს.კ. 405330262) - შპს</t>
  </si>
  <si>
    <t>Epic Bagebi</t>
  </si>
  <si>
    <t>1 6 30 1471</t>
  </si>
  <si>
    <t>405330262/44013/1.1.1./1</t>
  </si>
  <si>
    <t>6F71BE16-57C6-4634-B19B-DAD451C7CB11</t>
  </si>
  <si>
    <t>Epic Bagebi | 1.1.1. (+) შემოსავალი ლიფტების რეალიზაციიდან | ბაგები (ს.კ. 405330262) - შპს</t>
  </si>
  <si>
    <t>C270A903-5EB0-4E5A-8448-B4A637D5211F</t>
  </si>
  <si>
    <t>Epic Bagebi | 1.1.1. | ბაგები  | 48,000.00 USD | 01.07.2020</t>
  </si>
  <si>
    <t>Hilton Garden Inn Pipes 2</t>
  </si>
  <si>
    <t>402121887/43983/1.2.1./1</t>
  </si>
  <si>
    <t>53D78126-348D-47EC-8E18-ACA366D918B3</t>
  </si>
  <si>
    <t>Hilton Garden Inn Pipes 2 | 1.2.1. (+) შემოსავალი MEP დანადგარების რეალიზაციიდან | მეპერსი (ს.კ. 402121887) - შპს</t>
  </si>
  <si>
    <t>Hilton Garden Inn Pipes 2 | 1.2.1. | მეპერსი  | 4,580.94 USD | 01.06.2020</t>
  </si>
  <si>
    <t>202177205/44013/1.1.2./1</t>
  </si>
  <si>
    <t>065B3CAD-864E-4949-AE0A-9170B8973736</t>
  </si>
  <si>
    <t>Tegeta Batumi | 1.1.2. (+) შემოსავალი ლიფტების სერვისიდან - გეგმიური | თეგეტა მოტორსი (ს.კ. 202177205) - შპს</t>
  </si>
  <si>
    <t>Tegeta Batumi | 1.1.2. | თეგეტა მოტორსი  | 1.00 GEL | 01.07.2020</t>
  </si>
  <si>
    <t>საქ სამეცნიერო-საგანმანათ. კომპ ქსელების ასოციაცია გრენა (ს.კ. 204931654) - ასოციაცია</t>
  </si>
  <si>
    <t>Grena MEP 1</t>
  </si>
  <si>
    <t>204931654/44004/1.2.1./1</t>
  </si>
  <si>
    <t>67800432-96FF-489A-983A-99BD3F4C4954</t>
  </si>
  <si>
    <t>Grena MEP 1 | 1.2.1. (+) შემოსავალი MEP დანადგარების რეალიზაციიდან | საქ სამეცნიერო-საგანმანათ. კომპ ქსელების ასოციაცია გრენა (ს.კ. 204931654) - ასოციაცია</t>
  </si>
  <si>
    <t>43A2E6CF-382D-45D9-9C82-D074B7CA8474</t>
  </si>
  <si>
    <t>Grena MEP 1 | 1.2.1. | საქ სამეცნიერო-საგანმანათ. კომპ ქსელების ასოციაცია გრენა  | 9,885.00 GEL | 22.06.2020</t>
  </si>
  <si>
    <t>405136758/43891/1.1.2./1</t>
  </si>
  <si>
    <t>AB270374-C6A2-4223-A667-ED4DD185CC7F</t>
  </si>
  <si>
    <t>Khiliani | 1.1.2. (+) შემოსავალი ლიფტების სერვისიდან - გეგმიური | ახალშენი 2016 (ს.კ. 405136758) - შპს</t>
  </si>
  <si>
    <t>Khiliani | 1.1.2. | ახალშენი 2016  | 1.00 GEL | 01.03.2020</t>
  </si>
  <si>
    <t>Domus Paliashvilis 63</t>
  </si>
  <si>
    <t>ICE000034/44019/1.1.2./1</t>
  </si>
  <si>
    <t>D1923AD8-5716-4970-9AD0-37642D2C4B69</t>
  </si>
  <si>
    <t>Domus Paliashvilis 63 | 1.1.2. (+) შემოსავალი ლიფტების სერვისიდან - გეგმიური | ფალიაშვილის 63 (ს.კ. ICE000034) - ამხანაგობა</t>
  </si>
  <si>
    <t>Domus Paliashvilis 63 | 1.1.2. | ფალიაშვილის 63  | 1.00 GEL | 07.07.2020</t>
  </si>
  <si>
    <t>202376133/43102/1.1.2./1</t>
  </si>
  <si>
    <t>36DA9AC9-FD85-4E9B-B6AF-0CFCDD8E7D93</t>
  </si>
  <si>
    <t>Indeko - shartava 39 | 1.1.2. (+) შემოსავალი ლიფტების სერვისიდან - გეგმიური | ინდეკო (ს.კ. 202376133) - შპს</t>
  </si>
  <si>
    <t>Indeko - shartava 39 | 1.1.2. | ინდეკო  | 1.00 GEL | 02.01.2018</t>
  </si>
  <si>
    <t>დომუს სერვისი (ს.კ. 405311336) - შპს</t>
  </si>
  <si>
    <t>405311336/43647/1.1.2./1</t>
  </si>
  <si>
    <t>576EC610-01F5-4D9B-9A18-3AE87057BAE9</t>
  </si>
  <si>
    <t>Domus | 1.1.2. (+) შემოსავალი ლიფტების სერვისიდან - გეგმიური | დომუს სერვისი (ს.კ. 405311336) - შპს</t>
  </si>
  <si>
    <t>9B2B30F8-1FC4-427E-8478-DB1B57B48DDA</t>
  </si>
  <si>
    <t>Domus | 1.1.2. | დომუს სერვისი  | 1.00 USD | 01.07.2019</t>
  </si>
  <si>
    <t>UNIX Marselle 1</t>
  </si>
  <si>
    <t>405133822/44013/1.1.2./1</t>
  </si>
  <si>
    <t>91EE07CF-9713-420D-A132-7AEFD9A5F054</t>
  </si>
  <si>
    <t>UNIX Marselle 1 | 1.1.2. (+) შემოსავალი ლიფტების სერვისიდან - გეგმიური | იუნიქს ქონსთრაქშენ კომპანი (ს.კ. 405133822) - შპს</t>
  </si>
  <si>
    <t>UNIX Marselle 1 | 1.1.2. | იუნიქს ქონსთრაქშენ კომპანი  | 1.00 GEL | 01.07.2020</t>
  </si>
  <si>
    <t>204854014/43831/1.1.2./1</t>
  </si>
  <si>
    <t>C01D4ADB-B292-4EAB-9036-EE74F4FB870D</t>
  </si>
  <si>
    <t>Delisi | 1.1.2. (+) შემოსავალი ლიფტების სერვისიდან - გეგმიური | ბიზნეს ცენტრი დელისი (ს.კ. 204854014) - სს</t>
  </si>
  <si>
    <t>Delisi | 1.1.2. | ბიზნეს ცენტრი დელისი  | 1.00 GEL | 01.01.2020</t>
  </si>
  <si>
    <t>1 6 30 642 2</t>
  </si>
  <si>
    <t>245565669/43586/1.1.2./1</t>
  </si>
  <si>
    <t>2A0A1CC3-2FD5-4F5A-BF97-52EE5BDDE144</t>
  </si>
  <si>
    <t>Modus Kakhety HW | 1.1.2. (+) შემოსავალი ლიფტების სერვისიდან - გეგმიური | მოდუსი (ს.კ. 245565669) - შპს</t>
  </si>
  <si>
    <t>Modus Kakhety HW | 1.1.2. | მოდუსი  | 1.00 GEL | 01.05.2019</t>
  </si>
  <si>
    <t>BD Property (ს.კ. 404390967) - შპს</t>
  </si>
  <si>
    <t>404390967/43466/1.1.2./1</t>
  </si>
  <si>
    <t>D3F209CC-BD48-4729-87EA-24F29DD15FF4</t>
  </si>
  <si>
    <t>Tbilisi Gardens | 1.1.2. (+) შემოსავალი ლიფტების სერვისიდან - გეგმიური | BD Property (ს.კ. 404390967) - შპს</t>
  </si>
  <si>
    <t>97275D0F-23EB-47CD-8A0F-C93649EE6164</t>
  </si>
  <si>
    <t>Tbilisi Gardens | 1.1.2. | BD Property  | 1.00 USD | 01.01.2019</t>
  </si>
  <si>
    <t>გელა ხომერიკი (ს.კ. 33001011813) - ფიზ. პირი</t>
  </si>
  <si>
    <t>33001011813/43132/1.1.2./1</t>
  </si>
  <si>
    <t>0172DB76-BF07-40C8-8007-921476501A04</t>
  </si>
  <si>
    <t>Kbuleti Str. - Khomeriki | 1.1.2. (+) შემოსავალი ლიფტების სერვისიდან - გეგმიური | გელა ხომერიკი (ს.კ. 33001011813) - ფიზ. პირი</t>
  </si>
  <si>
    <t>D92736A6-D9AA-4539-B5F8-0F34FACD5367</t>
  </si>
  <si>
    <t>Kbuleti Str. - Khomeriki | 1.1.2. | გელა ხომერიკი  | 1.00 GEL | 01.02.2018</t>
  </si>
  <si>
    <t>405253381/43957/1.1.2./1</t>
  </si>
  <si>
    <t>1322892A-5957-4D09-88EC-FC474E90B292</t>
  </si>
  <si>
    <t>Tbilisi Palace | 1.1.2. (+) შემოსავალი ლიფტების სერვისიდან - გეგმიური | თბილისი პალასი (ს.კ. 405253381) - შპს</t>
  </si>
  <si>
    <t>Tbilisi Palace | 1.1.2. | თბილისი პალასი  | 1.00 GEL | 06.05.2020</t>
  </si>
  <si>
    <t>245565669/43633/1.1.2./1</t>
  </si>
  <si>
    <t>7F33E521-91AC-45E6-BEDC-038FF8B6F75A</t>
  </si>
  <si>
    <t>Modus Agladze | 1.1.2. (+) შემოსავალი ლიფტების სერვისიდან - გეგმიური | მოდუსი (ს.კ. 245565669) - შპს</t>
  </si>
  <si>
    <t>Modus Agladze | 1.1.2. | მოდუსი  | 1.00 GEL | 17.06.2019</t>
  </si>
  <si>
    <t>445440577/43311/1.1.2./1</t>
  </si>
  <si>
    <t>7E7F4F08-6722-4720-ADA7-30669A9837B9</t>
  </si>
  <si>
    <t>New Time | 1.1.2. (+) შემოსავალი ლიფტების სერვისიდან - გეგმიური | ნიუ თაიმ (ს.კ. 445440577) - შპს</t>
  </si>
  <si>
    <t>New Time | 1.1.2. | ნიუ თაიმ  | 1.00 USD | 30.07.2018</t>
  </si>
  <si>
    <t>445468798/43788/1.1.2./1</t>
  </si>
  <si>
    <t>5564FE9D-DA57-4C23-B925-E2D095D97D24</t>
  </si>
  <si>
    <t>ORBI Office Lift | 1.1.2. (+) შემოსავალი ლიფტების სერვისიდან - გეგმიური | ორბი ჯგუფი ბათუმი (ს.კ. 445468798) - შპს</t>
  </si>
  <si>
    <t>ORBI Office Lift | 1.1.2. | ორბი ჯგუფი ბათუმი  | 1.00 USD | 19.11.2019</t>
  </si>
  <si>
    <t>რედ-კო მენეჯმენტ გრუპი (ს.კ. 405198986) - შპს</t>
  </si>
  <si>
    <t>405198986/43879/1.1.2./1</t>
  </si>
  <si>
    <t>A7C8AABE-B230-4454-A8DA-93EE74161089</t>
  </si>
  <si>
    <t>Redco 1 | 1.1.2. (+) შემოსავალი ლიფტების სერვისიდან - გეგმიური | რედ-კო მენეჯმენტ გრუპი (ს.კ. 405198986) - შპს</t>
  </si>
  <si>
    <t>19F602E5-A978-4128-B38E-2D3540A8F675</t>
  </si>
  <si>
    <t>Redco 1 | 1.1.2. | რედ-კო მენეჯმენტ გრუპი  | 1.00 USD | 18.02.2020</t>
  </si>
  <si>
    <t>ჯი-ემ-თი მთაწმინდა (ს.კ. 203843396) - შპს</t>
  </si>
  <si>
    <t>203843396/43770/1.1.2./1</t>
  </si>
  <si>
    <t>991C9FFA-E5D2-4508-9686-89EF7630FD0F</t>
  </si>
  <si>
    <t>Moxy Zabruken Restaurant | 1.1.2. (+) შემოსავალი ლიფტების სერვისიდან - გეგმიური | ჯი-ემ-თი მთაწმინდა (ს.კ. 203843396) - შპს</t>
  </si>
  <si>
    <t>3C2A6CD6-D08E-4286-A3DF-9EB685C45CBF</t>
  </si>
  <si>
    <t>Moxy Zabruken Restaurant | 1.1.2. | ჯი-ემ-თი მთაწმინდა  | 1.00 USD | 01.11.2019</t>
  </si>
  <si>
    <t>MOXY OFFICE</t>
  </si>
  <si>
    <t>203842333/43586/1.1.2./1</t>
  </si>
  <si>
    <t>31548D1C-A62E-4FFA-A6F0-2D3E0834752A</t>
  </si>
  <si>
    <t>MOXY OFFICE | 1.1.2. (+) შემოსავალი ლიფტების სერვისიდან - გეგმიური | ჯი-ემ-თი სასტუმროები (ს.კ. 203842333) - შპს</t>
  </si>
  <si>
    <t>MOXY OFFICE | 1.1.2. | ჯი-ემ-თი სასტუმროები  | 1.00 USD | 01.05.2019</t>
  </si>
  <si>
    <t>400247899/43571/1.1.2./1</t>
  </si>
  <si>
    <t>85E695E4-28FF-4C98-A0E2-59689D6E4CA6</t>
  </si>
  <si>
    <t>Paster Hostel | 1.1.2. (+) შემოსავალი ლიფტების სერვისიდან - გეგმიური | 1920 (ს.კ. 400247899) - შპს</t>
  </si>
  <si>
    <t>Paster Hostel | 1.1.2. | 1920  | 1.00 USD | 16.04.2019</t>
  </si>
  <si>
    <t>404464030/43108/1.1.2./1</t>
  </si>
  <si>
    <t>EEFB7378-5E83-4D5D-91D0-794D1D10F07F</t>
  </si>
  <si>
    <t>Gelovani 52 | 1.1.2. (+) შემოსავალი ლიფტების სერვისიდან - გეგმიური | ეკომეტრი (ს.კ. 404464030) - შპს</t>
  </si>
  <si>
    <t>Gelovani 52 | 1.1.2. | ეკომეტრი  | 1.00 GEL | 08.01.2018</t>
  </si>
  <si>
    <t>1 6 31 853</t>
  </si>
  <si>
    <t>445420875/44075/1.1.2./1</t>
  </si>
  <si>
    <t>5CD4B412-58AC-4380-AE6A-747C3CC488A5</t>
  </si>
  <si>
    <t>DAR TOWER | 1.1.2. (+) შემოსავალი ლიფტების სერვისიდან - გეგმიური | Dar Building (ს.კ. 445420875) - შპს</t>
  </si>
  <si>
    <t>DAR TOWER | 1.1.2. | Dar Building  | 1.00 USD | 01.09.2020</t>
  </si>
  <si>
    <t>Encoder</t>
  </si>
  <si>
    <t>1.1.3. (+) შემოსავალი ლიფტების სერვისიდან - არაგეგმიური</t>
  </si>
  <si>
    <t>404464030/44013/1.1.3./1</t>
  </si>
  <si>
    <t>FC82605A-4030-4C2A-8EFE-6F9BC6842F61</t>
  </si>
  <si>
    <t>Encoder | 1.1.3. (+) შემოსავალი ლიფტების სერვისიდან - არაგეგმიური | ეკომეტრი (ს.კ. 404464030) - შპს</t>
  </si>
  <si>
    <t>C491BFF3-6F7B-4412-9DF0-EAED6F3EE238</t>
  </si>
  <si>
    <t>Encoder | 1.1.3. | ეკომეტრი  | 2,000.00 GEL | 01.07.2020</t>
  </si>
  <si>
    <t>445420875/44170/1.1.2./1</t>
  </si>
  <si>
    <t>5D7F9683-902A-436B-86B8-F3CF981F6C85</t>
  </si>
  <si>
    <t>OFFICE Dar Building | 1.1.2. (+) შემოსავალი ლიფტების სერვისიდან - გეგმიური | Dar Building (ს.კ. 445420875) - შპს</t>
  </si>
  <si>
    <t>OFFICE Dar Building | 1.1.2. | Dar Building  | 1.00 USD | 05.12.2020</t>
  </si>
  <si>
    <t>61001051501/43622/1.1.2./1</t>
  </si>
  <si>
    <t>57F7E542-EE11-48FB-96F9-15131F005D4D</t>
  </si>
  <si>
    <t>Abuseridze - Batumi | 1.1.2. (+) შემოსავალი ლიფტების სერვისიდან - გეგმიური | ანა აბუსერიძე (ს.კ. 61001051501) - ფიზ. პირი</t>
  </si>
  <si>
    <t>Abuseridze - Batumi | 1.1.2. | ანა აბუსერიძე  | 1.00 USD | 06.06.2019</t>
  </si>
  <si>
    <t>245416401/43589/1.1.2./1</t>
  </si>
  <si>
    <t>FD8D72C0-37E0-47E4-A595-CE2288AB374D</t>
  </si>
  <si>
    <t>Batumi Stadium | 1.1.2. (+) შემოსავალი ლიფტების სერვისიდან - გეგმიური | ანაგი (ს.კ. 245416401) - შპს</t>
  </si>
  <si>
    <t>Batumi Stadium | 1.1.2. | ანაგი  | 1.00 USD | 04.05.2019</t>
  </si>
  <si>
    <t>არქი დიღომი (ს.კ. 405225037) - შპს</t>
  </si>
  <si>
    <t>1 6 31 1717</t>
  </si>
  <si>
    <t>405225037/43956/1.1.2./1</t>
  </si>
  <si>
    <t>E0BA3C10-5FB6-4816-81CE-B5BAE20C122D</t>
  </si>
  <si>
    <t>Archi Digomi | 1.1.2. (+) შემოსავალი ლიფტების სერვისიდან - გეგმიური | არქი დიღომი (ს.კ. 405225037) - შპს</t>
  </si>
  <si>
    <t>AEB05B14-77B4-473B-AAFD-FC47BDF7BDAF</t>
  </si>
  <si>
    <t>Archi Digomi | 1.1.2. | არქი დიღომი  | 1.00 USD | 05.05.2020</t>
  </si>
  <si>
    <t>445509334/43461/1.1.2./1</t>
  </si>
  <si>
    <t>4194F937-E12F-4BEE-AE41-ED29E3542132</t>
  </si>
  <si>
    <t>BAT Tower | 1.1.2. (+) შემოსავალი ლიფტების სერვისიდან - გეგმიური | ბათბილდინგი (ს.კ. 445509334) - შპს</t>
  </si>
  <si>
    <t>BAT Tower | 1.1.2. | ბათბილდინგი  | 1.00 USD | 27.12.2018</t>
  </si>
  <si>
    <t>ბაკურიანი ბიზნეს ჯგუფი (ს.კ. 226166163) - შპს</t>
  </si>
  <si>
    <t>226166163/43608/1.1.2./1</t>
  </si>
  <si>
    <t>061C70BF-3363-4CE1-97EC-3F704E1FCECF</t>
  </si>
  <si>
    <t>Crystal Bakuriani | 1.1.2. (+) შემოსავალი ლიფტების სერვისიდან - გეგმიური | ბაკურიანი ბიზნეს ჯგუფი (ს.კ. 226166163) - შპს</t>
  </si>
  <si>
    <t>83EBEF94-D00F-4136-96C7-A3C68AAADFE9</t>
  </si>
  <si>
    <t>Crystal Bakuriani | 1.1.2. | ბაკურიანი ბიზნეს ჯგუფი  | 1.00 USD | 23.05.2019</t>
  </si>
  <si>
    <t>405171996/43767/1.1.2./1</t>
  </si>
  <si>
    <t>70724719-A960-437A-A800-B2F21E235FD7</t>
  </si>
  <si>
    <t>Med. University | 1.1.2. (+) შემოსავალი ლიფტების სერვისიდან - გეგმიური | ბეტა ჯგუფი (ს.კ. 405171996) - შპს</t>
  </si>
  <si>
    <t>Med. University | 1.1.2. | ბეტა ჯგუფი  | 1.00 USD | 29.10.2019</t>
  </si>
  <si>
    <t>405171996/43719/1.1.2./1</t>
  </si>
  <si>
    <t>F2E099BD-FBF9-4E4F-9F49-B23293EC0CD8</t>
  </si>
  <si>
    <t>IBIS Perovi | 1.1.2. (+) შემოსავალი ლიფტების სერვისიდან - გეგმიური | ბეტა ჯგუფი (ს.კ. 405171996) - შპს</t>
  </si>
  <si>
    <t>IBIS Perovi | 1.1.2. | ბეტა ჯგუფი  | 1.00 USD | 11.09.2019</t>
  </si>
  <si>
    <t>405171996/43804/1.1.2./1</t>
  </si>
  <si>
    <t>4863E815-E96B-40A3-B8D2-9A507B9FBE95</t>
  </si>
  <si>
    <t>IBIS Perov Dumbwaiter | 1.1.2. (+) შემოსავალი ლიფტების სერვისიდან - გეგმიური | ბეტა ჯგუფი (ს.კ. 405171996) - შპს</t>
  </si>
  <si>
    <t>IBIS Perov Dumbwaiter | 1.1.2. | ბეტა ჯგუფი  | 1.00 USD | 05.12.2019</t>
  </si>
  <si>
    <t>406155841/43724/1.1.2./1</t>
  </si>
  <si>
    <t>9CFD239A-4BD2-402C-BC14-2C95514DD913</t>
  </si>
  <si>
    <t>Varketili | 1.1.2. (+) შემოსავალი ლიფტების სერვისიდან - გეგმიური | გიოკაპიტალი (ს.კ. 406155841) - შპს</t>
  </si>
  <si>
    <t>Varketili | 1.1.2. | გიოკაპიტალი  | 1.00 USD | 16.09.2019</t>
  </si>
  <si>
    <t>65002012107/43566/1.1.2./1</t>
  </si>
  <si>
    <t>6385E6FA-04D7-4EBF-854D-9B43C797C09B</t>
  </si>
  <si>
    <t>Kaklebi | 1.1.2. (+) შემოსავალი ლიფტების სერვისიდან - გეგმიური | გოჩა ჩხაიძე (ს.კ. 65002012107) - ფიზ. პირი</t>
  </si>
  <si>
    <t>Kaklebi | 1.1.2. | გოჩა ჩხაიძე  | 1.00 USD | 11.04.2019</t>
  </si>
  <si>
    <t>248434038/43460/1.1.2./1</t>
  </si>
  <si>
    <t>D36328AA-95D4-49C8-911A-C573267803D5</t>
  </si>
  <si>
    <t>Green Cape | 1.1.2. (+) შემოსავალი ლიფტების სერვისიდან - გეგმიური | ელტური-2008 (ს.კ. 248434038) - შპს</t>
  </si>
  <si>
    <t>Green Cape | 1.1.2. | ელტური-2008  | 1.00 USD | 26.12.2018</t>
  </si>
  <si>
    <t>405134448/43546/1.1.2./1</t>
  </si>
  <si>
    <t>9780EFF7-0DFF-48D3-A489-92594CFB595A</t>
  </si>
  <si>
    <t>Thermoroom | 1.1.2. (+) შემოსავალი ლიფტების სერვისიდან - გეგმიური | თერმორუმი (ს.კ. 405134448) - შპს</t>
  </si>
  <si>
    <t>Thermoroom | 1.1.2. | თერმორუმი  | 1.00 GEL | 22.03.2019</t>
  </si>
  <si>
    <t>202376133/43762/1.1.2./1</t>
  </si>
  <si>
    <t>2DBBDB2A-AE3C-4D2E-9732-25F75C16DC1A</t>
  </si>
  <si>
    <t>Chakhrukhadze | 1.1.2. (+) შემოსავალი ლიფტების სერვისიდან - გეგმიური | ინდეკო (ს.კ. 202376133) - შპს</t>
  </si>
  <si>
    <t>Chakhrukhadze | 1.1.2. | ინდეკო  | 1.00 USD | 24.10.2019</t>
  </si>
  <si>
    <t>იოსებ გუნთაიშვილი (ს.კ. 61001008820) - ფიზ. პირი</t>
  </si>
  <si>
    <t>Kobuleti Garden Inn</t>
  </si>
  <si>
    <t>61001008820/43824/1.1.2./1</t>
  </si>
  <si>
    <t>D28381C0-B27A-4E4C-B54B-186420AB3048</t>
  </si>
  <si>
    <t>Kobuleti Garden Inn | 1.1.2. (+) შემოსავალი ლიფტების სერვისიდან - გეგმიური | იოსებ გუნთაიშვილი (ს.კ. 61001008820) - ფიზ. პირი</t>
  </si>
  <si>
    <t>88114C6E-F2B4-44AC-AACB-3937108FCC9D</t>
  </si>
  <si>
    <t>Kobuleti Garden Inn | 1.1.2. | იოსებ გუნთაიშვილი  | 1.00 USD | 25.12.2019</t>
  </si>
  <si>
    <t>კანალესა (ს.კ. 405021925) - შპს</t>
  </si>
  <si>
    <t>Aparthotel Vake</t>
  </si>
  <si>
    <t>405021925/43768/1.1.2./1</t>
  </si>
  <si>
    <t>A452FED2-BCEF-45B4-A40A-B18CD1747F27</t>
  </si>
  <si>
    <t>Aparthotel Vake | 1.1.2. (+) შემოსავალი ლიფტების სერვისიდან - გეგმიური | კანალესა (ს.კ. 405021925) - შპს</t>
  </si>
  <si>
    <t>2A9CB749-334E-4076-9125-B73DD63C7D94</t>
  </si>
  <si>
    <t>Aparthotel Vake | 1.1.2. | კანალესა  | 1.00 USD | 30.10.2019</t>
  </si>
  <si>
    <t>405229881/43769/1.1.2./1</t>
  </si>
  <si>
    <t>45DB2F98-7677-4764-9578-FE28296376AF</t>
  </si>
  <si>
    <t>Sololaki | 1.1.2. (+) შემოსავალი ლიფტების სერვისიდან - გეგმიური | კანოპუსი (ს.კ. 405229881) - შპს</t>
  </si>
  <si>
    <t>Sololaki | 1.1.2. | კანოპუსი  | 1.00 USD | 31.10.2019</t>
  </si>
  <si>
    <t>01008011243/43672/1.1.2./1</t>
  </si>
  <si>
    <t>90A47262-D355-4249-8FB7-FB5501E3B465</t>
  </si>
  <si>
    <t>Ortachala | 1.1.2. (+) შემოსავალი ლიფტების სერვისიდან - გეგმიური | მაია კვიჭიძე (ს.კ. 01008011243) - ფიზ. პირი</t>
  </si>
  <si>
    <t>Ortachala | 1.1.2. | მაია კვიჭიძე  | 1.00 USD | 26.07.2019</t>
  </si>
  <si>
    <t>204564729/43122/1.1.2./1</t>
  </si>
  <si>
    <t>94C3F1ED-B241-4AC2-8709-FDC471284D94</t>
  </si>
  <si>
    <t>Bagebi | 1.1.2. (+) შემოსავალი ლიფტების სერვისიდან - გეგმიური | ნირან პროპერტის დეველოპმენტი (ს.კ. 204564729) - შპს</t>
  </si>
  <si>
    <t>Bagebi | 1.1.2. | ნირან პროპერტის დეველოპმენტი  | 1.00 GEL | 22.01.2018</t>
  </si>
  <si>
    <t>1 6 31 1270</t>
  </si>
  <si>
    <t>405231011/43767/1.1.2./1</t>
  </si>
  <si>
    <t>E942C8AD-0FFF-46B9-958C-5332E0F75B89</t>
  </si>
  <si>
    <t>Biota Park | 1.1.2. (+) შემოსავალი ლიფტების სერვისიდან - გეგმიური | ოლიმპ ჯორჯია (ს.კ. 405231011) - შპს</t>
  </si>
  <si>
    <t>Biota Park | 1.1.2. | ოლიმპ ჯორჯია  | 1.00 USD | 29.10.2019</t>
  </si>
  <si>
    <t>245621849/43348/1.1.2./1</t>
  </si>
  <si>
    <t>3C438861-094F-4792-ADC9-29FC48D9BB12</t>
  </si>
  <si>
    <t>Beach Tower | 1.1.2. (+) შემოსავალი ლიფტების სერვისიდან - გეგმიური | ორბი ჯგუფი (ს.კ. 245621849) - შპს</t>
  </si>
  <si>
    <t>Beach Tower | 1.1.2. | ორბი ჯგუფი  | 1.00 USD | 05.09.2018</t>
  </si>
  <si>
    <t>ORBI CITY A</t>
  </si>
  <si>
    <t>1 6 31 773 1</t>
  </si>
  <si>
    <t>445468798/44013/1.1.2./1</t>
  </si>
  <si>
    <t>B60CF255-4AA3-4F6B-AFB7-5681954C6A79</t>
  </si>
  <si>
    <t>ORBI CITY A | 1.1.2. (+) შემოსავალი ლიფტების სერვისიდან - გეგმიური | ორბი ჯგუფი ბათუმი (ს.კ. 445468798) - შპს</t>
  </si>
  <si>
    <t>ORBI CITY A | 1.1.2. | ორბი ჯგუფი ბათუმი  | 1.00 USD | 01.07.2020</t>
  </si>
  <si>
    <t>405198986/43732/1.1.2./1</t>
  </si>
  <si>
    <t>7F26EB7B-2E7C-4A75-8728-31AC9AD52FEE</t>
  </si>
  <si>
    <t>Gudauri Alpic | 1.1.2. (+) შემოსავალი ლიფტების სერვისიდან - გეგმიური | რედ-კო მენეჯმენტ გრუპი (ს.კ. 405198986) - შპს</t>
  </si>
  <si>
    <t>Gudauri Alpic | 1.1.2. | რედ-კო მენეჯმენტ გრუპი  | 1.00 USD | 24.09.2019</t>
  </si>
  <si>
    <t>404564244/43886/1.1.2./1</t>
  </si>
  <si>
    <t>FBE8F7D7-AB34-4D32-8646-AB0CB9EC7987</t>
  </si>
  <si>
    <t>Renting BNB | 1.1.2. (+) შემოსავალი ლიფტების სერვისიდან - გეგმიური | რენთინგ ბიენბი (ს.კ. 404564244) - სს</t>
  </si>
  <si>
    <t>Renting BNB | 1.1.2. | რენთინგ ბიენბი  | 1.00 USD | 25.02.2020</t>
  </si>
  <si>
    <t>445481853/43816/1.1.2./1</t>
  </si>
  <si>
    <t>CF77CD66-BD5F-4839-897D-B40775CA9C74</t>
  </si>
  <si>
    <t>Rumi - batumi | 1.1.2. (+) შემოსავალი ლიფტების სერვისიდან - გეგმიური | რუმი (ს.კ. 445481853) - შპს</t>
  </si>
  <si>
    <t>Rumi - batumi | 1.1.2. | რუმი  | 1.00 USD | 17.12.2019</t>
  </si>
  <si>
    <t>212274812/43699/1.1.2./1</t>
  </si>
  <si>
    <t>B979C2B2-4F18-41FA-9937-5CEDC68EE335</t>
  </si>
  <si>
    <t>Aeroporti | 1.1.2. (+) შემოსავალი ლიფტების სერვისიდან - გეგმიური | ტრანსმშენი (ს.კ. 212274812) - სს</t>
  </si>
  <si>
    <t>Aeroporti | 1.1.2. | ტრანსმშენი  | 1.00 GEL | 22.08.2019</t>
  </si>
  <si>
    <t>405176982/44170/1.1.2./1</t>
  </si>
  <si>
    <t>F5002C98-BCD3-4F89-BA3F-A0705D2B1681</t>
  </si>
  <si>
    <t>Archi Jikia Block C | 1.1.2. (+) შემოსავალი ლიფტების სერვისიდან - გეგმიური | არქი საბურთალო (ს.კ. 405176982) - შპს</t>
  </si>
  <si>
    <t>Archi Jikia Block C | 1.1.2. | არქი საბურთალო  | 1.00 USD | 05.12.2020</t>
  </si>
  <si>
    <t>405198986/43734/1.1.2./1</t>
  </si>
  <si>
    <t>0085F59A-37C7-4424-9251-C2428F3E6E7D</t>
  </si>
  <si>
    <t>Gudauri Redco Parking | 1.1.2. (+) შემოსავალი ლიფტების სერვისიდან - გეგმიური | რედ-კო მენეჯმენტ გრუპი (ს.კ. 405198986) - შპს</t>
  </si>
  <si>
    <t>Gudauri Redco Parking | 1.1.2. | რედ-კო მენეჯმენტ გრუპი  | 1.00 USD | 26.09.2019</t>
  </si>
  <si>
    <t>1 6 31 971</t>
  </si>
  <si>
    <t>404851503/43354/1.1.2./1</t>
  </si>
  <si>
    <t>0EB1F4BD-032C-4A62-8299-F30448D70FF4</t>
  </si>
  <si>
    <t>City Mall | 1.1.2. (+) შემოსავალი ლიფტების სერვისიდან - გეგმიური | აი ჯი დეველოფმენტ ჯორჯია (ს.კ. 404851503) - შპს</t>
  </si>
  <si>
    <t>City Mall | 1.1.2. | აი ჯი დეველოფმენტ ჯორჯია  | 1.00 USD | 11.09.2018</t>
  </si>
  <si>
    <t>გუდაური ლოჯი (ს.კ. 402084221) - შპს</t>
  </si>
  <si>
    <t>402084221/43711/1.1.2./1</t>
  </si>
  <si>
    <t>C205D89E-2E55-44C0-A690-4A0274298F9A</t>
  </si>
  <si>
    <t>ENCORE Gudauri | 1.1.2. (+) შემოსავალი ლიფტების სერვისიდან - გეგმიური | გუდაური ლოჯი (ს.კ. 402084221) - შპს</t>
  </si>
  <si>
    <t>08D9917E-9D2C-4D04-A0C9-794059D0E55B</t>
  </si>
  <si>
    <t>ENCORE Gudauri | 1.1.2. | გუდაური ლოჯი  | 1.00 USD | 03.09.2019</t>
  </si>
  <si>
    <t>448396021/42536/1.1.2./1</t>
  </si>
  <si>
    <t>0308AEC3-30A9-411F-9805-0D2F71F2198B</t>
  </si>
  <si>
    <t>Shvela | 1.1.2. (+) შემოსავალი ლიფტების სერვისიდან - გეგმიური | შველა (ს.კ. 448396021) - შპს</t>
  </si>
  <si>
    <t>Shvela | 1.1.2. | შველა  | 1.00 USD | 15.06.2016</t>
  </si>
  <si>
    <t>248416432/42536/1.1.2./1</t>
  </si>
  <si>
    <t>850E50A8-0FAD-4499-9FF4-3555DAA33336</t>
  </si>
  <si>
    <t>Chempioni | 1.1.2. (+) შემოსავალი ლიფტების სერვისიდან - გეგმიური | ჩემპიონი 2 (ს.კ. 248416432) - შპს</t>
  </si>
  <si>
    <t>Chempioni | 1.1.2. | ჩემპიონი 2  | 1.00 GEL | 15.06.2016</t>
  </si>
  <si>
    <t>404481324/43146/1.1.2./1</t>
  </si>
  <si>
    <t>01BB45F4-491B-4BCC-B27D-6FDA17023B88</t>
  </si>
  <si>
    <t>Kbuleti Str. - Khomeriki | 1.1.2. (+) შემოსავალი ლიფტების სერვისიდან - გეგმიური | სითი დეველოპმენტ (ს.კ. 404481324) - შპს</t>
  </si>
  <si>
    <t>Kbuleti Str. - Khomeriki | 1.1.2. | სითი დეველოპმენტ  | 1.00 GEL | 15.02.2018</t>
  </si>
  <si>
    <t>Hospital Generator</t>
  </si>
  <si>
    <t>204976179/44032/1.2.1./1</t>
  </si>
  <si>
    <t>FB0EE8E6-158C-4DA7-8FAE-ED32E09A1D20</t>
  </si>
  <si>
    <t>Hospital Generator | 1.2.1. (+) შემოსავალი MEP დანადგარების რეალიზაციიდან | თბილი სახლი (ს.კ. 204976179) - შპს</t>
  </si>
  <si>
    <t>Hospital Generator | 1.2.1. | თბილი სახლი  | 5,100.00 USD | 20.07.2020</t>
  </si>
  <si>
    <t>Tskhneti House Valves</t>
  </si>
  <si>
    <t>402121887/43997/1.2.1./1</t>
  </si>
  <si>
    <t>5F53D4EF-21DF-4A59-8401-BB1245C0D8B9</t>
  </si>
  <si>
    <t>Tskhneti House Valves | 1.2.1. (+) შემოსავალი MEP დანადგარების რეალიზაციიდან | მეპერსი (ს.კ. 402121887) - შპს</t>
  </si>
  <si>
    <t>Tskhneti House Valves | 1.2.1. | მეპერსი  | 3,658.89 USD | 15.06.2020</t>
  </si>
  <si>
    <t>405330262/44013/1.1.2./1</t>
  </si>
  <si>
    <t>3618EDEB-286D-491B-8594-7033EC0CD557</t>
  </si>
  <si>
    <t>Epic Bagebi | 1.1.2. (+) შემოსავალი ლიფტების სერვისიდან - გეგმიური | ბაგები (ს.კ. 405330262) - შპს</t>
  </si>
  <si>
    <t>Epic Bagebi | 1.1.2. | ბაგები  | 1.00 GEL | 01.07.2020</t>
  </si>
  <si>
    <t>Hilton Garden VRV2</t>
  </si>
  <si>
    <t>402121887/44032/1.2.1./1</t>
  </si>
  <si>
    <t>51838B0D-DD89-4A12-B525-8D367543250C</t>
  </si>
  <si>
    <t>Hilton Garden VRV2 | 1.2.1. (+) შემოსავალი MEP დანადგარების რეალიზაციიდან | მეპერსი (ს.კ. 402121887) - შპს</t>
  </si>
  <si>
    <t>Hilton Garden VRV2 | 1.2.1. | მეპერსი  | 124,122.43 USD | 20.07.2020</t>
  </si>
  <si>
    <t>პაატა დვალიშვილი (ს.კ. 01001011731) - ფიზ. პირი</t>
  </si>
  <si>
    <t>Paata House</t>
  </si>
  <si>
    <t>01001011731/44032/1.2.1./1</t>
  </si>
  <si>
    <t>30259522-170B-46DB-BCEA-36D4C04025B4</t>
  </si>
  <si>
    <t>Paata House | 1.2.1. (+) შემოსავალი MEP დანადგარების რეალიზაციიდან | პაატა დვალიშვილი (ს.კ. 01001011731) - ფიზ. პირი</t>
  </si>
  <si>
    <t>D239BCA7-C0E0-431B-8055-6778FA312A38</t>
  </si>
  <si>
    <t>Paata House | 1.2.1. | პაატა დვალიშვილი  | 2,812.46 USD | 20.07.2020</t>
  </si>
  <si>
    <t>MHI Splits</t>
  </si>
  <si>
    <t>204976179/44053/1.2.1./1</t>
  </si>
  <si>
    <t>E9489C29-8AFF-4DD7-9089-2A094F602BF0</t>
  </si>
  <si>
    <t>MHI Splits | 1.2.1. (+) შემოსავალი MEP დანადგარების რეალიზაციიდან | თბილი სახლი (ს.კ. 204976179) - შპს</t>
  </si>
  <si>
    <t>MHI Splits | 1.2.1. | თბილი სახლი  | 9,490.00 GEL | 10.08.2020</t>
  </si>
  <si>
    <t>P1 P2 Ceilings</t>
  </si>
  <si>
    <t>404851503/44054/1.1.1./1</t>
  </si>
  <si>
    <t>549138A5-B81C-40F1-B7A5-E69622BE26E5</t>
  </si>
  <si>
    <t>P1 P2 Ceilings | 1.1.1. (+) შემოსავალი ლიფტების რეალიზაციიდან | აი ჯი დეველოფმენტ ჯორჯია (ს.კ. 404851503) - შპს</t>
  </si>
  <si>
    <t>P1 P2 Ceilings | 1.1.1. | აი ჯი დეველოფმენტ ჯორჯია  | 10,200.00 USD | 11.08.2020</t>
  </si>
  <si>
    <t>ქეთევანი ავალიანი (ს.კ. 60001034749) - ფიზ. პირი</t>
  </si>
  <si>
    <t>Chonkadze Home</t>
  </si>
  <si>
    <t>1 6 30 1481</t>
  </si>
  <si>
    <t>60001034749/44041/1.2.1./1</t>
  </si>
  <si>
    <t>163C4119-B1C7-4F27-830E-B834747A6363</t>
  </si>
  <si>
    <t>Chonkadze Home | 1.2.1. (+) შემოსავალი MEP დანადგარების რეალიზაციიდან | ქეთევანი ავალიანი (ს.კ. 60001034749) - ფიზ. პირი</t>
  </si>
  <si>
    <t>3A516BC6-5B32-480E-A832-CC303C538C11</t>
  </si>
  <si>
    <t>Chonkadze Home | 1.2.1. | ქეთევანი ავალიანი  | 11,508.00 USD | 29.07.2020</t>
  </si>
  <si>
    <t>Chonkadze Home Split</t>
  </si>
  <si>
    <t>60001034749/44039/1.2.1./1</t>
  </si>
  <si>
    <t>D7419E4C-7B69-450C-8038-3EBFD263DECD</t>
  </si>
  <si>
    <t>Chonkadze Home Split | 1.2.1. (+) შემოსავალი MEP დანადგარების რეალიზაციიდან | ქეთევანი ავალიანი (ს.კ. 60001034749) - ფიზ. პირი</t>
  </si>
  <si>
    <t>Chonkadze Home Split | 1.2.1. | ქეთევანი ავალიანი  | 3,492.00 GEL | 27.07.2020</t>
  </si>
  <si>
    <t>Uninstall/Install 2</t>
  </si>
  <si>
    <t>445468798/43224/1.1.1./1</t>
  </si>
  <si>
    <t>D72D52DD-C778-46D7-BF4A-D3A3A3036DA6</t>
  </si>
  <si>
    <t>Uninstall|Install 2 | 1.1.1. (+) შემოსავალი ლიფტების რეალიზაციიდან | ორბი ჯგუფი ბათუმი (ს.კ. 445468798) - შპს</t>
  </si>
  <si>
    <t>Uninstall|Install 2 | 1.1.1. | ორბი ჯგუფი ბათუმი  | 5,343.00 USD | 04.05.2018</t>
  </si>
  <si>
    <t>Uninstall/Install 1</t>
  </si>
  <si>
    <t>445468798/43095/1.1.1./1</t>
  </si>
  <si>
    <t>849ECBD3-21CC-405B-A8C4-621B4912D3CB</t>
  </si>
  <si>
    <t>Uninstall|Install 1 | 1.1.1. (+) შემოსავალი ლიფტების რეალიზაციიდან | ორბი ჯგუფი ბათუმი (ს.კ. 445468798) - შპს</t>
  </si>
  <si>
    <t>Uninstall|Install 1 | 1.1.1. | ორბი ჯგუფი ბათუმი  | 5,343.00 USD | 26.12.2017</t>
  </si>
  <si>
    <t>Modus Wedding Hall</t>
  </si>
  <si>
    <t>1 6 30 642 5</t>
  </si>
  <si>
    <t>245565669/43976/1.1.1./1</t>
  </si>
  <si>
    <t>943A12D2-B154-408B-BD71-6FB3F860CAC8</t>
  </si>
  <si>
    <t>Modus Wedding Hall | 1.1.1. (+) შემოსავალი ლიფტების რეალიზაციიდან | მოდუსი (ს.კ. 245565669) - შპს</t>
  </si>
  <si>
    <t>Modus Wedding Hall | 1.1.1. | მოდუსი  | 44,100.00 USD | 25.05.2020</t>
  </si>
  <si>
    <t>ნორვეგიის სამეფოს საელჩო ქ. თბილისში (ს.კ. 205376608) - დიპლომატი</t>
  </si>
  <si>
    <t>Norway Embassy MEP1</t>
  </si>
  <si>
    <t>205376608/43983/1.2.1./1</t>
  </si>
  <si>
    <t>C5F7C66D-C0F5-4BD7-868A-BD0BF8CBCCB4</t>
  </si>
  <si>
    <t>Norway Embassy MEP1 | 1.2.1. (+) შემოსავალი MEP დანადგარების რეალიზაციიდან | ნორვეგიის სამეფოს საელჩო ქ. თბილისში (ს.კ. 205376608) - დიპლომატი</t>
  </si>
  <si>
    <t>378912CF-F98E-49C5-86EE-F343029B110A</t>
  </si>
  <si>
    <t>Norway Embassy MEP1 | 1.2.1. | ნორვეგიის სამეფოს საელჩო ქ. თბილისში  | 5,250.00 GEL | 01.06.2020</t>
  </si>
  <si>
    <t>Turkish Repair</t>
  </si>
  <si>
    <t>445468798/43273/1.1.1./1</t>
  </si>
  <si>
    <t>6A60261F-4D2E-4156-8E79-882BCEC12952</t>
  </si>
  <si>
    <t>Turkish Repair | 1.1.1. (+) შემოსავალი ლიფტების რეალიზაციიდან | ორბი ჯგუფი ბათუმი (ს.კ. 445468798) - შპს</t>
  </si>
  <si>
    <t>Turkish Repair | 1.1.1. | ორბი ჯგუფი ბათუმი  | 16,000.00 GEL | 22.06.2018</t>
  </si>
  <si>
    <t>ასოციაცია ატუ (ს.კ. 239402491) - არასამეწარმეო (არაკომერციული) იურიდიული პირი</t>
  </si>
  <si>
    <t>ATU Duck Type 2020</t>
  </si>
  <si>
    <t>239402491/44070/1.2.1./1</t>
  </si>
  <si>
    <t>62A84425-2431-42DB-8A77-4BCD9B8F13EC</t>
  </si>
  <si>
    <t>ATU Duck Type 2020 | 1.2.1. (+) შემოსავალი MEP დანადგარების რეალიზაციიდან | ასოციაცია ატუ (ს.კ. 239402491) - არასამეწარმეო (არაკომერციული) იურიდიული პირი</t>
  </si>
  <si>
    <t>B3E373C9-2E2A-4FBA-BEC3-C5CE93DC6D4B</t>
  </si>
  <si>
    <t>ATU Duck Type 2020 | 1.2.1. | ასოციაცია ატუ  | 19,200.00 GEL | 27.08.2020</t>
  </si>
  <si>
    <t>Compressors 1</t>
  </si>
  <si>
    <t>205129653/43878/1.2.1./1</t>
  </si>
  <si>
    <t>7ECC8BC0-1DD0-48FB-A138-1AB2CF5C27E8</t>
  </si>
  <si>
    <t>Compressors 1 | 1.2.1. (+) შემოსავალი MEP დანადგარების რეალიზაციიდან | თბილისი ცენტრალი (ს.კ. 205129653) - სს</t>
  </si>
  <si>
    <t>Compressors 1 | 1.2.1. | თბილისი ცენტრალი  | 25,200.00 USD | 17.02.2020</t>
  </si>
  <si>
    <t>Compressor Instalation</t>
  </si>
  <si>
    <t>205129653/44005/1.2.1./1</t>
  </si>
  <si>
    <t>80817F8D-6F07-4AD5-9A74-C277FDF4687E</t>
  </si>
  <si>
    <t>Compressor Instalation | 1.2.1. (+) შემოსავალი MEP დანადგარების რეალიზაციიდან | თბილისი ცენტრალი (ს.კ. 205129653) - სს</t>
  </si>
  <si>
    <t>Compressor Instalation | 1.2.1. | თბილისი ცენტრალი  | 6,800.00 GEL | 23.06.2020</t>
  </si>
  <si>
    <t>მონუმენტი 1880 (ს.კ. 402159980) - შპს</t>
  </si>
  <si>
    <t>Mitsubishi Splits</t>
  </si>
  <si>
    <t>402159980/43902/1.2.1./1</t>
  </si>
  <si>
    <t>4AED96E0-DB8E-4BF0-A866-B7492408CD65</t>
  </si>
  <si>
    <t>Mitsubishi Splits | 1.2.1. (+) შემოსავალი MEP დანადგარების რეალიზაციიდან | მონუმენტი 1880 (ს.კ. 402159980) - შპს</t>
  </si>
  <si>
    <t>CA4BC010-5210-4004-9D64-42DE442CC571</t>
  </si>
  <si>
    <t>Mitsubishi Splits | 1.2.1. | მონუმენტი 1880  | 22,240.00 GEL | 12.03.2020</t>
  </si>
  <si>
    <t>ტურინვესტი (ს.კ. 245555554) - შპს</t>
  </si>
  <si>
    <t>Hilton Service Parts</t>
  </si>
  <si>
    <t>245555554/44062/1.2.1./1</t>
  </si>
  <si>
    <t>277C4480-EA4D-4C16-A668-709C6572DBCC</t>
  </si>
  <si>
    <t>Hilton Service Parts | 1.2.1. (+) შემოსავალი MEP დანადგარების რეალიზაციიდან | ტურინვესტი (ს.კ. 245555554) - შპს</t>
  </si>
  <si>
    <t>26DD56C7-5751-4761-A491-772703E8B7AC</t>
  </si>
  <si>
    <t>Hilton Service Parts | 1.2.1. | ტურინვესტი  | 7,350.00 USD | 19.08.2020</t>
  </si>
  <si>
    <t>Filter supply and compresor change service</t>
  </si>
  <si>
    <t>205129653/44084/1.2.1./1</t>
  </si>
  <si>
    <t>C226202D-D865-4E63-9FE3-33CA85B0E1BB</t>
  </si>
  <si>
    <t>Filter supply and compresor change service | 1.2.1. (+) შემოსავალი MEP დანადგარების რეალიზაციიდან | თბილისი ცენტრალი (ს.კ. 205129653) - სს</t>
  </si>
  <si>
    <t>Filter supply and compresor change service | 1.2.1. | თბილისი ცენტრალი  | 1,150.00 GEL | 10.09.2020</t>
  </si>
  <si>
    <t>აკაკი მგელაძე (ს.კ. 61001034433) - ფიზ. პირი</t>
  </si>
  <si>
    <t>Conditioners</t>
  </si>
  <si>
    <t>61001034433/44091/1.2.1./1</t>
  </si>
  <si>
    <t>DC08644F-DC8A-4F5C-ADDE-5987253058B1</t>
  </si>
  <si>
    <t>Conditioners | 1.2.1. (+) შემოსავალი MEP დანადგარების რეალიზაციიდან | აკაკი მგელაძე (ს.კ. 61001034433) - ფიზ. პირი</t>
  </si>
  <si>
    <t>A19DBE70-93E6-453B-840F-63A4C42291DC</t>
  </si>
  <si>
    <t>Conditioners | 1.2.1. | აკაკი მგელაძე  | 6,000.00 GEL | 17.09.2020</t>
  </si>
  <si>
    <t>მ2 (ს.კ. 404465529) - შპს</t>
  </si>
  <si>
    <t>INVERTER COOLING FAN</t>
  </si>
  <si>
    <t>404465529/44063/1.2.1./1</t>
  </si>
  <si>
    <t>D5F86A85-FBA6-4AF8-8441-B10F49E9FD59</t>
  </si>
  <si>
    <t>INVERTER COOLING FAN | 1.2.1. (+) შემოსავალი MEP დანადგარების რეალიზაციიდან | მ2 (ს.კ. 404465529) - შპს</t>
  </si>
  <si>
    <t>331D7AD9-06E8-4967-9C77-692788BBAD6D</t>
  </si>
  <si>
    <t>INVERTER COOLING FAN | 1.2.1. | მ2  | 824.00 EUR | 20.08.2020</t>
  </si>
  <si>
    <t>7Sky VRV Mockup</t>
  </si>
  <si>
    <t>402121887/44095/1.2.1./1</t>
  </si>
  <si>
    <t>219F1651-BC31-4FFE-9F29-616243FFA049</t>
  </si>
  <si>
    <t>7Sky VRV Mockup | 1.2.1. (+) შემოსავალი MEP დანადგარების რეალიზაციიდან | მეპერსი (ს.კ. 402121887) - შპს</t>
  </si>
  <si>
    <t>7Sky VRV Mockup | 1.2.1. | მეპერსი  | 2,458.27 USD | 21.09.2020</t>
  </si>
  <si>
    <t>Compressors 2</t>
  </si>
  <si>
    <t>205129653/44091/1.2.1./1</t>
  </si>
  <si>
    <t>3D160DBA-BCB2-4A49-833B-E00DCC93BDBB</t>
  </si>
  <si>
    <t>Compressors 2 | 1.2.1. (+) შემოსავალი MEP დანადგარების რეალიზაციიდან | თბილისი ცენტრალი (ს.კ. 205129653) - სს</t>
  </si>
  <si>
    <t>Compressors 2 | 1.2.1. | თბილისი ცენტრალი  | 12,410.00 USD | 17.09.2020</t>
  </si>
  <si>
    <t>Hilton Batumi VRF</t>
  </si>
  <si>
    <t>1.2.3. (+) შემოსავალი MEP დანადგარების სერვისიდან - არაგეგმიური</t>
  </si>
  <si>
    <t>1 6 31 1468</t>
  </si>
  <si>
    <t>245555554/44102/1.1.2./1</t>
  </si>
  <si>
    <t>ADDF5F3A-4117-410E-8C74-7B4CA5FF0D04</t>
  </si>
  <si>
    <t>Hilton Batumi VRF | 1.2.3. (+) შემოსავალი MEP დანადგარების სერვისიდან - არაგეგმიური | ტურინვესტი (ს.კ. 245555554) - შპს</t>
  </si>
  <si>
    <t>B5CAA716-CA9B-47D4-85D4-9954ED4DBAD2</t>
  </si>
  <si>
    <t>Hilton Batumi VRF | 1.2.3. | ტურინვესტი  | 7,600.00 GEL | 28.09.2020</t>
  </si>
  <si>
    <t>Rustavi MIA</t>
  </si>
  <si>
    <t>1 6 30 1235</t>
  </si>
  <si>
    <t>212274812/44060/1.1.1./1</t>
  </si>
  <si>
    <t>021FDEF2-6CB7-4CA2-BB7A-C2591856FA4B</t>
  </si>
  <si>
    <t>Rustavi MIA | 1.1.1. (+) შემოსავალი ლიფტების რეალიზაციიდან | ტრანსმშენი (ს.კ. 212274812) - სს</t>
  </si>
  <si>
    <t>Rustavi MIA | 1.1.1. | ტრანსმშენი  | 65,300.00 USD | 17.08.2020</t>
  </si>
  <si>
    <t>Unix Marselle 2</t>
  </si>
  <si>
    <t>405133822/44102/1.1.2./1</t>
  </si>
  <si>
    <t>8852C85C-3176-4651-BCBB-8585B2842C8C</t>
  </si>
  <si>
    <t>Unix Marselle 2 | 1.1.2. (+) შემოსავალი ლიფტების სერვისიდან - გეგმიური | იუნიქს ქონსთრაქშენ კომპანი (ს.კ. 405133822) - შპს</t>
  </si>
  <si>
    <t>Unix Marselle 2 | 1.1.2. | იუნიქს ქონსთრაქშენ კომპანი  | 800.00 USD | 28.09.2020</t>
  </si>
  <si>
    <t>Meppers Hilton Garden Inn Carrier</t>
  </si>
  <si>
    <t>402121887/44105/1.2.1./1</t>
  </si>
  <si>
    <t>69A7700F-3EF5-4F71-A2F8-6FB637C08F41</t>
  </si>
  <si>
    <t>Meppers Hilton Garden Inn Carrier | 1.2.1. (+) შემოსავალი MEP დანადგარების რეალიზაციიდან | მეპერსი (ს.კ. 402121887) - შპს</t>
  </si>
  <si>
    <t>Meppers Hilton Garden Inn Carrier | 1.2.1. | მეპერსი  | 51,684.38 EUR | 01.10.2020</t>
  </si>
  <si>
    <t>ჯემალ ინაიშვილი (ს.კ. 61001000802) - ფიზ. პირი</t>
  </si>
  <si>
    <t>Jemali House</t>
  </si>
  <si>
    <t>61001000802/44075/1.2.1./1</t>
  </si>
  <si>
    <t>62201211-2503-4F94-B46A-D434C1788449</t>
  </si>
  <si>
    <t>Jemali House | 1.2.1. (+) შემოსავალი MEP დანადგარების რეალიზაციიდან | ჯემალ ინაიშვილი (ს.კ. 61001000802) - ფიზ. პირი</t>
  </si>
  <si>
    <t>F9B986D7-73AE-4F10-9DC3-1A4E90558499</t>
  </si>
  <si>
    <t>Jemali House | 1.2.1. | ჯემალ ინაიშვილი  | 31,550.00 USD | 01.09.2020</t>
  </si>
  <si>
    <t>Inspection</t>
  </si>
  <si>
    <t>245555554/43998/1.1.2./1</t>
  </si>
  <si>
    <t>BF9B0807-4D4F-4465-85FF-3ACBB87B2A78</t>
  </si>
  <si>
    <t>Inspection | 1.1.2. (+) შემოსავალი ლიფტების სერვისიდან - გეგმიური | ტურინვესტი (ს.კ. 245555554) - შპს</t>
  </si>
  <si>
    <t>Inspection | 1.1.2. | ტურინვესტი  | 600.00 GEL | 16.06.2020</t>
  </si>
  <si>
    <t>სტრაქტიფორმი (ს.კ. 405313940) - შპს</t>
  </si>
  <si>
    <t>405313940/43518/1.1.1./1</t>
  </si>
  <si>
    <t>366DF48D-B7A6-4A58-AE2E-49272461E869</t>
  </si>
  <si>
    <t>Gazapkhuli | 1.1.1. (+) შემოსავალი ლიფტების რეალიზაციიდან | სტრაქტიფორმი (ს.კ. 405313940) - შპს</t>
  </si>
  <si>
    <t>416473B3-5E1E-4C7E-9FF8-71C38522F082</t>
  </si>
  <si>
    <t>Gazapkhuli | 1.1.1. | სტრაქტიფორმი  | 31,350.00 USD | 22.02.2019</t>
  </si>
  <si>
    <t>შპს სტელა + (ს.კ. 418475974) - შპს</t>
  </si>
  <si>
    <t xml:space="preserve">Stela  </t>
  </si>
  <si>
    <t>418475974/44099/1.2.1./1</t>
  </si>
  <si>
    <t>9B64AD53-7BFE-490F-8DA4-BF87DF5FA6AE</t>
  </si>
  <si>
    <t>Stela | 1.2.1. (+) შემოსავალი MEP დანადგარების რეალიზაციიდან | შპს სტელა + (ს.კ. 418475974) - შპს</t>
  </si>
  <si>
    <t>4379200F-9E1B-4867-A33B-C7040FC48CF9</t>
  </si>
  <si>
    <t>Stela | 1.2.1. | შპს სტელა +  | 5,700.00 USD | 25.09.2020</t>
  </si>
  <si>
    <t>SRK45ZSP-S/SRC45ZSP-S</t>
  </si>
  <si>
    <t>61001034433/44114/1.2.1./1</t>
  </si>
  <si>
    <t>A00BF232-E4D4-40B5-88AD-806BDD7C6014</t>
  </si>
  <si>
    <t>SRK45ZSP-S|SRC45ZSP-S | 1.2.1. (+) შემოსავალი MEP დანადგარების რეალიზაციიდან | აკაკი მგელაძე (ს.კ. 61001034433) - ფიზ. პირი</t>
  </si>
  <si>
    <t>SRK45ZSP-S|SRC45ZSP-S | 1.2.1. | აკაკი მგელაძე  | 2,260.00 GEL | 10.10.2020</t>
  </si>
  <si>
    <t>Thermoroom 2 units</t>
  </si>
  <si>
    <t>405134448/44117/1.2.1./1</t>
  </si>
  <si>
    <t>49335194-4507-4C89-82FE-FAE37CAA6EE3</t>
  </si>
  <si>
    <t>Thermoroom 2 units | 1.2.1. (+) შემოსავალი MEP დანადგარების რეალიზაციიდან | თერმორუმი (ს.კ. 405134448) - შპს</t>
  </si>
  <si>
    <t>Thermoroom 2 units | 1.2.1. | თერმორუმი  | 2,640.00 GEL | 13.10.2020</t>
  </si>
  <si>
    <t>გიორგი გულაშვილი (ს.კ. 01026006745) - ფიზ. პირი</t>
  </si>
  <si>
    <t>1 6 30 1511</t>
  </si>
  <si>
    <t>01026006745/44116/1.2.1./1</t>
  </si>
  <si>
    <t>080B0609-8AC5-4A35-8F67-C1E8D392E2F5</t>
  </si>
  <si>
    <t>Conditioners | 1.2.1. (+) შემოსავალი MEP დანადგარების რეალიზაციიდან | გიორგი გულაშვილი (ს.კ. 01026006745) - ფიზ. პირი</t>
  </si>
  <si>
    <t>696DFC2F-EC38-4D1F-8A79-4F37B31F4535</t>
  </si>
  <si>
    <t>Conditioners | 1.2.1. | გიორგი გულაშვილი  | 10,420.00 GEL | 12.10.2020</t>
  </si>
  <si>
    <t>სანრაიზ დეველოპმენტი (ს.კ. 405285221) - შპს</t>
  </si>
  <si>
    <t>Sunrise Batumi</t>
  </si>
  <si>
    <t>თეა ურიდია (ს.კ. 62001030230) - ფიზ. პირი</t>
  </si>
  <si>
    <t>1 6 30 1514</t>
  </si>
  <si>
    <t>405285221/44118/1.1.1./1</t>
  </si>
  <si>
    <t>3BE4829E-44A4-47CD-BE63-C250C40D1B55</t>
  </si>
  <si>
    <t>Sunrise Batumi | 1.1.1. (+) შემოსავალი ლიფტების რეალიზაციიდან | სანრაიზ დეველოპმენტი (ს.კ. 405285221) - შპს</t>
  </si>
  <si>
    <t>7F4998D7-42F1-45ED-9C10-DE5599AB161A</t>
  </si>
  <si>
    <t>A26DCE96-C08F-453E-9E26-10AAF72D142A</t>
  </si>
  <si>
    <t>Sunrise Batumi | 1.1.1. | სანრაიზ დეველოპმენტი  | 449,870.00 USD | 14.10.2020</t>
  </si>
  <si>
    <t>გიორგი ბახტაძე (ს.კ. 01024067298) - ფიზ. პირი</t>
  </si>
  <si>
    <t>Jikia house</t>
  </si>
  <si>
    <t>01024067298/44127/1.2.1./1</t>
  </si>
  <si>
    <t>13EE18BD-CCE4-4A46-9493-F970255E5A5C</t>
  </si>
  <si>
    <t>Jikia house | 1.2.1. (+) შემოსავალი MEP დანადგარების რეალიზაციიდან | გიორგი ბახტაძე (ს.კ. 01024067298) - ფიზ. პირი</t>
  </si>
  <si>
    <t>19521391-5237-486E-B9F6-C4529F6D8E1D</t>
  </si>
  <si>
    <t>Jikia house | 1.2.1. | გიორგი ბახტაძე  | 2,720.00 GEL | 23.10.2020</t>
  </si>
  <si>
    <t>Paata House Splits</t>
  </si>
  <si>
    <t>01001011731/44127/1.2.1./1</t>
  </si>
  <si>
    <t>A7467957-6D0F-46F0-9188-0491DD97F3F8</t>
  </si>
  <si>
    <t>Paata House Splits | 1.2.1. (+) შემოსავალი MEP დანადგარების რეალიზაციიდან | პაატა დვალიშვილი (ს.კ. 01001011731) - ფიზ. პირი</t>
  </si>
  <si>
    <t>Paata House Splits | 1.2.1. | პაატა დვალიშვილი  | 5,670.00 GEL | 23.10.2020</t>
  </si>
  <si>
    <t>Mitsubishi Split Conditioners</t>
  </si>
  <si>
    <t>ნინო ბახტაძე (ს.კ. 01024071279) - ფიზ. პირი</t>
  </si>
  <si>
    <t>204976179/44120/1.2.1./1</t>
  </si>
  <si>
    <t>F0412171-41C0-4B65-A228-D0B169A59F36</t>
  </si>
  <si>
    <t>Mitsubishi Split Conditioners | 1.2.1. (+) შემოსავალი MEP დანადგარების რეალიზაციიდან | თბილი სახლი (ს.კ. 204976179) - შპს</t>
  </si>
  <si>
    <t>401318CA-BF39-49C3-9BDC-73836A8F9774</t>
  </si>
  <si>
    <t>Mitsubishi Split Conditioners | 1.2.1. | თბილი სახლი  | 7,320.00 GEL | 16.10.2020</t>
  </si>
  <si>
    <t>AHI Carrier Fzc (ს.კ. ICE001144) - უცხოური საწარმო</t>
  </si>
  <si>
    <t>Poti Port Service</t>
  </si>
  <si>
    <t>დავით ნადირაძე (ს.კ. 01001014120) - ფიზ. პირი</t>
  </si>
  <si>
    <t>ICE001144/44078/1.2.3./1</t>
  </si>
  <si>
    <t>53F2A0EF-69DE-4231-8647-BE271EAFF618</t>
  </si>
  <si>
    <t>Poti Port Service | 1.2.3. (+) შემოსავალი MEP დანადგარების სერვისიდან - არაგეგმიური | AHI Carrier Fzc (ს.კ. ICE001144) - უცხოური საწარმო</t>
  </si>
  <si>
    <t>AEF33ADC-D3E1-4F29-9C04-1D160C138FDE</t>
  </si>
  <si>
    <t>C309CB7C-404D-431A-A8FB-29671DCA0C49</t>
  </si>
  <si>
    <t>Poti Port Service | 1.2.3. | AHI Carrier Fzc  | 2,000.00 EUR | 04.09.2020</t>
  </si>
  <si>
    <t>ინსტალი (ს.კ. 404436570) - შპს</t>
  </si>
  <si>
    <t>MHI Conditioner</t>
  </si>
  <si>
    <t>404436570/43798/1.2.1./1</t>
  </si>
  <si>
    <t>B57F44DA-173F-4982-82AE-21A306C2B22E</t>
  </si>
  <si>
    <t>MHI Conditioner | 1.2.1. (+) შემოსავალი MEP დანადგარების რეალიზაციიდან | ინსტალი (ს.კ. 404436570) - შპს</t>
  </si>
  <si>
    <t>20FABFF1-1BAC-4741-A729-99202DDDFDD7</t>
  </si>
  <si>
    <t>MHI Conditioner | 1.2.1. | ინსტალი  | 1,180.00 GEL | 29.11.2019</t>
  </si>
  <si>
    <t>Split Mitsubishi Conditioners (R410A)</t>
  </si>
  <si>
    <t>ცოტნე ჯმუხაძე (ს.კ. 01027089575) - ფიზ. პირი</t>
  </si>
  <si>
    <t>7370930E-DC0D-46C9-B0E3-571BCB140D9A</t>
  </si>
  <si>
    <t>Split Mitsubishi Conditioners (R410A) | 1.2.1. (+) შემოსავალი MEP დანადგარების რეალიზაციიდან | გიორგი გულაშვილი (ს.კ. 01026006745) - ფიზ. პირი</t>
  </si>
  <si>
    <t>83F0C711-34F6-45B3-A1ED-F85548418822</t>
  </si>
  <si>
    <t>Split Mitsubishi Conditioners (R410A) | 1.2.1. | გიორგი გულაშვილი  | 10,420.00 GEL | 12.10.2020</t>
  </si>
  <si>
    <t>გალერია თბილისი (ს.კ. 204558497) - შპს</t>
  </si>
  <si>
    <t>N2 lift service</t>
  </si>
  <si>
    <t>თეონა რომაშვილი (ს.კ. 01017023607) - ფიზ. პირი</t>
  </si>
  <si>
    <t>204558497/44130/1.1.3./1</t>
  </si>
  <si>
    <t>3DA92B0D-9FFF-4B92-AA85-26D103A4E032</t>
  </si>
  <si>
    <t>N2 lift service | 1.1.3. (+) შემოსავალი ლიფტების სერვისიდან - არაგეგმიური | გალერია თბილისი (ს.კ. 204558497) - შპს</t>
  </si>
  <si>
    <t>1D6C190E-3037-4435-BF28-B1D43DC3432D</t>
  </si>
  <si>
    <t>A4E9EDC7-B81F-4483-9069-A7790AEBE4FA</t>
  </si>
  <si>
    <t>N2 lift service | 1.1.3. | გალერია თბილისი  | 200.00 GEL | 26.10.2020</t>
  </si>
  <si>
    <t>Beach Tower Trouble</t>
  </si>
  <si>
    <t>402009857/44132/1.2.1./1</t>
  </si>
  <si>
    <t>6EB56C6C-4342-4259-AAE1-743464C025C5</t>
  </si>
  <si>
    <t>Beach Tower Trouble | 1.2.1. (+) შემოსავალი MEP დანადგარების რეალიზაციიდან | ტექნოკლიმა (ს.კ. 402009857) - შპს</t>
  </si>
  <si>
    <t>Beach Tower Trouble | 1.2.1. | ტექნოკლიმა  | 3,849.00 GEL | 28.10.2020</t>
  </si>
  <si>
    <t>Kafelis Saxli</t>
  </si>
  <si>
    <t>245565669/44097/1.1.1./1</t>
  </si>
  <si>
    <t>E102A3D1-524E-4AAD-BC96-81D60D75A4A3</t>
  </si>
  <si>
    <t>Kafelis Saxli | 1.1.1. (+) შემოსავალი ლიფტების რეალიზაციიდან | მოდუსი (ს.კ. 245565669) - შპს</t>
  </si>
  <si>
    <t>Kafelis Saxli | 1.1.1. | მოდუსი  | 23,000.00 USD | 23.09.2020</t>
  </si>
  <si>
    <t>Fan Propeller</t>
  </si>
  <si>
    <t>204976179/44140/1.2.1./1</t>
  </si>
  <si>
    <t>794560D8-FD88-4918-80C7-C550FDC68ABF</t>
  </si>
  <si>
    <t>Fan Propeller | 1.2.1. (+) შემოსავალი MEP დანადგარების რეალიზაციიდან | თბილი სახლი (ს.კ. 204976179) - შპს</t>
  </si>
  <si>
    <t>Fan Propeller | 1.2.1. | თბილი სახლი  | 1,180.00 USD | 05.11.2020</t>
  </si>
  <si>
    <t>4 Units RC-EX3</t>
  </si>
  <si>
    <t>405134448/44126/1.2.1./1</t>
  </si>
  <si>
    <t>A7E6C5F8-C8AF-4F4A-8BFD-0891F6EB6546</t>
  </si>
  <si>
    <t>4 Units RC-EX3 | 1.2.1. (+) შემოსავალი MEP დანადგარების რეალიზაციიდან | თერმორუმი (ს.კ. 405134448) - შპს</t>
  </si>
  <si>
    <t>4 Units RC-EX3 | 1.2.1. | თერმორუმი  | 500.00 USD | 22.10.2020</t>
  </si>
  <si>
    <t>3 MHI SPLITS</t>
  </si>
  <si>
    <t>405134448/44152/1.2.1./1</t>
  </si>
  <si>
    <t>D2404F8C-8F50-4DAC-8C2E-26552253D955</t>
  </si>
  <si>
    <t>3 MHI SPLITS | 1.2.1. (+) შემოსავალი MEP დანადგარების რეალიზაციიდან | თერმორუმი (ს.კ. 405134448) - შპს</t>
  </si>
  <si>
    <t>3 MHI SPLITS | 1.2.1. | თერმორუმი  | 5,500.00 GEL | 17.11.2020</t>
  </si>
  <si>
    <t>აკაკი ახვლედიანი (ს.კ. 01024008652) - ფიზ. პირი</t>
  </si>
  <si>
    <t>Compressor</t>
  </si>
  <si>
    <t>01024008652/44151/1.2.1./1</t>
  </si>
  <si>
    <t>8E720888-0071-44CA-8FB6-008DB71626F0</t>
  </si>
  <si>
    <t>Compressor | 1.2.1. (+) შემოსავალი MEP დანადგარების რეალიზაციიდან | აკაკი ახვლედიანი (ს.კ. 01024008652) - ფიზ. პირი</t>
  </si>
  <si>
    <t>F178344C-B538-493A-91F1-E50A67F53023</t>
  </si>
  <si>
    <t>shorena.jijiashvili1980@gmail.com</t>
  </si>
  <si>
    <t>Compressor | 1.2.1. | აკაკი ახვლედიანი  | 3,965.00 USD | 16.11.2020</t>
  </si>
  <si>
    <t>PU Ducts</t>
  </si>
  <si>
    <t>405134448/44138/1.2.1./1</t>
  </si>
  <si>
    <t>B4B4F708-0972-42BD-817C-C52BAA10AEF0</t>
  </si>
  <si>
    <t>PU Ducts | 1.2.1. (+) შემოსავალი MEP დანადგარების რეალიზაციიდან | თერმორუმი (ს.კ. 405134448) - შპს</t>
  </si>
  <si>
    <t>PU Ducts | 1.2.1. | თერმორუმი  | 14,728.50 GEL | 03.11.2020</t>
  </si>
  <si>
    <t>Orbi Spa</t>
  </si>
  <si>
    <t>1 6 30 998 2</t>
  </si>
  <si>
    <t>245621849/44112/1.1.1./1</t>
  </si>
  <si>
    <t>2B68759A-5E01-4B6C-B9D8-86B509BD73AF</t>
  </si>
  <si>
    <t>Orbi Spa | 1.1.1. (+) შემოსავალი ლიფტების რეალიზაციიდან | ორბი ჯგუფი (ს.კ. 245621849) - შპს</t>
  </si>
  <si>
    <t>Orbi Spa | 1.1.1. | ორბი ჯგუფი  | 6,000.00 GEL | 08.10.2020</t>
  </si>
  <si>
    <t>აი-სი-ი (ს.კ. 400017245) - შპს</t>
  </si>
  <si>
    <t>ICE - Gazapkhuli Stock</t>
  </si>
  <si>
    <t>400017245/40544/1.1.1./1</t>
  </si>
  <si>
    <t>C5AC07F9-352A-4364-B700-7E1101AC0852</t>
  </si>
  <si>
    <t>ICE - Gazapkhuli Stock | 1.1.1. (+) შემოსავალი ლიფტების რეალიზაციიდან | აი-სი-ი (ს.კ. 400017245) - შპს</t>
  </si>
  <si>
    <t>2A55DEBB-261B-4CE9-BAE4-296DDEA037AB</t>
  </si>
  <si>
    <t>ICE - Gazapkhuli Stock | 1.1.1. | აი-სი-ი  | 0.00 GEL | 18.12.2020</t>
  </si>
  <si>
    <t xml:space="preserve">Paata House Thermostats </t>
  </si>
  <si>
    <t>01001011731/44183/1.2.1./1</t>
  </si>
  <si>
    <t>7BF44D02-B0DC-4C8A-B073-3AF38B2CF72C</t>
  </si>
  <si>
    <t>Paata House Thermostats  | 1.2.1. (+) შემოსავალი MEP დანადგარების რეალიზაციიდან | პაატა დვალიშვილი (ს.კ. 01001011731) - ფიზ. პირი</t>
  </si>
  <si>
    <t>Paata House Thermostats  | 1.2.1. | პაატა დვალიშვილი  | 800.00 USD | 18.12.2020</t>
  </si>
  <si>
    <t>Ford Center Propeler Motor</t>
  </si>
  <si>
    <t>204976179/44154/1.2.1./1</t>
  </si>
  <si>
    <t>EDF87557-DF6E-4E04-9A90-23496F0293C8</t>
  </si>
  <si>
    <t>Ford Center Propeler Motor | 1.2.1. (+) შემოსავალი MEP დანადგარების რეალიზაციიდან | თბილი სახლი (ს.კ. 204976179) - შპს</t>
  </si>
  <si>
    <t>Ford Center Propeler Motor | 1.2.1. | თბილი სახლი  | 1,735.00 USD | 19.11.2020</t>
  </si>
  <si>
    <t>N13 Elevator board</t>
  </si>
  <si>
    <t>204558497/44159/1.1.3./1</t>
  </si>
  <si>
    <t>C18AD321-297A-4CCD-A5E3-8012938B4B82</t>
  </si>
  <si>
    <t>N13 Elevator board | 1.1.3. (+) შემოსავალი ლიფტების სერვისიდან - არაგეგმიური | გალერია თბილისი (ს.კ. 204558497) - შპს</t>
  </si>
  <si>
    <t>N13 Elevator board | 1.1.3. | გალერია თბილისი  | 600.00 USD | 24.11.2020</t>
  </si>
  <si>
    <t>Display &amp; Board</t>
  </si>
  <si>
    <t>405133822/44106/1.1.3./1</t>
  </si>
  <si>
    <t>730C476F-BFEA-4580-8081-A195DF6C17EE</t>
  </si>
  <si>
    <t>Display &amp; Board | 1.1.3. (+) შემოსავალი ლიფტების სერვისიდან - არაგეგმიური | იუნიქს ქონსთრაქშენ კომპანი (ს.კ. 405133822) - შპს</t>
  </si>
  <si>
    <t>Display &amp; Board | 1.1.3. | იუნიქს ქონსთრაქშენ კომპანი  | 800.00 USD | 02.10.2020</t>
  </si>
  <si>
    <t>მებოენჯინიერინგ (ს.კ. 405353399) - შპს</t>
  </si>
  <si>
    <t>Meboengineering</t>
  </si>
  <si>
    <t>1 6 30 1543</t>
  </si>
  <si>
    <t>405353399/44187/1.2.1./1</t>
  </si>
  <si>
    <t>66DA52BA-5CC9-4DB2-AB2F-E5D503A67FD1</t>
  </si>
  <si>
    <t>Meboengineering | 1.2.1. (+) შემოსავალი MEP დანადგარების რეალიზაციიდან | მებოენჯინიერინგ (ს.კ. 405353399) - შპს</t>
  </si>
  <si>
    <t>24E4EE43-5EF3-423D-9573-ECEC58B570C9</t>
  </si>
  <si>
    <t>Meboengineering | 1.2.1. | მებოენჯინიერინგ  | 18,970.00 USD | 22.12.2020</t>
  </si>
  <si>
    <t>არგო გრუპ ჯორჯია (ს.კ. 400113532) - შპს</t>
  </si>
  <si>
    <t>Havana club</t>
  </si>
  <si>
    <t>1 6 30 1529</t>
  </si>
  <si>
    <t>400113532/44162/1.2.1./1</t>
  </si>
  <si>
    <t>A571A00D-DA60-4571-8053-F614F87192AE</t>
  </si>
  <si>
    <t>Havana club | 1.2.1. (+) შემოსავალი MEP დანადგარების რეალიზაციიდან | არგო გრუპ ჯორჯია (ს.კ. 400113532) - შპს</t>
  </si>
  <si>
    <t>8BE1F54B-9D87-48F2-8C0A-2F20A5C303E9</t>
  </si>
  <si>
    <t>Havana club | 1.2.1. | არგო გრუპ ჯორჯია  | 17,000.00 USD | 27.11.2020</t>
  </si>
  <si>
    <t>ლენოქსი (ს.კ. 418476893) - შპს</t>
  </si>
  <si>
    <t>Carrier Unit</t>
  </si>
  <si>
    <t>418476893/44166/1.2.1./1</t>
  </si>
  <si>
    <t>49FCFC77-A25C-4798-A811-A11D7B44CCA4</t>
  </si>
  <si>
    <t>Carrier Unit | 1.2.1. (+) შემოსავალი MEP დანადგარების რეალიზაციიდან | ლენოქსი (ს.კ. 418476893) - შპს</t>
  </si>
  <si>
    <t>8C656830-971B-4F16-823C-B3F9461FD619</t>
  </si>
  <si>
    <t>Carrier Unit | 1.2.1. | ლენოქსი  | 1,900.00 USD | 01.12.2020</t>
  </si>
  <si>
    <t>Dumpers</t>
  </si>
  <si>
    <t>08B11B3D-796F-4D80-82F9-149FC940360A</t>
  </si>
  <si>
    <t>Dumpers | 1.2.1. (+) შემოსავალი MEP დანადგარების რეალიზაციიდან | ლენოქსი (ს.კ. 418476893) - შპს</t>
  </si>
  <si>
    <t>Dumpers | 1.2.1. | ლენოქსი  | 150.00 GEL | 01.12.2020</t>
  </si>
  <si>
    <t>ICE - Lilo Open Stock</t>
  </si>
  <si>
    <t>139CD247-57C9-4CC8-9B29-25F6F755ED38</t>
  </si>
  <si>
    <t>ICE - Lilo Open Stock | 1.1.1. (+) შემოსავალი ლიფტების რეალიზაციიდან | აი-სი-ი (ს.კ. 400017245) - შპს</t>
  </si>
  <si>
    <t>ICE - Lilo Open Stock | 1.1.1. | აი-სი-ი  | 0.00 GEL | 01.01.2011</t>
  </si>
  <si>
    <t>ICE - Lilo Closed Stock</t>
  </si>
  <si>
    <t>DA744D3C-6591-4CC4-9519-A01B5D7ADCF7</t>
  </si>
  <si>
    <t>ICE - Lilo Closed Stock | 1.1.1. (+) შემოსავალი ლიფტების რეალიზაციიდან | აი-სი-ი (ს.კ. 400017245) - შპს</t>
  </si>
  <si>
    <t>ICE - Lilo Closed Stock | 1.1.1. | აი-სი-ი  | 0.00 GEL | 01.01.2011</t>
  </si>
  <si>
    <t>სფერა (ს.კ. 405412361 ) - შპს</t>
  </si>
  <si>
    <t>405412361 /44211/1.1.2./1</t>
  </si>
  <si>
    <t>1DA13BC6-9AA2-4D33-8B24-E5D5205BF210</t>
  </si>
  <si>
    <t>Bagebi | 1.1.2. (+) შემოსავალი ლიფტების სერვისიდან - გეგმიური | სფერა (ს.კ. 405412361 ) - შპს</t>
  </si>
  <si>
    <t>B71DB46F-9742-4111-9C3C-118F6E6DB370</t>
  </si>
  <si>
    <t>Bagebi | 1.1.2. | სფერა  | 350.00 GEL | 15.01.2021</t>
  </si>
  <si>
    <t>Axis office</t>
  </si>
  <si>
    <t>204976179/44195/1.2.1./1</t>
  </si>
  <si>
    <t>788E0111-02A0-4084-922B-9B4B18D3B711</t>
  </si>
  <si>
    <t>Axis office | 1.2.1. (+) შემოსავალი MEP დანადგარების რეალიზაციიდან | თბილი სახლი (ს.კ. 204976179) - შპს</t>
  </si>
  <si>
    <t>Axis office | 1.2.1. | თბილი სახლი  | 60,886.00 USD | 30.12.2020</t>
  </si>
  <si>
    <t>Jemali house Elevator</t>
  </si>
  <si>
    <t>1 6 30 1493 1</t>
  </si>
  <si>
    <t>61001000802/44075/1.1.1./1</t>
  </si>
  <si>
    <t>78DA1CFE-30D2-400B-93E4-D6C878C932C8</t>
  </si>
  <si>
    <t>Jemali house Elevator | 1.1.1. (+) შემოსავალი ლიფტების რეალიზაციიდან | ჯემალ ინაიშვილი (ს.კ. 61001000802) - ფიზ. პირი</t>
  </si>
  <si>
    <t>Jemali house Elevator | 1.1.1. | ჯემალ ინაიშვილი  | 29,270.00 EUR | 01.09.2020</t>
  </si>
  <si>
    <t>204976179/44173/1.1.3./1</t>
  </si>
  <si>
    <t>A772FB72-306F-40C9-B55C-7AE7407E466C</t>
  </si>
  <si>
    <t>Galleria Tbilisi | 1.1.3. (+) შემოსავალი ლიფტების სერვისიდან - არაგეგმიური | თბილი სახლი (ს.კ. 204976179) - შპს</t>
  </si>
  <si>
    <t>Galleria Tbilisi | 1.1.3. | თბილი სახლი  | 2,585.40 USD | 08.12.2020</t>
  </si>
  <si>
    <t>თინათინ ასათიანი (ს.კ. 01009008545) - ფიზ. პირი</t>
  </si>
  <si>
    <t>Asatiani - Kvariati</t>
  </si>
  <si>
    <t>01009008545/44239/1.2.1./1</t>
  </si>
  <si>
    <t>90F593D7-5C95-4BDB-84A7-8BBD126DF038</t>
  </si>
  <si>
    <t>Asatiani - Kvariati | 1.2.1. (+) შემოსავალი MEP დანადგარების რეალიზაციიდან | თინათინ ასათიანი (ს.კ. 01009008545) - ფიზ. პირი</t>
  </si>
  <si>
    <t>92C87C66-6CBF-4FCE-BD5B-BD20FDB791BF</t>
  </si>
  <si>
    <t>Asatiani - Kvariati | 1.2.1. | თინათინ ასათიანი  | 1,550.00 GEL | 12.02.2021</t>
  </si>
  <si>
    <t>Mitsubishi Compressor</t>
  </si>
  <si>
    <t>204976179/44236/1.2.1./1</t>
  </si>
  <si>
    <t>CB33EDC0-148D-4378-97A5-6633BF7E40FF</t>
  </si>
  <si>
    <t>Mitsubishi Compressor | 1.2.1. (+) შემოსავალი MEP დანადგარების რეალიზაციიდან | თბილი სახლი (ს.კ. 204976179) - შპს</t>
  </si>
  <si>
    <t>Mitsubishi Compressor | 1.2.1. | თბილი სახლი  | 6,950.00 USD | 09.02.2021</t>
  </si>
  <si>
    <t xml:space="preserve">Galleria Elevator Spare Parts </t>
  </si>
  <si>
    <t>204558497/44068/1.1.3./1</t>
  </si>
  <si>
    <t>43BD641D-3C9F-40D5-9E8C-49D404A896DA</t>
  </si>
  <si>
    <t>Galleria Elevator Spare Parts  | 1.1.3. (+) შემოსავალი ლიფტების სერვისიდან - არაგეგმიური | გალერია თბილისი (ს.კ. 204558497) - შპს</t>
  </si>
  <si>
    <t>Galleria Elevator Spare Parts  | 1.1.3. | გალერია თბილისი  | 7,335.00 USD | 25.08.2020</t>
  </si>
  <si>
    <t xml:space="preserve">Galleria Escalator Spare Part </t>
  </si>
  <si>
    <t>204558497/44243/1.1.3./1</t>
  </si>
  <si>
    <t>10C38DC7-E96A-4B59-AEDE-84EBBAF6195E</t>
  </si>
  <si>
    <t>Galleria Escalator Spare Part  | 1.1.3. (+) შემოსავალი ლიფტების სერვისიდან - არაგეგმიური | გალერია თბილისი (ს.კ. 204558497) - შპს</t>
  </si>
  <si>
    <t>Galleria Escalator Spare Part  | 1.1.3. | გალერია თბილისი  | 3,420.00 USD | 16.02.2021</t>
  </si>
  <si>
    <t>ბკ ქონსთრაქშენი (ს.კ. 404537809) - შპს</t>
  </si>
  <si>
    <t>Archi Isani 2</t>
  </si>
  <si>
    <t>1 6 30 1538 2</t>
  </si>
  <si>
    <t>404537809/44165/1.1.1./1</t>
  </si>
  <si>
    <t>ADB80FD6-75D2-4715-BE23-7F79E37F6729</t>
  </si>
  <si>
    <t>Archi Isani 2 | 1.1.1. (+) შემოსავალი ლიფტების რეალიზაციიდან | ბკ ქონსთრაქშენი (ს.კ. 404537809) - შპს</t>
  </si>
  <si>
    <t>E3AEC4BA-46A6-4271-BBEC-0FFA64B013BE</t>
  </si>
  <si>
    <t>Archi Isani 2 | 1.1.1. | ბკ ქონსთრაქშენი  | 220,000.00 USD | 30.11.2020</t>
  </si>
  <si>
    <t>House Elevator</t>
  </si>
  <si>
    <t>24A23BDE-5684-4C88-A38B-F76DB3E9B273</t>
  </si>
  <si>
    <t>House Elevator | 1.1.1. (+) შემოსავალი ლიფტების რეალიზაციიდან | ჯემალ ინაიშვილი (ს.კ. 61001000802) - ფიზ. პირი</t>
  </si>
  <si>
    <t>House Elevator | 1.1.1. | ჯემალ ინაიშვილი  | 29,270.00 GEL | 01.09.2020</t>
  </si>
  <si>
    <t>რუსთავი მოლი (ს.კ. 405271450) - შპს</t>
  </si>
  <si>
    <t>Rustavi Moll and Poti</t>
  </si>
  <si>
    <t>1 6 30 1555</t>
  </si>
  <si>
    <t>405271450/44185/1.1.1./1</t>
  </si>
  <si>
    <t>AD817A46-E3D6-48A4-9448-7FD84B6A1869</t>
  </si>
  <si>
    <t>Rustavi Moll and Poti | 1.1.1. (+) შემოსავალი ლიფტების რეალიზაციიდან | რუსთავი მოლი (ს.კ. 405271450) - შპს</t>
  </si>
  <si>
    <t>2CAC0320-27CD-4D39-A35D-9E45F2248ED4</t>
  </si>
  <si>
    <t>Rustavi Moll and Poti | 1.1.1. | რუსთავი მოლი  | 126,360.00 USD | 20.12.2020</t>
  </si>
  <si>
    <t>ზუგდიდი პალასი (ს.კ. 404583492) - შპს</t>
  </si>
  <si>
    <t>Zugdidi</t>
  </si>
  <si>
    <t>404583492/44185/1.1.1./1</t>
  </si>
  <si>
    <t>110B99BC-95C3-4ADE-8956-292EF046889B</t>
  </si>
  <si>
    <t>Zugdidi | 1.1.1. (+) შემოსავალი ლიფტების რეალიზაციიდან | ზუგდიდი პალასი (ს.კ. 404583492) - შპს</t>
  </si>
  <si>
    <t>2173AA5E-10F7-4394-B9F6-482BD48BD919</t>
  </si>
  <si>
    <t>Zugdidi | 1.1.1. | ზუგდიდი პალასი  | 30,140.00 USD | 20.12.2020</t>
  </si>
  <si>
    <t>Digomi elevators</t>
  </si>
  <si>
    <t>1 6 30 4 2</t>
  </si>
  <si>
    <t>204976179/44166/1.1.1./1</t>
  </si>
  <si>
    <t>332C83A8-D0E9-486D-AFAE-FDC74DF9119E</t>
  </si>
  <si>
    <t>Digomi elevators | 1.1.1. (+) შემოსავალი ლიფტების რეალიზაციიდან | თბილი სახლი (ს.კ. 204976179) - შპს</t>
  </si>
  <si>
    <t>Digomi elevators | 1.1.1. | თბილი სახლი  | 53,260.00 USD | 01.12.2020</t>
  </si>
  <si>
    <t>VRF Sensor &amp; Fan motor</t>
  </si>
  <si>
    <t>205129653/44244/1.2.1./1</t>
  </si>
  <si>
    <t>AB99535B-7282-4C49-99AD-B7B5C4BFC7B2</t>
  </si>
  <si>
    <t>VRF Sensor &amp; Fan motor | 1.2.1. (+) შემოსავალი MEP დანადგარების რეალიზაციიდან | თბილისი ცენტრალი (ს.კ. 205129653) - სს</t>
  </si>
  <si>
    <t>VRF Sensor &amp; Fan motor | 1.2.1. | თბილისი ცენტრალი  | 680.00 USD | 17.02.2021</t>
  </si>
  <si>
    <t>Living Container</t>
  </si>
  <si>
    <t>1.3.1. (+) სხვადასხვა ინვენტარის რეალიზაცია</t>
  </si>
  <si>
    <t>402121887/44245/1.3.1./1</t>
  </si>
  <si>
    <t>AA3BF3FC-6268-4E8F-BEC3-0779A283897E</t>
  </si>
  <si>
    <t>Living Container | 1.3.1. (+) სხვადასხვა ინვენტარის რეალიზაცია | მეპერსი (ს.კ. 402121887) - შპს</t>
  </si>
  <si>
    <t>68627C8C-95F9-4383-9A95-1923038BB695</t>
  </si>
  <si>
    <t>Living Container | 1.3.1. | მეპერსი  | 22,373.00 GEL | 18.02.2021</t>
  </si>
  <si>
    <t>ელიტ ელექტრონიქსი (ს.კ. 202268928) - შპს</t>
  </si>
  <si>
    <t>MHI Split</t>
  </si>
  <si>
    <t>202268928/43922/1.2.1./1</t>
  </si>
  <si>
    <t>4BBB6753-0B4E-4F5B-BB68-E06FF36148A2</t>
  </si>
  <si>
    <t>MHI Split | 1.2.1. (+) შემოსავალი MEP დანადგარების რეალიზაციიდან | ელიტ ელექტრონიქსი (ს.კ. 202268928) - შპს</t>
  </si>
  <si>
    <t>7920BD15-7996-44AE-B75F-5F4726C33E9A</t>
  </si>
  <si>
    <t>MHI Split | 1.2.1. | ელიტ ელექტრონიქსი  | 0.00 GEL | 01.04.2020</t>
  </si>
  <si>
    <t>ოპტიმა (ს.კ. 405160819) - შპს</t>
  </si>
  <si>
    <t>Sveti</t>
  </si>
  <si>
    <t>405160819/44124/1.1.1./1</t>
  </si>
  <si>
    <t>6D18EA0C-07C4-4974-90C9-67B1BC0AB3B7</t>
  </si>
  <si>
    <t>Sveti | 1.1.1. (+) შემოსავალი ლიფტების რეალიზაციიდან | ოპტიმა (ს.კ. 405160819) - შპს</t>
  </si>
  <si>
    <t>8F8E8A11-9B71-4C85-B91E-A9EC404CBC96</t>
  </si>
  <si>
    <t>Sveti | 1.1.1. | ოპტიმა  | 2,399,130.00 USD | 20.10.2020</t>
  </si>
  <si>
    <t>203842333/44251/1.1.3./1</t>
  </si>
  <si>
    <t>DA66F037-6E74-4365-89EC-71C75E6A827F</t>
  </si>
  <si>
    <t>Moxy Zaabruken Hotel 1 | 1.1.3. (+) შემოსავალი ლიფტების სერვისიდან - არაგეგმიური | ჯი-ემ-თი სასტუმროები (ს.კ. 203842333) - შპს</t>
  </si>
  <si>
    <t>Moxy Zaabruken Hotel 1 | 1.1.3. | ჯი-ემ-თი სასტუმროები  | 600.00 USD | 24.02.2021</t>
  </si>
  <si>
    <t>Moxy Zaabruken Hotel 2</t>
  </si>
  <si>
    <t>203842333/44252/1.1.3./1</t>
  </si>
  <si>
    <t>9872B8EF-9C0D-4988-B318-D5961B54D631</t>
  </si>
  <si>
    <t>Moxy Zaabruken Hotel 2 | 1.1.3. (+) შემოსავალი ლიფტების სერვისიდან - არაგეგმიური | ჯი-ემ-თი სასტუმროები (ს.კ. 203842333) - შპს</t>
  </si>
  <si>
    <t>Moxy Zaabruken Hotel 2 | 1.1.3. | ჯი-ემ-თი სასტუმროები  | 250.00 USD | 25.02.2021</t>
  </si>
  <si>
    <t>დავით დავითაშვილი (ს.კ. 24001002261) - ფიზ. პირი</t>
  </si>
  <si>
    <t>1 6 30 1573</t>
  </si>
  <si>
    <t>24001002261/44252/1.2.1./1</t>
  </si>
  <si>
    <t>0DF15D30-571F-43AD-B36A-19DC2909B6D3</t>
  </si>
  <si>
    <t>Mitsubishi Split Conditioners | 1.2.1. (+) შემოსავალი MEP დანადგარების რეალიზაციიდან | დავით დავითაშვილი (ს.კ. 24001002261) - ფიზ. პირი</t>
  </si>
  <si>
    <t>CB2DE391-A27A-4189-AA88-867A0711DE44</t>
  </si>
  <si>
    <t>Mitsubishi Split Conditioners | 1.2.1. | დავით დავითაშვილი  | 2,450.00 GEL | 25.02.2021</t>
  </si>
  <si>
    <t>Zara Brush</t>
  </si>
  <si>
    <t>404404774/44258/1.1.3./1</t>
  </si>
  <si>
    <t>2C44B5D3-D4BB-4666-8EB0-1B61108ABEF7</t>
  </si>
  <si>
    <t>Zara Brush | 1.1.3. (+) შემოსავალი ლიფტების სერვისიდან - არაგეგმიური | Spanish Retail Georgia (ს.კ. 404404774) - შპს</t>
  </si>
  <si>
    <t>Zara Brush | 1.1.3. | Spanish Retail Georgia  | 576.80 USD | 03.03.2021</t>
  </si>
  <si>
    <t>F914EFFA-DF0F-4FE1-BC99-203DBBE71CB4</t>
  </si>
  <si>
    <t>Zara City Mall | 1.1.3. (+) შემოსავალი ლიფტების სერვისიდან - არაგეგმიური | Spanish Retail Georgia (ს.კ. 404404774) - შპს</t>
  </si>
  <si>
    <t>Zara City Mall | 1.1.3. | Spanish Retail Georgia  | 576.80 USD | 03.03.2021</t>
  </si>
  <si>
    <t>405171996/44258/1.1.3./1</t>
  </si>
  <si>
    <t>902CD182-EFD6-4535-879A-2D22B2BBAB54</t>
  </si>
  <si>
    <t>IBIS Perovi | 1.1.3. (+) შემოსავალი ლიფტების სერვისიდან - არაგეგმიური | ბეტა ჯგუფი (ს.კ. 405171996) - შპს</t>
  </si>
  <si>
    <t>IBIS Perovi | 1.1.3. | ბეტა ჯგუფი  | 1,440.00 USD | 03.03.2021</t>
  </si>
  <si>
    <t>445420875/44249/1.1.3./1</t>
  </si>
  <si>
    <t>8C71BC64-77CD-48AE-A719-3B4155A180C5</t>
  </si>
  <si>
    <t>DAR TOWER | 1.1.3. (+) შემოსავალი ლიფტების სერვისიდან - არაგეგმიური | Dar Building (ს.კ. 445420875) - შპს</t>
  </si>
  <si>
    <t>DAR TOWER | 1.1.3. | Dar Building  | 1,214.00 USD | 22.02.2021</t>
  </si>
  <si>
    <t>405133822/44249/1.1.3./1</t>
  </si>
  <si>
    <t>5BA4654C-95A6-41A4-ACF8-2E9CF225D016</t>
  </si>
  <si>
    <t>UNIX Ipolit Ivanov | 1.1.3. (+) შემოსავალი ლიფტების სერვისიდან - არაგეგმიური | იუნიქს ქონსთრაქშენ კომპანი (ს.კ. 405133822) - შპს</t>
  </si>
  <si>
    <t>UNIX Ipolit Ivanov | 1.1.3. | იუნიქს ქონსთრაქშენ კომპანი  | 773.00 USD | 22.02.2021</t>
  </si>
  <si>
    <t>445468798/44234/1.1.3./1</t>
  </si>
  <si>
    <t>D64B1AC6-1FE9-4DB9-B819-CF76F184770C</t>
  </si>
  <si>
    <t>TWIN TOWER | 1.1.3. (+) შემოსავალი ლიფტების სერვისიდან - არაგეგმიური | ორბი ჯგუფი ბათუმი (ს.კ. 445468798) - შპს</t>
  </si>
  <si>
    <t>TWIN TOWER | 1.1.3. | ორბი ჯგუფი ბათუმი  | 4,009.00 USD | 07.02.2021</t>
  </si>
  <si>
    <t>245621849/44234/1.1.3./1</t>
  </si>
  <si>
    <t>4EC23D40-5EE5-458C-B5BC-525DD6FC2BA9</t>
  </si>
  <si>
    <t>Beach Tower | 1.1.3. (+) შემოსავალი ლიფტების სერვისიდან - არაგეგმიური | ორბი ჯგუფი (ს.კ. 245621849) - შპს</t>
  </si>
  <si>
    <t>Beach Tower | 1.1.3. | ორბი ჯგუფი  | 840.00 USD | 07.02.2021</t>
  </si>
  <si>
    <t>გიორგი გუნაშვილი (ს.კ. 01005042868) - ფიზ. პირი</t>
  </si>
  <si>
    <t>1 6 30 1271</t>
  </si>
  <si>
    <t>405021925/43768/1.1.1./1</t>
  </si>
  <si>
    <t>FD53DEC2-1DDE-4467-9E7C-82320A263903</t>
  </si>
  <si>
    <t>Aparthotel Vake | 1.1.1. (+) შემოსავალი ლიფტების რეალიზაციიდან | კანალესა (ს.კ. 405021925) - შპს</t>
  </si>
  <si>
    <t>2FF3A4BD-5868-4142-BDF6-BC3816DFD386</t>
  </si>
  <si>
    <t>Aparthotel Vake | 1.1.1. | კანალესა  | 163,727.00 USD | 30.10.2019</t>
  </si>
  <si>
    <t>Archi Isani</t>
  </si>
  <si>
    <t>ნიკოლოზ ოთარაშვილი (ს.კ. 01026015799) - ფიზ. პირი</t>
  </si>
  <si>
    <t>1 6 30 1132 4</t>
  </si>
  <si>
    <t>245416401/44077/1.1.1./1</t>
  </si>
  <si>
    <t>83C02AB9-664A-431A-B644-AC026D7A5846</t>
  </si>
  <si>
    <t>Archi Isani | 1.1.1. (+) შემოსავალი ლიფტების რეალიზაციიდან | ანაგი (ს.კ. 245416401) - შპს</t>
  </si>
  <si>
    <t>86332895-C3C3-4313-AA1C-0D1B06C2386C</t>
  </si>
  <si>
    <t>Archi Isani | 1.1.1. | ანაგი  | 366,050.00 USD | 03.09.2020</t>
  </si>
  <si>
    <t>ნინო ბერიძე (ს.კ. 61001080225) - ფიზ. პირი</t>
  </si>
  <si>
    <t>61001008820/43824/1.1.1./1</t>
  </si>
  <si>
    <t>E6202743-B0E9-49F5-9608-2EC295FA7172</t>
  </si>
  <si>
    <t>Kobuleti Garden Inn | 1.1.1. (+) შემოსავალი ლიფტების რეალიზაციიდან | იოსებ გუნთაიშვილი (ს.კ. 61001008820) - ფიზ. პირი</t>
  </si>
  <si>
    <t>AD901E05-ADD9-42DE-89BA-4D9A21C89BCF</t>
  </si>
  <si>
    <t>Kobuleti Garden Inn | 1.1.1. | იოსებ გუნთაიშვილი  | 23,750.00 USD | 25.12.2019</t>
  </si>
  <si>
    <t>ბალტიის ბიზნეს განვითარება (ს.კ. 400098078 ) - შპს</t>
  </si>
  <si>
    <t>Thermostats and joints</t>
  </si>
  <si>
    <t>400098078 /44283/1.2.1./1</t>
  </si>
  <si>
    <t>E8D5552E-313D-4FCF-9D30-B98B197B6ACC</t>
  </si>
  <si>
    <t>Thermostats and joints | 1.2.1. (+) შემოსავალი MEP დანადგარების რეალიზაციიდან | ბალტიის ბიზნეს განვითარება (ს.კ. 400098078 ) - შპს</t>
  </si>
  <si>
    <t>683C3DF5-4CB1-4571-B08C-7154A4496822</t>
  </si>
  <si>
    <t>Thermostats and joints | 1.2.1. | ბალტიის ბიზნეს განვითარება  | 17,882.00 USD | 28.03.2021</t>
  </si>
  <si>
    <t>Mitsubishi Conditioner</t>
  </si>
  <si>
    <t>405134448/44278/1.2.1./1</t>
  </si>
  <si>
    <t>C586AC0E-3B96-40DA-ABB7-0B19B8064172</t>
  </si>
  <si>
    <t>Mitsubishi Conditioner | 1.2.1. (+) შემოსავალი MEP დანადგარების რეალიზაციიდან | თერმორუმი (ს.კ. 405134448) - შპს</t>
  </si>
  <si>
    <t>Mitsubishi Conditioner | 1.2.1. | თერმორუმი  | 1,380.00 GEL | 23.03.2021</t>
  </si>
  <si>
    <t>ირინა ბაგრატიონი (ს.კ. 62001000738) - ფიზ. პირი</t>
  </si>
  <si>
    <t>Mitsubishi Split Condicioner</t>
  </si>
  <si>
    <t>1 6 30 1149</t>
  </si>
  <si>
    <t>62001000738/44284/1.2.1./1</t>
  </si>
  <si>
    <t>54304F4D-DFE3-4BF3-8802-5BEFB5793B76</t>
  </si>
  <si>
    <t>Mitsubishi Split Condicioner | 1.2.1. (+) შემოსავალი MEP დანადგარების რეალიზაციიდან | ირინა ბაგრატიონი (ს.კ. 62001000738) - ფიზ. პირი</t>
  </si>
  <si>
    <t>95F45B38-3701-4DA4-88FE-C53F96F7223C</t>
  </si>
  <si>
    <t>Mitsubishi Split Condicioner | 1.2.1. | ირინა ბაგრატიონი  | 2,800.00 GEL | 29.03.2021</t>
  </si>
  <si>
    <t>ემ-ეს-სი ჯორჯია (ს.კ. 205276681) - შპს</t>
  </si>
  <si>
    <t>Rent-Tamarashvili</t>
  </si>
  <si>
    <t>1.3.2. (+) იჯარიდან მიღებული შემოსავალი</t>
  </si>
  <si>
    <t>205276681/44278/1.3.2./1</t>
  </si>
  <si>
    <t>245040BF-9857-4BA8-A6E0-CC4D6BF1C0DA</t>
  </si>
  <si>
    <t>Rent-Tamarashvili | 1.3.2. (+) იჯარიდან მიღებული შემოსავალი | ემ-ეს-სი ჯორჯია (ს.კ. 205276681) - შპს</t>
  </si>
  <si>
    <t>DB8A7407-60A7-468B-97C8-72D31D12D117</t>
  </si>
  <si>
    <t>EB478E19-2E14-4D4C-900E-B9CF3561E540</t>
  </si>
  <si>
    <t>Rent-Tamarashvili | 1.3.2. | ემ-ეს-სი ჯორჯია  | 6,913.50 USD | 23.03.2021</t>
  </si>
  <si>
    <t>M2 conditioner instalatio</t>
  </si>
  <si>
    <t>1 6 30 1538</t>
  </si>
  <si>
    <t>404537809/44179/1.2.3./1</t>
  </si>
  <si>
    <t>0DC6CA59-634F-462E-989C-FBD7AB27545C</t>
  </si>
  <si>
    <t>M2 conditioner instalatio | 1.2.3. (+) შემოსავალი MEP დანადგარების სერვისიდან - არაგეგმიური | ბკ ქონსთრაქშენი (ს.კ. 404537809) - შპს</t>
  </si>
  <si>
    <t>M2 conditioner instalatio | 1.2.3. | ბკ ქონსთრაქშენი  | 181,545.00 GEL | 14.12.2020</t>
  </si>
  <si>
    <t>Redisson Red VRV</t>
  </si>
  <si>
    <t>400098078 /44291/1.2.1./1</t>
  </si>
  <si>
    <t>8C35AE1C-A6AB-42B6-9EE6-4FA33CE10E1E</t>
  </si>
  <si>
    <t>Redisson Red VRV | 1.2.1. (+) შემოსავალი MEP დანადგარების რეალიზაციიდან | ბალტიის ბიზნეს განვითარება (ს.კ. 400098078 ) - შპს</t>
  </si>
  <si>
    <t>Redisson Red VRV | 1.2.1. | ბალტიის ბიზნეს განვითარება  | 227,761.00 USD | 05.04.2021</t>
  </si>
  <si>
    <t>CENTER OF ELECTRICAT GOODS (ს.კ. ICE001696) - უცხოური საწარმო</t>
  </si>
  <si>
    <t>SAUDI</t>
  </si>
  <si>
    <t>ICE001696/44280/1.2.1./1</t>
  </si>
  <si>
    <t>B2A08978-D922-469E-8E22-8010DCEBC223</t>
  </si>
  <si>
    <t>SAUDI | 1.2.1. (+) შემოსავალი MEP დანადგარების რეალიზაციიდან | CENTER OF ELECTRICAT GOODS (ს.კ. ICE001696) - უცხოური საწარმო</t>
  </si>
  <si>
    <t>4AB3C0A1-63AE-4FCF-90FB-089A7E8985D1</t>
  </si>
  <si>
    <t>SAUDI | 1.2.1. | CENTER OF ELECTRICAT GOODS  | 10,708.00 EUR | 25.03.2021</t>
  </si>
  <si>
    <t xml:space="preserve">Abashidze 70 </t>
  </si>
  <si>
    <t>ICE001082/44298/1.1.3./1</t>
  </si>
  <si>
    <t>CD0D21E5-A18E-4593-A72D-8C014E2BE149</t>
  </si>
  <si>
    <t>Abashidze 70  | 1.1.3. (+) შემოსავალი ლიფტების სერვისიდან - არაგეგმიური | ი. აბაშიძე 70 (ს.კ. ICE001082) - ამხანაგობა</t>
  </si>
  <si>
    <t>Abashidze 70  | 1.1.3. | ი. აბაშიძე 70  | 1,290.00 USD | 12.04.2021</t>
  </si>
  <si>
    <t>Ford Center</t>
  </si>
  <si>
    <t>204976179/44280/1.2.1./1</t>
  </si>
  <si>
    <t>B8DF279B-A563-4A9E-A572-71092D60DFDC</t>
  </si>
  <si>
    <t>Ford Center | 1.2.1. (+) შემოსავალი MEP დანადგარების რეალიზაციიდან | თბილი სახლი (ს.კ. 204976179) - შპს</t>
  </si>
  <si>
    <t>Ford Center | 1.2.1. | თბილი სახლი  | 2,545.00 USD | 25.03.2021</t>
  </si>
  <si>
    <t>Hotel Radius</t>
  </si>
  <si>
    <t>204976179/44301/1.2.1./1</t>
  </si>
  <si>
    <t>9BC9B19C-886C-4EF5-A43C-8D1A0AB616F3</t>
  </si>
  <si>
    <t>Hotel Radius | 1.2.1. (+) შემოსავალი MEP დანადგარების რეალიზაციიდან | თბილი სახლი (ს.კ. 204976179) - შპს</t>
  </si>
  <si>
    <t>Hotel Radius | 1.2.1. | თბილი სახლი  | 2,340.00 GEL | 15.04.2021</t>
  </si>
  <si>
    <t>სტუდიო  (ს.კ. 405429987 ) - შპს</t>
  </si>
  <si>
    <t xml:space="preserve">SOLOLAKI VRF </t>
  </si>
  <si>
    <t>1 6 30 1606</t>
  </si>
  <si>
    <t>405429987 /44315/1.2.1./1</t>
  </si>
  <si>
    <t>1FBCCD92-F5A8-4225-91DD-DCD8DF379BAE</t>
  </si>
  <si>
    <t>SOLOLAKI VRF  | 1.2.1. (+) შემოსავალი MEP დანადგარების რეალიზაციიდან | სტუდიო  (ს.კ. 405429987 ) - შპს</t>
  </si>
  <si>
    <t>D15F8998-6E45-4D86-B01A-2F0FFDF61114</t>
  </si>
  <si>
    <t>SOLOLAKI VRF  | 1.2.1. | სტუდიო   | 5,350.00 USD | 29.04.2021</t>
  </si>
  <si>
    <t>გიორგი მარგებაძე (ს.კ. 01025019447) - ფიზ. პირი</t>
  </si>
  <si>
    <t>2 Units Mitsubishi Split Conditioner</t>
  </si>
  <si>
    <t>01025019447/44329/1.2.1./1</t>
  </si>
  <si>
    <t>5699445E-FB58-4ECB-BE76-17B8232DBF8B</t>
  </si>
  <si>
    <t>2 Units Mitsubishi Split Conditioner | 1.2.1. (+) შემოსავალი MEP დანადგარების რეალიზაციიდან | გიორგი მარგებაძე (ს.კ. 01025019447) - ფიზ. პირი</t>
  </si>
  <si>
    <t>B437C7DF-108A-4B75-B00F-01A3AA261703</t>
  </si>
  <si>
    <t>2 Units Mitsubishi Split Conditioner | 1.2.1. | გიორგი მარგებაძე  | 4,420.00 GEL | 13.05.2021</t>
  </si>
  <si>
    <t>თენგიზ სარჯველაძე (ს.კ. 61001018248) - ფიზ. პირი</t>
  </si>
  <si>
    <t>SARJVELADZE - VRF</t>
  </si>
  <si>
    <t>1 6 30 1614</t>
  </si>
  <si>
    <t>61001018248/44208/1.2.1./1</t>
  </si>
  <si>
    <t>CCC27BA8-7504-4433-935B-C84F0425246D</t>
  </si>
  <si>
    <t>SARJVELADZE - VRF | 1.2.1. (+) შემოსავალი MEP დანადგარების რეალიზაციიდან | თენგიზ სარჯველაძე (ს.კ. 61001018248) - ფიზ. პირი</t>
  </si>
  <si>
    <t>8FB0EC97-AA52-41D1-8516-B3C255D651F7</t>
  </si>
  <si>
    <t>SARJVELADZE - VRF | 1.2.1. | თენგიზ სარჯველაძე  | 11,441.00 USD | 12.01.2021</t>
  </si>
  <si>
    <t>პალადა (ს.კ. 205180472) - შპს</t>
  </si>
  <si>
    <t>Samkharauli SOS</t>
  </si>
  <si>
    <t>1 6 30 504</t>
  </si>
  <si>
    <t>205180472/44287/1.2.1./1</t>
  </si>
  <si>
    <t>4B566549-74E9-41C8-8391-72C2AD451C7B</t>
  </si>
  <si>
    <t>Samkharauli SOS | 1.2.1. (+) შემოსავალი MEP დანადგარების რეალიზაციიდან | პალადა (ს.კ. 205180472) - შპს</t>
  </si>
  <si>
    <t>31D45C00-CEC1-4C42-8E96-8127B22496EB</t>
  </si>
  <si>
    <t>Samkharauli SOS | 1.2.1. | პალადა  | 271,416.96 GEL | 01.04.2021</t>
  </si>
  <si>
    <t>ATU Conditioners</t>
  </si>
  <si>
    <t>239402491/44336/1.2.1./1</t>
  </si>
  <si>
    <t>295BB4D6-362D-4F8D-8F3C-5C31FE2D84D5</t>
  </si>
  <si>
    <t>ATU Conditioners | 1.2.1. (+) შემოსავალი MEP დანადგარების რეალიზაციიდან | ასოციაცია ატუ (ს.კ. 239402491) - არასამეწარმეო (არაკომერციული) იურიდიული პირი</t>
  </si>
  <si>
    <t>ATU Conditioners | 1.2.1. | ასოციაცია ატუ  | 31,200.00 GEL | 20.05.2021</t>
  </si>
  <si>
    <t>HIEX</t>
  </si>
  <si>
    <t>402121887/44256/1.2.1./1</t>
  </si>
  <si>
    <t>B6E0A204-58B5-494C-916D-CF90B1FC158B</t>
  </si>
  <si>
    <t>HIEX | 1.2.1. (+) შემოსავალი MEP დანადგარების რეალიზაციიდან | მეპერსი (ს.კ. 402121887) - შპს</t>
  </si>
  <si>
    <t>HIEX | 1.2.1. | მეპერსი  | 701,000.00 USD | 01.03.2021</t>
  </si>
  <si>
    <t>ბეთბი (ს.კ. 204882190 ) - შპს</t>
  </si>
  <si>
    <t xml:space="preserve">Germany Embassy </t>
  </si>
  <si>
    <t>1 6 30 1635</t>
  </si>
  <si>
    <t>204882190 /44336/1.2.1./1</t>
  </si>
  <si>
    <t>67037D5C-5BCA-4FC1-A900-E85128C5635F</t>
  </si>
  <si>
    <t>Germany Embassy  | 1.2.1. (+) შემოსავალი MEP დანადგარების რეალიზაციიდან | ბეთბი (ს.კ. 204882190 ) - შპს</t>
  </si>
  <si>
    <t>EB68A48E-56D3-4801-8842-5ADFBBED62C4</t>
  </si>
  <si>
    <t>Germany Embassy  | 1.2.1. | ბეთბი  | 4,320.00 GEL | 20.05.2021</t>
  </si>
  <si>
    <t>204882190 /44341/1.2.2./1</t>
  </si>
  <si>
    <t>B9FD8DFD-ACCC-4897-A244-E0780733CEA0</t>
  </si>
  <si>
    <t>Germany Embassy  | 1.2.2. (+) შემოსავალი MEP დანადგარების სერვისიდან - გეგმიური | ბეთბი (ს.კ. 204882190 ) - შპს</t>
  </si>
  <si>
    <t>Germany Embassy  | 1.2.2. | ბეთბი  | 0.00 EUR | 25.05.2021</t>
  </si>
  <si>
    <t>204882190 /44336/1.1.3./1</t>
  </si>
  <si>
    <t>D953DB46-2A80-436C-958A-A42BC2C32408</t>
  </si>
  <si>
    <t>Germany Embassy  | 1.2.3. (+) შემოსავალი MEP დანადგარების სერვისიდან - არაგეგმიური | ბეთბი (ს.კ. 204882190 ) - შპს</t>
  </si>
  <si>
    <t>Germany Embassy  | 1.2.3. | ბეთბი  | 6,000.00 GEL | 20.05.2021</t>
  </si>
  <si>
    <t>თაბორი რიზორთსი (ს.კ. 405147755 ) - შპს</t>
  </si>
  <si>
    <t>Tabori Resorts</t>
  </si>
  <si>
    <t>405147755 /44333/1.2.1./1</t>
  </si>
  <si>
    <t>6DBEF53F-401E-44E0-9814-80DDDCB72384</t>
  </si>
  <si>
    <t>Tabori Resorts | 1.2.1. (+) შემოსავალი MEP დანადგარების რეალიზაციიდან | თაბორი რიზორთსი (ს.კ. 405147755 ) - შპს</t>
  </si>
  <si>
    <t>738F3469-9A4B-4388-A057-181EF691F93E</t>
  </si>
  <si>
    <t>Tabori Resorts | 1.2.1. | თაბორი რიზორთსი  | 2,035.00 USD | 17.05.2021</t>
  </si>
  <si>
    <t>Tbili Sakhli Digomi</t>
  </si>
  <si>
    <t>204976179/44075/1.1.1./1</t>
  </si>
  <si>
    <t>253BD701-F3DE-4528-A4AE-AD150CF28316</t>
  </si>
  <si>
    <t>Tbili Sakhli Digomi | 1.1.1. (+) შემოსავალი ლიფტების რეალიზაციიდან | თბილი სახლი (ს.კ. 204976179) - შპს</t>
  </si>
  <si>
    <t>Tbili Sakhli Digomi | 1.1.1. | თბილი სახლი  | 54,510.00 USD | 01.09.2020</t>
  </si>
  <si>
    <t>გრიგოლ ცირეკიძე (ს.კ. 01007008822) - ფიზ. პირი</t>
  </si>
  <si>
    <t>Tsirekidze - Mitsubishi Split Conditioner</t>
  </si>
  <si>
    <t>01007008822/44349/1.2.1./1</t>
  </si>
  <si>
    <t>11037C10-1318-4614-A60F-754E1147CE9E</t>
  </si>
  <si>
    <t>Tsirekidze - Mitsubishi Split Conditioner | 1.2.1. (+) შემოსავალი MEP დანადგარების რეალიზაციიდან | გრიგოლ ცირეკიძე (ს.კ. 01007008822) - ფიზ. პირი</t>
  </si>
  <si>
    <t>EE204598-CC64-48B0-9F9F-E325686ED810</t>
  </si>
  <si>
    <t>Tsirekidze - Mitsubishi Split Conditioner | 1.2.1. | გრიგოლ ცირეკიძე  | 2,900.00 GEL | 02.06.2021</t>
  </si>
  <si>
    <t>Norwegian Embassy</t>
  </si>
  <si>
    <t>205376608/44356/1.2.1./1</t>
  </si>
  <si>
    <t>C1390D34-BF59-475B-A80E-0AE757B25D27</t>
  </si>
  <si>
    <t>Norwegian Embassy | 1.2.1. (+) შემოსავალი MEP დანადგარების რეალიზაციიდან | ნორვეგიის სამეფოს საელჩო ქ. თბილისში (ს.კ. 205376608) - დიპლომატი</t>
  </si>
  <si>
    <t>Norwegian Embassy | 1.2.1. | ნორვეგიის სამეფოს საელჩო ქ. თბილისში  | 3,600.00 GEL | 09.06.2021</t>
  </si>
  <si>
    <t>კრწანისი როიალ რეზიდენსი (ს.კ. 404569837) - შპს</t>
  </si>
  <si>
    <t>Krtsanisi Residence</t>
  </si>
  <si>
    <t>404569837/44363/1.2.1./1</t>
  </si>
  <si>
    <t>F54A67D3-6554-4E60-A206-69BC6652A169</t>
  </si>
  <si>
    <t>Krtsanisi Residence | 1.2.1. (+) შემოსავალი MEP დანადგარების რეალიზაციიდან | კრწანისი როიალ რეზიდენსი (ს.კ. 404569837) - შპს</t>
  </si>
  <si>
    <t>08D1C5F5-CD74-4351-833E-A1B294127921</t>
  </si>
  <si>
    <t>Krtsanisi Residence | 1.2.1. | კრწანისი როიალ რეზიდენსი  | 2,260.00 GEL | 16.06.2021</t>
  </si>
  <si>
    <t>გრინ ლაიფ (ს.კ. 404477730) - შპს</t>
  </si>
  <si>
    <t>Okrokana</t>
  </si>
  <si>
    <t>1 6 30 1580</t>
  </si>
  <si>
    <t>404477730/44253/1.1.1./1</t>
  </si>
  <si>
    <t>F9565BE8-F96B-4443-9495-DF9FF7F2DE6D</t>
  </si>
  <si>
    <t>Okrokana | 1.1.1. (+) შემოსავალი ლიფტების რეალიზაციიდან | გრინ ლაიფ (ს.კ. 404477730) - შპს</t>
  </si>
  <si>
    <t>7885E9EF-3269-491C-91E3-5E98A71863CD</t>
  </si>
  <si>
    <t>Okrokana | 1.1.1. | გრინ ლაიფ  | 29,415.00 USD | 26.02.2021</t>
  </si>
  <si>
    <t>Okrokana  MEP</t>
  </si>
  <si>
    <t>404477730/44309/1.2.1./1</t>
  </si>
  <si>
    <t>17AA883E-0952-423F-92AB-AB644127C587</t>
  </si>
  <si>
    <t>Okrokana  MEP | 1.2.1. (+) შემოსავალი MEP დანადგარების რეალიზაციიდან | გრინ ლაიფ (ს.კ. 404477730) - შპს</t>
  </si>
  <si>
    <t>Okrokana  MEP | 1.2.1. | გრინ ლაიფ  | 22,060.00 USD | 23.04.2021</t>
  </si>
  <si>
    <t>Krtsanisi Residence 1</t>
  </si>
  <si>
    <t>404569837/44368/1.2.1./1</t>
  </si>
  <si>
    <t>B2C29FA7-FAAB-409D-9C60-153629AF1011</t>
  </si>
  <si>
    <t>Krtsanisi Residence 1 | 1.2.1. (+) შემოსავალი MEP დანადგარების რეალიზაციიდან | კრწანისი როიალ რეზიდენსი (ს.კ. 404569837) - შპს</t>
  </si>
  <si>
    <t>Krtsanisi Residence 1 | 1.2.1. | კრწანისი როიალ რეზიდენსი  | 2,260.00 GEL | 21.06.2021</t>
  </si>
  <si>
    <t>ბექა ლეჟავა (ს.კ. 01009014629) - ფიზ. პირი</t>
  </si>
  <si>
    <t>Lezhava - Mitsubishi Split Conditioner</t>
  </si>
  <si>
    <t>1 6 30 1652</t>
  </si>
  <si>
    <t>01009014629/44369/1.2.1./1</t>
  </si>
  <si>
    <t>2C9BC2B2-3114-464D-BFAB-15A69088E204</t>
  </si>
  <si>
    <t>Lezhava - Mitsubishi Split Conditioner | 1.2.1. (+) შემოსავალი MEP დანადგარების რეალიზაციიდან | ბექა ლეჟავა (ს.კ. 01009014629) - ფიზ. პირი</t>
  </si>
  <si>
    <t>415016FC-2E12-41BF-A2FC-AA3E7475751A</t>
  </si>
  <si>
    <t>Lezhava - Mitsubishi Split Conditioner | 1.2.1. | ბექა ლეჟავა  | 3,000.00 GEL | 22.06.2021</t>
  </si>
  <si>
    <t>გიორგი გაგნიძე (ს.კ. 01027023991) - ფიზ. პირი</t>
  </si>
  <si>
    <t>Gagnidze - Mitsubishi Split Conditioner</t>
  </si>
  <si>
    <t>თამარი დვალიშვილი (ს.კ. 01019021033) - ფიზ. პირი</t>
  </si>
  <si>
    <t>1 6 30 1651</t>
  </si>
  <si>
    <t>01027023991/44369/1.2.1./1</t>
  </si>
  <si>
    <t>5095A22C-341E-47B7-883D-118C3212BEB6</t>
  </si>
  <si>
    <t>Gagnidze - Mitsubishi Split Conditioner | 1.2.1. (+) შემოსავალი MEP დანადგარების რეალიზაციიდან | გიორგი გაგნიძე (ს.კ. 01027023991) - ფიზ. პირი</t>
  </si>
  <si>
    <t>EC7AFECD-A5A6-4AA2-8997-05ADC012B4EF</t>
  </si>
  <si>
    <t>B2931E48-3277-49C0-B41B-D5F9C4CA15EE</t>
  </si>
  <si>
    <t>Gagnidze - Mitsubishi Split Conditioner | 1.2.1. | გიორგი გაგნიძე  | 3,350.00 GEL | 22.06.2021</t>
  </si>
  <si>
    <t>Gagnidze - Mitsubishi Split Conditioner Instalation</t>
  </si>
  <si>
    <t>0BFA7858-C205-453E-8FB3-CFD81D7F14AE</t>
  </si>
  <si>
    <t>Gagnidze - Mitsubishi Split Conditioner Instalation | 1.2.1. (+) შემოსავალი MEP დანადგარების რეალიზაციიდან | გიორგი გაგნიძე (ს.კ. 01027023991) - ფიზ. პირი</t>
  </si>
  <si>
    <t>Gagnidze - Mitsubishi Split Conditioner Instalation | 1.2.1. | გიორგი გაგნიძე  | 500.00 GEL | 22.06.2021</t>
  </si>
  <si>
    <t>Hilton Batumi VRF Service</t>
  </si>
  <si>
    <t>245555554/44368/1.2.2./1</t>
  </si>
  <si>
    <t>BFF752D7-1527-48D2-A677-69843D831669</t>
  </si>
  <si>
    <t>Hilton Batumi VRF Service | 1.2.2. (+) შემოსავალი MEP დანადგარების სერვისიდან - გეგმიური | ტურინვესტი (ს.კ. 245555554) - შპს</t>
  </si>
  <si>
    <t>Hilton Batumi VRF Service | 1.2.2. | ტურინვესტი  | 12,000.00 GEL | 21.06.2021</t>
  </si>
  <si>
    <t>სოკარ ჯორჯია პეტროლეუმი (ს.კ. 202352514) - შპს</t>
  </si>
  <si>
    <t>10 Units Mitsubishi Split Conditioner</t>
  </si>
  <si>
    <t>202352514/44372/1.2.1./1</t>
  </si>
  <si>
    <t>25DE0BBA-BB92-433B-9EF1-8A99D709779B</t>
  </si>
  <si>
    <t>10 Units Mitsubishi Split Conditioner | 1.2.1. (+) შემოსავალი MEP დანადგარების რეალიზაციიდან | სოკარ ჯორჯია პეტროლეუმი (ს.კ. 202352514) - შპს</t>
  </si>
  <si>
    <t>8EAF0D8D-92BE-4709-B21A-592D4F372042</t>
  </si>
  <si>
    <t>10 Units Mitsubishi Split Conditioner | 1.2.1. | სოკარ ჯორჯია პეტროლეუმი  | 13,800.00 GEL | 25.06.2021</t>
  </si>
  <si>
    <t>ანა თალაკვაძე (ს.კ. 01001003747) - ფიზ. პირი</t>
  </si>
  <si>
    <t>Talakvadze - Mitsubishi Split Conditioner</t>
  </si>
  <si>
    <t>01001003747/44375/1.2.1./1</t>
  </si>
  <si>
    <t>F1BF095E-8231-4CE2-896C-292CD8300A73</t>
  </si>
  <si>
    <t>Talakvadze - Mitsubishi Split Conditioner | 1.2.1. (+) შემოსავალი MEP დანადგარების რეალიზაციიდან | ანა თალაკვაძე (ს.კ. 01001003747) - ფიზ. პირი</t>
  </si>
  <si>
    <t>0DD68E80-3361-4FB3-9275-31E828438ADC</t>
  </si>
  <si>
    <t>Talakvadze - Mitsubishi Split Conditioner | 1.2.1. | ანა თალაკვაძე  | 3,590.00 GEL | 28.06.2021</t>
  </si>
  <si>
    <t>რუსუდან ბრაგვაძე (ს.კ. 01024067897) - ფიზ. პირი</t>
  </si>
  <si>
    <t>Bragvadze - Mitsubishi Split Conditioner</t>
  </si>
  <si>
    <t>01024067897/44378/1.2.1./1</t>
  </si>
  <si>
    <t>B4CE2B7E-624E-4F3B-9471-0B062C85E8F8</t>
  </si>
  <si>
    <t>Bragvadze - Mitsubishi Split Conditioner | 1.2.1. (+) შემოსავალი MEP დანადგარების რეალიზაციიდან | რუსუდან ბრაგვაძე (ს.კ. 01024067897) - ფიზ. პირი</t>
  </si>
  <si>
    <t>27BE7E23-FFE5-4CD0-B081-F330DBB2EDBF</t>
  </si>
  <si>
    <t>Bragvadze - Mitsubishi Split Conditioner | 1.2.1. | რუსუდან ბრაგვაძე  | 1,860.00 GEL | 01.07.2021</t>
  </si>
  <si>
    <t>ონისე იოსელიანი (ს.კ. 01009020969) - ფიზ. პირი</t>
  </si>
  <si>
    <t>Ioseliani - Mitsubishi Split Conditioner</t>
  </si>
  <si>
    <t>01009020969/44378/1.2.1./1</t>
  </si>
  <si>
    <t>F3E5ACC9-4FD1-4256-BED3-5A4B95F48BD1</t>
  </si>
  <si>
    <t>Ioseliani - Mitsubishi Split Conditioner | 1.2.1. (+) შემოსავალი MEP დანადგარების რეალიზაციიდან | ონისე იოსელიანი (ს.კ. 01009020969) - ფიზ. პირი</t>
  </si>
  <si>
    <t>150EE4A2-4E30-43C4-B94F-3DA3A283FD5B</t>
  </si>
  <si>
    <t>Ioseliani - Mitsubishi Split Conditioner | 1.2.1. | ონისე იოსელიანი  | 3,000.00 GEL | 01.07.2021</t>
  </si>
  <si>
    <t>დავით მაჭავარიანი (ს.კ. 01031006443) - ფიზ. პირი</t>
  </si>
  <si>
    <t>Machavariani - 3 Units Mitsubishi Split Conditioner</t>
  </si>
  <si>
    <t>01031006443/44379/1.2.1./1</t>
  </si>
  <si>
    <t>FE67AE9A-A8DD-4AC1-9804-5B2EB570F00B</t>
  </si>
  <si>
    <t>Machavariani - 3 Units Mitsubishi Split Conditioner | 1.2.1. (+) შემოსავალი MEP დანადგარების რეალიზაციიდან | დავით მაჭავარიანი (ს.კ. 01031006443) - ფიზ. პირი</t>
  </si>
  <si>
    <t>8832AAFF-F2AE-44E8-876A-E1B1B305B48C</t>
  </si>
  <si>
    <t>Machavariani - 3 Units Mitsubishi Split Conditioner | 1.2.1. | დავით მაჭავარიანი  | 4,690.00 GEL | 02.07.2021</t>
  </si>
  <si>
    <t>Green life - 2 Units Mitsubishi Split Conditioner</t>
  </si>
  <si>
    <t>1 6 30 1580 1</t>
  </si>
  <si>
    <t>404477730/44379/1.2.1./1</t>
  </si>
  <si>
    <t>2BA776E5-9B1A-453D-9B11-10AA2601C462</t>
  </si>
  <si>
    <t>Green life - 2 Units Mitsubishi Split Conditioner | 1.2.1. (+) შემოსავალი MEP დანადგარების რეალიზაციიდან | გრინ ლაიფ (ს.კ. 404477730) - შპს</t>
  </si>
  <si>
    <t>Green life - 2 Units Mitsubishi Split Conditioner | 1.2.1. | გრინ ლაიფ  | 3,720.00 GEL | 02.07.2021</t>
  </si>
  <si>
    <t>ირაკლი თავართქილაძე (ს.კ. 61001014004) - ფიზ. პირი</t>
  </si>
  <si>
    <t>Tavartkiladze - Mitsubishi Split Conditioner</t>
  </si>
  <si>
    <t>61001014004/44383/1.2.1./1</t>
  </si>
  <si>
    <t>0477E04F-A631-4E98-A274-BD38F2269178</t>
  </si>
  <si>
    <t>Tavartkiladze - Mitsubishi Split Conditioner | 1.2.1. (+) შემოსავალი MEP დანადგარების რეალიზაციიდან | ირაკლი თავართქილაძე (ს.კ. 61001014004) - ფიზ. პირი</t>
  </si>
  <si>
    <t>D4783163-8E1D-47D8-B183-54109C9F72EF</t>
  </si>
  <si>
    <t>Tavartkiladze - Mitsubishi Split Conditioner | 1.2.1. | ირაკლი თავართქილაძე  | 1,380.00 GEL | 06.07.2021</t>
  </si>
  <si>
    <t>ვენჯორჯია (ს.კ. 404885335) - შპს</t>
  </si>
  <si>
    <t>Wendys Compressors</t>
  </si>
  <si>
    <t>1 6 31 225</t>
  </si>
  <si>
    <t>404885335/44386/1.2.1./1</t>
  </si>
  <si>
    <t>1C4D425B-1862-4B65-9A50-F0827C6BBDB2</t>
  </si>
  <si>
    <t>Wendys Compressors | 1.2.1. (+) შემოსავალი MEP დანადგარების რეალიზაციიდან | ვენჯორჯია (ს.კ. 404885335) - შპს</t>
  </si>
  <si>
    <t>1B684003-1740-451A-A1EC-48E5DB8B05D7</t>
  </si>
  <si>
    <t>Wendys Compressors | 1.2.1. | ვენჯორჯია  | 6,505.00 USD | 09.07.2021</t>
  </si>
  <si>
    <t>მაქრო ტურიზმ (ს.კ. 404492759) - შპს</t>
  </si>
  <si>
    <t>IBIS ORTACHALA MEP + VRF Washing</t>
  </si>
  <si>
    <t>404492759/44385/1.2.1./1</t>
  </si>
  <si>
    <t>388D50BC-735A-4D45-A8E5-0CCCD4A0941A</t>
  </si>
  <si>
    <t>IBIS ORTACHALA MEP + VRF Washing | 1.2.1. (+) შემოსავალი MEP დანადგარების რეალიზაციიდან | მაქრო ტურიზმ (ს.კ. 404492759) - შპს</t>
  </si>
  <si>
    <t>48FE0F65-3537-41CE-9A86-F1731BB59E25</t>
  </si>
  <si>
    <t>IBIS ORTACHALA MEP + VRF Washing | 1.2.1. | მაქრო ტურიზმ  | 7,575.00 USD | 08.07.2021</t>
  </si>
  <si>
    <t>Tbilisi Central MHI Compressor</t>
  </si>
  <si>
    <t>1 6 30 1371</t>
  </si>
  <si>
    <t>205129653/44389/1.2.1./1</t>
  </si>
  <si>
    <t>B4D90CA1-AB04-40A7-93BE-F9B4F171032D</t>
  </si>
  <si>
    <t>Tbilisi Central MHI Compressor | 1.2.1. (+) შემოსავალი MEP დანადგარების რეალიზაციიდან | თბილისი ცენტრალი (ს.კ. 205129653) - სს</t>
  </si>
  <si>
    <t>Tbilisi Central MHI Compressor | 1.2.1. | თბილისი ცენტრალი  | 5,920.00 USD | 12.07.2021</t>
  </si>
  <si>
    <t>აისბერგი 2 (ს.კ. 215127725) - შპს</t>
  </si>
  <si>
    <t>ICEBERG</t>
  </si>
  <si>
    <t>1 6 30 1599</t>
  </si>
  <si>
    <t>215127725/44317/1.1.1./1</t>
  </si>
  <si>
    <t>EE11BA1E-7E0C-45E3-BD16-704D5062A778</t>
  </si>
  <si>
    <t>ICEBERG | 1.1.1. (+) შემოსავალი ლიფტების რეალიზაციიდან | აისბერგი 2 (ს.კ. 215127725) - შპს</t>
  </si>
  <si>
    <t>94A66A38-9C06-4CF8-BD70-E15F7054355C</t>
  </si>
  <si>
    <t>ICEBERG | 1.1.1. | აისბერგი 2  | 31,500.00 GEL | 01.05.2021</t>
  </si>
  <si>
    <t>ეიჩ გრუპ კონსტრაქშენ (ს.კ. 445510411) - შპს</t>
  </si>
  <si>
    <t>7th Heaven Mockup 2</t>
  </si>
  <si>
    <t>445510411/44348/1.2.1./1</t>
  </si>
  <si>
    <t>00E49759-7F95-4756-93D9-AFBBC1721877</t>
  </si>
  <si>
    <t>7th Heaven Mockup 2 | 1.2.1. (+) შემოსავალი MEP დანადგარების რეალიზაციიდან | ეიჩ გრუპ კონსტრაქშენ (ს.კ. 445510411) - შპს</t>
  </si>
  <si>
    <t>FD75B701-F0B0-4EFD-934E-9BC3480483AE</t>
  </si>
  <si>
    <t>7th Heaven Mockup 2 | 1.2.1. | ეიჩ გრუპ კონსტრაქშენ  | 0.00 GEL | 01.06.2021</t>
  </si>
  <si>
    <t>Inverter Board and Buttons</t>
  </si>
  <si>
    <t>405133822/44329/1.1.3./1</t>
  </si>
  <si>
    <t>FD995793-412F-44A2-828A-97643944E79E</t>
  </si>
  <si>
    <t>Inverter Board and Buttons | 1.1.3. (+) შემოსავალი ლიფტების სერვისიდან - არაგეგმიური | იუნიქს ქონსთრაქშენ კომპანი (ს.კ. 405133822) - შპს</t>
  </si>
  <si>
    <t>Inverter Board and Buttons | 1.1.3. | იუნიქს ქონსთრაქშენ კომპანი  | 1,150.00 USD | 13.05.2021</t>
  </si>
  <si>
    <t>Mziuri Office</t>
  </si>
  <si>
    <t>1 6 30 1132 5</t>
  </si>
  <si>
    <t>245416401/44392/1.1.1./1</t>
  </si>
  <si>
    <t>68E60BFC-794B-4930-8623-83A6EAEC4EEB</t>
  </si>
  <si>
    <t>Mziuri Office | 1.1.1. (+) შემოსავალი ლიფტების რეალიზაციიდან | ანაგი (ს.კ. 245416401) - შპს</t>
  </si>
  <si>
    <t>Mziuri Office | 1.1.1. | ანაგი  | 62,500.00 USD | 15.07.2021</t>
  </si>
  <si>
    <t>მზიური რეზორტ (ს.კ. 404462256) - შპს</t>
  </si>
  <si>
    <t>Mziuri Garden</t>
  </si>
  <si>
    <t>1 6 30 1703</t>
  </si>
  <si>
    <t>404462256/44398/1.1.1./1</t>
  </si>
  <si>
    <t>72A4E017-677E-4C04-8946-3A941DA81F07</t>
  </si>
  <si>
    <t>Mziuri Garden | 1.1.1. (+) შემოსავალი ლიფტების რეალიზაციიდან | მზიური რეზორტ (ს.კ. 404462256) - შპს</t>
  </si>
  <si>
    <t>933470D5-D1F0-4CB0-8738-317256F1B307</t>
  </si>
  <si>
    <t>Mziuri Garden | 1.1.1. | მზიური რეზორტ  | 664,800.00 USD | 21.07.2021</t>
  </si>
  <si>
    <t>Tbilisi Central Conditioners system</t>
  </si>
  <si>
    <t>205129653/44413/1.2.1./1</t>
  </si>
  <si>
    <t>EB0EFE21-F26B-4E3C-A378-8C460BEC7D38</t>
  </si>
  <si>
    <t>Tbilisi Central Conditioners system | 1.2.1. (+) შემოსავალი MEP დანადგარების რეალიზაციიდან | თბილისი ცენტრალი (ს.კ. 205129653) - სს</t>
  </si>
  <si>
    <t>Tbilisi Central Conditioners system | 1.2.1. | თბილისი ცენტრალი  | 34,060.00 USD | 05.08.2021</t>
  </si>
  <si>
    <t>გრინ დეველოპმენტი (ს.კ. 204452412) - შპს</t>
  </si>
  <si>
    <t>Lisi Green</t>
  </si>
  <si>
    <t>1 6 30 1697</t>
  </si>
  <si>
    <t>204452412/44414/1.1.1./1</t>
  </si>
  <si>
    <t>05075E08-C469-4344-970E-4AF1BE573411</t>
  </si>
  <si>
    <t>Lisi Green | 1.1.1. (+) შემოსავალი ლიფტების რეალიზაციიდან | გრინ დეველოპმენტი (ს.კ. 204452412) - შპს</t>
  </si>
  <si>
    <t>25CDD3DB-B92D-4066-8363-867726289059</t>
  </si>
  <si>
    <t>Lisi Green | 1.1.1. | გრინ დეველოპმენტი  | 55,690.00 USD | 06.08.2021</t>
  </si>
  <si>
    <t>ჯი თი ჯი კაპიტალი (ს.კ. 405307350) - შპს</t>
  </si>
  <si>
    <t>Disabled Platform</t>
  </si>
  <si>
    <t>1 6 30 1617</t>
  </si>
  <si>
    <t>405307350/44326/1.1.1./1</t>
  </si>
  <si>
    <t>46E338E4-B5D7-4F56-8DAF-10D23A299F44</t>
  </si>
  <si>
    <t>Disabled Platform | 1.1.1. (+) შემოსავალი ლიფტების რეალიზაციიდან | ჯი თი ჯი კაპიტალი (ს.კ. 405307350) - შპს</t>
  </si>
  <si>
    <t>1018E99A-DFDB-452F-BF44-0F3B42213AA9</t>
  </si>
  <si>
    <t>Disabled Platform | 1.1.1. | ჯი თი ჯი კაპიტალი  | 11,800.00 USD | 10.05.2021</t>
  </si>
  <si>
    <t>Carrier AC</t>
  </si>
  <si>
    <t>204976179/44420/1.2.1./1</t>
  </si>
  <si>
    <t>FBF5D449-C6D6-4821-99A4-5050C11AE20B</t>
  </si>
  <si>
    <t>Carrier AC | 1.2.1. (+) შემოსავალი MEP დანადგარების რეალიზაციიდან | თბილი სახლი (ს.კ. 204976179) - შპს</t>
  </si>
  <si>
    <t>Carrier AC | 1.2.1. | თბილი სახლი  | 7,600.00 USD | 12.08.2021</t>
  </si>
  <si>
    <t>Akhaltsikhe Compressor</t>
  </si>
  <si>
    <t>204976179/44230/1.2.1./1</t>
  </si>
  <si>
    <t>DD87F96F-2DDE-46CD-8140-86CA6D815A40</t>
  </si>
  <si>
    <t>Akhaltsikhe Compressor | 1.2.1. (+) შემოსავალი MEP დანადგარების რეალიზაციიდან | თბილი სახლი (ს.კ. 204976179) - შპს</t>
  </si>
  <si>
    <t>Akhaltsikhe Compressor | 1.2.1. | თბილი სახლი  | 3,100.00 USD | 03.02.2021</t>
  </si>
  <si>
    <t>პენსილვანიის (აშშ) საგუშაგო კოშკის, ბიბლიისა და
ტრაქტატების საზოგადოების ფილიალი საქართველოში (ს.კ. 206093494) - უცხოური არასამეწარმეო იურიდიული პირის ფილიალი</t>
  </si>
  <si>
    <t>Toshiba Outdoor Unit</t>
  </si>
  <si>
    <t>206093494/44434/1.2.1./1</t>
  </si>
  <si>
    <t>6E0930C6-BD7B-47D3-8C6D-2C31634A01E6</t>
  </si>
  <si>
    <t>Toshiba Outdoor Unit | 1.2.1. (+) შემოსავალი MEP დანადგარების რეალიზაციიდან | პენსილვანიის (აშშ) საგუშაგო კოშკის, ბიბლიისა და
ტრაქტატების საზოგადოების ფილიალი საქართველოში (ს.კ. 206093494) - უცხოური არასამეწარმეო იურიდიული პირის ფილიალი</t>
  </si>
  <si>
    <t>046B5A1C-4C60-4272-A65C-20FC658BEFEC</t>
  </si>
  <si>
    <t>Toshiba Outdoor Unit | 1.2.1. | პენსილვანიის (აშშ) საგუშაგო კოშკის, ბიბლიისა და
ტრაქტატების საზოგადოების ფილიალი საქართველოში  | 320.00 USD | 26.08.2021</t>
  </si>
  <si>
    <t>ეკატერინა ბერდიშევა (ს.კ. 762917460) - ფიზ. პირი</t>
  </si>
  <si>
    <t>Hilton 1703</t>
  </si>
  <si>
    <t>762917460/44424/1.2.1./1</t>
  </si>
  <si>
    <t>A0F5E8C8-F574-497B-8136-430475789711</t>
  </si>
  <si>
    <t>Hilton 1703 | 1.2.1. (+) შემოსავალი MEP დანადგარების რეალიზაციიდან | ეკატერინა ბერდიშევა (ს.კ. 762917460) - ფიზ. პირი</t>
  </si>
  <si>
    <t>4D14C355-EC7F-4B2D-A2C7-CE79B3AEAD88</t>
  </si>
  <si>
    <t>Hilton 1703 | 1.2.1. | ეკატერინა ბერდიშევა  | 2,675.00 USD | 16.08.2021</t>
  </si>
  <si>
    <t>Gogotishvili kaklebi</t>
  </si>
  <si>
    <t>204976179/44427/1.2.1./1</t>
  </si>
  <si>
    <t>7F14CD1F-83C7-47D4-A33E-ED0751BF2CB8</t>
  </si>
  <si>
    <t>Gogotishvili kaklebi | 1.2.1. (+) შემოსავალი MEP დანადგარების რეალიზაციიდან | თბილი სახლი (ს.კ. 204976179) - შპს</t>
  </si>
  <si>
    <t>Gogotishvili kaklebi | 1.2.1. | თბილი სახლი  | 8,805.00 USD | 19.08.2021</t>
  </si>
  <si>
    <t>SIGRAM (ს.კ. ICE001752) - უცხოური საწარმო</t>
  </si>
  <si>
    <t>Armenia Project</t>
  </si>
  <si>
    <t>ICE001752/44383/1.2.1./1</t>
  </si>
  <si>
    <t>B9DA0AD3-690A-4CA3-8981-98AFCBCC6791</t>
  </si>
  <si>
    <t>Armenia Project | 1.2.1. (+) შემოსავალი MEP დანადგარების რეალიზაციიდან | SIGRAM (ს.კ. ICE001752) - უცხოური საწარმო</t>
  </si>
  <si>
    <t>719CFA1F-8A29-4D35-BF48-504F010EA546</t>
  </si>
  <si>
    <t>Armenia Project | 1.2.1. | SIGRAM  | 4,681.00 USD | 06.07.2021</t>
  </si>
  <si>
    <t>სუპრემე სოლუთიონს (ს.კ. 445587320) - შპს</t>
  </si>
  <si>
    <t>Supreme Solutions</t>
  </si>
  <si>
    <t>445587320/44467/1.2.1./1</t>
  </si>
  <si>
    <t>E33988DD-3F3B-4397-B736-73C95D7557AE</t>
  </si>
  <si>
    <t>Supreme Solutions | 1.2.1. (+) შემოსავალი MEP დანადგარების რეალიზაციიდან | სუპრემე სოლუთიონს (ს.კ. 445587320) - შპს</t>
  </si>
  <si>
    <t>5E3E7CDB-6C59-424F-BE60-1115A70E3B8E</t>
  </si>
  <si>
    <t>Supreme Solutions | 1.2.1. | სუპრემე სოლუთიონს  | 2,975.00 USD | 28.09.2021</t>
  </si>
  <si>
    <t>HOTEL IBIS VRV Service</t>
  </si>
  <si>
    <t>1 6 31 1655</t>
  </si>
  <si>
    <t>404492759/44400/1.2.3./1</t>
  </si>
  <si>
    <t>A5B0D7A8-41BF-419C-BEFF-6C24D5E3B233</t>
  </si>
  <si>
    <t>HOTEL IBIS VRV Service | 1.2.3. (+) შემოსავალი MEP დანადგარების სერვისიდან - არაგეგმიური | მაქრო ტურიზმ (ს.კ. 404492759) - შპს</t>
  </si>
  <si>
    <t>HOTEL IBIS VRV Service | 1.2.3. | მაქრო ტურიზმ  | 2,650.00 USD | 23.07.2021</t>
  </si>
  <si>
    <t>Makhata</t>
  </si>
  <si>
    <t>1 6 30 1132 6</t>
  </si>
  <si>
    <t>245416401/44474/1.1.1./1</t>
  </si>
  <si>
    <t>F3E662E0-2276-4959-AEF7-FAA08D2B5257</t>
  </si>
  <si>
    <t>Makhata | 1.1.1. (+) შემოსავალი ლიფტების რეალიზაციიდან | ანაგი (ს.კ. 245416401) - შპს</t>
  </si>
  <si>
    <t>Makhata | 1.1.1. | ანაგი  | 1,158,300.00 USD | 05.10.2021</t>
  </si>
  <si>
    <t>ბიელსი (ს.კ. 404507182) - შპს</t>
  </si>
  <si>
    <t>BLC VRF</t>
  </si>
  <si>
    <t>1 6 30 1707</t>
  </si>
  <si>
    <t>404507182/44428/1.2.1./1</t>
  </si>
  <si>
    <t>4932E4A3-203D-47F8-9146-F2227B6DD2BB</t>
  </si>
  <si>
    <t>BLC VRF | 1.2.1. (+) შემოსავალი MEP დანადგარების რეალიზაციიდან | ბიელსი (ს.კ. 404507182) - შპს</t>
  </si>
  <si>
    <t>659DF8DF-26D9-41A4-81E1-287946E368FA</t>
  </si>
  <si>
    <t>BLC VRF | 1.2.1. | ბიელსი  | 6,890.00 USD | 20.08.2021</t>
  </si>
  <si>
    <t>ემ ელ სი ლოჯისტიკს (ს.კ. 405380181) - შპს</t>
  </si>
  <si>
    <t>Jgenti Warehouse</t>
  </si>
  <si>
    <t>1 6 30 1720</t>
  </si>
  <si>
    <t>405380181/44466/1.1.1./1</t>
  </si>
  <si>
    <t>F8FE7D90-F5DA-49F4-9668-66C44E339AB9</t>
  </si>
  <si>
    <t>Jgenti Warehouse | 1.1.1. (+) შემოსავალი ლიფტების რეალიზაციიდან | ემ ელ სი ლოჯისტიკს (ს.კ. 405380181) - შპს</t>
  </si>
  <si>
    <t>14F0723B-2DFE-490E-80A0-15A1B4545C49</t>
  </si>
  <si>
    <t>Jgenti Warehouse | 1.1.1. | ემ ელ სი ლოჯისტიკს  | 29,850.00 USD | 27.09.2021</t>
  </si>
  <si>
    <t>გიდანი (ს.კ. 205259780) - შპს</t>
  </si>
  <si>
    <t>Vake Apartment</t>
  </si>
  <si>
    <t>1 6 30 1732</t>
  </si>
  <si>
    <t>205259780/44470/1.2.1./1</t>
  </si>
  <si>
    <t>3455D38B-7359-49D2-8DA9-D57E251D22BC</t>
  </si>
  <si>
    <t>Vake Apartment | 1.2.1. (+) შემოსავალი MEP დანადგარების რეალიზაციიდან | გიდანი (ს.კ. 205259780) - შპს</t>
  </si>
  <si>
    <t>C150916F-F6F1-4AAB-ADBF-39138A6288BA</t>
  </si>
  <si>
    <t>Vake Apartment | 1.2.1. | გიდანი  | 13,930.00 USD | 01.10.2021</t>
  </si>
  <si>
    <t>ანტონ ვორონინი (ს.კ. 03187803411) - ფიზ. პირი</t>
  </si>
  <si>
    <t xml:space="preserve">Anton Voronin -HILTON BATUMI </t>
  </si>
  <si>
    <t>03187803411/44484/1.2.1./1</t>
  </si>
  <si>
    <t>C33BDAEB-0F9D-45DA-8F8A-D080739C67CA</t>
  </si>
  <si>
    <t>Anton Voronin -HILTON BATUMI  | 1.2.1. (+) შემოსავალი MEP დანადგარების რეალიზაციიდან | ანტონ ვორონინი (ს.კ. 03187803411) - ფიზ. პირი</t>
  </si>
  <si>
    <t>BE85F113-ED2E-49E3-82F1-CFA5A146ACFA</t>
  </si>
  <si>
    <t>Anton Voronin -HILTON BATUMI  | 1.2.1. | ანტონ ვორონინი  | 3,505.00 USD | 15.10.2021</t>
  </si>
  <si>
    <t>აჭარის პროექტების მართვის კომპანია (ს.კ. 445409415) - შპს</t>
  </si>
  <si>
    <t>1 6 31 1739</t>
  </si>
  <si>
    <t>445409415/44476/1.1.2./1</t>
  </si>
  <si>
    <t>48BDFDAC-9334-451B-99C2-00839670B7C6</t>
  </si>
  <si>
    <t>Batumi Stadium | 1.1.2. (+) შემოსავალი ლიფტების სერვისიდან - გეგმიური | აჭარის პროექტების მართვის კომპანია (ს.კ. 445409415) - შპს</t>
  </si>
  <si>
    <t>9CC4F811-3CFB-458A-B444-2C67195A5178</t>
  </si>
  <si>
    <t>Batumi Stadium | 1.1.2. | აჭარის პროექტების მართვის კომპანია  | 43,200.00 GEL | 07.10.2021</t>
  </si>
  <si>
    <t>მშვილდოსანი (ს.კ. 404385401) - შპს</t>
  </si>
  <si>
    <t>Mshvildosani - Mitsubishi Conditioner</t>
  </si>
  <si>
    <t>404385401/44511/1.2.1./1</t>
  </si>
  <si>
    <t>BDC6A343-35DF-4438-B271-A93AA6CB9752</t>
  </si>
  <si>
    <t>Mshvildosani - Mitsubishi Conditioner | 1.2.1. (+) შემოსავალი MEP დანადგარების რეალიზაციიდან | მშვილდოსანი (ს.კ. 404385401) - შპს</t>
  </si>
  <si>
    <t>C0FA4151-5E85-487D-96C5-68E4CE197C87</t>
  </si>
  <si>
    <t>Mshvildosani - Mitsubishi Conditioner | 1.2.1. | მშვილდოსანი  | 1,870.00 GEL | 11.11.2021</t>
  </si>
  <si>
    <t>ნინო სირბილაძე (ს.კ. 01008033246) - ფიზ. პირი</t>
  </si>
  <si>
    <t>Shartava 39</t>
  </si>
  <si>
    <t>1 6 31 1626</t>
  </si>
  <si>
    <t>01008033246/44317/1.1.2./1</t>
  </si>
  <si>
    <t>150F2BB6-D108-42DA-B719-736A38723D4D</t>
  </si>
  <si>
    <t>Shartava 39 | 1.1.2. (+) შემოსავალი ლიფტების სერვისიდან - გეგმიური | ნინო სირბილაძე (ს.კ. 01008033246) - ფიზ. პირი</t>
  </si>
  <si>
    <t>079E40C8-D88D-476C-BDEF-D2EBF2E4E276</t>
  </si>
  <si>
    <t>Shartava 39 | 1.1.2. | ნინო სირბილაძე  | 450.00 GEL | 01.05.2021</t>
  </si>
  <si>
    <t>Kitchen Fan</t>
  </si>
  <si>
    <t>239402491/44529/1.2.1./1</t>
  </si>
  <si>
    <t>3D5D929F-3463-45E5-9F02-79F8C75DB4C4</t>
  </si>
  <si>
    <t>Kitchen Fan | 1.2.1. (+) შემოსავალი MEP დანადგარების რეალიზაციიდან | ასოციაცია ატუ (ს.კ. 239402491) - არასამეწარმეო (არაკომერციული) იურიდიული პირი</t>
  </si>
  <si>
    <t>Kitchen Fan | 1.2.1. | ასოციაცია ატუ  | 22,250.00 EUR | 29.11.2021</t>
  </si>
  <si>
    <t>ტიგრან ხაჩატრიან (ს.კ. 65130000512) - ფიზ. პირი</t>
  </si>
  <si>
    <t>Khachatrian - Mitsubishi Split Conditioner</t>
  </si>
  <si>
    <t>1 6 30 1751</t>
  </si>
  <si>
    <t>65130000512/44536/1.2.1./1</t>
  </si>
  <si>
    <t>4799E7CE-CC53-4FAF-B671-8E593922F7CD</t>
  </si>
  <si>
    <t>Khachatrian - Mitsubishi Split Conditioner | 1.2.1. (+) შემოსავალი MEP დანადგარების რეალიზაციიდან | ტიგრან ხაჩატრიან (ს.კ. 65130000512) - ფიზ. პირი</t>
  </si>
  <si>
    <t>842A48FE-651B-4120-9F5E-F00AF55C0692</t>
  </si>
  <si>
    <t>Khachatrian - Mitsubishi Split Conditioner | 1.2.1. | ტიგრან ხაჩატრიან  | 6,600.00 GEL | 06.12.2021</t>
  </si>
  <si>
    <t>Fans and Dumper</t>
  </si>
  <si>
    <t>418476893/44531/1.2.1./1</t>
  </si>
  <si>
    <t>FA3D0A89-18D5-47BB-8E21-ACD82DCED4FD</t>
  </si>
  <si>
    <t>Fans and Dumper | 1.2.1. (+) შემოსავალი MEP დანადგარების რეალიზაციიდან | ლენოქსი (ს.კ. 418476893) - შპს</t>
  </si>
  <si>
    <t>Fans and Dumper | 1.2.1. | ლენოქსი  | 9,500.00 USD | 01.12.2021</t>
  </si>
  <si>
    <t>პრემიუმ ჯგუფი (ს.კ. 445522907) - შპს</t>
  </si>
  <si>
    <t>Premium Group</t>
  </si>
  <si>
    <t>445522907/44554/1.1.1./1</t>
  </si>
  <si>
    <t>CA21A428-93AA-4FDF-980E-486EC36530FC</t>
  </si>
  <si>
    <t>Premium Group | 1.1.1. (+) შემოსავალი ლიფტების რეალიზაციიდან | პრემიუმ ჯგუფი (ს.კ. 445522907) - შპს</t>
  </si>
  <si>
    <t>C1B734D0-6642-4B4C-AD22-ABF60C8F299C</t>
  </si>
  <si>
    <t>Premium Group | 1.1.1. | პრემიუმ ჯგუფი  | 400,000.00 USD | 24.12.2021</t>
  </si>
  <si>
    <t>ჰავანა (ს.კ. 405022817) - შპს</t>
  </si>
  <si>
    <t>HAVANA CLUB KIFSHIDZE</t>
  </si>
  <si>
    <t>405022817/44571/1.2.3./1</t>
  </si>
  <si>
    <t>B669FD06-8B10-470B-BE04-D96A1E457018</t>
  </si>
  <si>
    <t>HAVANA CLUB KIFSHIDZE | 1.2.3. (+) შემოსავალი MEP დანადგარების სერვისიდან - არაგეგმიური | ჰავანა (ს.კ. 405022817) - შპს</t>
  </si>
  <si>
    <t>AFCD9F23-05C7-4391-B0B8-DCFA0C2F7F05</t>
  </si>
  <si>
    <t>HAVANA CLUB KIFSHIDZE | 1.2.3. | ჰავანა  | 3,000.00 GEL | 10.01.2022</t>
  </si>
  <si>
    <t>Sea Tower</t>
  </si>
  <si>
    <t>245621849/44293/1.1.1./1</t>
  </si>
  <si>
    <t>FDCA881B-9BEC-41C6-80D0-19AC10CDCC8D</t>
  </si>
  <si>
    <t>Sea Tower | 1.1.1. (+) შემოსავალი ლიფტების რეალიზაციიდან | ორბი ჯგუფი (ს.კ. 245621849) - შპს</t>
  </si>
  <si>
    <t>Sea Tower | 1.1.1. | ორბი ჯგუფი  | 429,922.00 USD | 07.04.2021</t>
  </si>
  <si>
    <t>მაია მესხი (ს.კ. 01024009520) - ფიზ. პირი</t>
  </si>
  <si>
    <t>MESKHI - 4 Units Mitsubishi Conditioner</t>
  </si>
  <si>
    <t>01024009520/44585/1.2.1./1</t>
  </si>
  <si>
    <t>50B022E8-0E8D-406F-A6CA-C79BEF92A6C7</t>
  </si>
  <si>
    <t>MESKHI - 4 Units Mitsubishi Conditioner | 1.2.1. (+) შემოსავალი MEP დანადგარების რეალიზაციიდან | მაია მესხი (ს.კ. 01024009520) - ფიზ. პირი</t>
  </si>
  <si>
    <t>A2A92AE7-925E-47DE-A372-1EB823A2A6D7</t>
  </si>
  <si>
    <t>MESKHI - 4 Units Mitsubishi Conditioner | 1.2.1. | მაია მესხი  | 9,000.00 GEL | 24.01.2022</t>
  </si>
  <si>
    <t>SARJVELADZE - Multisplit</t>
  </si>
  <si>
    <t>61001018248/44357/1.2.1./1</t>
  </si>
  <si>
    <t>ABFCDA07-6250-4B68-AFFB-B896A63BE1B6</t>
  </si>
  <si>
    <t>SARJVELADZE - Multisplit | 1.2.1. (+) შემოსავალი MEP დანადგარების რეალიზაციიდან | თენგიზ სარჯველაძე (ს.კ. 61001018248) - ფიზ. პირი</t>
  </si>
  <si>
    <t>SARJVELADZE - Multisplit | 1.2.1. | თენგიზ სარჯველაძე  | 5,352.00 USD | 10.06.2021</t>
  </si>
  <si>
    <t>ბმა ქ. ბათუმი, ნინოშვილის N23ა (ს.კ. ICE001801) - ამხანაგობა</t>
  </si>
  <si>
    <t>Batumi, Ninoshvilis 23</t>
  </si>
  <si>
    <t>ICE001801/44562/1.1.2./1</t>
  </si>
  <si>
    <t>341D1EA2-1897-42FA-B1C6-AF74C2B745F7</t>
  </si>
  <si>
    <t>Batumi, Ninoshvilis 23 | 1.1.2. (+) შემოსავალი ლიფტების სერვისიდან - გეგმიური | ბმა ქ. ბათუმი, ნინოშვილის N23ა (ს.კ. ICE001801) - ამხანაგობა</t>
  </si>
  <si>
    <t>C1FE4361-F19C-4AAD-9122-7023B52DA711</t>
  </si>
  <si>
    <t>Batumi, Ninoshvilis 23 | 1.1.2. | ბმა ქ. ბათუმი, ნინოშვილის N23ა  | 200.00 USD | 01.01.2022</t>
  </si>
  <si>
    <t>კაპიტალ გრუპი (ს.კ. 405296255) - შპს</t>
  </si>
  <si>
    <t>SAKCABELI</t>
  </si>
  <si>
    <t>1 6 30 1847</t>
  </si>
  <si>
    <t>405296255/44614/1.2.1./1</t>
  </si>
  <si>
    <t>A19E9D26-09AD-4255-819B-9373E4343D2E</t>
  </si>
  <si>
    <t>SAKCABELI | 1.2.1. (+) შემოსავალი MEP დანადგარების რეალიზაციიდან | კაპიტალ გრუპი (ს.კ. 405296255) - შპს</t>
  </si>
  <si>
    <t>77AF1960-EC8C-4658-B33E-8D26E449F36A</t>
  </si>
  <si>
    <t>SAKCABELI | 1.2.1. | კაპიტალ გრუპი  | 60,000.00 USD | 22.02.2022</t>
  </si>
  <si>
    <t>ირაკლი ბუხიაშვილი (ს.კ. 01031007136) - ფიზ. პირი</t>
  </si>
  <si>
    <t>Lisi Villa MEP &amp; Smart house</t>
  </si>
  <si>
    <t>01031007136/44595/1.2.1./1</t>
  </si>
  <si>
    <t>A98AEB61-0717-49C6-8E93-F00DDBD6A8DC</t>
  </si>
  <si>
    <t>Lisi Villa MEP &amp; Smart house | 1.2.1. (+) შემოსავალი MEP დანადგარების რეალიზაციიდან | ირაკლი ბუხიაშვილი (ს.კ. 01031007136) - ფიზ. პირი</t>
  </si>
  <si>
    <t>EEF71586-275A-4382-B2B2-0CE0940A8FD6</t>
  </si>
  <si>
    <t>Lisi Villa MEP &amp; Smart house | 1.2.1. | ირაკლი ბუხიაშვილი  | 9,140.00 USD | 03.02.2022</t>
  </si>
  <si>
    <t>Galleria Tbilisi - Escalator Handrail rollers</t>
  </si>
  <si>
    <t>დახურული</t>
  </si>
  <si>
    <t>204558497/44523/1.1.3./1</t>
  </si>
  <si>
    <t>272DE8FC-2CD2-4C41-BEDE-30C53C15D314</t>
  </si>
  <si>
    <t>Galleria Tbilisi - Escalator Handrail rollers | 1.1.3. (+) შემოსავალი ლიფტების სერვისიდან - არაგეგმიური | გალერია თბილისი (ს.კ. 204558497) - შპს</t>
  </si>
  <si>
    <t>Galleria Tbilisi - Escalator Handrail rollers | 1.1.3. | გალერია თბილისი  | 660.00 USD | 23.11.2021</t>
  </si>
  <si>
    <t>Orbi City D2 block</t>
  </si>
  <si>
    <t>1 6 30 773 7</t>
  </si>
  <si>
    <t>445468798/44546/1.1.1./1</t>
  </si>
  <si>
    <t>A14A73A4-6449-4ED8-96BB-94AE30C5A311</t>
  </si>
  <si>
    <t>Orbi City D2 block | 1.1.1. (+) შემოსავალი ლიფტების რეალიზაციიდან | ორბი ჯგუფი ბათუმი (ს.კ. 445468798) - შპს</t>
  </si>
  <si>
    <t>Orbi City D2 block | 1.1.1. | ორბი ჯგუფი ბათუმი  | 1,161,507.00 USD | 16.12.2021</t>
  </si>
  <si>
    <t>Orbi city D1 block</t>
  </si>
  <si>
    <t>1 6 30 773 5</t>
  </si>
  <si>
    <t>445468798/44496/1.1.1./1</t>
  </si>
  <si>
    <t>07AEFB68-2673-4B70-A963-413918AF6741</t>
  </si>
  <si>
    <t>Orbi city D1 block | 1.1.1. (+) შემოსავალი ლიფტების რეალიზაციიდან | ორბი ჯგუფი ბათუმი (ს.კ. 445468798) - შპს</t>
  </si>
  <si>
    <t>Orbi city D1 block | 1.1.1. | ორბი ჯგუფი ბათუმი  | 1,161,507.82 USD | 16.08.2021</t>
  </si>
  <si>
    <t>Sea Tower Additional</t>
  </si>
  <si>
    <t>245621849/44581/1.1.1./1</t>
  </si>
  <si>
    <t>C2805E58-E921-469C-A01A-9E824ED82099</t>
  </si>
  <si>
    <t>Sea Tower Additional | 1.1.1. (+) შემოსავალი ლიფტების რეალიზაციიდან | ორბი ჯგუფი (ს.კ. 245621849) - შპს</t>
  </si>
  <si>
    <t>Sea Tower Additional | 1.1.1. | ორბი ჯგუფი  | 24,000.00 USD | 20.01.2022</t>
  </si>
  <si>
    <t>ოლეკსანდრ შიპოშა (ს.კ. 19891103-00237) - ფიზ. პირი</t>
  </si>
  <si>
    <t>Shyposha - Hilton Batumi  Apartment</t>
  </si>
  <si>
    <t>19891103-00237/44644/1.2.1./1</t>
  </si>
  <si>
    <t>2A5E8033-FAF4-4FFF-9566-79E0DAFF5DAC</t>
  </si>
  <si>
    <t>Shyposha - Hilton Batumi  Apartment | 1.2.1. (+) შემოსავალი MEP დანადგარების რეალიზაციიდან | ოლეკსანდრ შიპოშა (ს.კ. 19891103-00237) - ფიზ. პირი</t>
  </si>
  <si>
    <t>6CA0F547-5BC0-4947-824D-B84A8D012EE7</t>
  </si>
  <si>
    <t>Shyposha - Hilton Batumi  Apartment | 1.2.1. | ოლეკსანდრ შიპოშა  | 1,250.00 USD | 24.03.2022</t>
  </si>
  <si>
    <t/>
  </si>
  <si>
    <t>კლიმატ ინჟინერინგი (ს.კ. 405164584) - შპს</t>
  </si>
  <si>
    <t>Fan Motor</t>
  </si>
  <si>
    <t>405164584/44480/1.2.1./1</t>
  </si>
  <si>
    <t>D9C7317F-1A7E-41E4-A66E-C50365E0034B</t>
  </si>
  <si>
    <t>Fan Motor | 1.2.1. (+) შემოსავალი MEP დანადგარების რეალიზაციიდან | კლიმატ ინჟინერინგი (ს.კ. 405164584) - შპს</t>
  </si>
  <si>
    <t>934ACF0F-2594-4C3F-9AF0-B7472C14257A</t>
  </si>
  <si>
    <t>Fan Motor | 1.2.1. | კლიმატ ინჟინერინგი  | 870.00 USD | 11.10.2021</t>
  </si>
  <si>
    <t>გიორგი ლორთქიფანიძე (ს.კ. 01009002617) - ფიზ. პირი</t>
  </si>
  <si>
    <t>Lortkipanidze - Mitsubishi Conditioner</t>
  </si>
  <si>
    <t>01009002617/44645/1.2.1./1</t>
  </si>
  <si>
    <t>02CDC31F-D22B-4866-AFAE-513BA7A86530</t>
  </si>
  <si>
    <t>Lortkipanidze - Mitsubishi Conditioner | 1.2.1. (+) შემოსავალი MEP დანადგარების რეალიზაციიდან | გიორგი ლორთქიფანიძე (ს.კ. 01009002617) - ფიზ. პირი</t>
  </si>
  <si>
    <t>026E84AF-5543-4EA9-80AF-407FC0E41968</t>
  </si>
  <si>
    <t>Lortkipanidze - Mitsubishi Conditioner | 1.2.1. | გიორგი ლორთქიფანიძე  | 1,420.00 GEL | 25.03.2022</t>
  </si>
  <si>
    <t>ალიანსი თბილისი (ს.კ. 405144703) - შპს</t>
  </si>
  <si>
    <t>Alliance Highline</t>
  </si>
  <si>
    <t>405144703/44582/1.1.1./1</t>
  </si>
  <si>
    <t>DC975886-9BF9-42C8-AFBE-87695AA01262</t>
  </si>
  <si>
    <t>Alliance Highline | 1.1.1. (+) შემოსავალი ლიფტების რეალიზაციიდან | ალიანსი თბილისი (ს.კ. 405144703) - შპს</t>
  </si>
  <si>
    <t>73F7A185-024C-4137-BCF6-0AF1157D6600</t>
  </si>
  <si>
    <t>Alliance Highline | 1.1.1. | ალიანსი თბილისი  | 2,281,058.00 USD | 21.01.2022</t>
  </si>
  <si>
    <t>Kaklebi doors repears</t>
  </si>
  <si>
    <t>65002012107/44643/1.1.3./1</t>
  </si>
  <si>
    <t>A3CC070F-345E-4516-B64B-60DBC450A8EE</t>
  </si>
  <si>
    <t>Kaklebi doors repears | 1.1.3. (+) შემოსავალი ლიფტების სერვისიდან - არაგეგმიური | გოჩა ჩხაიძე (ს.კ. 65002012107) - ფიზ. პირი</t>
  </si>
  <si>
    <t>Kaklebi doors repears | 1.1.3. | გოჩა ჩხაიძე  | 501.00 USD | 23.03.2022</t>
  </si>
  <si>
    <t>იევგენ ოვეშნიაქოვ (ს.კ. 1982092803392) - ფიზ. პირი</t>
  </si>
  <si>
    <t>Iveshniakov - Conditioner</t>
  </si>
  <si>
    <t>1982092803392/44644/1.2.1./1</t>
  </si>
  <si>
    <t>411B72AF-F983-4A0D-8BBE-C8E1C5E1DA28</t>
  </si>
  <si>
    <t>Iveshniakov - Conditioner | 1.2.1. (+) შემოსავალი MEP დანადგარების რეალიზაციიდან | იევგენ ოვეშნიაქოვ (ს.კ. 1982092803392) - ფიზ. პირი</t>
  </si>
  <si>
    <t>2BE0B019-5123-46B7-AD88-7A56ACE72918</t>
  </si>
  <si>
    <t>Iveshniakov - Conditioner | 1.2.1. | იევგენ ოვეშნიაქოვ  | 4,750.00 GEL | 24.03.2022</t>
  </si>
  <si>
    <t>Supreme Solutions VRV</t>
  </si>
  <si>
    <t>445587320/44547/1.2.1./1</t>
  </si>
  <si>
    <t>E8B09C68-F084-4AC0-9095-D107A7A5B682</t>
  </si>
  <si>
    <t>Supreme Solutions VRV | 1.2.1. (+) შემოსავალი MEP დანადგარების რეალიზაციიდან | სუპრემე სოლუთიონს (ს.კ. 445587320) - შპს</t>
  </si>
  <si>
    <t>Supreme Solutions VRV | 1.2.1. | სუპრემე სოლუთიონს  | 1,895.00 USD | 17.12.2021</t>
  </si>
  <si>
    <t>ილია იაკობიძე (ს.კ. 01008053571) - ფიზ. პირი</t>
  </si>
  <si>
    <t>Iakobidze - Mitsubishi Conditioner</t>
  </si>
  <si>
    <t>01008053571/44665/1.2.1./1</t>
  </si>
  <si>
    <t>5872F0BB-AB6A-4A31-BD17-24A33D9981B4</t>
  </si>
  <si>
    <t>Iakobidze - Mitsubishi Conditioner | 1.2.1. (+) შემოსავალი MEP დანადგარების რეალიზაციიდან | ილია იაკობიძე (ს.კ. 01008053571) - ფიზ. პირი</t>
  </si>
  <si>
    <t>3F1EB616-2884-429C-81CE-FD771A90FE2E</t>
  </si>
  <si>
    <t>Iakobidze - Mitsubishi Conditioner | 1.2.1. | ილია იაკობიძე  | 7,600.00 GEL | 14.04.2022</t>
  </si>
  <si>
    <t>ბეჟან სამხარაძე (ს.კ. 01024029963) - ფიზ. პირი</t>
  </si>
  <si>
    <t>Samkharadze - 2 Units Mitsubishi Conditioner</t>
  </si>
  <si>
    <t>01024029963/44669/1.2.1./1</t>
  </si>
  <si>
    <t>DC29629E-9A02-4442-B53F-71350CFB5A8F</t>
  </si>
  <si>
    <t>Samkharadze - 2 Units Mitsubishi Conditioner | 1.2.1. (+) შემოსავალი MEP დანადგარების რეალიზაციიდან | ბეჟან სამხარაძე (ს.კ. 01024029963) - ფიზ. პირი</t>
  </si>
  <si>
    <t>CAF9F1A5-1957-489C-B385-09AC1701F074</t>
  </si>
  <si>
    <t>Samkharadze - 2 Units Mitsubishi Conditioner | 1.2.1. | ბეჟან სამხარაძე  | 6,250.00 GEL | 18.04.2022</t>
  </si>
  <si>
    <t>Inaishvili - 2 Units Mitsubishi Conditioner</t>
  </si>
  <si>
    <t>61001000802/44683/1.2.1./1</t>
  </si>
  <si>
    <t>390E884C-8C3A-41AE-B092-DC7B92CAFE7E</t>
  </si>
  <si>
    <t>Inaishvili - 2 Units Mitsubishi Conditioner | 1.2.1. (+) შემოსავალი MEP დანადგარების რეალიზაციიდან | ჯემალ ინაიშვილი (ს.კ. 61001000802) - ფიზ. პირი</t>
  </si>
  <si>
    <t>Inaishvili - 2 Units Mitsubishi Conditioner | 1.2.1. | ჯემალ ინაიშვილი  | 1,280.00 USD | 02.05.2022</t>
  </si>
  <si>
    <t>MOXY HOTEL</t>
  </si>
  <si>
    <t>4E4AC57D-6605-4F1D-B999-7E2F5BEC4CD4</t>
  </si>
  <si>
    <t>MOXY HOTEL | 1.1.2. (+) შემოსავალი ლიფტების სერვისიდან - გეგმიური | ჯი-ემ-თი სასტუმროები (ს.კ. 203842333) - შპს</t>
  </si>
  <si>
    <t>MOXY HOTEL | 1.1.2. | ჯი-ემ-თი სასტუმროები  | 1.00 USD | 01.05.2019</t>
  </si>
  <si>
    <t>Baratashvili</t>
  </si>
  <si>
    <t>445420875/44409/1.1.2./1</t>
  </si>
  <si>
    <t>6A882251-3DE5-47F0-8EA4-3CB46367B476</t>
  </si>
  <si>
    <t>Baratashvili | 1.1.2. (+) შემოსავალი ლიფტების სერვისიდან - გეგმიური | Dar Building (ს.კ. 445420875) - შპს</t>
  </si>
  <si>
    <t>Baratashvili | 1.1.2. | Dar Building  | 250.00 GEL | 01.08.2021</t>
  </si>
  <si>
    <t>ანა ფირცხალავა (ს.კ. 62003014448) - ინდ. მეწარმე</t>
  </si>
  <si>
    <t>62003014448/44652/1.1.2./1</t>
  </si>
  <si>
    <t>71525840-B5A6-4072-8CED-599FA5A57798</t>
  </si>
  <si>
    <t>Biota Park | 1.1.2. (+) შემოსავალი ლიფტების სერვისიდან - გეგმიური | ანა ფირცხალავა (ს.კ. 62003014448) - ინდ. მეწარმე</t>
  </si>
  <si>
    <t>C54EB547-1BF2-4318-8B7A-B4FF1707E167</t>
  </si>
  <si>
    <t>Biota Park | 1.1.2. | ანა ფირცხალავა  | 1,500.00 GEL | 01.04.2022</t>
  </si>
  <si>
    <t>Rustavi Mall</t>
  </si>
  <si>
    <t>405271450/44652/1.1.2./1</t>
  </si>
  <si>
    <t>CAB7A927-2DEC-4953-8315-C062AF6048CD</t>
  </si>
  <si>
    <t>Rustavi Mall | 1.1.2. (+) შემოსავალი ლიფტების სერვისიდან - გეგმიური | რუსთავი მოლი (ს.კ. 405271450) - შპს</t>
  </si>
  <si>
    <t>Rustavi Mall | 1.1.2. | რუსთავი მოლი  | 1,150.00 GEL | 01.04.2022</t>
  </si>
  <si>
    <t>Poti</t>
  </si>
  <si>
    <t>00AF6EDA-0A83-4781-948C-6128CE9B212F</t>
  </si>
  <si>
    <t>Poti | 1.1.2. (+) შემოსავალი ლიფტების სერვისიდან - გეგმიური | რუსთავი მოლი (ს.კ. 405271450) - შპს</t>
  </si>
  <si>
    <t>Poti | 1.1.2. | რუსთავი მოლი  | 350.00 GEL | 01.04.2022</t>
  </si>
  <si>
    <t>პრაიმ არქი (ს.კ. 406132929) - შპს</t>
  </si>
  <si>
    <t>Archi Isani C</t>
  </si>
  <si>
    <t>406132929/44474/1.1.2./1</t>
  </si>
  <si>
    <t>EC8ACDF0-B918-46AE-B853-6B9B147F81EC</t>
  </si>
  <si>
    <t>Archi Isani C | 1.1.2. (+) შემოსავალი ლიფტების სერვისიდან - გეგმიური | პრაიმ არქი (ს.კ. 406132929) - შპს</t>
  </si>
  <si>
    <t>72217FB1-5EF9-48C3-8334-52575EBFC828</t>
  </si>
  <si>
    <t>Archi Isani C | 1.1.2. | პრაიმ არქი  | 900.00 USD | 05.10.2021</t>
  </si>
  <si>
    <t>Archi Isani D Block</t>
  </si>
  <si>
    <t>406132929/44691/1.1.2./1</t>
  </si>
  <si>
    <t>13B83657-2E92-45D5-AA6D-20D15037A1D6</t>
  </si>
  <si>
    <t>Archi Isani D Block | 1.1.2. (+) შემოსავალი ლიფტების სერვისიდან - გეგმიური | პრაიმ არქი (ს.კ. 406132929) - შპს</t>
  </si>
  <si>
    <t>Archi Isani D Block | 1.1.2. | პრაიმ არქი  | 400.00 USD | 10.05.2022</t>
  </si>
  <si>
    <t>Dighomi</t>
  </si>
  <si>
    <t>204976179/44075/1.1.2./1</t>
  </si>
  <si>
    <t>4FCA824F-7FDE-4D6D-9442-C6451402B4B7</t>
  </si>
  <si>
    <t>Dighomi | 1.1.2. (+) შემოსავალი ლიფტების სერვისიდან - გეგმიური | თბილი სახლი (ს.კ. 204976179) - შპს</t>
  </si>
  <si>
    <t>Dighomi | 1.1.2. | თბილი სახლი  | 1.00 GEL | 01.09.2020</t>
  </si>
  <si>
    <t>Mestia</t>
  </si>
  <si>
    <t>204976179/43466/1.1.2./1</t>
  </si>
  <si>
    <t>7A07961A-9E7E-4222-BB76-1A367BEB3AB1</t>
  </si>
  <si>
    <t>Mestia | 1.1.2. (+) შემოსავალი ლიფტების სერვისიდან - გეგმიური | თბილი სახლი (ს.კ. 204976179) - შპს</t>
  </si>
  <si>
    <t>Mestia | 1.1.2. | თბილი სახლი  | 250.00 GEL | 01.01.2019</t>
  </si>
  <si>
    <t>Janashia</t>
  </si>
  <si>
    <t>C41B98D5-4119-4CB3-8D99-98517A940254</t>
  </si>
  <si>
    <t>Janashia | 1.1.2. (+) შემოსავალი ლიფტების სერვისიდან - გეგმიური | თბილი სახლი (ს.კ. 204976179) - შპს</t>
  </si>
  <si>
    <t>Janashia | 1.1.2. | თბილი სახლი  | 250.00 GEL | 01.01.2019</t>
  </si>
  <si>
    <t>ORBI CITY C</t>
  </si>
  <si>
    <t>445468798/44562/1.1.2./1</t>
  </si>
  <si>
    <t>0C1F69B1-A479-4D6A-93F1-EAC12C4730CE</t>
  </si>
  <si>
    <t>ORBI CITY C | 1.1.2. (+) შემოსავალი ლიფტების სერვისიდან - გეგმიური | ორბი ჯგუფი ბათუმი (ს.კ. 445468798) - შპს</t>
  </si>
  <si>
    <t>ORBI CITY C | 1.1.2. | ორბი ჯგუფი ბათუმი  | 225.00 USD | 01.01.2022</t>
  </si>
  <si>
    <t>კომპანია ჯდჯ (ს.კ. 405119964) - შპს</t>
  </si>
  <si>
    <t>Chavchavadze 30</t>
  </si>
  <si>
    <t>405119964/44089/1.1.2./1</t>
  </si>
  <si>
    <t>5AB8BC71-BBF1-4D83-AE22-5A15F7AD6EA9</t>
  </si>
  <si>
    <t>Chavchavadze 30 | 1.1.2. (+) შემოსავალი ლიფტების სერვისიდან - გეგმიური | კომპანია ჯდჯ (ს.კ. 405119964) - შპს</t>
  </si>
  <si>
    <t>B6D1A89E-F7B8-4B57-98D9-CDE962395C63</t>
  </si>
  <si>
    <t>Chavchavadze 30 | 1.1.2. | კომპანია ჯდჯ  | 1,200.00 GEL | 15.09.2020</t>
  </si>
  <si>
    <t>ფრანგული უბანი ფრანგული უბნის "დ" და "ე" ბლოკების ამხანაგობა (ს.კ. 200316657) - ამხანაგობა</t>
  </si>
  <si>
    <t>UNIX MARSEL</t>
  </si>
  <si>
    <t>200316657/43466/1.1.2./1</t>
  </si>
  <si>
    <t>4C70090C-46DF-496C-AA6E-73B4DB1D3B17</t>
  </si>
  <si>
    <t>UNIX MARSEL | 1.1.2. (+) შემოსავალი ლიფტების სერვისიდან - გეგმიური | ფრანგული უბანი ფრანგული უბნის ,,დ'' და ,,ე'' ბლოკების ამხანაგობა (ს.კ. 200316657) - ამხანაგობა</t>
  </si>
  <si>
    <t>E56C25E1-F15A-4390-BB92-B64890A90093</t>
  </si>
  <si>
    <t>UNIX MARSEL | 1.1.2. | ფრანგული უბანი ფრანგული უბნის "დ" და "ე" ბლოკების ამხანაგობა  | 1,200.00 GEL | 01.01.2019</t>
  </si>
  <si>
    <t>ფრანგული დასახლების ა-ბ-გ ბლოკების ამხანაგობა (ს.კ. 200317273) - ამხანაგობა</t>
  </si>
  <si>
    <t>UNIX IPOLIT IVANOV</t>
  </si>
  <si>
    <t>200317273/43466/1.1.2./1</t>
  </si>
  <si>
    <t>52027283-5C5B-4FB8-86C1-ACAC8033D7BB</t>
  </si>
  <si>
    <t>UNIX IPOLIT IVANOV | 1.1.2. (+) შემოსავალი ლიფტების სერვისიდან - გეგმიური | ფრანგული დასახლების ა-ბ-გ ბლოკების ამხანაგობა (ს.კ. 200317273) - ამხანაგობა</t>
  </si>
  <si>
    <t>6878FB60-0B5E-4898-ABCD-60ACC55A458D</t>
  </si>
  <si>
    <t>UNIX IPOLIT IVANOV | 1.1.2. | ფრანგული დასახლების ა-ბ-გ ბლოკების ამხანაგობა  | 1,500.00 GEL | 01.01.2019</t>
  </si>
  <si>
    <t>გორგილაძის 88ა (ს.კ. ICE001857) - ამხანაგობა</t>
  </si>
  <si>
    <t>Gorgiladzis 88a</t>
  </si>
  <si>
    <t>რატი რომაშვილი (ს.კ. 01017049157) - ფიზ. პირი</t>
  </si>
  <si>
    <t>ICE001857/44501/1.1.2./1</t>
  </si>
  <si>
    <t>6739192B-BE6E-486B-9E6B-5B138112743F</t>
  </si>
  <si>
    <t>Gorgiladzis 88a | 1.1.2. (+) შემოსავალი ლიფტების სერვისიდან - გეგმიური | გორგილაძის 88ა (ს.კ. ICE001857) - ამხანაგობა</t>
  </si>
  <si>
    <t>FE4FCC52-C6FC-42E2-BE3D-E360FEE52DEF</t>
  </si>
  <si>
    <t>DF44A1C6-0A8E-490A-924F-42D9CE2E573F</t>
  </si>
  <si>
    <t>Gorgiladzis 88a | 1.1.2. | გორგილაძის 88ა  | 900.00 GEL | 01.11.2021</t>
  </si>
  <si>
    <t>ისანი პალასი (ს.კ. ICE001858) - ამხანაგობა</t>
  </si>
  <si>
    <t>Isani Palace</t>
  </si>
  <si>
    <t>ICE001858/44651/1.1.2./1</t>
  </si>
  <si>
    <t>4EFF1D30-E9A2-4B2E-8E29-8E87933F3AC3</t>
  </si>
  <si>
    <t>Isani Palace | 1.1.2. (+) შემოსავალი ლიფტების სერვისიდან - გეგმიური | ისანი პალასი (ს.კ. ICE001858) - ამხანაგობა</t>
  </si>
  <si>
    <t>C2317420-4845-4771-96EF-8159FBEF74FF</t>
  </si>
  <si>
    <t>Isani Palace | 1.1.2. | ისანი პალასი  | 600.00 GEL | 31.03.2022</t>
  </si>
  <si>
    <t>405380181/44682/1.1.2./1</t>
  </si>
  <si>
    <t>8E1C3019-5E66-470C-82E0-D83E9881E246</t>
  </si>
  <si>
    <t>Jgenti Warehouse | 1.1.2. (+) შემოსავალი ლიფტების სერვისიდან - გეგმიური | ემ ელ სი ლოჯისტიკს (ს.კ. 405380181) - შპს</t>
  </si>
  <si>
    <t>Jgenti Warehouse | 1.1.2. | ემ ელ სი ლოჯისტიკს  | 1.00 GEL | 01.05.2022</t>
  </si>
  <si>
    <t>ნინოწმინდა (ს.კ. 438115754) - შპს</t>
  </si>
  <si>
    <t>Ninotsminda - Mitsubishi Conditioner</t>
  </si>
  <si>
    <t>438115754/44697/1.2.1./1</t>
  </si>
  <si>
    <t>3CEDF6A3-8AD9-4CF7-BD9B-FA7B624E1742</t>
  </si>
  <si>
    <t>Ninotsminda - Mitsubishi Conditioner | 1.2.1. (+) შემოსავალი MEP დანადგარების რეალიზაციიდან | ნინოწმინდა (ს.კ. 438115754) - შპს</t>
  </si>
  <si>
    <t>FF29019D-6300-4647-97ED-EEB49D7F8A9D</t>
  </si>
  <si>
    <t>Ninotsminda - Mitsubishi Conditioner | 1.2.1. | ნინოწმინდა  | 3,590.00 GEL | 16.05.2022</t>
  </si>
  <si>
    <t>Modus Kakhety HW 2</t>
  </si>
  <si>
    <t>245565669/43466/1.1.2./1</t>
  </si>
  <si>
    <t>73CF56BA-474C-4F53-BBB3-D472BF9C9ECF</t>
  </si>
  <si>
    <t>Modus Kakhety HW 2 | 1.1.2. (+) შემოსავალი ლიფტების სერვისიდან - გეგმიური | მოდუსი (ს.კ. 245565669) - შპს</t>
  </si>
  <si>
    <t>Modus Kakhety HW 2 | 1.1.2. | მოდუსი  | 200.00 GEL | 01.01.2019</t>
  </si>
  <si>
    <t>Batumi Apartaments</t>
  </si>
  <si>
    <t>1 6 48</t>
  </si>
  <si>
    <t>400017245/44562/1.3.1./1</t>
  </si>
  <si>
    <t>E92822A0-3507-4608-9999-28DEEFF5237D</t>
  </si>
  <si>
    <t>Batumi Apartaments | 1.3.1. (+) სხვადასხვა ინვენტარის რეალიზაცია | აი-სი-ი (ს.კ. 400017245) - შპს</t>
  </si>
  <si>
    <t>Batumi Apartaments | 1.3.1. | აი-სი-ი  | 20,000.00 GEL | 01.01.2022</t>
  </si>
  <si>
    <t>დემურ დიასამიძე (ს.კ. 61001029125) - ფიზ. პირი</t>
  </si>
  <si>
    <t>Tsikhisdziri</t>
  </si>
  <si>
    <t>1 6 30 1876</t>
  </si>
  <si>
    <t>61001029125/44652/1.2.1./1</t>
  </si>
  <si>
    <t>582158FB-E56A-449E-9DEC-3B02E99690A7</t>
  </si>
  <si>
    <t>Tsikhisdziri | 1.2.1. (+) შემოსავალი MEP დანადგარების რეალიზაციიდან | დემურ დიასამიძე (ს.კ. 61001029125) - ფიზ. პირი</t>
  </si>
  <si>
    <t>51469664-FF07-46CE-A2D1-3851CE293B88</t>
  </si>
  <si>
    <t>Tsikhisdziri | 1.2.1. | დემურ დიასამიძე  | 1,000.00 GEL | 01.04.2022</t>
  </si>
  <si>
    <t>ლაიქ ჰაუსი (ს.კ. 445478563) - შპს</t>
  </si>
  <si>
    <t>Holiday Inn</t>
  </si>
  <si>
    <t>445478563/44602/1.1.1./1</t>
  </si>
  <si>
    <t>2702712B-A1E7-43FA-8C75-F84D4BD6D43F</t>
  </si>
  <si>
    <t>Holiday Inn | 1.1.1. (+) შემოსავალი ლიფტების რეალიზაციიდან | ლაიქ ჰაუსი (ს.კ. 445478563) - შპს</t>
  </si>
  <si>
    <t>E5065FFE-1CD4-4C87-A053-0558ECFC9B1D</t>
  </si>
  <si>
    <t>Holiday Inn | 1.1.1. | ლაიქ ჰაუსი  | 372,497.00 USD | 10.02.2022</t>
  </si>
  <si>
    <t>ნუცუბიძე (ს.კ. 405387861) - შპს</t>
  </si>
  <si>
    <t>Park Home Saburtalo</t>
  </si>
  <si>
    <t>405387861/44701/1.1.1./1</t>
  </si>
  <si>
    <t>016A3ACC-14B7-48A0-A8C1-C5485BD40EDD</t>
  </si>
  <si>
    <t>Park Home Saburtalo | 1.1.1. (+) შემოსავალი ლიფტების რეალიზაციიდან | ნუცუბიძე (ს.კ. 405387861) - შპს</t>
  </si>
  <si>
    <t>272FF8D3-4909-409A-99B0-E2C8CA3BB9AF</t>
  </si>
  <si>
    <t>Park Home Saburtalo | 1.1.1. | ნუცუბიძე  | 626,280.00 USD | 20.05.2022</t>
  </si>
  <si>
    <t>BLC VRF Service</t>
  </si>
  <si>
    <t>404507182/44715/1.2.3./1</t>
  </si>
  <si>
    <t>FF479744-33DF-4D30-8471-BC78F6E40577</t>
  </si>
  <si>
    <t>BLC VRF Service | 1.2.3. (+) შემოსავალი MEP დანადგარების სერვისიდან - არაგეგმიური | ბიელსი (ს.კ. 404507182) - შპს</t>
  </si>
  <si>
    <t>BLC VRF Service | 1.2.3. | ბიელსი  | 5,000.00 GEL | 03.06.2022</t>
  </si>
  <si>
    <t>ზურაბ ბეროშვილი (ს.კ. 01008016853) - ფიზ. პირი</t>
  </si>
  <si>
    <t>Beroshvili - Mitsubishi Split Conditioner</t>
  </si>
  <si>
    <t>01008016853/44719/1.2.1./1</t>
  </si>
  <si>
    <t>9E0D99F4-EDD9-4413-8BF9-FF5A090BFC4C</t>
  </si>
  <si>
    <t>Beroshvili - Mitsubishi Split Conditioner | 1.2.1. (+) შემოსავალი MEP დანადგარების რეალიზაციიდან | ზურაბ ბეროშვილი (ს.კ. 01008016853) - ფიზ. პირი</t>
  </si>
  <si>
    <t>6D35EE90-BD58-4E7D-8589-8EC87F57E04F</t>
  </si>
  <si>
    <t>Beroshvili - Mitsubishi Split Conditioner | 1.2.1. | ზურაბ ბეროშვილი  | 4,050.00 GEL | 07.06.2022</t>
  </si>
  <si>
    <t>შოთა მონადირიშვილი (ს.კ. 01024051928) - ფიზ. პირი</t>
  </si>
  <si>
    <t>Monadirishvili - Mitsubishi Conditioner</t>
  </si>
  <si>
    <t>01024051928/44718/1.2.1./1</t>
  </si>
  <si>
    <t>D5958085-82CD-47C2-873D-90D998A3C35E</t>
  </si>
  <si>
    <t>Monadirishvili - Mitsubishi Conditioner | 1.2.1. (+) შემოსავალი MEP დანადგარების რეალიზაციიდან | შოთა მონადირიშვილი (ს.კ. 01024051928) - ფიზ. პირი</t>
  </si>
  <si>
    <t>Monadirishvili - Mitsubishi Conditioner | 1.2.1. | შოთა მონადირიშვილი  | 1,380.00 GEL | 06.06.2022</t>
  </si>
  <si>
    <t>ნიკოლოზ სეთურიძე (ს.კ. 01017017831) - ფიზ. პირი</t>
  </si>
  <si>
    <t>Seturidze - Mitsubishi Conditioner</t>
  </si>
  <si>
    <t>01017017831/44725/1.2.1./1</t>
  </si>
  <si>
    <t>94F792A8-0A79-4BFE-AA88-7289C35686CA</t>
  </si>
  <si>
    <t>Seturidze - Mitsubishi Conditioner | 1.2.1. (+) შემოსავალი MEP დანადგარების რეალიზაციიდან | ნიკოლოზ სეთურიძე (ს.კ. 01017017831) - ფიზ. პირი</t>
  </si>
  <si>
    <t>3F658A46-5957-4636-8191-BBE06C564EA7</t>
  </si>
  <si>
    <t>Seturidze - Mitsubishi Conditioner | 1.2.1. | ნიკოლოზ სეთურიძე  | 3,370.00 GEL | 13.06.2022</t>
  </si>
  <si>
    <t>Collateral</t>
  </si>
  <si>
    <t>კონტრაქტის # -</t>
  </si>
  <si>
    <t>Moxy Zaabruken Hotel</t>
  </si>
  <si>
    <t>UNIX Marselle | 1.1.2. (+) შემოსავალი ლიფტების სერვისიდან - გეგმიური | იუნიქს ქონსთრაქშენ კომპანი (ს.კ. 405133822) - შპს</t>
  </si>
  <si>
    <t>Moxy Zaabruken Hotel | 1.1.2. (+) შემოსავალი ლიფტების სერვისიდან - გეგმიური | ჯი-ემ-თი სასტუმროები (ს.კ. 203842333) - შპს</t>
  </si>
  <si>
    <t>TWIN TOWER | 1.1.2. (+) შემოსავალი ლიფტების სერვისიდან - გეგმიური | ორბი ჯგუფი ბათუმი (ს.კ. 445468798) - შპს</t>
  </si>
  <si>
    <t>Unix Marselle</t>
  </si>
  <si>
    <t>Unix Marselle | 1.1.2. (+) შემოსავალი ლიფტების სერვისიდან - გეგმიური | იუნიქს ქონსთრაქშენ კომპანი (ს.კ. 405133822) - შპს</t>
  </si>
  <si>
    <t>E2B35205-AB10-4127-96F5-BA36FAD94BF0</t>
  </si>
  <si>
    <t>E3DER758-4C29-4D85-94E2-KSIURC3C4453</t>
  </si>
  <si>
    <t>Moxy Zaabruken Hotel | 1.1.3. (+) შემოსავალი ლიფტების სერვისიდან - არაგეგმიური | ჯი-ემ-თი სასტუმროები (ს.კ. 203842333) - შპს</t>
  </si>
  <si>
    <t>Aparthotel Vake / 1.1.1. (+) შემოსავალი ლიფტების რეალიზაციიდან / კანალესა (ს.კ. 405021925) - შპს</t>
  </si>
  <si>
    <t>Archi Isani / 1.1.1. (+) შემოსავალი ლიფტების რეალიზაციიდან / ანაგი (ს.კ. 245416401) - შპს</t>
  </si>
  <si>
    <t>Kobuleti Garden Inn / 1.1.1. (+) შემოსავალი ლიფტების რეალიზაციიდან / იოსებ გუნთაიშვილი (ს.კ. 61001008820) - ფიზ. პირი</t>
  </si>
  <si>
    <t>M2 conditioner instalatio / 1.2.3. (+) შემოსავალი MEP დანადგარების სერვისიდან - არაგეგმიური / ბკ ქონსთრაქშენი (ს.კ. 404537809) - შპს</t>
  </si>
  <si>
    <t>Deleted</t>
  </si>
  <si>
    <t>კონტრაგენტის ORIS ID</t>
  </si>
  <si>
    <t>ICE1</t>
  </si>
  <si>
    <t>ICE2</t>
  </si>
  <si>
    <t>ICE3</t>
  </si>
  <si>
    <t>ICE4</t>
  </si>
  <si>
    <t>ICE5</t>
  </si>
  <si>
    <t>ICE6</t>
  </si>
  <si>
    <t>Modus Agladze | 1.1.1. | მოდუსი  | 32,000.00 USD | 17.06.2019</t>
  </si>
  <si>
    <t>ICE7</t>
  </si>
  <si>
    <t>ICE8</t>
  </si>
  <si>
    <t>ICE9</t>
  </si>
  <si>
    <t>ICE10</t>
  </si>
  <si>
    <t>ICE11</t>
  </si>
  <si>
    <t>ICE12</t>
  </si>
  <si>
    <t>ICE13</t>
  </si>
  <si>
    <t>ICE14</t>
  </si>
  <si>
    <t>Rumi - batumi | 1.1.1. | რუმი  | 117,370.00 USD | 17.12.2019</t>
  </si>
  <si>
    <t>ICE15</t>
  </si>
  <si>
    <t>ICE16</t>
  </si>
  <si>
    <t>ICE17</t>
  </si>
  <si>
    <t>ICE18</t>
  </si>
  <si>
    <t>ICE19</t>
  </si>
  <si>
    <t>ICE20</t>
  </si>
  <si>
    <t>ICE21</t>
  </si>
  <si>
    <t>ICE22</t>
  </si>
  <si>
    <t>ICE23</t>
  </si>
  <si>
    <t>ICE24</t>
  </si>
  <si>
    <t>ICE25</t>
  </si>
  <si>
    <t>ICE26</t>
  </si>
  <si>
    <t>ICE27</t>
  </si>
  <si>
    <t>ICE28</t>
  </si>
  <si>
    <t>ICE29</t>
  </si>
  <si>
    <t>1 6 31 1380</t>
  </si>
  <si>
    <t>ICE30</t>
  </si>
  <si>
    <t>ICE31</t>
  </si>
  <si>
    <t>ICE32</t>
  </si>
  <si>
    <t>ICE33</t>
  </si>
  <si>
    <t>ICE34</t>
  </si>
  <si>
    <t>ICE35</t>
  </si>
  <si>
    <t>ICE36</t>
  </si>
  <si>
    <t>ICE37</t>
  </si>
  <si>
    <t>ICE38</t>
  </si>
  <si>
    <t>ICE39</t>
  </si>
  <si>
    <t>ICE40</t>
  </si>
  <si>
    <t>ICE41</t>
  </si>
  <si>
    <t>ICE42</t>
  </si>
  <si>
    <t>ICE43</t>
  </si>
  <si>
    <t>ICE44</t>
  </si>
  <si>
    <t>ICE45</t>
  </si>
  <si>
    <t>ICE46</t>
  </si>
  <si>
    <t>ICE47</t>
  </si>
  <si>
    <t>ICE48</t>
  </si>
  <si>
    <t>ICE49</t>
  </si>
  <si>
    <t>ICE50</t>
  </si>
  <si>
    <t>ICE51</t>
  </si>
  <si>
    <t>ICE52</t>
  </si>
  <si>
    <t>ICE53</t>
  </si>
  <si>
    <t>ICE54</t>
  </si>
  <si>
    <t>ICE55</t>
  </si>
  <si>
    <t>Ramada Melikishvili | 1.2.1. | მეპერსი  | 312,660.96 USD | 17.06.2019</t>
  </si>
  <si>
    <t>ICE56</t>
  </si>
  <si>
    <t>ICE57</t>
  </si>
  <si>
    <t>ICE58</t>
  </si>
  <si>
    <t>Kempinski Mockup | 1.2.1. | მეპერსი  | 2,245.13 USD | 21.10.2019</t>
  </si>
  <si>
    <t>ICE59</t>
  </si>
  <si>
    <t>Copper Pipes Stock | 1.2.1. | მეპერსი  | 7,201.20 GEL | 21.02.2020</t>
  </si>
  <si>
    <t>ICE60</t>
  </si>
  <si>
    <t>ICE61</t>
  </si>
  <si>
    <t>ICE62</t>
  </si>
  <si>
    <t>1 6 30 1148</t>
  </si>
  <si>
    <t>ICE63</t>
  </si>
  <si>
    <t>ICE64</t>
  </si>
  <si>
    <t>ICE65</t>
  </si>
  <si>
    <t>ICE66</t>
  </si>
  <si>
    <t>ICE67</t>
  </si>
  <si>
    <t>1 6 31 1221</t>
  </si>
  <si>
    <t>ICE68</t>
  </si>
  <si>
    <t>ICE69</t>
  </si>
  <si>
    <t>ICE70</t>
  </si>
  <si>
    <t>ICE71</t>
  </si>
  <si>
    <t>ICE72</t>
  </si>
  <si>
    <t>1 6 31 1059</t>
  </si>
  <si>
    <t>ICE73</t>
  </si>
  <si>
    <t>Galleria Tbilisi | 1.1.2. | თბილი სახლი  | 1.00 USD | 01.02.2020</t>
  </si>
  <si>
    <t>ICE74</t>
  </si>
  <si>
    <t>ICE75</t>
  </si>
  <si>
    <t>ICE76</t>
  </si>
  <si>
    <t>ICE77</t>
  </si>
  <si>
    <t>ICE78</t>
  </si>
  <si>
    <t>H&amp;M | 1.1.2. | ეიჩ ენდ ემ ჰენეს ენდ მაურიც ჯორჯია  | 1.00 USD | 01.01.2020</t>
  </si>
  <si>
    <t>ICE79</t>
  </si>
  <si>
    <t>ICE80</t>
  </si>
  <si>
    <t>ICE81</t>
  </si>
  <si>
    <t>ICE82</t>
  </si>
  <si>
    <t>ICE83</t>
  </si>
  <si>
    <t>ICE84</t>
  </si>
  <si>
    <t>ICE85</t>
  </si>
  <si>
    <t>ICE86</t>
  </si>
  <si>
    <t>ICE87</t>
  </si>
  <si>
    <t>ICE88</t>
  </si>
  <si>
    <t>ICE89</t>
  </si>
  <si>
    <t>ICE90</t>
  </si>
  <si>
    <t>ICE91</t>
  </si>
  <si>
    <t>ICE92</t>
  </si>
  <si>
    <t>ICE93</t>
  </si>
  <si>
    <t>Epic Bagebi | 1.1.1. | ბაგები  | 64,790.00 USD | 01.07.2020</t>
  </si>
  <si>
    <t>ICE94</t>
  </si>
  <si>
    <t>ICE95</t>
  </si>
  <si>
    <t>ICE96</t>
  </si>
  <si>
    <t>ICE97</t>
  </si>
  <si>
    <t>ICE98</t>
  </si>
  <si>
    <t>1 6 31 863</t>
  </si>
  <si>
    <t>ICE99</t>
  </si>
  <si>
    <t>ICE100</t>
  </si>
  <si>
    <t>1 6 31 1233</t>
  </si>
  <si>
    <t>ICE101</t>
  </si>
  <si>
    <t>ICE102</t>
  </si>
  <si>
    <t>ICE103</t>
  </si>
  <si>
    <t>ICE104</t>
  </si>
  <si>
    <t>1 6 31 848</t>
  </si>
  <si>
    <t>ICE105</t>
  </si>
  <si>
    <t>1 6 31 882</t>
  </si>
  <si>
    <t>ICE106</t>
  </si>
  <si>
    <t>ICE107</t>
  </si>
  <si>
    <t>ICE108</t>
  </si>
  <si>
    <t>ICE109</t>
  </si>
  <si>
    <t>ICE110</t>
  </si>
  <si>
    <t>1 6 31 1166</t>
  </si>
  <si>
    <t>ICE111</t>
  </si>
  <si>
    <t>ICE112</t>
  </si>
  <si>
    <t>ICE113</t>
  </si>
  <si>
    <t>1 6 31 1108</t>
  </si>
  <si>
    <t>ICE114</t>
  </si>
  <si>
    <t>Gelovani 52 | 1.1.2. | ეკომეტრი  | 1.00 USD | 08.01.2018</t>
  </si>
  <si>
    <t>ICE115</t>
  </si>
  <si>
    <t>ICE116</t>
  </si>
  <si>
    <t>ICE117</t>
  </si>
  <si>
    <t>ICE118</t>
  </si>
  <si>
    <t>ICE119</t>
  </si>
  <si>
    <t>ICE120</t>
  </si>
  <si>
    <t>ICE121</t>
  </si>
  <si>
    <t>ICE122</t>
  </si>
  <si>
    <t>ICE123</t>
  </si>
  <si>
    <t>ICE124</t>
  </si>
  <si>
    <t>ICE125</t>
  </si>
  <si>
    <t>ICE126</t>
  </si>
  <si>
    <t>ICE127</t>
  </si>
  <si>
    <t>ICE128</t>
  </si>
  <si>
    <t>ICE129</t>
  </si>
  <si>
    <t>ICE130</t>
  </si>
  <si>
    <t>ICE131</t>
  </si>
  <si>
    <t>ICE132</t>
  </si>
  <si>
    <t>Aparthotel Vake | 1.1.2. | კანალესა  | 1.00 GEL | 30.10.2019</t>
  </si>
  <si>
    <t>ICE133</t>
  </si>
  <si>
    <t>ICE134</t>
  </si>
  <si>
    <t>ICE135</t>
  </si>
  <si>
    <t>ICE136</t>
  </si>
  <si>
    <t>ICE137</t>
  </si>
  <si>
    <t>1 6 31 998</t>
  </si>
  <si>
    <t>ICE138</t>
  </si>
  <si>
    <t>ICE139</t>
  </si>
  <si>
    <t>ICE140</t>
  </si>
  <si>
    <t>ICE141</t>
  </si>
  <si>
    <t>ICE142</t>
  </si>
  <si>
    <t>ICE143</t>
  </si>
  <si>
    <t>1 6 31 1453</t>
  </si>
  <si>
    <t>ICE144</t>
  </si>
  <si>
    <t>ICE145</t>
  </si>
  <si>
    <t>ICE146</t>
  </si>
  <si>
    <t>ICE147</t>
  </si>
  <si>
    <t>ICE148</t>
  </si>
  <si>
    <t>ICE149</t>
  </si>
  <si>
    <t>ICE150</t>
  </si>
  <si>
    <t>ICE151</t>
  </si>
  <si>
    <t>Tskhneti House Valves | 1.2.1. | მეპერსი  | 3,658.89 EUR | 15.06.2020</t>
  </si>
  <si>
    <t>ICE152</t>
  </si>
  <si>
    <t>ICE153</t>
  </si>
  <si>
    <t>ICE154</t>
  </si>
  <si>
    <t>ICE155</t>
  </si>
  <si>
    <t>ICE156</t>
  </si>
  <si>
    <t>ICE157</t>
  </si>
  <si>
    <t>ICE158</t>
  </si>
  <si>
    <t>ICE159</t>
  </si>
  <si>
    <t>ICE160</t>
  </si>
  <si>
    <t>ICE161</t>
  </si>
  <si>
    <t>ICE162</t>
  </si>
  <si>
    <t>ICE163</t>
  </si>
  <si>
    <t>ICE164</t>
  </si>
  <si>
    <t>ICE165</t>
  </si>
  <si>
    <t>ICE166</t>
  </si>
  <si>
    <t>ICE167</t>
  </si>
  <si>
    <t>ICE168</t>
  </si>
  <si>
    <t>1 6 30 1468</t>
  </si>
  <si>
    <t>ICE169</t>
  </si>
  <si>
    <t>ICE170</t>
  </si>
  <si>
    <t>ICE171</t>
  </si>
  <si>
    <t>ICE172</t>
  </si>
  <si>
    <t>ICE173</t>
  </si>
  <si>
    <t>ICE174</t>
  </si>
  <si>
    <t>ICE175</t>
  </si>
  <si>
    <t>ICE176</t>
  </si>
  <si>
    <t>ICE177</t>
  </si>
  <si>
    <t>ICE178</t>
  </si>
  <si>
    <t>1 6 30 724 2</t>
  </si>
  <si>
    <t>ICE179</t>
  </si>
  <si>
    <t>ICE180</t>
  </si>
  <si>
    <t>ICE181</t>
  </si>
  <si>
    <t>ICE182</t>
  </si>
  <si>
    <t>ICE183</t>
  </si>
  <si>
    <t>ICE184</t>
  </si>
  <si>
    <t>ICE185</t>
  </si>
  <si>
    <t>ICE186</t>
  </si>
  <si>
    <t>ICE187</t>
  </si>
  <si>
    <t>ICE188</t>
  </si>
  <si>
    <t>ICE189</t>
  </si>
  <si>
    <t>ICE190</t>
  </si>
  <si>
    <t>ICE191</t>
  </si>
  <si>
    <t>ICE192</t>
  </si>
  <si>
    <t>ICE193</t>
  </si>
  <si>
    <t>ICE194</t>
  </si>
  <si>
    <t>ICE195</t>
  </si>
  <si>
    <t>ICE196</t>
  </si>
  <si>
    <t>ICE197</t>
  </si>
  <si>
    <t>ICE198</t>
  </si>
  <si>
    <t>ICE199</t>
  </si>
  <si>
    <t>ICE200</t>
  </si>
  <si>
    <t>ICE201</t>
  </si>
  <si>
    <t>1_6 _20</t>
  </si>
  <si>
    <t>ICE202</t>
  </si>
  <si>
    <t>ICE203</t>
  </si>
  <si>
    <t>ICE204</t>
  </si>
  <si>
    <t>ICE205</t>
  </si>
  <si>
    <t>ICE206</t>
  </si>
  <si>
    <t>ICE207</t>
  </si>
  <si>
    <t>ICE208</t>
  </si>
  <si>
    <t>ICE209</t>
  </si>
  <si>
    <t>ICE210</t>
  </si>
  <si>
    <t>ICE211</t>
  </si>
  <si>
    <t>ICE212</t>
  </si>
  <si>
    <t>1 6 31 1559</t>
  </si>
  <si>
    <t>ICE213</t>
  </si>
  <si>
    <t>ICE214</t>
  </si>
  <si>
    <t>1630 724 1</t>
  </si>
  <si>
    <t>ICE215</t>
  </si>
  <si>
    <t>ICE216</t>
  </si>
  <si>
    <t>ICE217</t>
  </si>
  <si>
    <t>ICE218</t>
  </si>
  <si>
    <t>ICE219</t>
  </si>
  <si>
    <t>ICE220</t>
  </si>
  <si>
    <t>ICE221</t>
  </si>
  <si>
    <t>ICE222</t>
  </si>
  <si>
    <t>ICE223</t>
  </si>
  <si>
    <t>1 6 30 1554</t>
  </si>
  <si>
    <t>ICE224</t>
  </si>
  <si>
    <t>ICE225</t>
  </si>
  <si>
    <t>ICE226</t>
  </si>
  <si>
    <t>ICE227</t>
  </si>
  <si>
    <t>ICE228</t>
  </si>
  <si>
    <t>ICE229</t>
  </si>
  <si>
    <t>ICE230</t>
  </si>
  <si>
    <t>ICE231</t>
  </si>
  <si>
    <t>ICE232</t>
  </si>
  <si>
    <t>ICE233</t>
  </si>
  <si>
    <t>ICE234</t>
  </si>
  <si>
    <t>ICE235</t>
  </si>
  <si>
    <t>ICE236</t>
  </si>
  <si>
    <t>ICE237</t>
  </si>
  <si>
    <t>ICE238</t>
  </si>
  <si>
    <t>ICE239</t>
  </si>
  <si>
    <t>ICE240</t>
  </si>
  <si>
    <t>ICE241</t>
  </si>
  <si>
    <t>ICE242</t>
  </si>
  <si>
    <t>ICE243</t>
  </si>
  <si>
    <t>ICE244</t>
  </si>
  <si>
    <t>ICE245</t>
  </si>
  <si>
    <t>1_6_44</t>
  </si>
  <si>
    <t>ICE246</t>
  </si>
  <si>
    <t>ICE247</t>
  </si>
  <si>
    <t>ICE248</t>
  </si>
  <si>
    <t>ICE249</t>
  </si>
  <si>
    <t>ICE250</t>
  </si>
  <si>
    <t>ICE251</t>
  </si>
  <si>
    <t>ICE252</t>
  </si>
  <si>
    <t>ICE253</t>
  </si>
  <si>
    <t>ICE254</t>
  </si>
  <si>
    <t>ICE255</t>
  </si>
  <si>
    <t>ICE256</t>
  </si>
  <si>
    <t>ICE257</t>
  </si>
  <si>
    <t>HIEX | 1.2.1. | მეპერსი  | 678,014.84 USD | 01.03.2021</t>
  </si>
  <si>
    <t>ICE258</t>
  </si>
  <si>
    <t>ICE259</t>
  </si>
  <si>
    <t>ICE260</t>
  </si>
  <si>
    <t>ICE261</t>
  </si>
  <si>
    <t>ICE262</t>
  </si>
  <si>
    <t>ICE263</t>
  </si>
  <si>
    <t>ICE264</t>
  </si>
  <si>
    <t>ICE265</t>
  </si>
  <si>
    <t>ICE266</t>
  </si>
  <si>
    <t>ICE267</t>
  </si>
  <si>
    <t>ICE268</t>
  </si>
  <si>
    <t>ICE269</t>
  </si>
  <si>
    <t>ICE270</t>
  </si>
  <si>
    <t>ICE271</t>
  </si>
  <si>
    <t>ICE272</t>
  </si>
  <si>
    <t>ICE273</t>
  </si>
  <si>
    <t>ICE274</t>
  </si>
  <si>
    <t>ICE275</t>
  </si>
  <si>
    <t>ICE276</t>
  </si>
  <si>
    <t>ICE277</t>
  </si>
  <si>
    <t>ICE278</t>
  </si>
  <si>
    <t>ICE279</t>
  </si>
  <si>
    <t>ICE280</t>
  </si>
  <si>
    <t>ICE281</t>
  </si>
  <si>
    <t>ICE282</t>
  </si>
  <si>
    <t>ICE283</t>
  </si>
  <si>
    <t>ICE284</t>
  </si>
  <si>
    <t>ICE285</t>
  </si>
  <si>
    <t>ICE286</t>
  </si>
  <si>
    <t>ICE287</t>
  </si>
  <si>
    <t>1630 1703 1</t>
  </si>
  <si>
    <t>Mziuri Garden | 1.1.1. | მზიური რეზორტ  | 575,281.93 USD | 21.07.2021</t>
  </si>
  <si>
    <t>ICE288</t>
  </si>
  <si>
    <t>ICE289</t>
  </si>
  <si>
    <t>ICE290</t>
  </si>
  <si>
    <t>ICE291</t>
  </si>
  <si>
    <t>ICE292</t>
  </si>
  <si>
    <t>ICE293</t>
  </si>
  <si>
    <t>ICE294</t>
  </si>
  <si>
    <t>ICE295</t>
  </si>
  <si>
    <t>ICE296</t>
  </si>
  <si>
    <t>ICE297</t>
  </si>
  <si>
    <t>ICE298</t>
  </si>
  <si>
    <t>ICE299</t>
  </si>
  <si>
    <t>ICE300</t>
  </si>
  <si>
    <t>ICE301</t>
  </si>
  <si>
    <t>ICE302</t>
  </si>
  <si>
    <t>ICE303</t>
  </si>
  <si>
    <t>ICE304</t>
  </si>
  <si>
    <t>ICE305</t>
  </si>
  <si>
    <t>ICE306</t>
  </si>
  <si>
    <t>ICE307</t>
  </si>
  <si>
    <t>ICE308</t>
  </si>
  <si>
    <t>ICE309</t>
  </si>
  <si>
    <t>ICE310</t>
  </si>
  <si>
    <t>1 6 30 1820</t>
  </si>
  <si>
    <t>ICE311</t>
  </si>
  <si>
    <t>ICE312</t>
  </si>
  <si>
    <t>ICE313</t>
  </si>
  <si>
    <t>ICE314</t>
  </si>
  <si>
    <t>ICE315</t>
  </si>
  <si>
    <t>1 6 31 1817</t>
  </si>
  <si>
    <t>ICE316</t>
  </si>
  <si>
    <t>ICE317</t>
  </si>
  <si>
    <t>ICE318</t>
  </si>
  <si>
    <t>ICE319</t>
  </si>
  <si>
    <t>ICE320</t>
  </si>
  <si>
    <t>ICE321</t>
  </si>
  <si>
    <t>ICE322</t>
  </si>
  <si>
    <t>ICE323</t>
  </si>
  <si>
    <t>ICE324</t>
  </si>
  <si>
    <t>ICE325</t>
  </si>
  <si>
    <t>1 6 30 1791</t>
  </si>
  <si>
    <t>ICE326</t>
  </si>
  <si>
    <t>ICE327</t>
  </si>
  <si>
    <t>ICE328</t>
  </si>
  <si>
    <t>ICE329</t>
  </si>
  <si>
    <t>ICE330</t>
  </si>
  <si>
    <t>ICE331</t>
  </si>
  <si>
    <t>ICE332</t>
  </si>
  <si>
    <t>ICE333</t>
  </si>
  <si>
    <t>ICE334</t>
  </si>
  <si>
    <t>1 6 31 1865</t>
  </si>
  <si>
    <t>ICE335</t>
  </si>
  <si>
    <t>მპ დეველოპმენტი (ს.კ. 404960217) - შპს</t>
  </si>
  <si>
    <t xml:space="preserve">Rustavi and Poti Mall </t>
  </si>
  <si>
    <t>1 6 31 810</t>
  </si>
  <si>
    <t>Rustavi and Poti Mall | 1.1.2. (+) შემოსავალი ლიფტების სერვისიდან - გეგმიური | რუსთავი მოლი (ს.კ. 405271450) - შპს</t>
  </si>
  <si>
    <t>2BAD18DC-6E49-4AD3-9FDC-1B422FF3B90D</t>
  </si>
  <si>
    <t>Rustavi and Poti Mall | 1.1.2. | მპ დეველოპმენტი  | 1,500.00 GEL | 01.04.2022</t>
  </si>
  <si>
    <t>ICE336</t>
  </si>
  <si>
    <t>Poti | 1.1.2. | მპ დეველოპმენტი  | 350.00 GEL | 01.04.2022</t>
  </si>
  <si>
    <t>ICE337</t>
  </si>
  <si>
    <t>1 6 31 1877</t>
  </si>
  <si>
    <t>ICE338</t>
  </si>
  <si>
    <t>ICE339</t>
  </si>
  <si>
    <t>ICE340</t>
  </si>
  <si>
    <t>ICE341</t>
  </si>
  <si>
    <t>ICE342</t>
  </si>
  <si>
    <t>ICE343</t>
  </si>
  <si>
    <t>ICE344</t>
  </si>
  <si>
    <t>ICE345</t>
  </si>
  <si>
    <t>1 6 31 1750</t>
  </si>
  <si>
    <t>ICE346</t>
  </si>
  <si>
    <t>ICE347</t>
  </si>
  <si>
    <t>1 6 31 1607</t>
  </si>
  <si>
    <t>ICE348</t>
  </si>
  <si>
    <t>1 6 31 1713</t>
  </si>
  <si>
    <t>ICE349</t>
  </si>
  <si>
    <t>ICE350</t>
  </si>
  <si>
    <t>ICE351</t>
  </si>
  <si>
    <t>ICE352</t>
  </si>
  <si>
    <t>Tsikhisdziri | 1.2.1. | დემურ დიასამიძე  | 10,610.00 USD | 20.06.2022</t>
  </si>
  <si>
    <t>ICE353</t>
  </si>
  <si>
    <t>1 6 30 2142</t>
  </si>
  <si>
    <t>ICE354</t>
  </si>
  <si>
    <t>1 6 30 1911 1</t>
  </si>
  <si>
    <t>ICE355</t>
  </si>
  <si>
    <t>ICE356</t>
  </si>
  <si>
    <t>ICE357</t>
  </si>
  <si>
    <t>ICE358</t>
  </si>
  <si>
    <t>7th sky</t>
  </si>
  <si>
    <t>1 6 30 1502</t>
  </si>
  <si>
    <t>ICE001124/44755/1.1.1./3GTVRO</t>
  </si>
  <si>
    <t>7fdd6160-db67-4d95-a4fc-7ae6ccc0c50a</t>
  </si>
  <si>
    <t>7th sky | 1.1.1. (+) შემოსავალი ლიფტების რეალიზაციიდან | ეიჩ გრუპ კონსტრაქშენ (ს.კ. 445510411) - შპს</t>
  </si>
  <si>
    <t>7th sky | 1.1.1. | ეიჩ გრუპ კონსტრაქშენ  | 1,266,280.00 USD | 13.07.2022</t>
  </si>
  <si>
    <t>ICE359</t>
  </si>
  <si>
    <t>ALLIANCE HIGHLINES CHILLERS</t>
  </si>
  <si>
    <t>ICE000118/44727/1.2.1./QVXXKU</t>
  </si>
  <si>
    <t>b00cd68e-053a-4994-80e0-dad77e2461da</t>
  </si>
  <si>
    <t>ALLIANCE HIGHLINES CHILLERS | 1.2.1. (+) შემოსავალი MEP დანადგარების რეალიზაციიდან | მეპერსი (ს.კ. 402121887) - შპს</t>
  </si>
  <si>
    <t>ALLIANCE HIGHLINES CHILLERS | 1.2.1. | მეპერსი  | 276,034.00 EUR | 15.06.2022</t>
  </si>
  <si>
    <t>ICE360</t>
  </si>
  <si>
    <t>ვერგე (ს.კ. 425365507) - შპს</t>
  </si>
  <si>
    <t>Moxy hotel Service</t>
  </si>
  <si>
    <t>ICE001877/44755/1.2.3./0XWT7V</t>
  </si>
  <si>
    <t>a01720ab-7170-466b-916a-85a0ee7dfb6a</t>
  </si>
  <si>
    <t>Moxy hotel Service | 1.2.3. (+) შემოსავალი MEP დანადგარების სერვისიდან - არაგეგმიური | ვერგე (ს.კ. 425365507) - შპს</t>
  </si>
  <si>
    <t>b4a248a5-14b1-4b9b-96b6-186c1fb4b4d8</t>
  </si>
  <si>
    <t>Moxy hotel Service | 1.2.3. | ვერგე  | 1,300.00 GEL | 13.07.2022</t>
  </si>
  <si>
    <t>ICE361</t>
  </si>
  <si>
    <t>გრიინ ინვესტ (ს.კ. 445450850) - შპს</t>
  </si>
  <si>
    <t>Askaneli Restaurant</t>
  </si>
  <si>
    <t>ICE000243/44753/1.2.3./ESJ7CG</t>
  </si>
  <si>
    <t>083ac5c9-6da9-4bdc-b93b-dd60b42c8cc9</t>
  </si>
  <si>
    <t>Askaneli Restaurant | 1.2.3. (+) შემოსავალი MEP დანადგარების სერვისიდან - არაგეგმიური | გრიინ ინვესტ (ს.კ. 445450850) - შპს</t>
  </si>
  <si>
    <t>B40068C7-11CB-41B5-A54B-9395249A5F92</t>
  </si>
  <si>
    <t>Askaneli Restaurant | 1.2.3. | გრიინ ინვესტ  | 1,500.00 GEL | 11.07.2022</t>
  </si>
  <si>
    <t>ICE362</t>
  </si>
  <si>
    <t>Galleria Tbilisi - Escalator Combs</t>
  </si>
  <si>
    <t>ICE000112/44747/1.1.3./8K5VMS</t>
  </si>
  <si>
    <t>beb3b0ee-c827-42c0-a283-0b86f554af6e</t>
  </si>
  <si>
    <t>Galleria Tbilisi - Escalator Combs | 1.1.3. (+) შემოსავალი ლიფტების სერვისიდან - არაგეგმიური | გალერია თბილისი (ს.კ. 204558497) - შპს</t>
  </si>
  <si>
    <t>Galleria Tbilisi - Escalator Combs | 1.1.3. | გალერია თბილისი  | 2,493.56 GEL | 05.07.2022</t>
  </si>
  <si>
    <t>ICE363</t>
  </si>
  <si>
    <t>ATU Conditioners 2</t>
  </si>
  <si>
    <t>ICE000144/44734/1.2.1./N9PD0S</t>
  </si>
  <si>
    <t>d276735d-4cd8-453e-98e3-1bb5ace1a265</t>
  </si>
  <si>
    <t>ATU Conditioners 2 | 1.2.1. (+) შემოსავალი MEP დანადგარების რეალიზაციიდან | ასოციაცია ატუ (ს.კ. 239402491) - არასამეწარმეო (არაკომერციული) იურიდიული პირი</t>
  </si>
  <si>
    <t>ATU Conditioners 2 | 1.2.1. | ასოციაცია ატუ  | 6,300.00 GEL | 22.06.2022</t>
  </si>
  <si>
    <t>ICE364</t>
  </si>
  <si>
    <t>Okrokana Service</t>
  </si>
  <si>
    <t>1 6 31 1580</t>
  </si>
  <si>
    <t>ICE001706/44713/1.1.2./VTIPM1</t>
  </si>
  <si>
    <t>d3ba7e7c-b0d0-4092-84cc-fa3bd4ad9f85</t>
  </si>
  <si>
    <t>Okrokana Service | 1.1.2. (+) შემოსავალი ლიფტების სერვისიდან - გეგმიური | გრინ ლაიფ (ს.კ. 404477730) - შპს</t>
  </si>
  <si>
    <t>Okrokana Service | 1.1.2. | გრინ ლაიფ  | 100.00 USD | 01.06.2022</t>
  </si>
  <si>
    <t>ICE365</t>
  </si>
  <si>
    <t xml:space="preserve">Monadirishvili - Mitsubishi Conditioner </t>
  </si>
  <si>
    <t>ICE001876/44718/1.2.1./L8PQVB</t>
  </si>
  <si>
    <t>4631583d-647c-4d35-b27c-0f6c2495469b</t>
  </si>
  <si>
    <t>Monadirishvili - Mitsubishi Conditioner  | 1.2.1. (+) შემოსავალი MEP დანადგარების რეალიზაციიდან | შოთა მონადირიშვილი (ს.კ. 01024051928) - ფიზ. პირი</t>
  </si>
  <si>
    <t>FB20B5F4-212D-4E39-B5D5-EDCC2F8F507F</t>
  </si>
  <si>
    <t>Monadirishvili - Mitsubishi Conditioner  | 1.2.1. | შოთა მონადირიშვილი  | 1,380.00 GEL | 06.06.2022</t>
  </si>
  <si>
    <t>ICE366</t>
  </si>
  <si>
    <t>ICE000014/44705/1.2.1./4LP03T</t>
  </si>
  <si>
    <t>87c718f1-2605-4905-ab2d-949bc6ed80d9</t>
  </si>
  <si>
    <t>Compressor | 1.2.1. (+) შემოსავალი MEP დანადგარების რეალიზაციიდან | თბილი სახლი (ს.კ. 204976179) - შპს</t>
  </si>
  <si>
    <t>Compressor | 1.2.1. | თბილი სახლი  | 8,780.00 USD | 24.05.2022</t>
  </si>
  <si>
    <t>ICE367</t>
  </si>
  <si>
    <t>ვოიარგ ლიმითედ (ს.კ. 405346102) - შპს</t>
  </si>
  <si>
    <t>VOYARG ASSY CONTROL</t>
  </si>
  <si>
    <t>ICE001878/44708/1.2.1./PDIG8X</t>
  </si>
  <si>
    <t>5bd4920c-8403-4ba4-b865-a271c999b332</t>
  </si>
  <si>
    <t>VOYARG ASSY CONTROL | 1.2.1. (+) შემოსავალი MEP დანადგარების რეალიზაციიდან | ვოიარგ ლიმითედ (ს.კ. 405346102) - შპს</t>
  </si>
  <si>
    <t>e741733c-b798-4f98-9c57-c569f4b042ea</t>
  </si>
  <si>
    <t>VOYARG ASSY CONTROL | 1.2.1. | ვოიარგ ლიმითედ  | 2,800.00 USD | 27.05.2022</t>
  </si>
  <si>
    <t>ICE368</t>
  </si>
  <si>
    <t>ICE000024/44098/1.1.1./U5WRDG</t>
  </si>
  <si>
    <t>3cf4f1d8-3744-4502-bd65-87ce6f34e66c</t>
  </si>
  <si>
    <t>Modus Kakhety HW 2 | 1.1.1. (+) შემოსავალი ლიფტების რეალიზაციიდან | მოდუსი (ს.კ. 245565669) - შპს</t>
  </si>
  <si>
    <t>Modus Kakhety HW 2 | 1.1.1. | მოდუსი  | 23,000.00 USD | 24.09.2020</t>
  </si>
  <si>
    <t>ICE369</t>
  </si>
  <si>
    <t>Shato Mukhrani Filters</t>
  </si>
  <si>
    <t>ICE000804/44768/1.2.1./TYRMPV</t>
  </si>
  <si>
    <t>1b32c213-6c67-4c1a-a767-a06e197a43ae</t>
  </si>
  <si>
    <t>Shato Mukhrani Filters | 1.2.1. (+) შემოსავალი MEP დანადგარების რეალიზაციიდან | შატო მუხრანი (ს.კ. 205000381) - სს</t>
  </si>
  <si>
    <t>Shato Mukhrani Filters | 1.2.1. | შატო მუხრანი  | 545.00 USD | 26.07.2022</t>
  </si>
  <si>
    <t>ICE370</t>
  </si>
  <si>
    <t>ბაგრატიონი რეზიდენსი (ს.კ. 445572568) - შპს</t>
  </si>
  <si>
    <t>Bagrationi</t>
  </si>
  <si>
    <t>1 6 30 1927</t>
  </si>
  <si>
    <t>ICE001880/44737/1.1.1./2T1HQF</t>
  </si>
  <si>
    <t>9518b3a0-051a-4732-b24d-e59f121af873</t>
  </si>
  <si>
    <t>Bagrationi | 1.1.1. (+) შემოსავალი ლიფტების რეალიზაციიდან | ბაგრატიონი რეზიდენსი (ს.კ. 445572568) - შპს</t>
  </si>
  <si>
    <t>58fa8342-2181-4246-af05-590de2ef9e8d</t>
  </si>
  <si>
    <t>Bagrationi | 1.1.1. | ბაგრატიონი რეზიდენსი  | 413,654.00 USD | 25.06.2022</t>
  </si>
  <si>
    <t>ICE371</t>
  </si>
  <si>
    <t>აიდისი (ს.კ. 204998342) - შპს</t>
  </si>
  <si>
    <t>IDC Mitsubishi Conditioner</t>
  </si>
  <si>
    <t>ICE001881/44767/1.2.1./O2PFTZ</t>
  </si>
  <si>
    <t>a22792ae-98f7-4990-a17d-8080e8e8bca5</t>
  </si>
  <si>
    <t>IDC Mitsubishi Conditioner | 1.2.1. (+) შემოსავალი MEP დანადგარების რეალიზაციიდან | აიდისი (ს.კ. 204998342) - შპს</t>
  </si>
  <si>
    <t>84fbebbf-ffe3-4de2-b726-6c20f7de3e5e</t>
  </si>
  <si>
    <t>IDC Mitsubishi Conditioner | 1.2.1. | აიდისი  | 2,855.00 GEL | 25.07.2022</t>
  </si>
  <si>
    <t>ICE372</t>
  </si>
  <si>
    <t>ალიანსი ფრივილიჯი (ს.კ. 412718466) - შპს</t>
  </si>
  <si>
    <t>Alliance Previlige</t>
  </si>
  <si>
    <t>1 6 30 1952</t>
  </si>
  <si>
    <t>ICE001882/44774/1.1.1./AYODT5</t>
  </si>
  <si>
    <t>70a35471-a9c1-45d1-bfaf-a8c98abeaed7</t>
  </si>
  <si>
    <t>Alliance Previlige | 1.1.1. (+) შემოსავალი ლიფტების რეალიზაციიდან | ალიანსი ფრივილიჯი (ს.კ. 412718466) - შპს</t>
  </si>
  <si>
    <t>dbbb87c7-d197-4838-8a24-faf3e22917cc</t>
  </si>
  <si>
    <t>Alliance Previlige | 1.1.1. | ალიანსი ფრივილიჯი  | 610,990.00 USD | 01.08.2022</t>
  </si>
  <si>
    <t>ICE373</t>
  </si>
  <si>
    <t>გრანდ მოლი (ს.კ. 445524479) - შპს</t>
  </si>
  <si>
    <t>Batumi Mall</t>
  </si>
  <si>
    <t>1 6 30 1959</t>
  </si>
  <si>
    <t>ICE001883/44778/1.1.1./WBWRVQ</t>
  </si>
  <si>
    <t>6f2dbefb-3202-4b51-bd70-ea1bd9534729</t>
  </si>
  <si>
    <t>Batumi Mall | 1.1.1. (+) შემოსავალი ლიფტების რეალიზაციიდან | გრანდ მოლი (ს.კ. 445524479) - შპს</t>
  </si>
  <si>
    <t>fb5cb65c-f87e-4ad2-a3ed-fa346097ef17</t>
  </si>
  <si>
    <t>Batumi Mall | 1.1.1. | გრანდ მოლი  | 1,036,581.96 USD | 05.08.2022</t>
  </si>
  <si>
    <t>ICE374</t>
  </si>
  <si>
    <t>ინდეკო ჰოსფითალითი (ს.კ. 405508026) - შპს</t>
  </si>
  <si>
    <t>Shavteli Street</t>
  </si>
  <si>
    <t>ICE001884/44788/1.1.2./V39ORF</t>
  </si>
  <si>
    <t>62a037bd-1204-4a28-996f-855d80be40c5</t>
  </si>
  <si>
    <t>Shavteli Street | 1.1.2. (+) შემოსავალი ლიფტების სერვისიდან - გეგმიური | ინდეკო ჰოსფითალითი (ს.კ. 405508026) - შპს</t>
  </si>
  <si>
    <t>1436a7f5-9177-4e1d-85e3-61dfd225db33</t>
  </si>
  <si>
    <t>Shavteli Street | 1.1.2. | ინდეკო ჰოსფითალითი  | 120.00 USD | 15.08.2022</t>
  </si>
  <si>
    <t>ICE375</t>
  </si>
  <si>
    <t>Conditioner Parts</t>
  </si>
  <si>
    <t>ICE000032/NaN/1.2.1./GE5FQI</t>
  </si>
  <si>
    <t>d91c249a-2c4d-4283-9a90-f48d3ffadf6c</t>
  </si>
  <si>
    <t>Conditioner Parts | 1.2.1. (+) შემოსავალი MEP დანადგარების რეალიზაციიდან | თბილისი ცენტრალი (ს.კ. 205129653) - სს</t>
  </si>
  <si>
    <t>Conditioner Parts | 1.2.1. | თბილისი ცენტრალი  | 25,080.00 USD | 26.07.2022</t>
  </si>
  <si>
    <t>ICE376</t>
  </si>
  <si>
    <t>Chiller Compressors</t>
  </si>
  <si>
    <t>ICE000032/44790/1.2.1./3A5BUY</t>
  </si>
  <si>
    <t>e74c8db3-ddb3-4186-ae37-00a9984b2262</t>
  </si>
  <si>
    <t>Chiller Compressors | 1.2.1. (+) შემოსავალი MEP დანადგარების რეალიზაციიდან | თბილისი ცენტრალი (ს.კ. 205129653) - სს</t>
  </si>
  <si>
    <t>Chiller Compressors | 1.2.1. | თბილისი ცენტრალი  | 28,800.00 EUR | 17.08.2022</t>
  </si>
  <si>
    <t>ICE377</t>
  </si>
  <si>
    <t>ICE001849/44652/1.1.2./VU6JKX</t>
  </si>
  <si>
    <t>ICE378</t>
  </si>
  <si>
    <t>1 6 30 1493 2</t>
  </si>
  <si>
    <t>ICE001128/44075/1.2.1./YXVT03</t>
  </si>
  <si>
    <t>ICE379</t>
  </si>
  <si>
    <t>გიორგი ნიქაბაძე (ს.კ. 01030030896) - ფიზ. პირი</t>
  </si>
  <si>
    <t>Toshiba Split</t>
  </si>
  <si>
    <t>ICE000437/44758/1.2.1./0UW7SL</t>
  </si>
  <si>
    <t>c5a02d60-3c42-41be-b64a-371c3fd08fda</t>
  </si>
  <si>
    <t>Toshiba Split | 1.2.1. (+) შემოსავალი MEP დანადგარების რეალიზაციიდან | გიორგი ნიქაბაძე (ს.კ. 01030030896) - ფიზ. პირი</t>
  </si>
  <si>
    <t>C5D1F87D-8C4D-42C3-8E4A-B47A5A7D4D4A</t>
  </si>
  <si>
    <t>Toshiba Split | 1.2.1. | გიორგი ნიქაბაძე  | 2,000.00 GEL | 16.07.2022</t>
  </si>
  <si>
    <t>ICE380</t>
  </si>
  <si>
    <t>ზენ იოგა სტუდიო (ს.კ. 205288856) - შპს</t>
  </si>
  <si>
    <t>Yoga Center</t>
  </si>
  <si>
    <t>1 6 30 1984</t>
  </si>
  <si>
    <t>ICE001886/44852/1.2.1./TVL4XR</t>
  </si>
  <si>
    <t>3d1dc457-9f05-41a4-ae86-f443e9936353</t>
  </si>
  <si>
    <t>Yoga Center | 1.2.1. (+) შემოსავალი MEP დანადგარების რეალიზაციიდან | ზენ იოგა სტუდიო (ს.კ. 205288856) - შპს</t>
  </si>
  <si>
    <t>81885caa-698e-4700-b0c0-60d0a5119680</t>
  </si>
  <si>
    <t>Yoga Center | 1.2.1. | ზენ იოგა სტუდიო  | 35,733.60 USD | 18.10.2022</t>
  </si>
  <si>
    <t>ICE381</t>
  </si>
  <si>
    <t>Moxy Hotel Rooftop Service</t>
  </si>
  <si>
    <t>ICE001877/44854/1.2.3./GPWEIL</t>
  </si>
  <si>
    <t>ac2abdf7-c970-467c-af5b-35cf909642f4</t>
  </si>
  <si>
    <t>Moxy Hotel Rooftop Service | 1.2.3. (+) შემოსავალი MEP დანადგარების სერვისიდან - არაგეგმიური | ვერგე (ს.კ. 425365507) - შპს</t>
  </si>
  <si>
    <t>Moxy Hotel Rooftop Service | 1.2.3. | ვერგე  | 2,250.00 GEL | 20.10.2022</t>
  </si>
  <si>
    <t>ICE382</t>
  </si>
  <si>
    <t>ICE001877/44854/1.2.3./LX172K</t>
  </si>
  <si>
    <t>ICE383</t>
  </si>
  <si>
    <t>გიორგი კურტანიძე (ს.კ. 11001002721) - ფიზ. პირი</t>
  </si>
  <si>
    <t>Mitsubishi VRF System</t>
  </si>
  <si>
    <t>1 6 30 1092</t>
  </si>
  <si>
    <t>ICE000564/44859/1.2.1./DQKSRA</t>
  </si>
  <si>
    <t>ec909037-e405-41bf-9bc1-c961967df04e</t>
  </si>
  <si>
    <t>Mitsubishi VRF System | 1.2.1. (+) შემოსავალი MEP დანადგარების რეალიზაციიდან | გიორგი კურტანიძე (ს.კ. 11001002721) - ფიზ. პირი</t>
  </si>
  <si>
    <t>13540E1C-4780-43C3-B08E-70C721E67E41</t>
  </si>
  <si>
    <t>Mitsubishi VRF System | 1.2.1. | გიორგი კურტანიძე  | 8,600.00 USD | 25.10.2022</t>
  </si>
  <si>
    <t>ICE384</t>
  </si>
  <si>
    <t>8 Units Elevator Service</t>
  </si>
  <si>
    <t>ICE000004/44858/1.1.3./6MPT8V</t>
  </si>
  <si>
    <t>24f7bfb6-e62e-4ac7-ae2c-6cae7b9628f2</t>
  </si>
  <si>
    <t>8 Units Elevator Service | 1.1.3. (+) შემოსავალი ლიფტების სერვისიდან - არაგეგმიური | დომუს სერვისი (ს.კ. 405311336) - შპს</t>
  </si>
  <si>
    <t>8 Units Elevator Service | 1.1.3. | დომუს სერვისი  | 1,000.00 GEL | 24.10.2022</t>
  </si>
  <si>
    <t>ICE385</t>
  </si>
  <si>
    <t>ვ-ჯეო რესტორნები (ს.კ. 405404076) - შპს</t>
  </si>
  <si>
    <t>V-JEO Restaurant Platform</t>
  </si>
  <si>
    <t>1 6 30 1994</t>
  </si>
  <si>
    <t>ICE001887/44860/1.1.1./EMBQ1W</t>
  </si>
  <si>
    <t>42af9194-e383-4f14-92d7-e3ab5d060023</t>
  </si>
  <si>
    <t>V-JEO Restaurant Platform | 1.1.1. (+) შემოსავალი ლიფტების რეალიზაციიდან | ვ-ჯეო რესტორნები (ს.კ. 405404076) - შპს</t>
  </si>
  <si>
    <t>b178ee69-8398-4d71-9a3b-727043bba954</t>
  </si>
  <si>
    <t>V-JEO Restaurant Platform | 1.1.1. | ვ-ჯეო რესტორნები  | 12,000.00 USD | 26.10.2022</t>
  </si>
  <si>
    <t>ICE386</t>
  </si>
  <si>
    <t>გოლდენ გრუპ (ს.კ. 445519831) - შპს</t>
  </si>
  <si>
    <t>Saturday Mode</t>
  </si>
  <si>
    <t>ICE001888/44835/1.1.3./S6PH8X</t>
  </si>
  <si>
    <t>d126262c-dbc0-459a-9ecf-e2cee027e985</t>
  </si>
  <si>
    <t>Saturday Mode | 1.1.3. (+) შემოსავალი ლიფტების სერვისიდან - არაგეგმიური | გოლდენ გრუპ (ს.კ. 445519831) - შპს</t>
  </si>
  <si>
    <t>6db1636b-2fd7-4d19-886e-7f4fdecc76fd</t>
  </si>
  <si>
    <t>Saturday Mode | 1.1.3. | გოლდენ გრუპ  | 3,900.00 GEL | 01.10.2022</t>
  </si>
  <si>
    <t>ICE387</t>
  </si>
  <si>
    <t>White square</t>
  </si>
  <si>
    <t>ICE000118/44870/1.1.1./6CUISF</t>
  </si>
  <si>
    <t>dbd32fa4-83cc-4ef2-aeaa-8eef98900c56</t>
  </si>
  <si>
    <t>White square | 1.1.1. (+) შემოსავალი ლიფტების რეალიზაციიდან | მეპერსი (ს.კ. 402121887) - შპს</t>
  </si>
  <si>
    <t>White square | 1.1.1. | მეპერსი  | 1,000,000.00 USD | 05.11.2022</t>
  </si>
  <si>
    <t>ICE388</t>
  </si>
  <si>
    <t>თი ელ ქონსთრაქშენ (ს.კ. 445520525) - შპს</t>
  </si>
  <si>
    <t>Goderdzi Hotel AHU</t>
  </si>
  <si>
    <t>ICE001890/44800/1.2.1./4SR2SX</t>
  </si>
  <si>
    <t>88447f3e-4227-4c99-8cf8-67037c5ffac5</t>
  </si>
  <si>
    <t>Goderdzi Hotel AHU | 1.2.1. (+) შემოსავალი MEP დანადგარების რეალიზაციიდან | თი ელ ქონსთრაქშენ (ს.კ. 445520525) - შპს</t>
  </si>
  <si>
    <t>68612348-6cfb-49fe-b24b-cac04030d5a7</t>
  </si>
  <si>
    <t>Goderdzi Hotel AHU | 1.2.1. | თი ელ ქონსთრაქშენ  | 71,023.91 EUR | 27.08.2022</t>
  </si>
  <si>
    <t>ICE389</t>
  </si>
  <si>
    <t>თამილა ჭურკვეიძე (ს.კ. 61006026727) - ფიზ. პირი</t>
  </si>
  <si>
    <t>Churkveidze - 2 Units Conditioner</t>
  </si>
  <si>
    <t>ICE001893/44882/1.2.1./9X7OVA</t>
  </si>
  <si>
    <t>6213f7c7-afe1-4e2d-996f-36da99526997</t>
  </si>
  <si>
    <t>Churkveidze - 2 Units Conditioner | 1.2.1. (+) შემოსავალი MEP დანადგარების რეალიზაციიდან | თამილა ჭურკვეიძე (ს.კ. 61006026727) - ფიზ. პირი</t>
  </si>
  <si>
    <t>62adb203-22a8-4c9a-a654-f4abd3761f58</t>
  </si>
  <si>
    <t>Churkveidze - 2 Units Conditioner | 1.2.1. | თამილა ჭურკვეიძე  | 5,140.00 GEL | 17.11.2022</t>
  </si>
  <si>
    <t>ICE390</t>
  </si>
  <si>
    <t>1TV</t>
  </si>
  <si>
    <t>1 6 30 4 4</t>
  </si>
  <si>
    <t>ICE000014/44866/1.1.1./XDWOXH</t>
  </si>
  <si>
    <t>769a66f7-239b-4b07-9247-181ba26f119d</t>
  </si>
  <si>
    <t>1TV | 1.1.1. (+) შემოსავალი ლიფტების რეალიზაციიდან | თბილი სახლი (ს.კ. 204976179) - შპს</t>
  </si>
  <si>
    <t>1TV | 1.1.1. | თბილი სახლი  | 199,940.00 USD | 01.11.2022</t>
  </si>
  <si>
    <t>ICE391</t>
  </si>
  <si>
    <t>თემურ უსტიაშვილი (ს.კ. 61001007309) - ფიზ. პირი</t>
  </si>
  <si>
    <t>Diesel Generator Service</t>
  </si>
  <si>
    <t>ICE000631/44859/1.2.3./XFPVR8</t>
  </si>
  <si>
    <t>609c623f-d3a4-469e-91c7-a7c5ffacb0fc</t>
  </si>
  <si>
    <t>Diesel Generator Service | 1.2.3. (+) შემოსავალი MEP დანადგარების სერვისიდან - არაგეგმიური | თემურ უსტიაშვილი (ს.კ. 61001007309) - ფიზ. პირი</t>
  </si>
  <si>
    <t>E9C2253A-B4A6-4693-9A79-2AE9F4E5F66B</t>
  </si>
  <si>
    <t>Diesel Generator Service | 1.2.3. | თემურ უსტიაშვილი  | 1,076.20 GEL | 25.10.2022</t>
  </si>
  <si>
    <t>ICE392</t>
  </si>
  <si>
    <t>თბილისი სითი (ს.კ. 405034537) - შპს</t>
  </si>
  <si>
    <t>Cooling Tower Belts</t>
  </si>
  <si>
    <t>ICE001894/44872/1.2.1./EMOLPP</t>
  </si>
  <si>
    <t>b1e1d0d3-3078-495e-8667-dc50cc397b43</t>
  </si>
  <si>
    <t>Cooling Tower Belts | 1.2.1. (+) შემოსავალი MEP დანადგარების რეალიზაციიდან | თბილისი სითი (ს.კ. 405034537) - შპს</t>
  </si>
  <si>
    <t>c12720de-3276-40e2-abd0-b542e0a18f02</t>
  </si>
  <si>
    <t>Cooling Tower Belts | 1.2.1. | თბილისი სითი  | 12,060.00 USD | 07.11.2022</t>
  </si>
  <si>
    <t>ICE393</t>
  </si>
  <si>
    <t>Macdonalds Orkhevi</t>
  </si>
  <si>
    <t>ICE000014/44835/1.2.2./4GZACN</t>
  </si>
  <si>
    <t>8bc6c19b-97f2-4132-8098-d17b7934309a</t>
  </si>
  <si>
    <t>Macdonalds Orkhevi | 1.2.2. (+) შემოსავალი MEP დანადგარების სერვისიდან - გეგმიური | თბილი სახლი (ს.კ. 204976179) - შპს</t>
  </si>
  <si>
    <t>Macdonalds Orkhevi | 1.2.2. | თბილი სახლი  | 944.00 GEL | 01.10.2022</t>
  </si>
  <si>
    <t>ICE394</t>
  </si>
  <si>
    <t>Macdonalds Isani</t>
  </si>
  <si>
    <t>ICE000014/44866/1.2.2./5FJVW8</t>
  </si>
  <si>
    <t>5d79a202-227f-46ed-ac97-9b5c8899aaa3</t>
  </si>
  <si>
    <t>Macdonalds Isani | 1.2.2. (+) შემოსავალი MEP დანადგარების სერვისიდან - გეგმიური | თბილი სახლი (ს.კ. 204976179) - შპს</t>
  </si>
  <si>
    <t>Macdonalds Isani | 1.2.2. | თბილი სახლი  | 944.00 GEL | 01.11.2022</t>
  </si>
  <si>
    <t>ICE395</t>
  </si>
  <si>
    <t>Gold Market</t>
  </si>
  <si>
    <t>ICE000032/44861/1.2.1./4VVQP1</t>
  </si>
  <si>
    <t>86ef1332-8bc1-4ccc-8a9c-e79bc84c69cc</t>
  </si>
  <si>
    <t>Gold Market | 1.2.1. (+) შემოსავალი MEP დანადგარების რეალიზაციიდან | თბილისი ცენტრალი (ს.კ. 205129653) - სს</t>
  </si>
  <si>
    <t>Gold Market | 1.2.1. | თბილისი ცენტრალი  | 218,060.00 USD | 27.10.2022</t>
  </si>
  <si>
    <t>ICE396</t>
  </si>
  <si>
    <t>SAKCABELI - Fan</t>
  </si>
  <si>
    <t>ICE001267/44834/1.2.2./ZPVOFX</t>
  </si>
  <si>
    <t>d6f67cb9-fc9f-480c-8810-a925042a1330</t>
  </si>
  <si>
    <t>SAKCABELI - Fan | 1.2.2. (+) შემოსავალი MEP დანადგარების სერვისიდან - გეგმიური | ლენოქსი (ს.კ. 418476893) - შპს</t>
  </si>
  <si>
    <t>SAKCABELI - Fan | 1.2.2. | ლენოქსი  | 12,850.00 GEL | 30.09.2022</t>
  </si>
  <si>
    <t>ICE397</t>
  </si>
  <si>
    <t>იბრაიმ შალიკაძე (ს.კ. 61006002758) - ფიზ. პირი</t>
  </si>
  <si>
    <t>IBRAHIM GRILS</t>
  </si>
  <si>
    <t>ICE001896/44889/1.2.1./U92RA5</t>
  </si>
  <si>
    <t>ba6961cc-1c74-41c9-b229-82eff87cfbdd</t>
  </si>
  <si>
    <t>IBRAHIM GRILS | 1.2.1. (+) შემოსავალი MEP დანადგარების რეალიზაციიდან | იბრაიმ შალიკაძე (ს.კ. 61006002758) - ფიზ. პირი</t>
  </si>
  <si>
    <t>95fd8a07-50e2-4f93-b641-f8fc33a8f6d2</t>
  </si>
  <si>
    <t>IBRAHIM GRILS | 1.2.1. | იბრაიმ შალიკაძე  | 22,740.00 USD | 24.11.2022</t>
  </si>
  <si>
    <t>ICE398</t>
  </si>
  <si>
    <t>Philip Morries Elevator Repair</t>
  </si>
  <si>
    <t>ICE000021/44883/1.1.3./A379OG</t>
  </si>
  <si>
    <t>d0dfb7e1-9ca2-4e35-9f4f-7db378cc7b8b</t>
  </si>
  <si>
    <t>Philip Morries Elevator Repair | 1.1.3. (+) შემოსავალი ლიფტების სერვისიდან - არაგეგმიური | ჯი-ემ-თი სასტუმროები (ს.კ. 203842333) - შპს</t>
  </si>
  <si>
    <t>Philip Morries Elevator Repair | 1.1.3. | ჯი-ემ-თი სასტუმროები  | 2,400.00 GEL | 18.11.2022</t>
  </si>
  <si>
    <t>ICE399</t>
  </si>
  <si>
    <t>DT MUHENDISLIK VE TAAHHUT A.S. (ს.კ. 0) - უცხოური საწარმო</t>
  </si>
  <si>
    <t>TBC Chillers</t>
  </si>
  <si>
    <t>ICE001903/44917/1.2.1./JL4P7U</t>
  </si>
  <si>
    <t>34ddb99b-0555-4a3e-9e84-ce906d1e5f4d</t>
  </si>
  <si>
    <t>TBC Chillers | 1.2.1. (+) შემოსავალი MEP დანადგარების რეალიზაციიდან | DT MUHENDISLIK VE TAAHHUT A.S. (ს.კ. 0) - უცხოური საწარმო</t>
  </si>
  <si>
    <t>e73bbc35-c413-4683-8c6f-c015c511dffa</t>
  </si>
  <si>
    <t>TBC Chillers | 1.2.1. | DT MUHENDISLIK VE TAAHHUT A.S.  | 465,028.00 USD | 22.12.2022</t>
  </si>
  <si>
    <t>ICE400</t>
  </si>
  <si>
    <t>დნთ ქონსთრაქშენ (ს.კ. 405418196) - შპს</t>
  </si>
  <si>
    <t>TBC Refregerant</t>
  </si>
  <si>
    <t>ICE1904/44917/1.2.1./9N8UKR</t>
  </si>
  <si>
    <t>1ee8831c-7b71-4b83-b948-f43843a68b54</t>
  </si>
  <si>
    <t>TBC Refregerant | 1.2.1. (+) შემოსავალი MEP დანადგარების რეალიზაციიდან | დნთ ქონსთრაქშენ (ს.კ. 405418196) - შპს</t>
  </si>
  <si>
    <t>830b062b-b828-450d-8340-a3eabbf037ce</t>
  </si>
  <si>
    <t>TBC Refregerant | 1.2.1. | დნთ ქონსთრაქშენ  | 12,390.00 USD | 22.12.2022</t>
  </si>
  <si>
    <t>ICE401</t>
  </si>
  <si>
    <t>TBC Fancoils</t>
  </si>
  <si>
    <t>ICE001903/44917/1.2.1./QQTVCW</t>
  </si>
  <si>
    <t>df3bc660-2d88-4c2e-919b-a5268936542c</t>
  </si>
  <si>
    <t>TBC Fancoils | 1.2.1. (+) შემოსავალი MEP დანადგარების რეალიზაციიდან | DT MUHENDISLIK VE TAAHHUT A.S. (ს.კ. 0) - უცხოური საწარმო</t>
  </si>
  <si>
    <t>TBC Fancoils | 1.2.1. | DT MUHENDISLIK VE TAAHHUT A.S.  | 281,128.00 EUR | 22.12.2022</t>
  </si>
  <si>
    <t>ICE402</t>
  </si>
  <si>
    <t>TBC AHU</t>
  </si>
  <si>
    <t>ICE1904/44917/1.2.1./O8BOFH</t>
  </si>
  <si>
    <t>7213db89-283a-482f-a6cc-6b9783c8b947</t>
  </si>
  <si>
    <t>TBC AHU | 1.2.1. (+) შემოსავალი MEP დანადგარების რეალიზაციიდან | დნთ ქონსთრაქშენ (ს.კ. 405418196) - შპს</t>
  </si>
  <si>
    <t>TBC AHU | 1.2.1. | დნთ ქონსთრაქშენ  | 313,042.00 EUR | 22.12.2022</t>
  </si>
  <si>
    <t>ICE403</t>
  </si>
  <si>
    <t>Kvareli Elevators</t>
  </si>
  <si>
    <t>1 6 30 541 6</t>
  </si>
  <si>
    <t>ICE000043/44866/1.1.1./TV7AQC</t>
  </si>
  <si>
    <t>97467425-3024-4e47-a9e4-7fae80ccd880</t>
  </si>
  <si>
    <t>Kvareli Elevators | 1.1.1. (+) შემოსავალი ლიფტების რეალიზაციიდან | ინდეკო (ს.კ. 202376133) - შპს</t>
  </si>
  <si>
    <t>Kvareli Elevators | 1.1.1. | ინდეკო  | 291,990.00 USD | 01.11.2022</t>
  </si>
  <si>
    <t>ICE404</t>
  </si>
  <si>
    <t>ინდეკო სი ემ  (ს.კ. 405508339) - შპს</t>
  </si>
  <si>
    <t>Kvareli VRV</t>
  </si>
  <si>
    <t>ICE1905/44866/1.2.1./6TJBQV</t>
  </si>
  <si>
    <t>66d9df28-01b5-4f93-88bb-2b5fac652ad7</t>
  </si>
  <si>
    <t>Kvareli VRV | 1.2.1. (+) შემოსავალი MEP დანადგარების რეალიზაციიდან | ინდეკო სი ემ  (ს.კ. 405508339) - შპს</t>
  </si>
  <si>
    <t>ba94ed59-522c-4852-994c-130ef7e8cd30</t>
  </si>
  <si>
    <t>Kvareli VRV | 1.2.1. | ინდეკო სი ემ   | 254,269.84 USD | 01.11.2022</t>
  </si>
  <si>
    <t>ICE405</t>
  </si>
  <si>
    <t>Kvareli AHU</t>
  </si>
  <si>
    <t>ICE1905/44866/1.2.1./TC1D7T</t>
  </si>
  <si>
    <t>2a0fd654-9360-49d7-a8a9-4b107127951e</t>
  </si>
  <si>
    <t>Kvareli AHU | 1.2.1. (+) შემოსავალი MEP დანადგარების რეალიზაციიდან | ინდეკო სი ემ  (ს.კ. 405508339) - შპს</t>
  </si>
  <si>
    <t>Kvareli AHU | 1.2.1. | ინდეკო სი ემ   | 109,707.00 EUR | 01.11.2022</t>
  </si>
  <si>
    <t>ICE406</t>
  </si>
  <si>
    <t>შატო დე ვერე (ს.კ. 405357224) - სს</t>
  </si>
  <si>
    <t>Chato di Vere</t>
  </si>
  <si>
    <t>1 6 30 2037</t>
  </si>
  <si>
    <t>ICE001906/44905/1.1.1./5VLWZR</t>
  </si>
  <si>
    <t>96eaf1a3-2f7c-4af8-bc23-29814db64545</t>
  </si>
  <si>
    <t>Chato di Vere | 1.1.1. (+) შემოსავალი ლიფტების რეალიზაციიდან | შატო დე ვერე (ს.კ. 405357224) - სს</t>
  </si>
  <si>
    <t>80df9929-4edd-411e-b6a3-b5e9f30e5fa0</t>
  </si>
  <si>
    <t>Chato di Vere | 1.1.1. | შატო დე ვერე  | 28,300.00 USD | 10.12.2022</t>
  </si>
  <si>
    <t>ICE407</t>
  </si>
  <si>
    <t>ასკანელი ვაინერი &amp; დისტილერი (ს.კ. 205010888) - შპს</t>
  </si>
  <si>
    <t>Askaneli Kvareli</t>
  </si>
  <si>
    <t>1 6 30 2102</t>
  </si>
  <si>
    <t>ICE001907/44896/1.1.1./U5J6LO</t>
  </si>
  <si>
    <t>42a65f49-f18f-4bda-9070-13bd45302953</t>
  </si>
  <si>
    <t>Askaneli Kvareli | 1.1.1. (+) შემოსავალი ლიფტების რეალიზაციიდან | ასკანელი ვაინერი &amp; დისტილერი (ს.კ. 205010888) - შპს</t>
  </si>
  <si>
    <t>0ea1ff2e-cd21-42e6-8652-3079bf1d48b2</t>
  </si>
  <si>
    <t>Askaneli Kvareli | 1.1.1. | ასკანელი ვაინერი &amp; დისტილერი  | 139,500.00 USD | 01.12.2022</t>
  </si>
  <si>
    <t>ICE408</t>
  </si>
  <si>
    <t>იეჰოვას მოწმეთა ქრისტიანული კრება საქართველოში (ს.კ. 406134678) - საჯარო სამართლის იურიდიული პირი</t>
  </si>
  <si>
    <t>Watch Tower</t>
  </si>
  <si>
    <t>ICE000145/44918/1.2.1./2XRYJE</t>
  </si>
  <si>
    <t>e4210bd2-fb2b-41af-8034-a705ff42d187</t>
  </si>
  <si>
    <t>Watch Tower | 1.2.1. (+) შემოსავალი MEP დანადგარების რეალიზაციიდან | იეჰოვას მოწმეთა ქრისტიანული კრება საქართველოში (ს.კ. 406134678) - საჯარო სამართლის იურიდიული პირი</t>
  </si>
  <si>
    <t>91DBD569-D92B-4DE1-81A0-7446C323A19C</t>
  </si>
  <si>
    <t>Watch Tower | 1.2.1. | იეჰოვას მოწმეთა ქრისტიანული კრება საქართველოში  | 13,090.00 USD | 23.12.2022</t>
  </si>
  <si>
    <t>ICE409</t>
  </si>
  <si>
    <t>Gori Mall</t>
  </si>
  <si>
    <t>1 6 30 810</t>
  </si>
  <si>
    <t>ICE001427/44925/1.1.1./JID2RU</t>
  </si>
  <si>
    <t>07bb9243-11c7-4752-b253-97344fa40f3a</t>
  </si>
  <si>
    <t>Gori Mall | 1.1.1. (+) შემოსავალი ლიფტების რეალიზაციიდან | მპ დეველოპმენტი (ს.კ. 404960217) - შპს</t>
  </si>
  <si>
    <t>Gori Mall | 1.1.1. | მპ დეველოპმენტი  | 125,000.00 USD | 30.12.2022</t>
  </si>
  <si>
    <t>ICE410</t>
  </si>
  <si>
    <t>სითი სისტემს (ს.კ. 405319668) - შპს</t>
  </si>
  <si>
    <t>Motor DC</t>
  </si>
  <si>
    <t>ICE001918/44944/1.2.1./E93OV0</t>
  </si>
  <si>
    <t>38fa946e-78aa-4ed9-9d8e-db82dcf798e7</t>
  </si>
  <si>
    <t>Motor DC | 1.2.1. (+) შემოსავალი MEP დანადგარების რეალიზაციიდან | სითი სისტემს (ს.კ. 405319668) - შპს</t>
  </si>
  <si>
    <t>2490dae3-255a-413e-b60e-82d1999b0290</t>
  </si>
  <si>
    <t>Motor DC | 1.2.1. | სითი სისტემს  | 1,250.00 USD | 18.01.2023</t>
  </si>
  <si>
    <t>ICE411</t>
  </si>
  <si>
    <t>Fan Motor - City System</t>
  </si>
  <si>
    <t>ICE001918/44944/1.2.1./RNHIQ4</t>
  </si>
  <si>
    <t>d091a2f6-d42c-4480-8c8d-5f4364dda501</t>
  </si>
  <si>
    <t>Fan Motor - City System | 1.2.1. (+) შემოსავალი MEP დანადგარების რეალიზაციიდან | სითი სისტემს (ს.კ. 405319668) - შპს</t>
  </si>
  <si>
    <t>Fan Motor - City System | 1.2.1. | სითი სისტემს  | 1,250.00 USD | 18.01.2023</t>
  </si>
  <si>
    <t>ICE412</t>
  </si>
  <si>
    <t>Beauty Life (ს.კ. 204557639) - შპს</t>
  </si>
  <si>
    <t>Beauty Life</t>
  </si>
  <si>
    <t>1630 2064</t>
  </si>
  <si>
    <t>ICE001923/44946/1.2.1./XCVTV9</t>
  </si>
  <si>
    <t>1279700f-a7de-4cea-b2d1-44c49af62fd9</t>
  </si>
  <si>
    <t>Beauty Life | 1.2.1. (+) შემოსავალი MEP დანადგარების რეალიზაციიდან | Beauty Life (ს.კ. 204557639) - შპს</t>
  </si>
  <si>
    <t>6f986c6a-0419-4e51-b724-a6cb819550b1</t>
  </si>
  <si>
    <t>Beauty Life | 1.2.1. | Beauty Life  | 9,330.00 USD | 20.01.2023</t>
  </si>
  <si>
    <t>ICE413</t>
  </si>
  <si>
    <t>ელთ ბილდინგი (ს.კ. 445471285) - შპს</t>
  </si>
  <si>
    <t>ELT BUILDING</t>
  </si>
  <si>
    <t>1 6 30 2101</t>
  </si>
  <si>
    <t>ICE001922/44585/1.1.1./I0N7CX</t>
  </si>
  <si>
    <t>bc3f57bb-8758-4550-9a02-e814eb170c54</t>
  </si>
  <si>
    <t>ELT BUILDING | 1.1.1. (+) შემოსავალი ლიფტების რეალიზაციიდან | ელთ ბილდინგი (ს.კ. 445471285) - შპს</t>
  </si>
  <si>
    <t>4919eb9d-4646-43e8-92f6-429e479dfb02</t>
  </si>
  <si>
    <t>ELT BUILDING | 1.1.1. | ელთ ბილდინგი  | 328,000.00 USD | 24.01.2022</t>
  </si>
  <si>
    <t>ICE414</t>
  </si>
  <si>
    <t>Iumashev Stock</t>
  </si>
  <si>
    <t>ICE000169/36892/1.1.1./JGS8TT</t>
  </si>
  <si>
    <t>5e3ae24f-6052-49c6-9539-798920a861ae</t>
  </si>
  <si>
    <t>Iumashev Stock | 1.1.1. (+) შემოსავალი ლიფტების რეალიზაციიდან | აი-სი-ი (ს.კ. 400017245) - შპს</t>
  </si>
  <si>
    <t>Iumashev Stock | 1.1.1. | აი-სი-ი  | 0.00 GEL | 01.01.2001</t>
  </si>
  <si>
    <t>ICE415</t>
  </si>
  <si>
    <t>Dar Building Doors</t>
  </si>
  <si>
    <t>ICE000012/44953/1.1.1./0ROM78</t>
  </si>
  <si>
    <t>0373d326-7feb-42eb-990c-3af94f0089e3</t>
  </si>
  <si>
    <t>Dar Building Doors | 1.1.1. (+) შემოსავალი ლიფტების რეალიზაციიდან | Dar Building (ს.კ. 445420875) - შპს</t>
  </si>
  <si>
    <t>Dar Building Doors | 1.1.1. | Dar Building  | 17,845.00 GEL | 27.01.2023</t>
  </si>
  <si>
    <t>ICE416</t>
  </si>
  <si>
    <t>Macdonalds Ortachala Rooftop System</t>
  </si>
  <si>
    <t>1 6 31 4 6</t>
  </si>
  <si>
    <t>ICE000014/44914/1.2.3./IPHQBX</t>
  </si>
  <si>
    <t>2b337b80-f35d-4ea5-b222-e0e8c000067a</t>
  </si>
  <si>
    <t>Macdonalds Ortachala Rooftop System | 1.2.3. (+) შემოსავალი MEP დანადგარების სერვისიდან - არაგეგმიური | თბილი სახლი (ს.კ. 204976179) - შპს</t>
  </si>
  <si>
    <t>Macdonalds Ortachala Rooftop System | 1.2.3. | თბილი სახლი  | 2,500.00 GEL | 19.12.2022</t>
  </si>
  <si>
    <t>ICE417</t>
  </si>
  <si>
    <t>Moxy Hotel Service 2023</t>
  </si>
  <si>
    <t>ICE001877/44949/1.2.3./PAHM9X</t>
  </si>
  <si>
    <t>3256f792-aa75-43f9-9aa9-e5d2abc77792</t>
  </si>
  <si>
    <t>Moxy Hotel Service 2023 | 1.2.3. (+) შემოსავალი MEP დანადგარების სერვისიდან - არაგეგმიური | ვერგე (ს.კ. 425365507) - შპს</t>
  </si>
  <si>
    <t>Moxy Hotel Service 2023 | 1.2.3. | ვერგე  | 1,300.00 GEL | 23.01.2023</t>
  </si>
  <si>
    <t>ICE418</t>
  </si>
  <si>
    <t>Chavchavadze Stock</t>
  </si>
  <si>
    <t>ICE000169/36526/1.3.1./LSQFA8</t>
  </si>
  <si>
    <t>e27d0114-30c4-4a29-8271-7cf903b942ab</t>
  </si>
  <si>
    <t>Chavchavadze Stock | 1.3.1. (+) სხვადასხვა ინვენტარის რეალიზაცია | აი-სი-ი (ს.კ. 400017245) - შპს</t>
  </si>
  <si>
    <t>Chavchavadze Stock | 1.3.1. | აი-სი-ი  | 0.00 GEL | 01.01.2000</t>
  </si>
  <si>
    <t>ICE419</t>
  </si>
  <si>
    <t>Batumi Office Stock</t>
  </si>
  <si>
    <t>ICE000169/36526/1.3.1./7WJQXP</t>
  </si>
  <si>
    <t>1599bf02-997e-469d-9096-8557eb953dad</t>
  </si>
  <si>
    <t>Batumi Office Stock | 1.3.1. (+) სხვადასხვა ინვენტარის რეალიზაცია | აი-სი-ი (ს.კ. 400017245) - შპს</t>
  </si>
  <si>
    <t>Batumi Office Stock | 1.3.1. | აი-სი-ი  | 0.00 GEL | 01.01.2000</t>
  </si>
  <si>
    <t>ICE420</t>
  </si>
  <si>
    <t>გიორგი ჩხიკვიშვილი (ს.კ. 55001026533) - ფიზ. პირი</t>
  </si>
  <si>
    <t>Didi dighomi LOP</t>
  </si>
  <si>
    <t>ICE002026/44952/1.2.3./SWQRMY</t>
  </si>
  <si>
    <t>36f78c14-fe6c-4a5c-b47b-0eec5a6d2774</t>
  </si>
  <si>
    <t>Didi dighomi LOP | 1.2.3. (+) შემოსავალი MEP დანადგარების სერვისიდან - არაგეგმიური | გიორგი ჩხიკვიშვილი (ს.კ. 55001026533) - ფიზ. პირი</t>
  </si>
  <si>
    <t>adad13a6-7d16-40a4-a2ba-4f8cda09441a</t>
  </si>
  <si>
    <t>Didi dighomi LOP | 1.2.3. | გიორგი ჩხიკვიშვილი  | 268.00 USD | 26.01.2023</t>
  </si>
  <si>
    <t>ICE421</t>
  </si>
  <si>
    <t>ICE000014/44952/1.1.3./C6TUO8</t>
  </si>
  <si>
    <t>7af9a2cf-efaa-4068-b9e5-776d77265019</t>
  </si>
  <si>
    <t>Didi dighomi LOP | 1.1.3. (+) შემოსავალი ლიფტების სერვისიდან - არაგეგმიური | თბილი სახლი (ს.კ. 204976179) - შპს</t>
  </si>
  <si>
    <t>Didi dighomi LOP | 1.1.3. | თბილი სახლი  | 230.00 USD | 26.01.2023</t>
  </si>
  <si>
    <t>ICE422</t>
  </si>
  <si>
    <t>Gas Co</t>
  </si>
  <si>
    <t>ICE000118/44593/1.1.1./5WYTD9</t>
  </si>
  <si>
    <t>241bb860-e2e9-420d-86c8-20fe3416d93c</t>
  </si>
  <si>
    <t>Gas Co | 1.1.1. (+) შემოსავალი ლიფტების რეალიზაციიდან | მეპერსი (ს.კ. 402121887) - შპს</t>
  </si>
  <si>
    <t>Gas Co | 1.1.1. | მეპერსი  | 100,000.00 USD | 01.02.2022</t>
  </si>
  <si>
    <t>ICE423</t>
  </si>
  <si>
    <t>ELL‐GA‐MAN (ს.კ. 0) - უცხოური საწარმო</t>
  </si>
  <si>
    <t>Kostia Armenia Elmagan</t>
  </si>
  <si>
    <t>ICE002032/44944/1.2.1./7G5KVZ</t>
  </si>
  <si>
    <t>b455a95f-37f3-47d3-8efb-ca7b7017f3d6</t>
  </si>
  <si>
    <t>Kostia Armenia Elmagan | 1.2.1. (+) შემოსავალი MEP დანადგარების რეალიზაციიდან | ELL‐GA‐MAN (ს.კ. 0) - უცხოური საწარმო</t>
  </si>
  <si>
    <t>12941286-d054-4c3b-9910-04d6e3a4e33a</t>
  </si>
  <si>
    <t>Kostia Armenia Elmagan | 1.2.1. | ELL‐GA‐MAN  | 12,050.75 USD | 18.01.2023</t>
  </si>
  <si>
    <t>ICE424</t>
  </si>
  <si>
    <t>Elevator Rope</t>
  </si>
  <si>
    <t>ICE000019/44909/1.1.3./WJCQRS</t>
  </si>
  <si>
    <t>64e9d62c-acb0-491a-a10e-5ad9141e78b8</t>
  </si>
  <si>
    <t>Elevator Rope | 1.1.3. (+) შემოსავალი ლიფტების სერვისიდან - არაგეგმიური | გალერია ჰოტელ მენეჯმენტი (ს.კ. 404567508) - შპს</t>
  </si>
  <si>
    <t>Elevator Rope | 1.1.3. | გალერია ჰოტელ მენეჯმენტი  | 2,350.00 USD | 14.12.2022</t>
  </si>
  <si>
    <t>ICE425</t>
  </si>
  <si>
    <t>Waikiki Flo</t>
  </si>
  <si>
    <t>ICE000032/44959/1.2.3./FZDORH</t>
  </si>
  <si>
    <t>9fa80c94-64fb-4b66-bb90-3765753e1e44</t>
  </si>
  <si>
    <t>Waikiki Flo | 1.2.3. (+) შემოსავალი MEP დანადგარების სერვისიდან - არაგეგმიური | თბილისი ცენტრალი (ს.კ. 205129653) - სს</t>
  </si>
  <si>
    <t>Waikiki Flo | 1.2.3. | თბილისი ცენტრალი  | 84,897.50 USD | 02.02.2023</t>
  </si>
  <si>
    <t>ICE426</t>
  </si>
  <si>
    <t>Macdonalds Orkhevi Rooftop System</t>
  </si>
  <si>
    <t>ICE000014/44826/1.2.3./FX78JT</t>
  </si>
  <si>
    <t>cc3aaef9-fd5b-45c6-b416-96cf78ba30df</t>
  </si>
  <si>
    <t>Macdonalds Orkhevi Rooftop System | 1.2.3. (+) შემოსავალი MEP დანადგარების სერვისიდან - არაგეგმიური | თბილი სახლი (ს.კ. 204976179) - შპს</t>
  </si>
  <si>
    <t>Macdonalds Orkhevi Rooftop System | 1.2.3. | თბილი სახლი  | 2,500.00 GEL | 22.09.2022</t>
  </si>
  <si>
    <t>ICE427</t>
  </si>
  <si>
    <t>Beauty Life MEP</t>
  </si>
  <si>
    <t>ICE001923/44581/1.2.1./O704IW</t>
  </si>
  <si>
    <t>507e8d73-197b-4278-8461-30cea6a9a1cb</t>
  </si>
  <si>
    <t>Beauty Life MEP | 1.2.1. (+) შემოსავალი MEP დანადგარების რეალიზაციიდან | Beauty Life (ს.კ. 204557639) - შპს</t>
  </si>
  <si>
    <t>Beauty Life MEP | 1.2.1. | Beauty Life  | 9,330.00 USD | 20.01.2022</t>
  </si>
  <si>
    <t>ICE428</t>
  </si>
  <si>
    <t>Beauty Life MEP Installation</t>
  </si>
  <si>
    <t>ICE001923/44964/1.2.1./1T0KB5</t>
  </si>
  <si>
    <t>52cfbe12-fb35-4a80-9461-1a3148bbb342</t>
  </si>
  <si>
    <t>Beauty Life MEP Installation | 1.2.1. (+) შემოსავალი MEP დანადგარების რეალიზაციიდან | Beauty Life (ს.კ. 204557639) - შპს</t>
  </si>
  <si>
    <t>Beauty Life MEP Installation | 1.2.1. | Beauty Life  | 3,200.00 GEL | 07.02.2023</t>
  </si>
  <si>
    <t>ICE429</t>
  </si>
  <si>
    <t>Heat Pumps</t>
  </si>
  <si>
    <t>ICE001753/44867/1.2.1./BOVFUJ</t>
  </si>
  <si>
    <t>4a5004d6-b85b-41e0-99b0-a33785e10645</t>
  </si>
  <si>
    <t>Heat Pumps | 1.2.1. (+) შემოსავალი MEP დანადგარების რეალიზაციიდან | სუპრემე სოლუთიონს (ს.კ. 445587320) - შპს</t>
  </si>
  <si>
    <t>Heat Pumps | 1.2.1. | სუპრემე სოლუთიონს  | 3,700.00 USD | 02.11.2022</t>
  </si>
  <si>
    <t>ICE430</t>
  </si>
  <si>
    <t>Ceiling Cassette Type &amp; Remote Control</t>
  </si>
  <si>
    <t>ICE001753/44916/1.2.1./ODWS9V</t>
  </si>
  <si>
    <t>d2ae423a-fa4e-4277-93aa-a9cd216811e7</t>
  </si>
  <si>
    <t>Ceiling Cassette Type &amp; Remote Control | 1.2.1. (+) შემოსავალი MEP დანადგარების რეალიზაციიდან | სუპრემე სოლუთიონს (ს.კ. 445587320) - შპს</t>
  </si>
  <si>
    <t>Ceiling Cassette Type &amp; Remote Control | 1.2.1. | სუპრემე სოლუთიონს  | 2,250.00 USD | 21.12.2022</t>
  </si>
  <si>
    <t>ICE431</t>
  </si>
  <si>
    <t>Alliance Chiller Repair</t>
  </si>
  <si>
    <t>ICE000118/44972/1.2.1./3SIV8N</t>
  </si>
  <si>
    <t>17033b8c-e298-498e-9d1d-bfa663214fdd</t>
  </si>
  <si>
    <t>Alliance Chiller Repair | 1.2.1. (+) შემოსავალი MEP დანადგარების რეალიზაციიდან | მეპერსი (ს.კ. 402121887) - შპს</t>
  </si>
  <si>
    <t>Alliance Chiller Repair | 1.2.1. | მეპერსი  | 7,830.00 USD | 15.02.2023</t>
  </si>
  <si>
    <t>ICE432</t>
  </si>
  <si>
    <t>Meppers Casino</t>
  </si>
  <si>
    <t>ICE000118/44972/1.2.1./JSLFDX</t>
  </si>
  <si>
    <t>43c78800-d4d2-4a51-a033-a3b62e7b15b8</t>
  </si>
  <si>
    <t>Meppers Casino | 1.2.1. (+) შემოსავალი MEP დანადგარების რეალიზაციიდან | მეპერსი (ს.კ. 402121887) - შპს</t>
  </si>
  <si>
    <t>Meppers Casino | 1.2.1. | მეპერსი  | 2,585.80 GEL | 15.02.2023</t>
  </si>
  <si>
    <t>ICE433</t>
  </si>
  <si>
    <t>Galeria Panoramic Buttons</t>
  </si>
  <si>
    <t>ICE000112/44977/1.1.3./DFCGUL</t>
  </si>
  <si>
    <t>484d112b-6487-49f4-892c-432a18ce641b</t>
  </si>
  <si>
    <t>Galeria Panoramic Buttons | 1.1.3. (+) შემოსავალი ლიფტების სერვისიდან - არაგეგმიური | გალერია თბილისი (ს.კ. 204558497) - შპს</t>
  </si>
  <si>
    <t>Galeria Panoramic Buttons | 1.1.3. | გალერია თბილისი  | 1,500.00 USD | 20.02.2023</t>
  </si>
  <si>
    <t>ICE434</t>
  </si>
  <si>
    <t>Cooling Tower Pomp</t>
  </si>
  <si>
    <t>ICE001894/44973/1.2.1./CR2JUI</t>
  </si>
  <si>
    <t>f272a413-c9c6-408a-a62e-ef675c0d05e0</t>
  </si>
  <si>
    <t>Cooling Tower Pomp | 1.2.1. (+) შემოსავალი MEP დანადგარების რეალიზაციიდან | თბილისი სითი (ს.კ. 405034537) - შპს</t>
  </si>
  <si>
    <t>Cooling Tower Pomp | 1.2.1. | თბილისი სითი  | 37,410.00 EUR | 16.02.2023</t>
  </si>
  <si>
    <t>ICE435</t>
  </si>
  <si>
    <t>ICE000014/44978/1.2.1./K6CRTJ</t>
  </si>
  <si>
    <t>c69dece7-f496-4235-be0f-9da29321c89e</t>
  </si>
  <si>
    <t>H&amp;M | 1.2.1. (+) შემოსავალი MEP დანადგარების რეალიზაციიდან | თბილი სახლი (ს.კ. 204976179) - შპს</t>
  </si>
  <si>
    <t>H&amp;M | 1.2.1. | თბილი სახლი  | 1,610.00 USD | 21.02.2023</t>
  </si>
  <si>
    <t>ICE436</t>
  </si>
  <si>
    <t>Moxy Compressor</t>
  </si>
  <si>
    <t>ICE000020/44985/1.2.1./N0V36P</t>
  </si>
  <si>
    <t>399d704a-ce6a-4c42-9993-99e7abaf419b</t>
  </si>
  <si>
    <t>Moxy Compressor | 1.2.1. (+) შემოსავალი MEP დანადგარების რეალიზაციიდან | ჯი-ემ-თი მთაწმინდა (ს.კ. 203843396) - შპს</t>
  </si>
  <si>
    <t>Moxy Compressor | 1.2.1. | ჯი-ემ-თი მთაწმინდა  | 7,600.00 EUR | 28.02.2023</t>
  </si>
  <si>
    <t>ICE437</t>
  </si>
  <si>
    <t>Darchidze Home</t>
  </si>
  <si>
    <t>1 6 30 853 3</t>
  </si>
  <si>
    <t>ICE000012/44455/1.1.1./EVQLUG</t>
  </si>
  <si>
    <t>d65dc67a-c91e-4710-979f-0d94f5ddb5f9</t>
  </si>
  <si>
    <t>Darchidze Home | 1.1.1. (+) შემოსავალი ლიფტების რეალიზაციიდან | Dar Building (ს.კ. 445420875) - შპს</t>
  </si>
  <si>
    <t>Darchidze Home | 1.1.1. | Dar Building  | 31,760.00 USD | 16.09.2021</t>
  </si>
  <si>
    <t>ICE438</t>
  </si>
  <si>
    <t>მელიქიშვილი ინნ (ს.კ. 405463546) - შპს</t>
  </si>
  <si>
    <t>Afisha</t>
  </si>
  <si>
    <t>1 6 30 2172</t>
  </si>
  <si>
    <t>ICE002069/44998/1.1.1./FA7J8Q</t>
  </si>
  <si>
    <t>9f8ed6b9-f51b-4974-a77f-2e33583fd63d</t>
  </si>
  <si>
    <t>Afisha | 1.1.1. (+) შემოსავალი ლიფტების რეალიზაციიდან | მელიქიშვილი ინნ (ს.კ. 405463546) - შპს</t>
  </si>
  <si>
    <t>c8fdb161-d4e2-4c71-9458-6ae2614d6229</t>
  </si>
  <si>
    <t>Afisha | 1.1.1. | მელიქიშვილი ინნ  | 188,560.00 USD | 13.03.2023</t>
  </si>
  <si>
    <t>ICE439</t>
  </si>
  <si>
    <t>პრემიუმ დეველოპმენტ კომპანი (ს.კ. 404597691) - შპს</t>
  </si>
  <si>
    <t>Barnovi</t>
  </si>
  <si>
    <t>ICE002070/44998/1.1.1./HDYX4Q</t>
  </si>
  <si>
    <t>e6b9189e-4afa-4970-a1e8-f74811ed5594</t>
  </si>
  <si>
    <t>Barnovi | 1.1.1. (+) შემოსავალი ლიფტების რეალიზაციიდან | პრემიუმ დეველოპმენტ კომპანი (ს.კ. 404597691) - შპს</t>
  </si>
  <si>
    <t>729fab4f-5211-4133-9178-b60f971d318f</t>
  </si>
  <si>
    <t>Barnovi | 1.1.1. | პრემიუმ დეველოპმენტ კომპანი  | 42,000.00 USD | 13.03.2023</t>
  </si>
  <si>
    <t>ICE440</t>
  </si>
  <si>
    <t>გრანდ მაისონ (ს.კ. 445575333) - შპს</t>
  </si>
  <si>
    <t>Calligraphy Hilton</t>
  </si>
  <si>
    <t>1 6 30 2053 1</t>
  </si>
  <si>
    <t>ICE002074/44922/1.1.1./O1E0WK</t>
  </si>
  <si>
    <t>c4991b70-92fa-4d49-afa6-fbe17d3f7d5f</t>
  </si>
  <si>
    <t>Calligraphy Hilton | 1.1.1. (+) შემოსავალი ლიფტების რეალიზაციიდან | გრანდ მაისონ (ს.კ. 445575333) - შპს</t>
  </si>
  <si>
    <t>4c3a3cd9-98c7-4a67-9efe-b03541fe6177</t>
  </si>
  <si>
    <t>Calligraphy Hilton | 1.1.1. | გრანდ მაისონ  | 210,000.00 USD | 27.12.2022</t>
  </si>
  <si>
    <t>ICE441</t>
  </si>
  <si>
    <t>ბულვარ ფოინთ (ს.კ. 445527494) - შპს</t>
  </si>
  <si>
    <t>Gumbati Boulevard Point</t>
  </si>
  <si>
    <t>1 6 30 2107</t>
  </si>
  <si>
    <t>ICE002075/44984/1.1.1./H12UP5</t>
  </si>
  <si>
    <t>85114460-e291-4477-bab4-57c1a7da9ba1</t>
  </si>
  <si>
    <t>Gumbati Boulevard Point | 1.1.1. (+) შემოსავალი ლიფტების რეალიზაციიდან | ბულვარ ფოინთ (ს.კ. 445527494) - შპს</t>
  </si>
  <si>
    <t>d0b71cce-b077-400a-9722-963ef3d1f7a0</t>
  </si>
  <si>
    <t>Gumbati Boulevard Point | 1.1.1. | ბულვარ ფოინთ  | 238,490.00 USD | 27.02.2023</t>
  </si>
  <si>
    <t>ICE442</t>
  </si>
  <si>
    <t>სფერა (ს.კ. 405412361) - შპს</t>
  </si>
  <si>
    <t>Batteries</t>
  </si>
  <si>
    <t>ICE001277/45001/1.1.3./68SF9U</t>
  </si>
  <si>
    <t>d7d18138-abc2-4a48-83bf-11f655f787ee</t>
  </si>
  <si>
    <t>Batteries | 1.1.3. (+) შემოსავალი ლიფტების სერვისიდან - არაგეგმიური | სფერა (ს.კ. 405412361) - შპს</t>
  </si>
  <si>
    <t>Batteries | 1.1.3. | სფერა  | 520.00 GEL | 16.03.2023</t>
  </si>
  <si>
    <t>ICE443</t>
  </si>
  <si>
    <t>Central Office</t>
  </si>
  <si>
    <t>ICE000032/45013/1.2.1./WTQXSP</t>
  </si>
  <si>
    <t>45603235-6762-4618-a162-e5185e62d463</t>
  </si>
  <si>
    <t>Central Office | 1.2.1. (+) შემოსავალი MEP დანადგარების რეალიზაციიდან | თბილისი ცენტრალი (ს.კ. 205129653) - სს</t>
  </si>
  <si>
    <t>Central Office | 1.2.1. | თბილისი ცენტრალი  | 364,528.00 USD | 28.03.2023</t>
  </si>
  <si>
    <t>ICE444</t>
  </si>
  <si>
    <t>McDonalds Tsereteli</t>
  </si>
  <si>
    <t>ICE000014/45021/1.2.1./ARIWPX</t>
  </si>
  <si>
    <t>114ab34b-069e-41d2-8980-e9ab37f708c2</t>
  </si>
  <si>
    <t>McDonalds Tsereteli | 1.2.1. (+) შემოსავალი MEP დანადგარების რეალიზაციიდან | თბილი სახლი (ს.კ. 204976179) - შპს</t>
  </si>
  <si>
    <t>McDonalds Tsereteli | 1.2.1. | თბილი სახლი  | 2,500.00 GEL | 05.04.2023</t>
  </si>
  <si>
    <t>ICE445</t>
  </si>
  <si>
    <t>დრს ინტერნეიშენალ (ს.კ. 421279182) - შპს</t>
  </si>
  <si>
    <t>DRS AHU</t>
  </si>
  <si>
    <t>ICE002106/44922/1.2.1./Q0VTN3</t>
  </si>
  <si>
    <t>291d1023-6d7d-4e76-9d5c-bafd22b2d1df</t>
  </si>
  <si>
    <t>DRS AHU | 1.2.1. (+) შემოსავალი MEP დანადგარების რეალიზაციიდან | დრს ინტერნეიშენალ (ს.კ. 421279182) - შპს</t>
  </si>
  <si>
    <t>be223411-77aa-4717-a468-70bac3cee5ba</t>
  </si>
  <si>
    <t>DRS AHU | 1.2.1. | დრს ინტერნეიშენალ  | 14,300.00 EUR | 27.12.2022</t>
  </si>
  <si>
    <t>ICE446</t>
  </si>
  <si>
    <t>1TV Fireboxes</t>
  </si>
  <si>
    <t>ICE000014/44986/1.2.1./XD0YPJ</t>
  </si>
  <si>
    <t>5b9bbcea-65ad-447e-b953-72656ef4dfed</t>
  </si>
  <si>
    <t>1TV Fireboxes | 1.2.1. (+) შემოსავალი MEP დანადგარების რეალიზაციიდან | თბილი სახლი (ს.კ. 204976179) - შპს</t>
  </si>
  <si>
    <t>1TV Fireboxes | 1.2.1. | თბილი სახლი  | 54,875.00 USD | 01.03.2023</t>
  </si>
  <si>
    <t>ICE447</t>
  </si>
  <si>
    <t>კაზა დი ბათუმი (ს.კ. 405389397) - შპს</t>
  </si>
  <si>
    <t>Batumi office rental</t>
  </si>
  <si>
    <t>ICE001112/44057/1.3.2./1BUZYD</t>
  </si>
  <si>
    <t>e9c2f796-1747-4be3-b301-c28cfc381dec</t>
  </si>
  <si>
    <t>Batumi office rental | 1.3.2. (+) იჯარიდან მიღებული შემოსავალი | კაზა დი ბათუმი (ს.კ. 405389397) - შპს</t>
  </si>
  <si>
    <t>7B714BC6-6914-42A2-8E42-3565165F1489</t>
  </si>
  <si>
    <t>Batumi office rental | 1.3.2. | კაზა დი ბათუმი  | 500.00 GEL | 14.08.2020</t>
  </si>
  <si>
    <t>ICE448</t>
  </si>
  <si>
    <t>Digomi Elevator Service</t>
  </si>
  <si>
    <t>1 6 31 2060</t>
  </si>
  <si>
    <t>ICE002026/44927/1.1.2./AVZ3WP</t>
  </si>
  <si>
    <t>d64e89d4-5e06-419d-853e-cdc9fc33f100</t>
  </si>
  <si>
    <t>Digomi Elevator Service | 1.1.2. (+) შემოსავალი ლიფტების სერვისიდან - გეგმიური | გიორგი ჩხიკვიშვილი (ს.კ. 55001026533) - ფიზ. პირი</t>
  </si>
  <si>
    <t>Digomi Elevator Service | 1.1.2. | გიორგი ჩხიკვიშვილი  | 400.00 GEL | 01.01.2023</t>
  </si>
  <si>
    <t>ICE449</t>
  </si>
  <si>
    <t xml:space="preserve">Unix Lop &amp; Display </t>
  </si>
  <si>
    <t>ICE000008/44426/1.1.1./ZPWMSX</t>
  </si>
  <si>
    <t>1d49edfe-7b52-4f74-8d55-94ba2f180fae</t>
  </si>
  <si>
    <t>Unix Lop &amp; Display  | 1.1.1. (+) შემოსავალი ლიფტების რეალიზაციიდან | იუნიქს ქონსთრაქშენ კომპანი (ს.კ. 405133822) - შპს</t>
  </si>
  <si>
    <t>Unix Lop &amp; Display  | 1.1.1. | იუნიქს ქონსთრაქშენ კომპანი  | 400.00 USD | 18.08.2021</t>
  </si>
  <si>
    <t>ICE450</t>
  </si>
  <si>
    <t>Lisi Green Apartaments</t>
  </si>
  <si>
    <t>ICE001742/45017/1.1.1./RE1PYV</t>
  </si>
  <si>
    <t>52008f18-ba5b-4a6c-a3c2-11b3b04a12ec</t>
  </si>
  <si>
    <t>Lisi Green Apartaments | 1.1.1. (+) შემოსავალი ლიფტების რეალიზაციიდან | გრინ დეველოპმენტი (ს.კ. 204452412) - შპს</t>
  </si>
  <si>
    <t>Lisi Green Apartaments | 1.1.1. | გრინ დეველოპმენტი  | 62,400.00 USD | 01.04.2023</t>
  </si>
  <si>
    <t>ICE451</t>
  </si>
  <si>
    <t>სახლი ძველ ბათუმში (ს.კ. 445433610) - შპს</t>
  </si>
  <si>
    <t>Chkonia Elevator</t>
  </si>
  <si>
    <t>1 6 30 2169</t>
  </si>
  <si>
    <t>ICE002123/45017/1.1.1./JOQTGL</t>
  </si>
  <si>
    <t>89b62d34-69c6-4d75-9082-21ae2a575cd2</t>
  </si>
  <si>
    <t>Chkonia Elevator | 1.1.1. (+) შემოსავალი ლიფტების რეალიზაციიდან | სახლი ძველ ბათუმში (ს.კ. 445433610) - შპს</t>
  </si>
  <si>
    <t>d8ec4c2f-8b68-413b-94fb-7491c3500643</t>
  </si>
  <si>
    <t>Chkonia Elevator | 1.1.1. | სახლი ძველ ბათუმში  | 38,160.00 USD | 01.04.2023</t>
  </si>
  <si>
    <t>ICE452</t>
  </si>
  <si>
    <t>HGI DOOR</t>
  </si>
  <si>
    <t>ICE000118/45035/1.1.1./YIPG40</t>
  </si>
  <si>
    <t>ff726ffe-984d-4c8e-93d1-0cde30c09915</t>
  </si>
  <si>
    <t>HGI DOOR | 1.2.1. (+) შემოსავალი MEP დანადგარების რეალიზაციიდან | მეპერსი (ს.კ. 402121887) - შპს</t>
  </si>
  <si>
    <t>HGI DOOR | 1.2.1. | მეპერსი  | 413.00 USD | 19.04.2023</t>
  </si>
  <si>
    <t>ICE453</t>
  </si>
  <si>
    <t>Calligraphy Hilton 2</t>
  </si>
  <si>
    <t>1 6 30 2053</t>
  </si>
  <si>
    <t>ICE002074/44986/1.3.2./MUNRS1</t>
  </si>
  <si>
    <t>c3a3712d-535f-4bbb-960a-7b3bbf0ceb61</t>
  </si>
  <si>
    <t>Calligraphy Hilton 2 | 1.1.1. (+) შემოსავალი ლიფტების რეალიზაციიდან | გრანდ მაისონ (ს.კ. 445575333) - შპს</t>
  </si>
  <si>
    <t>Calligraphy Hilton 2 | 1.1.1. | გრანდ მაისონ  | 255,000.00 USD | 01.03.2023</t>
  </si>
  <si>
    <t>ICE454</t>
  </si>
  <si>
    <t>ანაგი დეველოპმენტი 1 (ს.კ. 404567713) - შპს</t>
  </si>
  <si>
    <t>Park Home Vake Galleria Elevator</t>
  </si>
  <si>
    <t>1 6 30 2176 1</t>
  </si>
  <si>
    <t>ICE002130/45037/1.1.1./52WO6O</t>
  </si>
  <si>
    <t>4786fd1f-1178-455d-8319-f9da57fd8b64</t>
  </si>
  <si>
    <t>Park Home Vake Galleria Elevator | 1.1.1. (+) შემოსავალი ლიფტების რეალიზაციიდან | ანაგი დეველოპმენტი 1 (ს.კ. 404567713) - შპს</t>
  </si>
  <si>
    <t>a95a2d00-27d9-45bb-932b-1fee2c37e12f</t>
  </si>
  <si>
    <t>Park Home Vake Galleria Elevator | 1.1.1. | ანაგი დეველოპმენტი 1  | 33,810.00 USD | 21.04.2023</t>
  </si>
  <si>
    <t>ICE455</t>
  </si>
  <si>
    <t>სამშენებლო კომპანია სურმანიძეები (ს.კ. 445455846) - შპს</t>
  </si>
  <si>
    <t>Surmanidzeebi</t>
  </si>
  <si>
    <t>1 6 30 2136</t>
  </si>
  <si>
    <t>ICE002136/45013/1.1.1./BHAE6Y</t>
  </si>
  <si>
    <t>8f2f7aed-4d82-4397-a4ea-323e61adbb46</t>
  </si>
  <si>
    <t>Surmanidzeebi | 1.1.1. (+) შემოსავალი ლიფტების რეალიზაციიდან | სამშენებლო კომპანია სურმანიძეები (ს.კ. 445455846) - შპს</t>
  </si>
  <si>
    <t>c70fd842-c346-4a84-bd1e-4722b5d1a274</t>
  </si>
  <si>
    <t>Surmanidzeebi | 1.1.1. | სამშენებლო კომპანია სურმანიძეები  | 305,000.00 USD | 28.03.2023</t>
  </si>
  <si>
    <t>ICE456</t>
  </si>
  <si>
    <t>ზვიად ჯორბენაძე (ს.კ. 61001067900) - ფიზ. პირი</t>
  </si>
  <si>
    <t>Honda Civic</t>
  </si>
  <si>
    <t>ICE002129/44965/1.3.1./VGLRMV</t>
  </si>
  <si>
    <t>941e1441-95a1-4cee-b83b-2c61c507985c</t>
  </si>
  <si>
    <t>Honda Civic | 1.3.1. (+) სხვადასხვა ინვენტარის რეალიზაცია | ზვიად ჯორბენაძე (ს.კ. 61001067900) - ფიზ. პირი</t>
  </si>
  <si>
    <t>0fcd4c13-f8a0-4818-af10-86eaa3835e9a</t>
  </si>
  <si>
    <t>Honda Civic | 1.3.1. | ზვიად ჯორბენაძე  | 5,300.00 GEL | 08.02.2023</t>
  </si>
  <si>
    <t>ICE457</t>
  </si>
  <si>
    <t>Dar Building Additional floors</t>
  </si>
  <si>
    <t>ICE000012/44886/1.1.1./Z7TK6X</t>
  </si>
  <si>
    <t>5b5344f4-07bf-4d7c-917c-b1b40647365c</t>
  </si>
  <si>
    <t>Dar Building Additional floors | 1.1.1. (+) შემოსავალი ლიფტების რეალიზაციიდან | Dar Building (ს.კ. 445420875) - შპს</t>
  </si>
  <si>
    <t>Dar Building Additional floors | 1.1.1. | Dar Building  | 12,340.00 USD | 21.11.2022</t>
  </si>
  <si>
    <t>ICE458</t>
  </si>
  <si>
    <t>Multisplits PHS</t>
  </si>
  <si>
    <t>1 6 30 1911 2</t>
  </si>
  <si>
    <t>ICE001874/45047/1.2.1./JNHF5Y</t>
  </si>
  <si>
    <t>5c4ac886-3367-47a8-8a0f-c90fcbf09056</t>
  </si>
  <si>
    <t>Multisplits PHS | 1.2.1. (+) შემოსავალი MEP დანადგარების რეალიზაციიდან | ნუცუბიძე (ს.კ. 405387861) - შპს</t>
  </si>
  <si>
    <t>Multisplits PHS | 1.2.1. | ნუცუბიძე  | 387,000.00 USD | 01.05.2023</t>
  </si>
  <si>
    <t>ICE459</t>
  </si>
  <si>
    <t>Vake Sewage</t>
  </si>
  <si>
    <t>1 6 30 2011 5</t>
  </si>
  <si>
    <t>ICE1905/45057/1.2.3./QUMAW7</t>
  </si>
  <si>
    <t>a0dc3a44-ff44-406c-9a35-625b0c375406</t>
  </si>
  <si>
    <t>Vake Sewage | 1.2.3. (+) შემოსავალი MEP დანადგარების სერვისიდან - არაგეგმიური | ინდეკო სი ემ  (ს.კ. 405508339) - შპს</t>
  </si>
  <si>
    <t>Vake Sewage | 1.2.3. | ინდეკო სი ემ   | 81,108.00 GEL | 11.05.2023</t>
  </si>
  <si>
    <t>ICE460</t>
  </si>
  <si>
    <t>ელენა მამმადოვა (ს.კ. 01794001582) - ფიზ. პირი</t>
  </si>
  <si>
    <t>Multisplit</t>
  </si>
  <si>
    <t>ICE002152/45047/1.2.1./VCF8DR</t>
  </si>
  <si>
    <t>07e39a1b-b47b-4ba4-aedb-422b32920f28</t>
  </si>
  <si>
    <t>Multisplit | 1.2.1. (+) შემოსავალი MEP დანადგარების რეალიზაციიდან | ელენა მამმადოვა (ს.კ. 01794001582) - ფიზ. პირი</t>
  </si>
  <si>
    <t>9aae924c-d530-4bd0-9c1d-c0555fe1bdd8</t>
  </si>
  <si>
    <t>Multisplit | 1.2.1. | ელენა მამმადოვა  | 5,565.00 USD | 01.05.2023</t>
  </si>
  <si>
    <t>ICE461</t>
  </si>
  <si>
    <t>დავით ნიკოლეიშვილი (ს.კ. 01027021475) - ფიზ. პირი</t>
  </si>
  <si>
    <t>ICE002153/45065/1.2.1./WXT6EM</t>
  </si>
  <si>
    <t>3fb97ee9-631f-42c6-bdca-dbfd70394b1e</t>
  </si>
  <si>
    <t>Multisplit | 1.2.1. (+) შემოსავალი MEP დანადგარების რეალიზაციიდან | დავით ნიკოლეიშვილი (ს.კ. 01027021475) - ფიზ. პირი</t>
  </si>
  <si>
    <t>96e814a7-0ea0-4456-822e-aace5104bb21</t>
  </si>
  <si>
    <t>Multisplit | 1.2.1. | დავით ნიკოლეიშვილი  | 7,675.00 USD | 19.05.2023</t>
  </si>
  <si>
    <t>ICE462</t>
  </si>
  <si>
    <t>Radius Hotel</t>
  </si>
  <si>
    <t>ICE000014/45064/1.2.3./TXMPDT</t>
  </si>
  <si>
    <t>62e37f16-7154-4a43-8ffe-0e513bd9a0b3</t>
  </si>
  <si>
    <t>Radius Hotel | 1.2.3. (+) შემოსავალი MEP დანადგარების სერვისიდან - არაგეგმიური | თბილი სახლი (ს.კ. 204976179) - შპს</t>
  </si>
  <si>
    <t>Radius Hotel | 1.2.3. | თბილი სახლი  | 800.00 GEL | 18.05.2023</t>
  </si>
  <si>
    <t>ICE463</t>
  </si>
  <si>
    <t>ფუჯინ სილქ ფროფერთის (ს.კ. 405273421) - შპს</t>
  </si>
  <si>
    <t>IBIS Airport</t>
  </si>
  <si>
    <t>1 6 30 2227</t>
  </si>
  <si>
    <t>ICE002155/45063/1.1.1./X82ASM</t>
  </si>
  <si>
    <t>ca9deb3d-d5ee-4c04-895a-eb76a052daa7</t>
  </si>
  <si>
    <t>IBIS Airport | 1.1.1. (+) შემოსავალი ლიფტების რეალიზაციიდან | ფუჯინ სილქ ფროფერთის (ს.კ. 405273421) - შპს</t>
  </si>
  <si>
    <t>29819612-a8bd-4077-9dca-f8fa83efd344</t>
  </si>
  <si>
    <t>IBIS Airport | 1.1.1. | ფუჯინ სილქ ფროფერთის  | 102,560.00 USD | 17.05.2023</t>
  </si>
  <si>
    <t>ICE464</t>
  </si>
  <si>
    <t>MHI Control Module</t>
  </si>
  <si>
    <t>ICE000118/45068/1.2.1./R8H0FQ</t>
  </si>
  <si>
    <t>4246f582-09d7-4be3-b051-3545dd92b417</t>
  </si>
  <si>
    <t>MHI Control Module | 1.2.1. (+) შემოსავალი MEP დანადგარების რეალიზაციიდან | მეპერსი (ს.კ. 402121887) - შპს</t>
  </si>
  <si>
    <t>MHI Control Module | 1.2.1. | მეპერსი  | 2,260.00 USD | 22.05.2023</t>
  </si>
  <si>
    <t>ICE465</t>
  </si>
  <si>
    <t>აიემდი (ს.კ. 405203462) - შპს</t>
  </si>
  <si>
    <t>Paco</t>
  </si>
  <si>
    <t>ICE002171/45083/1.2.1./T3FS57</t>
  </si>
  <si>
    <t>d2bbf476-3a4e-41dc-8ab6-f79660138b81</t>
  </si>
  <si>
    <t>Paco | 1.2.1. (+) შემოსავალი MEP დანადგარების რეალიზაციიდან | აიემდი (ს.კ. 405203462) - შპს</t>
  </si>
  <si>
    <t>cff9dc1e-06da-4399-84fd-f1b90087db9d</t>
  </si>
  <si>
    <t>Paco | 1.2.1. | აიემდი  | 51,640.00 USD | 06.06.2023</t>
  </si>
  <si>
    <t>ICE466</t>
  </si>
  <si>
    <t>სამიტი ქონსთრაქშენ (ს.კ. 406328184) - შპს</t>
  </si>
  <si>
    <t>Summit</t>
  </si>
  <si>
    <t>1 6 30 2211</t>
  </si>
  <si>
    <t>ICE002170/45091/1.1.1./UTRVW2</t>
  </si>
  <si>
    <t>08936dc9-0304-4142-beba-61315bee23b5</t>
  </si>
  <si>
    <t>Summit | 1.1.1. (+) შემოსავალი ლიფტების რეალიზაციიდან | სამიტი ქონსთრაქშენ (ს.კ. 406328184) - შპს</t>
  </si>
  <si>
    <t>b54b4a98-20a8-4003-b7a9-7ff81336509a</t>
  </si>
  <si>
    <t>Summit | 1.1.1. | სამიტი ქონსთრაქშენ  | 48,750.00 USD | 14.06.2023</t>
  </si>
  <si>
    <t>ICE467</t>
  </si>
  <si>
    <t>Kontakt Home</t>
  </si>
  <si>
    <t>ICE000032/45099/1.2.1./ASEQTN</t>
  </si>
  <si>
    <t>e6fe1cf0-a4b8-4e34-9a39-525f707c342c</t>
  </si>
  <si>
    <t>Kontakt Home | 1.2.1. (+) შემოსავალი MEP დანადგარების რეალიზაციიდან | თბილისი ცენტრალი (ს.კ. 205129653) - სს</t>
  </si>
  <si>
    <t>Kontakt Home | 1.2.1. | თბილისი ცენტრალი  | 25,952.64 GEL | 22.06.2023</t>
  </si>
  <si>
    <t>ICE468</t>
  </si>
  <si>
    <t>Vake Fire Fighting</t>
  </si>
  <si>
    <t>1 6 30 2176 2</t>
  </si>
  <si>
    <t>ICE002130/45078/1.2.1./UQIQUV</t>
  </si>
  <si>
    <t>5e8c28b6-119f-4764-bd50-805b7118009e</t>
  </si>
  <si>
    <t>Vake Fire Fighting | 1.2.1. (+) შემოსავალი MEP დანადგარების რეალიზაციიდან | ანაგი დეველოპმენტი 1 (ს.კ. 404567713) - შპს</t>
  </si>
  <si>
    <t>Vake Fire Fighting | 1.2.1. | ანაგი დეველოპმენტი 1  | 240,000.00 USD | 01.06.2023</t>
  </si>
  <si>
    <t>ICE469</t>
  </si>
  <si>
    <t>Vake VRV</t>
  </si>
  <si>
    <t>1 6 30 2011 4</t>
  </si>
  <si>
    <t>ICE1905/45078/1.2.1./6GSUQW</t>
  </si>
  <si>
    <t>55787cc8-c7dd-4a23-9669-c83c2863fb2e</t>
  </si>
  <si>
    <t>Vake VRV | 1.2.1. (+) შემოსავალი MEP დანადგარების რეალიზაციიდან | ინდეკო სი ემ  (ს.კ. 405508339) - შპს</t>
  </si>
  <si>
    <t>Vake VRV | 1.2.1. | ინდეკო სი ემ   | 188,915.32 USD | 01.06.2023</t>
  </si>
  <si>
    <t>ICE470</t>
  </si>
  <si>
    <t>Founder Home</t>
  </si>
  <si>
    <t>ICE001265/45062/1.2.1./RF24S3</t>
  </si>
  <si>
    <t>cc20c9d4-7dd6-4aca-8fee-67c931041e9b</t>
  </si>
  <si>
    <t>Founder Home | 1.2.1. (+) შემოსავალი MEP დანადგარების რეალიზაციიდან | არგო გრუპ ჯორჯია (ს.კ. 400113532) - შპს</t>
  </si>
  <si>
    <t>Founder Home | 1.2.1. | არგო გრუპ ჯორჯია  | 7,000.00 USD | 16.05.2023</t>
  </si>
  <si>
    <t>ICE471</t>
  </si>
  <si>
    <t>გამა (ს.კ. 204425906) - შპს</t>
  </si>
  <si>
    <t>Havana Club Mziuri</t>
  </si>
  <si>
    <t>1 6 30 2185</t>
  </si>
  <si>
    <t>ICE002175/45078/1.2.1./SUU52O</t>
  </si>
  <si>
    <t>2ae6b16b-be5c-48a1-a8d9-51e053f4f122</t>
  </si>
  <si>
    <t>Havana Club Mziuri | 1.2.1. (+) შემოსავალი MEP დანადგარების რეალიზაციიდან | გამა (ს.კ. 204425906) - შპს</t>
  </si>
  <si>
    <t>9d479107-f451-448d-8205-8209116e776d</t>
  </si>
  <si>
    <t>Havana Club Mziuri | 1.2.1. | გამა  | 18,884.00 USD | 01.06.2023</t>
  </si>
  <si>
    <t>ICE472</t>
  </si>
  <si>
    <t>BLC Service</t>
  </si>
  <si>
    <t>ICE001765/45104/1.2.3./5LAZUT</t>
  </si>
  <si>
    <t>a97997c1-bee4-4370-b013-a11ccec9cc2f</t>
  </si>
  <si>
    <t>BLC Service | 1.2.3. (+) შემოსავალი MEP დანადგარების სერვისიდან - არაგეგმიური | ბიელსი (ს.კ. 404507182) - შპს</t>
  </si>
  <si>
    <t>BLC Service | 1.2.3. | ბიელსი  | 500.00 GEL | 27.06.2023</t>
  </si>
  <si>
    <t>ICE473</t>
  </si>
  <si>
    <t>Park Home Vake</t>
  </si>
  <si>
    <t>ICE002130/45099/1.1.1./6MT1XX</t>
  </si>
  <si>
    <t>4a7dc853-4112-4372-9421-aae9cd83adec</t>
  </si>
  <si>
    <t>Park Home Vake | 1.1.1. (+) შემოსავალი ლიფტების რეალიზაციიდან | ანაგი დეველოპმენტი 1 (ს.კ. 404567713) - შპს</t>
  </si>
  <si>
    <t>Park Home Vake | 1.1.1. | ანაგი დეველოპმენტი 1  | 246,098.60 USD | 22.06.2023</t>
  </si>
  <si>
    <t>ICE474</t>
  </si>
  <si>
    <t>Shartava</t>
  </si>
  <si>
    <t>ICE000118/45108/1.1.1./95WZ7W</t>
  </si>
  <si>
    <t>9f39081e-da54-4b36-8e76-a61025d8a505</t>
  </si>
  <si>
    <t>Shartava | 1.1.1. (+) შემოსავალი ლიფტების რეალიზაციიდან | მეპერსი (ს.კ. 402121887) - შპს</t>
  </si>
  <si>
    <t>Shartava | 1.1.1. | მეპერსი  | 50,000.00 USD | 01.07.2023</t>
  </si>
  <si>
    <t>ICE475</t>
  </si>
  <si>
    <t>ICE002070/45110/1.1.1./N3R0Q7</t>
  </si>
  <si>
    <t>edcc23a1-daf5-47c1-b7f2-46b6b93c967c</t>
  </si>
  <si>
    <t>Barnovi | 1.1.1. | პრემიუმ დეველოპმენტ კომპანი  | 43,500.00 USD | 03.07.2023</t>
  </si>
  <si>
    <t>ICE476</t>
  </si>
  <si>
    <t>ავტოტრანსპორტი 91 (ს.კ. 212670091) - შპს</t>
  </si>
  <si>
    <t>Digomi trade center</t>
  </si>
  <si>
    <t>ვლადიმერი ცერცვაძე (ს.კ. 01006011583) - ფიზ. პირი</t>
  </si>
  <si>
    <t>1 6 30 2241</t>
  </si>
  <si>
    <t>ICE002188/45124/1.1.1./Z1573T</t>
  </si>
  <si>
    <t>0c670545-0080-494a-9715-866f00f3f6d6</t>
  </si>
  <si>
    <t>Digomi trade center | 1.1.1. (+) შემოსავალი ლიფტების რეალიზაციიდან | ავტოტრანსპორტი 91 (ს.კ. 212670091) - შპს</t>
  </si>
  <si>
    <t>3996dec0-72d8-4e84-aa05-ef12be35540f</t>
  </si>
  <si>
    <t>fd6be193-fd0d-47e3-96b1-e5a6e1948c27</t>
  </si>
  <si>
    <t>Digomi trade center | 1.1.1. | ავტოტრანსპორტი 91  | 34,270.00 USD | 17.07.2023</t>
  </si>
  <si>
    <t>ICE477</t>
  </si>
  <si>
    <t>Hilton Batumi VTF System Parts</t>
  </si>
  <si>
    <t>ICE001080/45121/1.2.1./S9OEYC</t>
  </si>
  <si>
    <t>ec15a6bf-2cbf-422c-bdc7-02fd532342a3</t>
  </si>
  <si>
    <t>Hilton Batumi VTF System Parts | 1.2.1. (+) შემოსავალი MEP დანადგარების რეალიზაციიდან | ტურინვესტი (ს.კ. 245555554) - შპს</t>
  </si>
  <si>
    <t>Hilton Batumi VTF System Parts | 1.2.1. | ტურინვესტი  | 7,890.00 USD | 14.07.2023</t>
  </si>
  <si>
    <t>ICE478</t>
  </si>
  <si>
    <t>Kvareli Pool AHU</t>
  </si>
  <si>
    <t>ICE1905/45141/1.2.1./K7SOD3</t>
  </si>
  <si>
    <t>22059889-dd7b-4edd-b729-9115c05b7e37</t>
  </si>
  <si>
    <t>Kvareli Pool AHU | 1.2.1. (+) შემოსავალი MEP დანადგარების რეალიზაციიდან | ინდეკო სი ემ  (ს.კ. 405508339) - შპს</t>
  </si>
  <si>
    <t>Kvareli Pool AHU | 1.2.1. | ინდეკო სი ემ   | 33,755.00 EUR | 03.08.2023</t>
  </si>
  <si>
    <t>ICE479</t>
  </si>
  <si>
    <t>პრომეჩი (ს.კ. 445496213) - შპს</t>
  </si>
  <si>
    <t>Batumi Restaurant Promech</t>
  </si>
  <si>
    <t>ICE002202/45127/1.2.1./XZKAIE</t>
  </si>
  <si>
    <t>b0be5274-ae97-423e-8f09-7f2271128fc0</t>
  </si>
  <si>
    <t>Batumi Restaurant Promech | 1.2.1. (+) შემოსავალი MEP დანადგარების რეალიზაციიდან | პრომეჩი (ს.კ. 445496213) - შპს</t>
  </si>
  <si>
    <t>056243e1-d8ba-4179-92bf-3e7184f1a861</t>
  </si>
  <si>
    <t>Batumi Restaurant Promech | 1.2.1. | პრომეჩი  | 13,035.00 USD | 20.07.2023</t>
  </si>
  <si>
    <t>ICE480</t>
  </si>
  <si>
    <t>Central Compressors 2023</t>
  </si>
  <si>
    <t>ICE000032/45145/1.2.1./A9237D</t>
  </si>
  <si>
    <t>6a96f913-7fc9-420f-9a28-f08c0966d903</t>
  </si>
  <si>
    <t>Central Compressors 2023 | 1.2.1. (+) შემოსავალი MEP დანადგარების რეალიზაციიდან | თბილისი ცენტრალი (ს.კ. 205129653) - სს</t>
  </si>
  <si>
    <t>Central Compressors 2023 | 1.2.1. | თბილისი ცენტრალი  | 51,447.00 USD | 07.08.2023</t>
  </si>
  <si>
    <t>ICE481</t>
  </si>
  <si>
    <t>Escalator PCB</t>
  </si>
  <si>
    <t>ICE000112/45007/1.1.3./LRQV7T</t>
  </si>
  <si>
    <t>1201270d-7b5c-49b7-b018-4a907af6c80a</t>
  </si>
  <si>
    <t>Escalator PCB | 1.1.3. (+) შემოსავალი ლიფტების სერვისიდან - არაგეგმიური | გალერია თბილისი (ს.კ. 204558497) - შპს</t>
  </si>
  <si>
    <t>Escalator PCB | 1.1.3. | გალერია თბილისი  | 540.00 USD | 22.03.2023</t>
  </si>
  <si>
    <t>ICE482</t>
  </si>
  <si>
    <t>Park Home Mziuri Rooftop</t>
  </si>
  <si>
    <t>ICE000014/45152/1.2.1./GPXOYW</t>
  </si>
  <si>
    <t>d43b879c-f195-4d3e-9993-6904d02fe92e</t>
  </si>
  <si>
    <t>Park Home Mziuri Rooftop | 1.2.1. (+) შემოსავალი MEP დანადგარების რეალიზაციიდან | თბილი სახლი (ს.კ. 204976179) - შპს</t>
  </si>
  <si>
    <t>Park Home Mziuri Rooftop | 1.2.1. | თბილი სახლი  | 25,200.00 EUR | 14.08.2023</t>
  </si>
  <si>
    <t>ICE483</t>
  </si>
  <si>
    <t>Ramishvili VRF Instalation</t>
  </si>
  <si>
    <t>1 6 30 2011 8</t>
  </si>
  <si>
    <t>ICE1905/45154/1.2.1./12AT6C</t>
  </si>
  <si>
    <t>40cbbbc9-6d45-44b5-b444-aad5b7898901</t>
  </si>
  <si>
    <t>Ramishvili VRF Instalation | 1.2.1. (+) შემოსავალი MEP დანადგარების რეალიზაციიდან | ინდეკო სი ემ  (ს.კ. 405508339) - შპს</t>
  </si>
  <si>
    <t>Ramishvili VRF Instalation | 1.2.1. | ინდეკო სი ემ   | 57,722.90 USD | 16.08.2023</t>
  </si>
  <si>
    <t>ICE484</t>
  </si>
  <si>
    <t>SCHERCO TRADING AG (ს.კ. ICE002054) - უცხოური საწარმო</t>
  </si>
  <si>
    <t>Amera Bank 3</t>
  </si>
  <si>
    <t>ICE002054/45147/1.2.1./HUB5VY</t>
  </si>
  <si>
    <t>8633f9a0-0740-4210-ad2c-2c07d58023c9</t>
  </si>
  <si>
    <t>Amera Bank 3 | 1.2.1. (+) შემოსავალი MEP დანადგარების რეალიზაციიდან | SCHERCO TRADING AG (ს.კ. ICE002054) - უცხოური საწარმო</t>
  </si>
  <si>
    <t>9b9261d9-c555-41c5-b2ed-e426d38a4046</t>
  </si>
  <si>
    <t>Amera Bank 3 | 1.2.1. | SCHERCO TRADING AG  | 3,630.00 USD | 09.08.2023</t>
  </si>
  <si>
    <t>ICE485</t>
  </si>
  <si>
    <t>Nutsubidze</t>
  </si>
  <si>
    <t>1 6 30 1559</t>
  </si>
  <si>
    <t>ICE001277/45149/1.1.1./KMPUYF</t>
  </si>
  <si>
    <t>baf8c1ad-ba54-4470-8429-9ea13b05d403</t>
  </si>
  <si>
    <t>Nutsubidze | 1.1.1. (+) შემოსავალი ლიფტების რეალიზაციიდან | სფერა (ს.კ. 405412361) - შპს</t>
  </si>
  <si>
    <t>Nutsubidze | 1.1.1. | სფერა  | 549,980.00 USD | 11.08.2023</t>
  </si>
  <si>
    <t>ICE486</t>
  </si>
  <si>
    <t>Orbi C block reprograming</t>
  </si>
  <si>
    <t>ICE000002/-612401/1.1.1./LVRJGK</t>
  </si>
  <si>
    <t>487d50cd-4c0b-492a-a348-7ffb8cc84fa6</t>
  </si>
  <si>
    <t>Orbi C block reprograming | 1.1.1. (+) შემოსავალი ლიფტების რეალიზაციიდან | ორბი ჯგუფი (ს.კ. 245621849) - შპს</t>
  </si>
  <si>
    <t>Orbi C block reprograming | 1.1.1. | ორბი ჯგუფი  | 10,500.00 USD | 20.04.2023</t>
  </si>
  <si>
    <t>ICE487</t>
  </si>
  <si>
    <t>Orbi D1 block reprograming</t>
  </si>
  <si>
    <t>ICE000002/45057/1.1.1./6TE98O</t>
  </si>
  <si>
    <t>01fd2a41-941d-4242-aead-a59939c0a310</t>
  </si>
  <si>
    <t>Orbi D1 block reprograming | 1.1.1. (+) შემოსავალი ლიფტების რეალიზაციიდან | ორბი ჯგუფი ბათუმი (ს.კ. 445468798) - შპს</t>
  </si>
  <si>
    <t>Orbi D1 block reprograming | 1.1.1. | ორბი ჯგუფი ბათუმი  | 15,750.00 USD | 11.05.2023</t>
  </si>
  <si>
    <t>ICE488</t>
  </si>
  <si>
    <t>სანა მენტე (ს.კ. 405627022) - შპს</t>
  </si>
  <si>
    <t>Rehab VRF</t>
  </si>
  <si>
    <t>1 6 30 2223 2</t>
  </si>
  <si>
    <t>ICE002206/45118/1.2.1./T56QVE</t>
  </si>
  <si>
    <t>c805db3b-b5a0-423a-a595-2f8747197154</t>
  </si>
  <si>
    <t>Rehab VRF | 1.2.1. (+) შემოსავალი MEP დანადგარების რეალიზაციიდან | სანა მენტე (ს.კ. 405627022) - შპს</t>
  </si>
  <si>
    <t>c0b77bb7-83ab-4024-9056-742018da5474</t>
  </si>
  <si>
    <t>Rehab VRF | 1.2.1. | სანა მენტე  | 48,825.00 USD | 11.07.2023</t>
  </si>
  <si>
    <t>ICE489</t>
  </si>
  <si>
    <t>Rehab VRF Installation</t>
  </si>
  <si>
    <t>ICE002206/45119/1.2.1./T0DQ6F</t>
  </si>
  <si>
    <t>36ae3a96-77d4-4b3e-af11-1190de1c9e62</t>
  </si>
  <si>
    <t>Rehab VRF Installation | 1.2.1. (+) შემოსავალი MEP დანადგარების რეალიზაციიდან | სანა მენტე (ს.კ. 405627022) - შპს</t>
  </si>
  <si>
    <t>Rehab VRF Installation | 1.2.1. | სანა მენტე  | 23,580.00 USD | 12.07.2023</t>
  </si>
  <si>
    <t>ICE490</t>
  </si>
  <si>
    <t>ფეიმანე ქალამიან (ს.კ. 01797002696) - ფიზ. პირი</t>
  </si>
  <si>
    <t>Kalamian - Mitsubishi Conditioner</t>
  </si>
  <si>
    <t>ICE002207/45155/1.2.1./PH3XUA</t>
  </si>
  <si>
    <t>1968d0be-3775-4213-a43c-a1eb2b4463c5</t>
  </si>
  <si>
    <t>Kalamian - Mitsubishi Conditioner | 1.2.1. (+) შემოსავალი MEP დანადგარების რეალიზაციიდან | ფეიმანე ქალამიან (ს.კ. 01797002696) - ფიზ. პირი</t>
  </si>
  <si>
    <t>b6998308-186a-4cda-b4b0-91d4643e7caa</t>
  </si>
  <si>
    <t>Kalamian - Mitsubishi Conditioner | 1.2.1. | ფეიმანე ქალამიან  | 2,870.00 GEL | 17.08.2023</t>
  </si>
  <si>
    <t>ICE491</t>
  </si>
  <si>
    <t>Rehab Elevators</t>
  </si>
  <si>
    <t>1 6 30 2223 1</t>
  </si>
  <si>
    <t>ICE002206/45119/1.1.1./KXNPZ5</t>
  </si>
  <si>
    <t>09f3b0fe-b189-4d75-a0ce-6bbab4a07918</t>
  </si>
  <si>
    <t>Rehab Elevators | 1.1.1. (+) შემოსავალი ლიფტების რეალიზაციიდან | სანა მენტე (ს.კ. 405627022) - შპს</t>
  </si>
  <si>
    <t>Rehab Elevators | 1.1.1. | სანა მენტე  | 22,490.00 USD | 12.07.2023</t>
  </si>
  <si>
    <t>ICE492</t>
  </si>
  <si>
    <t>ბერკეტი-დიზაინი (ს.კ. 204909812) - შპს</t>
  </si>
  <si>
    <t>MHI Products</t>
  </si>
  <si>
    <t>ICE000109/45163/1.2.1./1HDX0V</t>
  </si>
  <si>
    <t>a389eb6f-dbb0-48a5-a16c-463ff453a49e</t>
  </si>
  <si>
    <t>MHI Products | 1.2.1. (+) შემოსავალი MEP დანადგარების რეალიზაციიდან | ბერკეტი-დიზაინი (ს.კ. 204909812) - შპს</t>
  </si>
  <si>
    <t>BF286322-BCFC-403B-B707-B476132F6DD3</t>
  </si>
  <si>
    <t>MHI Products | 1.2.1. | ბერკეტი-დიზაინი  | 12,436.00 USD | 25.08.2023</t>
  </si>
  <si>
    <t>ICE493</t>
  </si>
  <si>
    <t>Doors change</t>
  </si>
  <si>
    <t>დავით ჩიტაიშვილი (ს.კ. 01030049942) - ფიზ. პირი</t>
  </si>
  <si>
    <t>1 6 30 1703 2</t>
  </si>
  <si>
    <t>ICE001741/45167/1.1.3./Q2B3LK</t>
  </si>
  <si>
    <t>bb5aa003-4709-4b84-b34a-e5972a2aeba6</t>
  </si>
  <si>
    <t>Doors change | 1.1.3. (+) შემოსავალი ლიფტების სერვისიდან - არაგეგმიური | მზიური რეზორტ (ს.კ. 404462256) - შპს</t>
  </si>
  <si>
    <t>f226abbb-d682-476f-9fea-3665c62bccb6</t>
  </si>
  <si>
    <t>Doors change | 1.1.3. | მზიური რეზორტ  | 480.00 USD | 29.08.2023</t>
  </si>
  <si>
    <t>ICE494</t>
  </si>
  <si>
    <t>Rehab Sewage</t>
  </si>
  <si>
    <t>ICE002206/45108/1.2.3./XRMUJI</t>
  </si>
  <si>
    <t>38a77239-0fb4-46cc-8d7d-24b496b6edb3</t>
  </si>
  <si>
    <t>Rehab Sewage | 1.2.3. (+) შემოსავალი MEP დანადგარების სერვისიდან - არაგეგმიური | სანა მენტე (ს.კ. 405627022) - შპს</t>
  </si>
  <si>
    <t>Rehab Sewage | 1.2.3. | სანა მენტე  | 158,713.00 GEL | 01.07.2023</t>
  </si>
  <si>
    <t>ICE495</t>
  </si>
  <si>
    <t>მასტერ ოქეი (ს.კ. 402010471) - შპს</t>
  </si>
  <si>
    <t>2 Units Mitsubishi Conditioner</t>
  </si>
  <si>
    <t>ICE002215/45174/1.2.1./FZOGMV</t>
  </si>
  <si>
    <t>f212a910-48b7-498f-aaf6-f4db782fabd0</t>
  </si>
  <si>
    <t>2 Units Mitsubishi Conditioner | 1.2.1. (+) შემოსავალი MEP დანადგარების რეალიზაციიდან | მასტერ ოქეი (ს.კ. 402010471) - შპს</t>
  </si>
  <si>
    <t>a0033d80-db06-4e8b-8076-16df0eed7a22</t>
  </si>
  <si>
    <t>2 Units Mitsubishi Conditioner | 1.2.1. | მასტერ ოქეი  | 5,470.00 GEL | 05.09.2023</t>
  </si>
  <si>
    <t>ICE496</t>
  </si>
  <si>
    <t>Ford Center Compressor Control Board</t>
  </si>
  <si>
    <t>ICE000014/45168/1.2.1./DVIRS2</t>
  </si>
  <si>
    <t>6437eb9d-d258-4248-aea1-ce4eaaa7aa9b</t>
  </si>
  <si>
    <t>Ford Center Compressor Control Board | 1.2.1. (+) შემოსავალი MEP დანადგარების რეალიზაციიდან | თბილი სახლი (ს.კ. 204976179) - შპს</t>
  </si>
  <si>
    <t>Ford Center Compressor Control Board | 1.2.1. | თბილი სახლი  | 1,350.00 USD | 30.08.2023</t>
  </si>
  <si>
    <t>ICE497</t>
  </si>
  <si>
    <t>პალმ აპარტამენტი (ს.კ. 445614381) - შპს</t>
  </si>
  <si>
    <t>Palm Apartments</t>
  </si>
  <si>
    <t>1 6 30 2228</t>
  </si>
  <si>
    <t>ICE002221/45118/1.1.1./DR5MP9</t>
  </si>
  <si>
    <t>3b997bb5-00c5-4577-87b9-e8f1edd0138a</t>
  </si>
  <si>
    <t>Palm Apartments | 1.1.1. (+) შემოსავალი ლიფტების რეალიზაციიდან | პალმ აპარტამენტი (ს.კ. 445614381) - შპს</t>
  </si>
  <si>
    <t>bb626e89-30fe-4cee-a96c-2bd575e6fdcd</t>
  </si>
  <si>
    <t>Palm Apartments | 1.1.1. | პალმ აპარტამენტი  | 51,000.00 USD | 11.07.2023</t>
  </si>
  <si>
    <t>ICE498</t>
  </si>
  <si>
    <t>გუმბათი აპარტი კვარიათი (ს.კ. 445580782) - შპს</t>
  </si>
  <si>
    <t>Gumbati Apart Kvariati</t>
  </si>
  <si>
    <t>1 6 30 2260</t>
  </si>
  <si>
    <t>ICE2222/45142/1.1.1./QQ58DM</t>
  </si>
  <si>
    <t>aac70fb5-413e-4415-a4c2-43209ede6023</t>
  </si>
  <si>
    <t>Gumbati Apart Kvariati | 1.1.1. (+) შემოსავალი ლიფტების რეალიზაციიდან | გუმბათი აპარტი კვარიათი (ს.კ. 445580782) - შპს</t>
  </si>
  <si>
    <t>57c12b0b-0ce9-4985-b5a2-5b3ffb02ee7d</t>
  </si>
  <si>
    <t>Gumbati Apart Kvariati | 1.1.1. | გუმბათი აპარტი კვარიათი  | 126,000.00 USD | 04.08.2023</t>
  </si>
  <si>
    <t>ICE499</t>
  </si>
  <si>
    <t>P4 P5 Elevator Sensor</t>
  </si>
  <si>
    <t>ICE000012/45182/1.1.3./WYP47H</t>
  </si>
  <si>
    <t>bb2e558a-fce9-44a5-b1a9-f99f461a92ef</t>
  </si>
  <si>
    <t>P4 P5 Elevator Sensor | 1.1.3. (+) შემოსავალი ლიფტების სერვისიდან - არაგეგმიური | Dar Building (ს.კ. 445420875) - შპს</t>
  </si>
  <si>
    <t>P4 P5 Elevator Sensor | 1.1.3. | Dar Building  | 240.00 USD | 13.09.2023</t>
  </si>
  <si>
    <t>ICE500</t>
  </si>
  <si>
    <t>Building elevator spareparts</t>
  </si>
  <si>
    <t>ICE001874/45170/1.1.3./OUAPCW</t>
  </si>
  <si>
    <t>1aa67a2e-97fc-4acc-a9f4-34c63f8f808a</t>
  </si>
  <si>
    <t>Building elevator spareparts | 1.1.3. (+) შემოსავალი ლიფტების სერვისიდან - არაგეგმიური | ნუცუბიძე (ს.კ. 405387861) - შპს</t>
  </si>
  <si>
    <t>Building elevator spareparts | 1.1.3. | ნუცუბიძე  | 4,882.90 USD | 01.09.2023</t>
  </si>
  <si>
    <t>ICE501</t>
  </si>
  <si>
    <t>Batumi McDonald's Rooftop</t>
  </si>
  <si>
    <t>ICE000014/45187/1.1.3./PLE0DK</t>
  </si>
  <si>
    <t>4564c27e-98e4-48cb-bfd4-6fce8ab3be17</t>
  </si>
  <si>
    <t>Batumi McDonald's Rooftop | 1.1.3. (+) შემოსავალი ლიფტების სერვისიდან - არაგეგმიური | თბილი სახლი (ს.კ. 204976179) - შპს</t>
  </si>
  <si>
    <t>Batumi McDonald's Rooftop | 1.1.3. | თბილი სახლი  | 980.00 GEL | 18.09.2023</t>
  </si>
  <si>
    <t>ICE502</t>
  </si>
  <si>
    <t>Kvareli Mockup</t>
  </si>
  <si>
    <t>ICE1905/44908/1.2.1./WPUZO9</t>
  </si>
  <si>
    <t>8f037e09-90e9-4c9b-a993-afd83ccc0168</t>
  </si>
  <si>
    <t>Kvareli Mockup | 1.2.1. (+) შემოსავალი MEP დანადგარების რეალიზაციიდან | ინდეკო სი ემ  (ს.კ. 405508339) - შპს</t>
  </si>
  <si>
    <t>Kvareli Mockup | 1.2.1. | ინდეკო სი ემ   | 2,755.00 USD | 13.12.2022</t>
  </si>
  <si>
    <t>ICE503</t>
  </si>
  <si>
    <t>Kvareli VRF FILTER Installation</t>
  </si>
  <si>
    <t>ICE1905/45064/1.2.1./OT2PEV</t>
  </si>
  <si>
    <t>6f2e0f98-f2a0-4f33-b359-d639c5918972</t>
  </si>
  <si>
    <t>Kvareli VRF FILTER Installation | 1.2.1. (+) შემოსავალი MEP დანადგარების რეალიზაციიდან | ინდეკო სი ემ  (ს.კ. 405508339) - შპს</t>
  </si>
  <si>
    <t>Kvareli VRF FILTER Installation | 1.2.1. | ინდეკო სი ემ   | 2,877.00 GEL | 18.05.2023</t>
  </si>
  <si>
    <t>ICE504</t>
  </si>
  <si>
    <t>Batumi Multisplits Instalation</t>
  </si>
  <si>
    <t>ICE001697/45196/1.2.3./OJFXLR</t>
  </si>
  <si>
    <t>2189eac4-47d5-4cb9-aa64-9e984ff0a0db</t>
  </si>
  <si>
    <t>Batumi Multisplits Instalation | 1.2.3. (+) შემოსავალი MEP დანადგარების სერვისიდან - არაგეგმიური | თენგიზ სარჯველაძე (ს.კ. 61001018248) - ფიზ. პირი</t>
  </si>
  <si>
    <t>Batumi Multisplits Instalation | 1.2.3. | თენგიზ სარჯველაძე  | 5,000.00 GEL | 27.09.2023</t>
  </si>
  <si>
    <t>ICE505</t>
  </si>
  <si>
    <t>Rooftop Parts</t>
  </si>
  <si>
    <t>ICE000020/44882/1.2.1./R5SZSD</t>
  </si>
  <si>
    <t>89e63c65-0c75-4997-9a1b-929d9804c011</t>
  </si>
  <si>
    <t>Rooftop Parts | 1.2.1. (+) შემოსავალი MEP დანადგარების რეალიზაციიდან | ჯი-ემ-თი მთაწმინდა (ს.კ. 203843396) - შპს</t>
  </si>
  <si>
    <t>Rooftop Parts | 1.2.1. | ჯი-ემ-თი მთაწმინდა  | 5,285.00 EUR | 17.11.2022</t>
  </si>
  <si>
    <t>ICE506</t>
  </si>
  <si>
    <t>VRF Materials</t>
  </si>
  <si>
    <t>1 6 30 2223 3</t>
  </si>
  <si>
    <t>ICE002206/45170/1.2.1./4U2OSN</t>
  </si>
  <si>
    <t>95e2ef5c-9438-42f4-824b-80841e2868f7</t>
  </si>
  <si>
    <t>VRF Materials | 1.2.1. (+) შემოსავალი MEP დანადგარების რეალიზაციიდან | სანა მენტე (ს.კ. 405627022) - შპს</t>
  </si>
  <si>
    <t>VRF Materials | 1.2.1. | სანა მენტე  | 56,076.60 GEL | 01.09.2023</t>
  </si>
  <si>
    <t>ICE507</t>
  </si>
  <si>
    <t>დიღომი 2ბ სერვისი (ს.კ. 405476319) - შპს</t>
  </si>
  <si>
    <t>Dighomi 2B</t>
  </si>
  <si>
    <t>1 6 31 2266</t>
  </si>
  <si>
    <t>ICE002273/45139/1.1.2./6W3VMF</t>
  </si>
  <si>
    <t>f1fdd175-3a75-4da2-8bfd-8ab11ac03bd4</t>
  </si>
  <si>
    <t>Dighomi 2B | 1.1.2. (+) შემოსავალი ლიფტების სერვისიდან - გეგმიური | დიღომი 2ბ სერვისი (ს.კ. 405476319) - შპს</t>
  </si>
  <si>
    <t>3ae947be-c7e8-4c9b-a3f7-202f90d8534c</t>
  </si>
  <si>
    <t>Dighomi 2B | 1.1.2. | დიღომი 2ბ სერვისი  | 300.00 USD | 01.08.2023</t>
  </si>
  <si>
    <t>ICE508</t>
  </si>
  <si>
    <t>Dighomi 2B Push Button</t>
  </si>
  <si>
    <t>ICE002273/45181/1.1.3./VU4KOW</t>
  </si>
  <si>
    <t>7ddad25f-27c2-44d5-9764-7a8dcd599a6f</t>
  </si>
  <si>
    <t>Dighomi 2B Push Button | 1.1.3. (+) შემოსავალი ლიფტების სერვისიდან - არაგეგმიური | დიღომი 2ბ სერვისი (ს.კ. 405476319) - შპს</t>
  </si>
  <si>
    <t>Dighomi 2B Push Button | 1.1.3. | დიღომი 2ბ სერვისი  | 130.00 USD | 12.09.2023</t>
  </si>
  <si>
    <t>ICE509</t>
  </si>
  <si>
    <t>Vehicle TOYOTA 2014</t>
  </si>
  <si>
    <t>ICE000436/44866/1.3.1./I1UA2W</t>
  </si>
  <si>
    <t>46ced0cf-f8e8-40db-8161-4be66840d7fb</t>
  </si>
  <si>
    <t>Vehicle TOYOTA 2014 | 1.3.1. (+) სხვადასხვა ინვენტარის რეალიზაცია | გიორგი ბახტაძე (ს.კ. 01024067298) - ფიზ. პირი</t>
  </si>
  <si>
    <t>Vehicle TOYOTA 2014 | 1.3.1. | გიორგი ბახტაძე  | 69,385.00 GEL | 01.11.2022</t>
  </si>
  <si>
    <t>ICE510</t>
  </si>
  <si>
    <t>McDonalds Marjanishvili Rooftop</t>
  </si>
  <si>
    <t>ICE000014/45085/1.2.1./TUXNWO</t>
  </si>
  <si>
    <t>58e66a51-4df4-45a2-8ce1-b070b0fadf53</t>
  </si>
  <si>
    <t>McDonalds Marjanishvili Rooftop | 1.2.1. (+) შემოსავალი MEP დანადგარების რეალიზაციიდან | თბილი სახლი (ს.კ. 204976179) - შპს</t>
  </si>
  <si>
    <t>McDonalds Marjanishvili Rooftop | 1.2.1. | თბილი სახლი  | 82,990.00 EUR | 08.06.2023</t>
  </si>
  <si>
    <t>ICE511</t>
  </si>
  <si>
    <t>Kvareli VRV Installation</t>
  </si>
  <si>
    <t>1 6 30 2011 3</t>
  </si>
  <si>
    <t>ICE1905/44986/1.1.1./7IKQP5</t>
  </si>
  <si>
    <t>44ee63f2-ba08-4974-a1bb-5e7685edc6bc</t>
  </si>
  <si>
    <t>Kvareli VRV Installation | 1.2.1. (+) შემოსავალი MEP დანადგარების რეალიზაციიდან | ინდეკო სი ემ  (ს.კ. 405508339) - შპს</t>
  </si>
  <si>
    <t>Kvareli VRV Installation | 1.2.1. | ინდეკო სი ემ   | 100,000.00 USD | 01.03.2023</t>
  </si>
  <si>
    <t>ICE512</t>
  </si>
  <si>
    <t>Kvareli Additional VRF Installation</t>
  </si>
  <si>
    <t>ICE1905/45210/1.2.1./OEIVTW</t>
  </si>
  <si>
    <t>34b8252a-b352-4b53-8829-831191f45f9d</t>
  </si>
  <si>
    <t>Kvareli Additional VRF Installation | 1.2.1. (+) შემოსავალი MEP დანადგარების რეალიზაციიდან | ინდეკო სი ემ  (ს.კ. 405508339) - შპს</t>
  </si>
  <si>
    <t>Kvareli Additional VRF Installation | 1.2.1. | ინდეკო სი ემ   | 8,591.00 USD | 11.10.2023</t>
  </si>
  <si>
    <t>ICE513</t>
  </si>
  <si>
    <t>ვრფ სისტემის დიაგნოსტიკა ინვ#-03/10</t>
  </si>
  <si>
    <t>ICE001881/45200/1.2.3./05REW2</t>
  </si>
  <si>
    <t>382737af-5914-449b-afca-4ffcd5b1eff8</t>
  </si>
  <si>
    <t>ვრფ სისტემის დიაგნოსტიკა ინვ#-03/10 | 1.2.3. (+) შემოსავალი MEP დანადგარების სერვისიდან - არაგეგმიური | აიდისი (ს.კ. 204998342) - შპს</t>
  </si>
  <si>
    <t>ვრფ სისტემის დიაგნოსტიკა ინვ#-03/10 | 1.2.3. | აიდისი  | 800.00 GEL | 01.10.2023</t>
  </si>
  <si>
    <t>ICE514</t>
  </si>
  <si>
    <t>Batumi Stock</t>
  </si>
  <si>
    <t>ICE000169/45200/1.1.1./WCOTVP</t>
  </si>
  <si>
    <t>1c74e4d0-0cbe-4773-80d1-3a4d5f1ae5df</t>
  </si>
  <si>
    <t>Batumi Stock | 1.1.1. (+) შემოსავალი ლიფტების რეალიზაციიდან | აი-სი-ი (ს.კ. 400017245) - შპს</t>
  </si>
  <si>
    <t>Batumi Stock | 1.1.1. | აი-სი-ი  | 0.00 GEL | 01.10.2023</t>
  </si>
  <si>
    <t>ICE515</t>
  </si>
  <si>
    <t>Lisi Development 1 UNIT</t>
  </si>
  <si>
    <t>ICE000118/45225/1.1.1./X5PO9Y</t>
  </si>
  <si>
    <t>aa0b9453-b8ba-4dbc-8979-c1022c5aeac2</t>
  </si>
  <si>
    <t>Lisi Development 1 UNIT | 1.1.1. (+) შემოსავალი ლიფტების რეალიზაციიდან | მეპერსი (ს.კ. 402121887) - შპს</t>
  </si>
  <si>
    <t>Lisi Development 1 UNIT | 1.1.1. | მეპერსი  | 1,500.00 USD | 26.10.2023</t>
  </si>
  <si>
    <t>ICE516</t>
  </si>
  <si>
    <t>დეკა დიდი დიღომი (ს.კ. 405569665) - შპს</t>
  </si>
  <si>
    <t>Deka Digomi</t>
  </si>
  <si>
    <t>1 6 30 2303</t>
  </si>
  <si>
    <t>ICE002282/45210/1.1.1./OXBYSN</t>
  </si>
  <si>
    <t>b92c6fb2-c824-4dd4-b4f8-0ba598efd62d</t>
  </si>
  <si>
    <t>Deka Digomi | 1.1.1. (+) შემოსავალი ლიფტების რეალიზაციიდან | დეკა დიდი დიღომი (ს.კ. 405569665) - შპს</t>
  </si>
  <si>
    <t>10949402-30d0-47ee-aa9d-276f36d955dd</t>
  </si>
  <si>
    <t>Deka Digomi | 1.1.1. | დეკა დიდი დიღომი  | 58,400.00 USD | 11.10.2023</t>
  </si>
  <si>
    <t>ICE517</t>
  </si>
  <si>
    <t>Car Platform</t>
  </si>
  <si>
    <t>ICE002130/45108/1.1.1./I0WWU9</t>
  </si>
  <si>
    <t>a0f00f4d-4bb0-4b09-9f9c-ed7cbb850265</t>
  </si>
  <si>
    <t>Car Platform | 1.1.1. (+) შემოსავალი ლიფტების რეალიზაციიდან | ანაგი დეველოპმენტი 1 (ს.კ. 404567713) - შპს</t>
  </si>
  <si>
    <t>Car Platform | 1.1.1. | ანაგი დეველოპმენტი 1  | 14,350.00 EUR | 01.07.2023</t>
  </si>
  <si>
    <t>ICE518</t>
  </si>
  <si>
    <t>არეალი (ს.კ. 448389994) - შპს</t>
  </si>
  <si>
    <t>Areali</t>
  </si>
  <si>
    <t>1 6 30 2299</t>
  </si>
  <si>
    <t>ICE002283/45170/1.1.1./IERQ38</t>
  </si>
  <si>
    <t>26da9e97-399d-469c-aa11-e061edd24207</t>
  </si>
  <si>
    <t>Areali | 1.1.1. (+) შემოსავალი ლიფტების რეალიზაციიდან | არეალი (ს.კ. 448389994) - შპს</t>
  </si>
  <si>
    <t>f51b97a2-8a30-484a-86fd-afe8641e24ed</t>
  </si>
  <si>
    <t>Areali | 1.1.1. | არეალი  | 84,400.00 USD | 01.09.2023</t>
  </si>
  <si>
    <t>ICE519</t>
  </si>
  <si>
    <t>Kvareli FF Pump</t>
  </si>
  <si>
    <t>ICE1905/45243/1.2.1./Y0B5TC</t>
  </si>
  <si>
    <t>51c4f399-7516-49f6-8866-15dfa81b0dfa</t>
  </si>
  <si>
    <t>Kvareli FF Pump | 1.2.1. (+) შემოსავალი MEP დანადგარების რეალიზაციიდან | ინდეკო სი ემ  (ს.კ. 405508339) - შპს</t>
  </si>
  <si>
    <t>Kvareli FF Pump | 1.2.1. | ინდეკო სი ემ   | 51,668.00 USD | 13.11.2023</t>
  </si>
  <si>
    <t>ICE520</t>
  </si>
  <si>
    <t>Ramishvili Toshiba Installation</t>
  </si>
  <si>
    <t>ICE1905/45292/1.2.3./6RQAWP</t>
  </si>
  <si>
    <t>42a33c36-9ecc-4af0-9c4d-51b064a5f4be</t>
  </si>
  <si>
    <t>Ramishvili Toshiba Installation | 1.2.3. (+) შემოსავალი MEP დანადგარების სერვისიდან - არაგეგმიური | ინდეკო სი ემ  (ს.კ. 405508339) - შპს</t>
  </si>
  <si>
    <t>Ramishvili Toshiba Installation | 1.2.3. | ინდეკო სი ემ   | 45,000.00 GEL | 01.01.2024</t>
  </si>
  <si>
    <t>ICE521</t>
  </si>
  <si>
    <t>Ramishvili Toshiba Ventilation Equipment</t>
  </si>
  <si>
    <t>1 6 30 2011 13</t>
  </si>
  <si>
    <t>ICE1905/45231/1.2.1./W0LVU8</t>
  </si>
  <si>
    <t>7a8b7cb9-8b2a-4f36-8266-3229fc6cdc10</t>
  </si>
  <si>
    <t>Ramishvili Toshiba Ventilation Equipment | 1.2.1. (+) შემოსავალი MEP დანადგარების რეალიზაციიდან | ინდეკო სი ემ  (ს.კ. 405508339) - შპს</t>
  </si>
  <si>
    <t>Ramishvili Toshiba Ventilation Equipment | 1.2.1. | ინდეკო სი ემ   | 45,968.00 USD | 01.11.2023</t>
  </si>
  <si>
    <t>ICE522</t>
  </si>
  <si>
    <t>Kvareli Additional VRV Controllers</t>
  </si>
  <si>
    <t>ICE1905/45203/1.2.1./IVNXS4</t>
  </si>
  <si>
    <t>85619090-cfc9-414d-b63c-31f431322e8b</t>
  </si>
  <si>
    <t>Kvareli Additional VRV Controllers | 1.2.1. (+) შემოსავალი MEP დანადგარების რეალიზაციიდან | ინდეკო სი ემ  (ს.კ. 405508339) - შპს</t>
  </si>
  <si>
    <t>Kvareli Additional VRV Controllers | 1.2.1. | ინდეკო სი ემ   | 15,120.00 USD | 04.10.2023</t>
  </si>
  <si>
    <t>ICE523</t>
  </si>
  <si>
    <t>Kvareli Dammaged Indoor 2 Units</t>
  </si>
  <si>
    <t>ICE1905/45203/1.2.1./QSAOQ2</t>
  </si>
  <si>
    <t>c7bf5a1d-f3dc-4d45-a4b3-ae3a08abb27e</t>
  </si>
  <si>
    <t>Kvareli Dammaged Indoor 2 Units | 1.2.1. (+) შემოსავალი MEP დანადგარების რეალიზაციიდან | ინდეკო სი ემ  (ს.კ. 405508339) - შპს</t>
  </si>
  <si>
    <t>Kvareli Dammaged Indoor 2 Units | 1.2.1. | ინდეკო სი ემ   | 1,320.00 USD | 04.10.2023</t>
  </si>
  <si>
    <t>ICE524</t>
  </si>
  <si>
    <t>VRF Service</t>
  </si>
  <si>
    <t>1630 634</t>
  </si>
  <si>
    <t>ICE000109/45231/1.2.3./UU51NH</t>
  </si>
  <si>
    <t>93834e5b-2fd1-4660-a4ca-d1f781b03d90</t>
  </si>
  <si>
    <t>VRF Service | 1.2.3. (+) შემოსავალი MEP დანადგარების სერვისიდან - არაგეგმიური | ბერკეტი-დიზაინი (ს.კ. 204909812) - შპს</t>
  </si>
  <si>
    <t>VRF Service | 1.2.3. | ბერკეტი-დიზაინი  | 1,500.00 GEL | 01.11.2023</t>
  </si>
  <si>
    <t>ICE525</t>
  </si>
  <si>
    <t>ავენიუ ბაი ორბი (ს.კ. 445488749) - შპს</t>
  </si>
  <si>
    <t>Bagrationi Avenue</t>
  </si>
  <si>
    <t>ICE002291/45231/1.1.1./RQ1K3F</t>
  </si>
  <si>
    <t>1db66f5a-cd02-4227-8346-8d530e7ddd6b</t>
  </si>
  <si>
    <t>Bagrationi Avenue | 1.1.1. (+) შემოსავალი ლიფტების რეალიზაციიდან | ავენიუ ბაი ორბი (ს.კ. 445488749) - შპს</t>
  </si>
  <si>
    <t>79dd9f3e-f8fc-44d0-991d-84b033122a43</t>
  </si>
  <si>
    <t>Bagrationi Avenue | 1.1.1. | ავენიუ ბაი ორბი  | 2,230,000.00 USD | 01.11.2023</t>
  </si>
  <si>
    <t>ICE526</t>
  </si>
  <si>
    <t>არგო მენეჯმენტი  (ს.კ. 445391647) - შპს</t>
  </si>
  <si>
    <t>Radisson Batumi Reabilitation</t>
  </si>
  <si>
    <t>ლევან წერეთელი (ს.კ. 01007013287) - ფიზ. პირი</t>
  </si>
  <si>
    <t>1 6 30 2307</t>
  </si>
  <si>
    <t>ICE002302/45200/1.1.3./P1NC7M</t>
  </si>
  <si>
    <t>480e736d-51e2-4a6d-86f4-8a71c80dd24d</t>
  </si>
  <si>
    <t>Radisson Batumi Reabilitation | 1.1.3. (+) შემოსავალი ლიფტების სერვისიდან - არაგეგმიური | არგო მენეჯმენტი  (ს.კ. 445391647) - შპს</t>
  </si>
  <si>
    <t>4122dbf7-d9ab-4887-8878-b24f2e384d89</t>
  </si>
  <si>
    <t>4c25a3b7-d112-4c46-aa9a-b2513a44f1b7</t>
  </si>
  <si>
    <t>Radisson Batumi Reabilitation | 1.1.3. | არგო მენეჯმენტი   | 50,000.00 USD | 01.10.2023</t>
  </si>
  <si>
    <t>ICE527</t>
  </si>
  <si>
    <t>B Block Divider Materials</t>
  </si>
  <si>
    <t>1.1.4. (+) შემოსავალი ლიფტების შახტის გამყოფები</t>
  </si>
  <si>
    <t>ლაშა თედორაძე (ს.კ. 61008003787) - ფიზ. პირი</t>
  </si>
  <si>
    <t>ICE001124/45203/1.1.4./CKPDS7</t>
  </si>
  <si>
    <t>cc9b4fb4-2fc0-446f-b08e-95be3e015a3a</t>
  </si>
  <si>
    <t>B Block Divider Materials | 1.1.4. (+) შემოსავალი ლიფტების შახტის გამყოფები | ეიჩ გრუპ კონსტრაქშენ (ს.კ. 445510411) - შპს</t>
  </si>
  <si>
    <t>954A7962-CBD4-4685-8632-CAED15DD0A33</t>
  </si>
  <si>
    <t>01DFE71D-5350-4A02-ABCD-C6A3C15B94EE</t>
  </si>
  <si>
    <t>B Block Divider Materials | 1.1.4. | ეიჩ გრუპ კონსტრაქშენ  | 24,320.00 GEL | 04.10.2023</t>
  </si>
  <si>
    <t>ICE528</t>
  </si>
  <si>
    <t>ტელეგრაფი (ს.კ. 404505406) - შპს</t>
  </si>
  <si>
    <t>Reinstallation</t>
  </si>
  <si>
    <t>ICE002297/45200/1.2.3./1T2DOR</t>
  </si>
  <si>
    <t>296398f5-32da-48d7-8649-3400d7102186</t>
  </si>
  <si>
    <t>Reinstallation | 1.2.3. (+) შემოსავალი MEP დანადგარების სერვისიდან - არაგეგმიური | ტელეგრაფი (ს.კ. 404505406) - შპს</t>
  </si>
  <si>
    <t>28c83760-9609-45b5-ba2b-10af914dc649</t>
  </si>
  <si>
    <t>Reinstallation | 1.2.3. | ტელეგრაფი  | 2,970.00 GEL | 01.10.2023</t>
  </si>
  <si>
    <t>ICE529</t>
  </si>
  <si>
    <t>Zurab Margvelashvili</t>
  </si>
  <si>
    <t>ICE000014/45231/1.2.1./F1TRXP</t>
  </si>
  <si>
    <t>2f9e7948-8da7-4630-8e1f-2164cb9dc44f</t>
  </si>
  <si>
    <t>Zurab Margvelashvili | 1.2.1. (+) შემოსავალი MEP დანადგარების რეალიზაციიდან | თბილი სახლი (ს.კ. 204976179) - შპს</t>
  </si>
  <si>
    <t>Zurab Margvelashvili | 1.2.1. | თბილი სახლი  | 13,310.00 USD | 01.11.2023</t>
  </si>
  <si>
    <t>ICE530</t>
  </si>
  <si>
    <t>ვახტანგი ხაბაზი (ს.კ. 61004063799) - ფიზ. პირი</t>
  </si>
  <si>
    <t>Khabazi Kobuleti</t>
  </si>
  <si>
    <t>1 6 30 2347</t>
  </si>
  <si>
    <t>ICE002306/45264/1.1.1./4F2RPV</t>
  </si>
  <si>
    <t>0fd47e4e-273e-460f-8104-df710082a6e3</t>
  </si>
  <si>
    <t>Khabazi Kobuleti | 1.1.1. (+) შემოსავალი ლიფტების რეალიზაციიდან | ვახტანგი ხაბაზი (ს.კ. 61004063799) - ფიზ. პირი</t>
  </si>
  <si>
    <t>7da2982f-8cef-4eb7-ab5d-1b22651ade10</t>
  </si>
  <si>
    <t>Khabazi Kobuleti | 1.1.1. | ვახტანგი ხაბაზი  | 29,700.00 USD | 04.12.2023</t>
  </si>
  <si>
    <t>ICE531</t>
  </si>
  <si>
    <t>Kvareli Sprinklers</t>
  </si>
  <si>
    <t>ICE1905/45203/1.2.1./N9QDTM</t>
  </si>
  <si>
    <t>84775209-02e2-47b7-ab93-434105e43323</t>
  </si>
  <si>
    <t>Kvareli Sprinklers | 1.2.1. (+) შემოსავალი MEP დანადგარების რეალიზაციიდან | ინდეკო სი ემ  (ს.კ. 405508339) - შპს</t>
  </si>
  <si>
    <t>Kvareli Sprinklers | 1.2.1. | ინდეკო სი ემ   | 10,339.00 EUR | 04.10.2023</t>
  </si>
  <si>
    <t>ICE532</t>
  </si>
  <si>
    <t>Kvareli Fire Valve</t>
  </si>
  <si>
    <t>ICE1905/45203/1.2.1./I8QTVR</t>
  </si>
  <si>
    <t>39868c8f-40b2-4d1a-9d7b-5c9aa3a74a08</t>
  </si>
  <si>
    <t>Kvareli Fire Valve | 1.2.1. (+) შემოსავალი MEP დანადგარების რეალიზაციიდან | ინდეკო სი ემ  (ს.კ. 405508339) - შპს</t>
  </si>
  <si>
    <t>Kvareli Fire Valve | 1.2.1. | ინდეკო სი ემ   | 0.00 EUR | 04.10.2023</t>
  </si>
  <si>
    <t>ICE533</t>
  </si>
  <si>
    <t>Ramishvili Firefighting</t>
  </si>
  <si>
    <t>1 6 30 2011 6</t>
  </si>
  <si>
    <t>ICE1905/45261/1.2.1./L4SOSG</t>
  </si>
  <si>
    <t>7b52b8fb-689a-4d49-8d34-bc72a92f96e7</t>
  </si>
  <si>
    <t>Ramishvili Firefighting | 1.2.1. (+) შემოსავალი MEP დანადგარების რეალიზაციიდან | ინდეკო სი ემ  (ს.კ. 405508339) - შპს</t>
  </si>
  <si>
    <t>Ramishvili Firefighting | 1.2.1. | ინდეკო სი ემ   | 219,593.00 USD | 01.12.2023</t>
  </si>
  <si>
    <t>ICE534</t>
  </si>
  <si>
    <t>Ramishvili Ventilation</t>
  </si>
  <si>
    <t>ICE1905/45261/1.2.1./MCZ3HW</t>
  </si>
  <si>
    <t>983d4226-1568-4120-9a00-7ada71216d53</t>
  </si>
  <si>
    <t>Ramishvili Ventilation | 1.2.1. (+) შემოსავალი MEP დანადგარების რეალიზაციიდან | ინდეკო სი ემ  (ს.კ. 405508339) - შპს</t>
  </si>
  <si>
    <t>Ramishvili Ventilation | 1.2.1. | ინდეკო სი ემ   | 183,367.50 USD | 01.12.2023</t>
  </si>
  <si>
    <t>ICE535</t>
  </si>
  <si>
    <t>VRF Repair</t>
  </si>
  <si>
    <t>ICE001881/45267/1.2.3./X31QRL</t>
  </si>
  <si>
    <t>cbb5c2d7-c64b-42c9-af69-16b45493c0dd</t>
  </si>
  <si>
    <t>VRF Repair | 1.2.3. (+) შემოსავალი MEP დანადგარების სერვისიდან - არაგეგმიური | აიდისი (ს.კ. 204998342) - შპს</t>
  </si>
  <si>
    <t>VRF Repair | 1.2.3. | აიდისი  | 1,700.00 GEL | 07.12.2023</t>
  </si>
  <si>
    <t>ICE536</t>
  </si>
  <si>
    <t>Saakadze McDonalds Rooftops lounching</t>
  </si>
  <si>
    <t>ICE000014/45261/1.2.2./WS3FQH</t>
  </si>
  <si>
    <t>9caa02e5-e5ab-4d2d-8e44-d3cafa253c14</t>
  </si>
  <si>
    <t>Saakadze McDonalds Rooftops lounching | 1.2.2. (+) შემოსავალი MEP დანადგარების სერვისიდან - გეგმიური | თბილი სახლი (ს.კ. 204976179) - შპს</t>
  </si>
  <si>
    <t>Saakadze McDonalds Rooftops lounching | 1.2.2. | თბილი სახლი  | 2,500.00 GEL | 01.12.2023</t>
  </si>
  <si>
    <t>ICE537</t>
  </si>
  <si>
    <t>იორკ ჰოლდინგ გრუპი (ს.კ. 430800733) - შპს</t>
  </si>
  <si>
    <t>Kuwait Villa</t>
  </si>
  <si>
    <t>1 6 30 2322</t>
  </si>
  <si>
    <t>ICE002326/45200/1.1.1./SAHQBU</t>
  </si>
  <si>
    <t>79ec2226-b764-414f-a89b-8b373172eccd</t>
  </si>
  <si>
    <t>Kuwait Villa | 1.1.1. (+) შემოსავალი ლიფტების რეალიზაციიდან | იორკ ჰოლდინგ გრუპი (ს.კ. 430800733) - შპს</t>
  </si>
  <si>
    <t>e2fdc997-fb84-4392-a1c5-6f31e02526f7</t>
  </si>
  <si>
    <t>Kuwait Villa | 1.1.1. | იორკ ჰოლდინგ გრუპი  | 25,990.00 USD | 01.10.2023</t>
  </si>
  <si>
    <t>ICE538</t>
  </si>
  <si>
    <t>DIAGNOSTICA MEDICAL CORPORATION (ს.კ.  01202228) - უცხოური საწარმო</t>
  </si>
  <si>
    <t>Laboratoria</t>
  </si>
  <si>
    <t>ICE002327/45104/1.2.1./JKTTAQ</t>
  </si>
  <si>
    <t>f438b982-9914-413c-b500-5c67e2c42ff2</t>
  </si>
  <si>
    <t>Laboratoria | 1.2.1. (+) შემოსავალი MEP დანადგარების რეალიზაციიდან | DIAGNOSTICA MEDICAL CORPORATION (ს.კ.  01202228) - უცხოური საწარმო</t>
  </si>
  <si>
    <t>aa934aac-5710-48b1-9f92-8758072e74af</t>
  </si>
  <si>
    <t>gvantsalebanidze21@gmail.com</t>
  </si>
  <si>
    <t>Laboratoria | 1.2.1. | DIAGNOSTICA MEDICAL CORPORATION  | 102,052.00 USD | 27.06.2023</t>
  </si>
  <si>
    <t>ICE539</t>
  </si>
  <si>
    <t>Svogan LLC (ს.კ. 0) - უცხოური საწარმო</t>
  </si>
  <si>
    <t>Laboratoria2</t>
  </si>
  <si>
    <t>ICE002327/45028/1.2.1./QW6XCY</t>
  </si>
  <si>
    <t>e2eee0d4-7f27-4681-b208-ed6998ade489</t>
  </si>
  <si>
    <t>Laboratoria2 | 1.2.1. (+) შემოსავალი MEP დანადგარების რეალიზაციიდან | Svogan LLC (ს.კ. 0) - უცხოური საწარმო</t>
  </si>
  <si>
    <t>ada4b871-9f07-4e9c-9745-637ba83cab2f</t>
  </si>
  <si>
    <t>Laboratoria2 | 1.2.1. | Svogan LLC  | 79,428.00 USD | 12.04.2023</t>
  </si>
  <si>
    <t>ICE540</t>
  </si>
  <si>
    <t>ევროპროდუქტი (ს.კ. 202227134) - შპს</t>
  </si>
  <si>
    <t>1 6 30 1522</t>
  </si>
  <si>
    <t>ICE001258/45019/1.1.1./ULCNUQ</t>
  </si>
  <si>
    <t>b56a9f5c-9602-4b8f-81a8-9d7a45cfd0bc</t>
  </si>
  <si>
    <t>Kaklebi | 1.1.1. (+) შემოსავალი ლიფტების რეალიზაციიდან | ევროპროდუქტი (ს.კ. 202227134) - შპს</t>
  </si>
  <si>
    <t>4437EBC3-984C-475E-84DF-3153C2A50708</t>
  </si>
  <si>
    <t>Kaklebi | 1.1.1. | ევროპროდუქტი  | 27,000.00 USD | 03.04.2023</t>
  </si>
  <si>
    <t>ICE541</t>
  </si>
  <si>
    <t>ICE001258/45259/1.1.2./XXE0VP</t>
  </si>
  <si>
    <t>e8a6e825-a7af-4503-ab81-fa285d3ac8d3</t>
  </si>
  <si>
    <t>Kaklebi | 1.1.2. (+) შემოსავალი ლიფტების სერვისიდან - გეგმიური | ევროპროდუქტი (ს.კ. 202227134) - შპს</t>
  </si>
  <si>
    <t>Kaklebi | 1.1.2. | ევროპროდუქტი  | 100.00 USD | 29.11.2023</t>
  </si>
  <si>
    <t>ICE542</t>
  </si>
  <si>
    <t>Pirosmani King Solomon</t>
  </si>
  <si>
    <t>ICE001888/45093/1.1.2./BUXPEN</t>
  </si>
  <si>
    <t>40514d95-7eb9-485c-8d7b-66063e9fa051</t>
  </si>
  <si>
    <t>Pirosmani King Solomon | 1.1.2. (+) შემოსავალი ლიფტების სერვისიდან - გეგმიური | გოლდენ გრუპ (ს.კ. 445519831) - შპს</t>
  </si>
  <si>
    <t>Pirosmani King Solomon | 1.1.2. | გოლდენ გრუპ  | 300.00 USD | 16.06.2023</t>
  </si>
  <si>
    <t>ICE543</t>
  </si>
  <si>
    <t>Sunrise Shartava</t>
  </si>
  <si>
    <t>ICE001140/45200/1.1.2./GVX6OU</t>
  </si>
  <si>
    <t>96ea85b6-ed1c-4a7f-9207-0f2adca47803</t>
  </si>
  <si>
    <t>Sunrise Shartava | 1.1.2. (+) შემოსავალი ლიფტების სერვისიდან - გეგმიური | სანრაიზ დეველოპმენტი (ს.კ. 405285221) - შპს</t>
  </si>
  <si>
    <t>Sunrise Shartava | 1.1.2. | სანრაიზ დეველოპმენტი  | 600.00 USD | 01.10.2023</t>
  </si>
  <si>
    <t>ICE544</t>
  </si>
  <si>
    <t>Parnavaz Mepis 26</t>
  </si>
  <si>
    <t>ICE002273/45139/1.1.2./QOJB1T</t>
  </si>
  <si>
    <t>dbacb19b-c9f3-43d5-b317-3aacc1ccaeac</t>
  </si>
  <si>
    <t>Parnavaz mepis 26 | 1.1.2. (+) შემოსავალი ლიფტების სერვისიდან - გეგმიური | დიღომი 2ბ სერვისი (ს.კ. 405476319) - შპს</t>
  </si>
  <si>
    <t>Parnavaz mepis 26 | 1.1.2. | დიღომი 2ბ სერვისი  | 300.00 USD | 01.08.2023</t>
  </si>
  <si>
    <t>ICE545</t>
  </si>
  <si>
    <t>Aleqseevka</t>
  </si>
  <si>
    <t>ICE001766/45170/1.1.2./JP6DS2</t>
  </si>
  <si>
    <t>a9f12776-d4df-490f-9568-76a563f60b71</t>
  </si>
  <si>
    <t>Aleqseevka | 1.1.2. (+) შემოსავალი ლიფტების სერვისიდან - გეგმიური | ემ ელ სი ლოჯისტიკს (ს.კ. 405380181) - შპს</t>
  </si>
  <si>
    <t>Aleqseevka | 1.1.2. | ემ ელ სი ლოჯისტიკს  | 300.00 GEL | 01.09.2023</t>
  </si>
  <si>
    <t>ICE546</t>
  </si>
  <si>
    <t>Arqi mindeli</t>
  </si>
  <si>
    <t>ICE000941/44531/1.1.2./XENYAU</t>
  </si>
  <si>
    <t>2421757e-72bb-4e3c-91e5-45543eb1955e</t>
  </si>
  <si>
    <t>Arqi mindeli | 1.1.2. (+) შემოსავალი ლიფტების სერვისიდან - გეგმიური | არქი საბურთალო (ს.კ. 405176982) - შპს</t>
  </si>
  <si>
    <t>Arqi mindeli | 1.1.2. | არქი საბურთალო  | 100.00 USD | 01.12.2021</t>
  </si>
  <si>
    <t>ICE547</t>
  </si>
  <si>
    <t>ჯი ემ თი (ს.კ. 435431445) - შპს</t>
  </si>
  <si>
    <t>Marriots</t>
  </si>
  <si>
    <t>ICE1927/45292/1.1.2./FHVBQU</t>
  </si>
  <si>
    <t>0381a5c5-6a6d-4390-ab1e-6cebc3fa3a63</t>
  </si>
  <si>
    <t>Marriots | 1.1.2. (+) შემოსავალი ლიფტების სერვისიდან - გეგმიური | ჯი ემ თი (ს.კ. 435431445) - შპს</t>
  </si>
  <si>
    <t>f0e74704-bbe8-4b66-ab47-e463d9818101</t>
  </si>
  <si>
    <t>Marriots | 1.1.2. | ჯი ემ თი  | 300.00 USD | 01.01.2024</t>
  </si>
  <si>
    <t>ICE548</t>
  </si>
  <si>
    <t>შ.პ.ს ბეტა ჰოთელს (ს.კ. 404585686) - შპს</t>
  </si>
  <si>
    <t>Akhvlediani 22</t>
  </si>
  <si>
    <t>ICE002330/44835/1.1.2./V5ME0W</t>
  </si>
  <si>
    <t>66f718a2-359b-4815-a3ab-19c0ca474a03</t>
  </si>
  <si>
    <t>Akhvlediani 22 | 1.1.2. (+) შემოსავალი ლიფტების სერვისიდან - გეგმიური | შ.პ.ს ბეტა ჰოთელს (ს.კ. 404585686) - შპს</t>
  </si>
  <si>
    <t>67db0446-9f2c-4963-99f1-7b3593938048</t>
  </si>
  <si>
    <t>Akhvlediani 22 | 1.1.2. | შ.პ.ს ბეტა ჰოთელს  | 400.00 USD | 01.10.2022</t>
  </si>
  <si>
    <t>ICE549</t>
  </si>
  <si>
    <t>კონსტანტინე ესაძე (ს.კ. 01009007850) - ფიზ. პირი</t>
  </si>
  <si>
    <t>Varazis 42</t>
  </si>
  <si>
    <t>ICE2331/45266/1.1.2./7JDV3W</t>
  </si>
  <si>
    <t>43511dc2-5ae3-4d82-8fd5-5e36b2761788</t>
  </si>
  <si>
    <t>Varazis 42 | 1.1.2. (+) შემოსავალი ლიფტების სერვისიდან - გეგმიური | კონსტანტინე ესაძე (ს.კ. 01009007850) - ფიზ. პირი</t>
  </si>
  <si>
    <t>a1a33d48-00a5-47eb-b6d2-e2a4ba886b04</t>
  </si>
  <si>
    <t>Varazis 42 | 1.1.2. | კონსტანტინე ესაძე  | 100.00 USD | 06.12.2023</t>
  </si>
  <si>
    <t>ICE550</t>
  </si>
  <si>
    <t>ეკატერინე ელისაბედაშვილი (ს.კ. 01019021472) - ფიზ. პირი</t>
  </si>
  <si>
    <t>Tskneti 51</t>
  </si>
  <si>
    <t>1631 2200</t>
  </si>
  <si>
    <t>ICE2332/45047/1.1.2./VAWCB0</t>
  </si>
  <si>
    <t>5c0ef5f8-b269-4f4d-a28a-7b7ffe944582</t>
  </si>
  <si>
    <t>Tskneti 51 | 1.1.2. (+) შემოსავალი ლიფტების სერვისიდან - გეგმიური | ეკატერინე ელისაბედაშვილი (ს.კ. 01019021472) - ფიზ. პირი</t>
  </si>
  <si>
    <t>c6fd871b-6503-4016-a944-8d66e0c0b2b9</t>
  </si>
  <si>
    <t>Tskneti 51 | 1.1.2. | ეკატერინე ელისაბედაშვილი  | 600.00 GEL | 01.05.2023</t>
  </si>
  <si>
    <t>ICE551</t>
  </si>
  <si>
    <t>გრინლაიფ რეზიდენსი (ს.კ. 65002012550) - ამხანაგობა</t>
  </si>
  <si>
    <t>Okroyana</t>
  </si>
  <si>
    <t>ICE2333/45170/1.1.2./I6PT9J</t>
  </si>
  <si>
    <t>164ed54b-7598-4abe-879d-57ca8606f224</t>
  </si>
  <si>
    <t>Okroyana | 1.1.2. (+) შემოსავალი ლიფტების სერვისიდან - გეგმიური | გრინლაიფ რეზიდენსი (ს.კ. 65002012550) - ამხანაგობა</t>
  </si>
  <si>
    <t>2359c3bf-5b5c-47e8-af26-6afb7fcfdcc4</t>
  </si>
  <si>
    <t>Okroyana | 1.1.2. | გრინლაიფ რეზიდენსი  | 200.00 GEL | 01.09.2023</t>
  </si>
  <si>
    <t>ICE552</t>
  </si>
  <si>
    <t>radisson telegraph chileers</t>
  </si>
  <si>
    <t>ICE001903/45267/1.2.1./DGVFWL</t>
  </si>
  <si>
    <t>49250249-68fa-4a57-8966-c7f64e1e13a2</t>
  </si>
  <si>
    <t>radisson telegraph chileers | 1.2.1. (+) შემოსავალი MEP დანადგარების რეალიზაციიდან | DT MUHENDISLIK VE TAAHHUT A.S. (ს.კ. 0) - უცხოური საწარმო</t>
  </si>
  <si>
    <t>radisson telegraph chileers | 1.2.1. | DT MUHENDISLIK VE TAAHHUT A.S.  | 311,588.02 EUR | 07.12.2023</t>
  </si>
  <si>
    <t>ICE553</t>
  </si>
  <si>
    <t>radisson telegraph FCU</t>
  </si>
  <si>
    <t>ICE001903/45267/1.2.1./0UUTWX</t>
  </si>
  <si>
    <t>d7b3b888-3dc2-4f3e-b476-628c01fbddc2</t>
  </si>
  <si>
    <t>radisson telegraph FCU | 1.2.1. (+) შემოსავალი MEP დანადგარების რეალიზაციიდან | DT MUHENDISLIK VE TAAHHUT A.S. (ს.კ. 0) - უცხოური საწარმო</t>
  </si>
  <si>
    <t>radisson telegraph FCU | 1.2.1. | DT MUHENDISLIK VE TAAHHUT A.S.  | 175,247.00 EUR | 07.12.2023</t>
  </si>
  <si>
    <t>ICE554</t>
  </si>
  <si>
    <t>მმს გრუპ (ს.კ. 445472774) - შპს</t>
  </si>
  <si>
    <t>mms group poti</t>
  </si>
  <si>
    <t>1 6 30 959</t>
  </si>
  <si>
    <t>ICE000618/45140/1.1.1./RYHVMN</t>
  </si>
  <si>
    <t>3b17cc5c-76ef-4e87-af6f-ea83aed78933</t>
  </si>
  <si>
    <t>mms group poti | 1.1.1. (+) შემოსავალი ლიფტების რეალიზაციიდან | მმს გრუპ (ს.კ. 445472774) - შპს</t>
  </si>
  <si>
    <t>D3053038-D0EF-4A29-A967-019DA8E78E0E</t>
  </si>
  <si>
    <t>mms group poti | 1.1.1. | მმს გრუპ  | 22,830.00 USD | 02.08.2023</t>
  </si>
  <si>
    <t>ICE555</t>
  </si>
  <si>
    <t>Kvareli Residence</t>
  </si>
  <si>
    <t>ICE000118/45261/1.1.1./QIYL0B</t>
  </si>
  <si>
    <t>d0612a34-384f-4c73-92eb-c87f1c9ec412</t>
  </si>
  <si>
    <t>Kvareli Residence | 1.1.1. (+) შემოსავალი ლიფტების რეალიზაციიდან | მეპერსი (ს.კ. 402121887) - შპს</t>
  </si>
  <si>
    <t>Kvareli Residence | 1.1.1. | მეპერსი  | 2,000.00 USD | 01.12.2023</t>
  </si>
  <si>
    <t>ICE556</t>
  </si>
  <si>
    <t>Refugee Tbilisi</t>
  </si>
  <si>
    <t>1 6 30 1132 7</t>
  </si>
  <si>
    <t>ICE000033/45261/1.1.1./QCT6W2</t>
  </si>
  <si>
    <t>f38187c6-ded0-4c0b-a01c-7b024ab809fb</t>
  </si>
  <si>
    <t>Refugee Tbilisi | 1.1.1. (+) შემოსავალი ლიფტების რეალიზაციიდან | ანაგი (ს.კ. 245416401) - შპს</t>
  </si>
  <si>
    <t>Refugee Tbilisi | 1.1.1. | ანაგი  | 616,940.00 USD | 01.12.2023</t>
  </si>
  <si>
    <t>ICE557</t>
  </si>
  <si>
    <t>GRG VRF Lounching abashidze</t>
  </si>
  <si>
    <t>ICE000014/45286/1.2.3./FBIQN9</t>
  </si>
  <si>
    <t>a959679b-542c-4b5b-abc6-9363ae3ca772</t>
  </si>
  <si>
    <t>GRG VRF Lounching abashidze | 1.2.3. (+) შემოსავალი MEP დანადგარების სერვისიდან - არაგეგმიური | თბილი სახლი (ს.კ. 204976179) - შპს</t>
  </si>
  <si>
    <t>GRG VRF Lounching abashidze | 1.2.3. | თბილი სახლი  | 1,600.00 GEL | 26.12.2023</t>
  </si>
  <si>
    <t>ICE558</t>
  </si>
  <si>
    <t>საქკაბელი (ს.კ. 230026888) - სს</t>
  </si>
  <si>
    <t>VRV Service</t>
  </si>
  <si>
    <t>ICE000143/45286/1.2.2./O7VWCO</t>
  </si>
  <si>
    <t>fa5c2cb3-0a40-41c0-b49f-1d53a4e467f8</t>
  </si>
  <si>
    <t>VRV Service | 1.2.2. (+) შემოსავალი MEP დანადგარების სერვისიდან - გეგმიური | საქკაბელი (ს.კ. 230026888) - სს</t>
  </si>
  <si>
    <t>F7F095B6-FE57-40F1-97A5-BDD67B1849A7</t>
  </si>
  <si>
    <t>VRV Service | 1.2.2. | საქკაბელი  | 2,800.00 USD | 26.12.2023</t>
  </si>
  <si>
    <t>ICE559</t>
  </si>
  <si>
    <t>PCB</t>
  </si>
  <si>
    <t>ICE000125/45261/1.1.3./Z0U1TK</t>
  </si>
  <si>
    <t>8ef98bb4-46de-465f-8e8d-0451b1364872</t>
  </si>
  <si>
    <t>PCB | 1.1.3. (+) შემოსავალი ლიფტების სერვისიდან - არაგეგმიური | 1920 (ს.კ. 400247899) - შპს</t>
  </si>
  <si>
    <t>PCB | 1.1.3. | 1920  | 675.00 USD | 01.12.2023</t>
  </si>
  <si>
    <t>ICE560</t>
  </si>
  <si>
    <t>ICE000023/45261/1.1.3./630OTH</t>
  </si>
  <si>
    <t>6b931bff-bc20-4d76-967e-e24a2efc8d28</t>
  </si>
  <si>
    <t>PCB | 1.1.3. (+) შემოსავალი ლიფტების სერვისიდან - არაგეგმიური | ეიჩ ენდ ემ ჰენეს ენდ მაურიც ჯორჯია (ს.კ. 405164192) - შპს</t>
  </si>
  <si>
    <t>PCB | 1.1.3. | ეიჩ ენდ ემ ჰენეს ენდ მაურიც ჯორჯია  | 1,000.00 USD | 01.12.2023</t>
  </si>
  <si>
    <t>ICE561</t>
  </si>
  <si>
    <t>Central Thermal Curtains</t>
  </si>
  <si>
    <t>ICE000032/45286/1.2.1./XMHSOW</t>
  </si>
  <si>
    <t>604444b8-4c21-428f-944a-402d544fee8c</t>
  </si>
  <si>
    <t>Central Thermal Curtains | 1.2.1. (+) შემოსავალი MEP დანადგარების რეალიზაციიდან | თბილისი ცენტრალი (ს.კ. 205129653) - სს</t>
  </si>
  <si>
    <t>Central Thermal Curtains | 1.2.1. | თბილისი ცენტრალი  | 9,332.60 GEL | 26.12.2023</t>
  </si>
  <si>
    <t>ICE562</t>
  </si>
  <si>
    <t>Kvareli 3 units PFD Box</t>
  </si>
  <si>
    <t>ICE1905/45309/1.2.1./NP9853</t>
  </si>
  <si>
    <t>07066b48-2e48-40b9-954f-8c7b665da5bd</t>
  </si>
  <si>
    <t>Kvareli 3 units PFD Box | 1.2.1. (+) შემოსავალი MEP დანადგარების რეალიზაციიდან | ინდეკო სი ემ  (ს.კ. 405508339) - შპს</t>
  </si>
  <si>
    <t>Kvareli 3 units PFD Box | 1.2.1. | ინდეკო სი ემ   | 1,875.00 USD | 18.01.2024</t>
  </si>
  <si>
    <t>ICE563</t>
  </si>
  <si>
    <t>Ramishvili Toshiba Installation Materials</t>
  </si>
  <si>
    <t>ICE1905/45309/1.2.1./TWELFT</t>
  </si>
  <si>
    <t>bb30cf11-f2b7-4538-b4ae-4e6b2d3e152f</t>
  </si>
  <si>
    <t>Ramishvili Toshiba Installation Materials | 1.2.1. (+) შემოსავალი MEP დანადგარების რეალიზაციიდან | ინდეკო სი ემ  (ს.კ. 405508339) - შპს</t>
  </si>
  <si>
    <t>Ramishvili Toshiba Installation Materials | 1.2.1. | ინდეკო სი ემ   | 26,817.00 GEL | 18.01.2024</t>
  </si>
  <si>
    <t>ICE564</t>
  </si>
  <si>
    <t>მტზ კომპანი (ს.კ. 445525478) - შპს</t>
  </si>
  <si>
    <t>MTZ</t>
  </si>
  <si>
    <t>1 6 30 2487</t>
  </si>
  <si>
    <t>ICE002292/45200/1.1.1./EC7QBP</t>
  </si>
  <si>
    <t>49abdf1f-68e9-42f1-ab2d-8bc5c3a6fd07</t>
  </si>
  <si>
    <t>MTZ | 1.1.1. (+) შემოსავალი ლიფტების რეალიზაციიდან | მტზ კომპანი (ს.კ. 445525478) - შპს</t>
  </si>
  <si>
    <t>ccabf454-5bc9-4a0f-a645-c4107db2dd65</t>
  </si>
  <si>
    <t>MTZ | 1.1.1. | მტზ კომპანი  | 323,200.00 USD | 01.10.2023</t>
  </si>
  <si>
    <t>ICE565</t>
  </si>
  <si>
    <t>ლაქი ქონსთრაქშენ (ს.კ. 405370708) - შპს</t>
  </si>
  <si>
    <t>Roomix Tsintsadze</t>
  </si>
  <si>
    <t>ICE002358/45327/1.1.1./SNST9B</t>
  </si>
  <si>
    <t>a7380446-a51d-44c2-abf1-0d3a9899d3a2</t>
  </si>
  <si>
    <t>Roomix Tsintsadze | 1.1.1. (+) შემოსავალი ლიფტების რეალიზაციიდან | ლაქი ქონსთრაქშენ (ს.კ. 405370708) - შპს</t>
  </si>
  <si>
    <t>70db2095-a71a-4737-90f8-20712f6b22fe</t>
  </si>
  <si>
    <t>Roomix Tsintsadze | 1.1.1. | ლაქი ქონსთრაქშენ  | 200,000.00 USD | 05.02.2024</t>
  </si>
  <si>
    <t>ICE566</t>
  </si>
  <si>
    <t>EurAsia Klimat LLC (ს.კ. 230840027493) - უცხოური საწარმო</t>
  </si>
  <si>
    <t>MHI KZ 1</t>
  </si>
  <si>
    <t>ICE002361/45334/1.2.1./ZASFLV</t>
  </si>
  <si>
    <t>28f6d5e5-fb67-45f8-b809-5cfd36f97a16</t>
  </si>
  <si>
    <t>MHI KZ 1 | 1.2.1. (+) შემოსავალი MEP დანადგარების რეალიზაციიდან | EurAsia Klimat LLC (ს.კ. 230840027493) - უცხოური საწარმო</t>
  </si>
  <si>
    <t>a69d3dd6-7d2b-487f-89bd-41cd390d4f92</t>
  </si>
  <si>
    <t>MHI KZ 1 | 1.2.1. | EurAsia Klimat LLC  | 118,273.05 USD | 12.02.2024</t>
  </si>
  <si>
    <t>ICE567</t>
  </si>
  <si>
    <t>Basis Bank</t>
  </si>
  <si>
    <t>ICE000118/45323/1.1.1./EBRHZO</t>
  </si>
  <si>
    <t>e8770a08-9484-4394-9de3-e3935258b642</t>
  </si>
  <si>
    <t>Basis Bank | 1.1.1. (+) შემოსავალი ლიფტების რეალიზაციიდან | მეპერსი (ს.კ. 402121887) - შპს</t>
  </si>
  <si>
    <t>Basis Bank | 1.1.1. | მეპერსი  | 5,000.00 USD | 01.02.2024</t>
  </si>
  <si>
    <t>ICE568</t>
  </si>
  <si>
    <t>European School</t>
  </si>
  <si>
    <t>ICE000014/45323/1.1.1./Y3U7RQ</t>
  </si>
  <si>
    <t>6e5808e2-a29e-4464-81e9-2e3d666a15d3</t>
  </si>
  <si>
    <t>European School | 1.1.1. (+) შემოსავალი ლიფტების რეალიზაციიდან | თბილი სახლი (ს.კ. 204976179) - შპს</t>
  </si>
  <si>
    <t>European School | 1.1.1. | თბილი სახლი  | 200,000.00 USD | 01.02.2024</t>
  </si>
  <si>
    <t>ICE569</t>
  </si>
  <si>
    <t>Tbilisi Office</t>
  </si>
  <si>
    <t>ICE000001/45625/1.1.1./WORTYV</t>
  </si>
  <si>
    <t>4df01905-84ef-4091-8953-a22ae03f9ce6</t>
  </si>
  <si>
    <t>Tbilisi Office | 1.1.1. (+) შემოსავალი ლიფტების რეალიზაციიდან | ორბი ჯგუფი ბათუმი (ს.კ. 445468798) - შპს</t>
  </si>
  <si>
    <t>Tbilisi Office | 1.1.1. | ორბი ჯგუფი ბათუმი  | 25,910.00 USD | 29.11.2024</t>
  </si>
  <si>
    <t>ICE570</t>
  </si>
  <si>
    <t>Rehab Sewage Materials</t>
  </si>
  <si>
    <t>ICE002206/45200/1.2.1./WWOTAK</t>
  </si>
  <si>
    <t>7887aca3-740d-4e53-9411-ba8242f5967c</t>
  </si>
  <si>
    <t>Rehab Sewage Materials | 1.2.1. (+) შემოსავალი MEP დანადგარების რეალიზაციიდან | სანა მენტე (ს.კ. 405627022) - შპს</t>
  </si>
  <si>
    <t>Rehab Sewage Materials | 1.2.1. | სანა მენტე  | 122,329.89 GEL | 01.10.2023</t>
  </si>
  <si>
    <t>ICE571</t>
  </si>
  <si>
    <t>Marjanishvili McDonalds rooftop lounch</t>
  </si>
  <si>
    <t>ICE000014/45323/1.2.3./Q9CUPH</t>
  </si>
  <si>
    <t>f177879d-9632-4101-a3b1-c6803f0916ca</t>
  </si>
  <si>
    <t>Marjanishvili McDonalds rooftop lounch | 1.2.3. (+) შემოსავალი MEP დანადგარების სერვისიდან - არაგეგმიური | თბილი სახლი (ს.კ. 204976179) - შპს</t>
  </si>
  <si>
    <t>Marjanishvili McDonalds rooftop lounch | 1.2.3. | თბილი სახლი  | 1,250.00 GEL | 01.02.2024</t>
  </si>
  <si>
    <t>ICE572</t>
  </si>
  <si>
    <t>Rehab Elevator Service</t>
  </si>
  <si>
    <t>1 6 31 2223</t>
  </si>
  <si>
    <t>ICE002206/45327/1.1.2./G2V89Z</t>
  </si>
  <si>
    <t>ded3025d-334a-4727-976f-86da84c255b3</t>
  </si>
  <si>
    <t>Rehab Elevator Service | 1.1.2. (+) შემოსავალი ლიფტების სერვისიდან - გეგმიური | სანა მენტე (ს.კ. 405627022) - შპს</t>
  </si>
  <si>
    <t>Rehab Elevator Service | 1.1.2. | სანა მენტე  | 300.00 GEL | 05.02.2024</t>
  </si>
  <si>
    <t>ICE573</t>
  </si>
  <si>
    <t>მარდი ჰილსი (ს.კ. 405572633) - შპს</t>
  </si>
  <si>
    <t>Mardi Hills</t>
  </si>
  <si>
    <t>1 6 30 2433</t>
  </si>
  <si>
    <t>ICE002369/45343/1.1.1./CK1VLR</t>
  </si>
  <si>
    <t>718513f9-2755-4018-830d-913ed00cc4ed</t>
  </si>
  <si>
    <t>Mardi Hills | 1.1.1. (+) შემოსავალი ლიფტების რეალიზაციიდან | მარდი ჰილსი (ს.კ. 405572633) - შპს</t>
  </si>
  <si>
    <t>4ff0f14c-18c2-4c6e-bbd4-433567fb5d13</t>
  </si>
  <si>
    <t>Mardi Hills | 1.1.1. | მარდი ჰილსი  | 130,000.00 USD | 21.02.2024</t>
  </si>
  <si>
    <t>ICE574</t>
  </si>
  <si>
    <t>არსენალ რეზიდენსი (ს.კ. 406259668) - შპს</t>
  </si>
  <si>
    <t>Arsenal</t>
  </si>
  <si>
    <t>1 6 30 2478</t>
  </si>
  <si>
    <t>ICE002431/45358/1.1.1./PD6EVW</t>
  </si>
  <si>
    <t>dface0a5-db2c-4fc9-93e6-ba7fc760d878</t>
  </si>
  <si>
    <t>Arsenal | 1.1.1. (+) შემოსავალი ლიფტების რეალიზაციიდან | არსენალ რეზიდენსი (ს.კ. 406259668) - შპს</t>
  </si>
  <si>
    <t>47fc6b08-c195-42a2-a278-4bb92c38215a</t>
  </si>
  <si>
    <t>Arsenal | 1.1.1. | არსენალ რეზიდენსი  | 195,270.00 USD | 07.03.2024</t>
  </si>
  <si>
    <t>ICE575</t>
  </si>
  <si>
    <t>GAS CO Additional</t>
  </si>
  <si>
    <t>ICE000118/45352/1.1.1./VJ5G0U</t>
  </si>
  <si>
    <t>3cdf2630-031f-4a44-b14e-796215b8ab47</t>
  </si>
  <si>
    <t>GAS CO Additional | 1.1.1. (+) შემოსავალი ლიფტების რეალიზაციიდან | მეპერსი (ს.კ. 402121887) - შპს</t>
  </si>
  <si>
    <t>GAS CO Additional | 1.1.1. | მეპერსი  | 2,000.00 GEL | 01.03.2024</t>
  </si>
  <si>
    <t>ICE576</t>
  </si>
  <si>
    <t>როტა (ს.კ. 445569484) - შპს</t>
  </si>
  <si>
    <t>Porta Tower</t>
  </si>
  <si>
    <t>1 6 30 2440</t>
  </si>
  <si>
    <t>ICE002437/45356/1.2.1./ISPE1D</t>
  </si>
  <si>
    <t>76cae4ca-14f9-4f0a-86e3-a9df2e66b7d2</t>
  </si>
  <si>
    <t>Porta Tower | 1.2.1. (+) შემოსავალი MEP დანადგარების რეალიზაციიდან | როტა (ს.კ. 445569484) - შპს</t>
  </si>
  <si>
    <t>33242781-7ede-4229-9843-adff806e25f4</t>
  </si>
  <si>
    <t>Porta Tower | 1.2.1. | როტა  | 110,000.00 USD | 05.03.2024</t>
  </si>
  <si>
    <t>ICE577</t>
  </si>
  <si>
    <t>პროპერთი ინვესტ გრუპ (ს.კ. 405483285) - შპს</t>
  </si>
  <si>
    <t>Shalva Nutsubidze</t>
  </si>
  <si>
    <t>ICE002440/45352/1.1.1./BWYWO4</t>
  </si>
  <si>
    <t>943421a8-3197-42e0-8e9e-c06fcef579af</t>
  </si>
  <si>
    <t>Shalva Nutsubidze | 1.1.1. (+) შემოსავალი ლიფტების რეალიზაციიდან | პროპერთი ინვესტ გრუპ (ს.კ. 405483285) - შპს</t>
  </si>
  <si>
    <t>cddd77f0-2302-4d80-a93c-c148cd4b4b40</t>
  </si>
  <si>
    <t>Shalva Nutsubidze | 1.1.1. | პროპერთი ინვესტ გრუპ  | 100,000.00 USD | 01.03.2024</t>
  </si>
  <si>
    <t>ICE578</t>
  </si>
  <si>
    <t>გრანდე ჯგუფი (ს.კ. 404557127) - შპს</t>
  </si>
  <si>
    <t>Grande Krtsanisi</t>
  </si>
  <si>
    <t>1 6 30 2479</t>
  </si>
  <si>
    <t>ICE002441/45292/1.1.1./U7RAPB</t>
  </si>
  <si>
    <t>7c5fe502-ef1c-4e5a-a31e-4f338243d134</t>
  </si>
  <si>
    <t>Grande Krtsanisi | 1.1.1. (+) შემოსავალი ლიფტების რეალიზაციიდან | გრანდე ჯგუფი (ს.კ. 404557127) - შპს</t>
  </si>
  <si>
    <t>afcf1e96-482e-4089-8c1f-ba702ce22a77</t>
  </si>
  <si>
    <t>Grande Krtsanisi | 1.1.1. | გრანდე ჯგუფი  | 97,800.00 GEL | 01.01.2024</t>
  </si>
  <si>
    <t>ICE579</t>
  </si>
  <si>
    <t>სქაი ბათუმი (ს.კ. 445552866) - შპს</t>
  </si>
  <si>
    <t>Gumbati Port Line</t>
  </si>
  <si>
    <t>1 6 30 2290</t>
  </si>
  <si>
    <t>ICE002443/45142/1.1.1./1Q8PYO</t>
  </si>
  <si>
    <t>21bca106-f31b-4dea-a174-984a6618d488</t>
  </si>
  <si>
    <t>Gumbati Port Line | 1.1.1. (+) შემოსავალი ლიფტების რეალიზაციიდან | სქაი ბათუმი (ს.კ. 445552866) - შპს</t>
  </si>
  <si>
    <t>51116bcd-7d52-4a9b-8943-d90e557988b0</t>
  </si>
  <si>
    <t>Gumbati Port Line | 1.1.1. | სქაი ბათუმი  | 191,360.00 USD | 04.08.2023</t>
  </si>
  <si>
    <t>ICE580</t>
  </si>
  <si>
    <t>Alliance Highline FCU</t>
  </si>
  <si>
    <t>ICE002106/45210/1.2.1./DTVWFI</t>
  </si>
  <si>
    <t>9c11b7e9-5437-430b-a09a-41333f4f4f63</t>
  </si>
  <si>
    <t>Alliance Highline FCU | 1.2.1. (+) შემოსავალი MEP დანადგარების რეალიზაციიდან | დრს ინტერნეიშენალ (ს.კ. 421279182) - შპს</t>
  </si>
  <si>
    <t>Alliance Highline FCU | 1.2.1. | დრს ინტერნეიშენალ  | 83,274.00 EUR | 11.10.2023</t>
  </si>
  <si>
    <t>ICE581</t>
  </si>
  <si>
    <t>Alliance Highline Thermostat</t>
  </si>
  <si>
    <t>ICE002106/45352/1.2.1./TX5RM8</t>
  </si>
  <si>
    <t>2cfbda54-f6d4-45b4-8be3-493e6826cd37</t>
  </si>
  <si>
    <t>Alliance Highline Thermostat | 1.2.1. (+) შემოსავალი MEP დანადგარების რეალიზაციიდან | დრს ინტერნეიშენალ (ს.კ. 421279182) - შპს</t>
  </si>
  <si>
    <t>Alliance Highline Thermostat | 1.2.1. | დრს ინტერნეიშენალ  | 22,000.00 USD | 01.03.2024</t>
  </si>
  <si>
    <t>ICE582</t>
  </si>
  <si>
    <t>ბესიკ ბერიძე (ს.კ. 01024001602) - ფიზ. პირი</t>
  </si>
  <si>
    <t>1 6 30 2323</t>
  </si>
  <si>
    <t>ICE002301/45236/1.2.1./SDVUIL</t>
  </si>
  <si>
    <t>2eb3c870-011f-4e35-a69e-8e33a5606cac</t>
  </si>
  <si>
    <t>MHI Products | 1.2.1. (+) შემოსავალი MEP დანადგარების რეალიზაციიდან | ბესიკ ბერიძე (ს.კ. 01024001602) - ფიზ. პირი</t>
  </si>
  <si>
    <t>a5835c0d-1e9d-4163-a328-16338bac23a5</t>
  </si>
  <si>
    <t>MHI Products | 1.2.1. | ბესიკ ბერიძე  | 7,370.00 USD | 06.11.2023</t>
  </si>
  <si>
    <t>ICE583</t>
  </si>
  <si>
    <t>შატბერაშვილის 45 (ს.კ. 405629583) - შპს</t>
  </si>
  <si>
    <t>Shatberashvili 45</t>
  </si>
  <si>
    <t>1 6 30 2515</t>
  </si>
  <si>
    <t>ICE002453/45380/1.1.1./2WQQX4</t>
  </si>
  <si>
    <t>d5d18a0f-96b4-4fd2-b0f3-8711fd2250fb</t>
  </si>
  <si>
    <t>Shatberashvili 45 | 1.1.1. (+) შემოსავალი ლიფტების რეალიზაციიდან | შატბერაშვილის 45 (ს.კ. 405629583) - შპს</t>
  </si>
  <si>
    <t>5eab0795-4aa0-4463-ab1d-c1479107adeb</t>
  </si>
  <si>
    <t>Shatberashvili 45 | 1.1.1. | შატბერაშვილის 45  | 45,150.00 USD | 29.03.2024</t>
  </si>
  <si>
    <t>ICE584</t>
  </si>
  <si>
    <t>Bochorma</t>
  </si>
  <si>
    <t>ICE002130/45323/1.1.1./1T6ZTS</t>
  </si>
  <si>
    <t>77940a07-673c-4724-a4aa-c946113a576a</t>
  </si>
  <si>
    <t>Bochorma | 1.1.1. (+) შემოსავალი ლიფტების რეალიზაციიდან | ანაგი დეველოპმენტი 1 (ს.კ. 404567713) - შპს</t>
  </si>
  <si>
    <t>Bochorma | 1.1.1. | ანაგი დეველოპმენტი 1  | 120,000.00 USD | 01.02.2024</t>
  </si>
  <si>
    <t>ICE585</t>
  </si>
  <si>
    <t>საბურთალო ც სერვისი (ს.კ. 405476337) - შპს</t>
  </si>
  <si>
    <t>Archi Jikia</t>
  </si>
  <si>
    <t>ICE002460/45200/1.1.2./RSFLHW</t>
  </si>
  <si>
    <t>8af91e8f-51c5-44e9-a98b-f8c3caddeab6</t>
  </si>
  <si>
    <t>Archi Jikia | 1.1.2. (+) შემოსავალი ლიფტების სერვისიდან - გეგმიური | საბურთალო ც სერვისი (ს.კ. 405476337) - შპს</t>
  </si>
  <si>
    <t>3836cba6-ae69-41ef-a315-575084a0e5a5</t>
  </si>
  <si>
    <t>Archi Jikia | 1.1.2. | საბურთალო ც სერვისი  | 200.00 USD | 01.10.2023</t>
  </si>
  <si>
    <t>ICE586</t>
  </si>
  <si>
    <t>ისანი ც სერვისი 1 (ს.კ. 405476300) - შპს</t>
  </si>
  <si>
    <t>Archi Isani C1</t>
  </si>
  <si>
    <t>ICE002461/45292/1.1.2./S9K5XP</t>
  </si>
  <si>
    <t>2e8821cd-745d-4085-ac69-4491b771d14e</t>
  </si>
  <si>
    <t>Archi Isani C1 | 1.1.2. (+) შემოსავალი ლიფტების სერვისიდან - გეგმიური | ისანი ც სერვისი 1 (ს.კ. 405476300) - შპს</t>
  </si>
  <si>
    <t>7b6d9729-fd51-434e-b843-35b5747c8aad</t>
  </si>
  <si>
    <t>Archi Isani C1 | 1.1.2. | ისანი ც სერვისი 1  | 300.00 USD | 01.01.2024</t>
  </si>
  <si>
    <t>ICE587</t>
  </si>
  <si>
    <t>ისანი ც სერვისი 2 (ს.კ. 405476239) - შპს</t>
  </si>
  <si>
    <t>Archi Isani C2</t>
  </si>
  <si>
    <t>ICE2462/45292/1.1.2./AI8N9V</t>
  </si>
  <si>
    <t>6fbbd2ad-a245-4720-aac7-c133066457c4</t>
  </si>
  <si>
    <t>Archi Isani C2 | 1.1.2. (+) შემოსავალი ლიფტების სერვისიდან - გეგმიური | ისანი ც სერვისი 2 (ს.კ. 405476239) - შპს</t>
  </si>
  <si>
    <t>fa4c2d9d-30ee-44b2-895b-def767ca720e</t>
  </si>
  <si>
    <t>Archi Isani C2 | 1.1.2. | ისანი ც სერვისი 2  | 300.00 USD | 01.01.2024</t>
  </si>
  <si>
    <t>ICE588</t>
  </si>
  <si>
    <t>ისანი ც სერვისი 3 (ს.კ. 405476293) - შპს</t>
  </si>
  <si>
    <t>Archi Isani C3</t>
  </si>
  <si>
    <t>ICE2463/45292/1.1.2./9RZKVI</t>
  </si>
  <si>
    <t>ccf174ba-f7e4-4f35-9e32-47b8abfb9ecc</t>
  </si>
  <si>
    <t>Archi Isani C3 | 1.1.2. (+) შემოსავალი ლიფტების სერვისიდან - გეგმიური | ისანი ც სერვისი 3 (ს.კ. 405476293) - შპს</t>
  </si>
  <si>
    <t>d0e05e01-2b77-4814-9357-1afa4e6840fb</t>
  </si>
  <si>
    <t>Archi Isani C3 | 1.1.2. | ისანი ც სერვისი 3  | 300.00 USD | 01.01.2024</t>
  </si>
  <si>
    <t>ICE589</t>
  </si>
  <si>
    <t>ისანი დ სერვისი 1 (ს.კ. 405534827) - შპს</t>
  </si>
  <si>
    <t>Archi Isani D1</t>
  </si>
  <si>
    <t>ICE002464/45292/1.1.2./VWFAKX</t>
  </si>
  <si>
    <t>84e94800-fd73-4bf0-839c-0c8608bd5361</t>
  </si>
  <si>
    <t>Archi Isani D1 | 1.1.2. (+) შემოსავალი ლიფტების სერვისიდან - გეგმიური | ისანი დ სერვისი 1 (ს.კ. 405534827) - შპს</t>
  </si>
  <si>
    <t>d8ccd6eb-8968-4dde-9d27-f749fe868f0e</t>
  </si>
  <si>
    <t>Archi Isani D1 | 1.1.2. | ისანი დ სერვისი 1  | 200.00 USD | 01.01.2024</t>
  </si>
  <si>
    <t>ICE590</t>
  </si>
  <si>
    <t>ისანი დ სერვისი 2 (ს.კ. 405534863) - შპს</t>
  </si>
  <si>
    <t>Archi Isani D2</t>
  </si>
  <si>
    <t>1 6 31 2395</t>
  </si>
  <si>
    <t>ICE2465/45292/1.1.2./CITE5O</t>
  </si>
  <si>
    <t>0de8f5a3-d87b-4649-a3cf-5e44f733f284</t>
  </si>
  <si>
    <t>Archi Isani D2 | 1.1.2. (+) შემოსავალი ლიფტების სერვისიდან - გეგმიური | ისანი დ სერვისი 2 (ს.კ. 405534863) - შპს</t>
  </si>
  <si>
    <t>1d881f9c-7485-48af-a623-355b4fec316b</t>
  </si>
  <si>
    <t>Archi Isani D2 | 1.1.2. | ისანი დ სერვისი 2  | 200.00 USD | 01.01.2024</t>
  </si>
  <si>
    <t>ICE591</t>
  </si>
  <si>
    <t>ბეტა ჰოთელს (ს.კ. 404585686) - შპს</t>
  </si>
  <si>
    <t>IBIS Perov</t>
  </si>
  <si>
    <t>ICE002330/44835/1.1.2./S0YKP4</t>
  </si>
  <si>
    <t>b79db27b-4270-4cc8-ac5b-9114377d676b</t>
  </si>
  <si>
    <t>IBIS Perov | 1.1.2. (+) შემოსავალი ლიფტების სერვისიდან - გეგმიური | ბეტა ჰოთელს (ს.კ. 404585686) - შპს</t>
  </si>
  <si>
    <t>IBIS Perov | 1.1.2. | ბეტა ჰოთელს  | 400.00 USD | 01.10.2022</t>
  </si>
  <si>
    <t>ICE592</t>
  </si>
  <si>
    <t>ამხანაგობა ბარათაშვილი 24 (ს.კ. ICE002467) - ამხანაგობა</t>
  </si>
  <si>
    <t>Baratashvili 24 DAR Building</t>
  </si>
  <si>
    <t>1 6 31 1961</t>
  </si>
  <si>
    <t>ICE002467/44774/1.1.2./VHA1WS</t>
  </si>
  <si>
    <t>e5aa83c7-7336-42b3-adbe-bcd77589b951</t>
  </si>
  <si>
    <t>Baratashvili 24 DAR Building | 1.1.2. (+) შემოსავალი ლიფტების სერვისიდან - გეგმიური | ამხანაგობა ბარათაშვილი 24 (ს.კ. ICE002467) - ამხანაგობა</t>
  </si>
  <si>
    <t>c06aa3be-bac2-459a-b58d-6b775f79f978</t>
  </si>
  <si>
    <t>Baratashvili 24 DAR Building | 1.1.2. | ამხანაგობა ბარათაშვილი 24  | 500.00 GEL | 01.08.2022</t>
  </si>
  <si>
    <t>ICE593</t>
  </si>
  <si>
    <t>ირაკლი კირცხალია (ს.კ. 01031005361) - ფიზ. პირი</t>
  </si>
  <si>
    <t>Epic Mziuri</t>
  </si>
  <si>
    <t>ICE002468/44805/1.1.2./OVQWU3</t>
  </si>
  <si>
    <t>1a4f7950-3ff2-4c27-a0f7-031f5d295a00</t>
  </si>
  <si>
    <t>Epic Mziuri | 1.1.2. (+) შემოსავალი ლიფტების სერვისიდან - გეგმიური | ირაკლი კირცხალია (ს.კ. 01031005361) - ფიზ. პირი</t>
  </si>
  <si>
    <t>de0ca828-ece8-4317-85d2-b5ce4076311c</t>
  </si>
  <si>
    <t>Epic Mziuri | 1.1.2. | ირაკლი კირცხალია  | 250.00 GEL | 01.09.2022</t>
  </si>
  <si>
    <t>ICE594</t>
  </si>
  <si>
    <t>CASA DI BATUMI</t>
  </si>
  <si>
    <t>1 6 30 1486</t>
  </si>
  <si>
    <t>ICE001112/45105/1.1.1./RVF4BA</t>
  </si>
  <si>
    <t>1aa74853-22c6-45d3-bcb4-8a6ad960c25d</t>
  </si>
  <si>
    <t>CASA DI BATUMI | 1.1.1. (+) შემოსავალი ლიფტების რეალიზაციიდან | კაზა დი ბათუმი (ს.კ. 405389397) - შპს</t>
  </si>
  <si>
    <t>CASA DI BATUMI | 1.1.1. | კაზა დი ბათუმი  | 179,560.00 USD | 28.06.2023</t>
  </si>
  <si>
    <t>ICE595</t>
  </si>
  <si>
    <t>Grand Mall Batumi</t>
  </si>
  <si>
    <t>1 6 31 1959</t>
  </si>
  <si>
    <t>ICE001883/45200/1.1.2./S90IQR</t>
  </si>
  <si>
    <t>8fb1444a-6705-42af-a10e-b74ac62e4876</t>
  </si>
  <si>
    <t>Grand Mall Batumi | 1.1.2. (+) შემოსავალი ლიფტების სერვისიდან - გეგმიური | გრანდ მოლი (ს.კ. 445524479) - შპს</t>
  </si>
  <si>
    <t>Grand Mall Batumi | 1.1.2. | გრანდ მოლი  | 3,955.00 USD | 01.10.2023</t>
  </si>
  <si>
    <t>ICE596</t>
  </si>
  <si>
    <t>Afisha Service</t>
  </si>
  <si>
    <t>1 6 31 2172</t>
  </si>
  <si>
    <t>ICE002069/45292/1.1.2./HXFOWP</t>
  </si>
  <si>
    <t>b4545c67-a31a-4b01-b60e-895432bb9ece</t>
  </si>
  <si>
    <t>Afisha Service | 1.1.2. (+) შემოსავალი ლიფტების სერვისიდან - გეგმიური | მელიქიშვილი ინნ (ს.კ. 405463546) - შპს</t>
  </si>
  <si>
    <t>Afisha Service | 1.1.2. | მელიქიშვილი ინნ  | 500.00 USD | 01.01.2024</t>
  </si>
  <si>
    <t>ICE597</t>
  </si>
  <si>
    <t>1 TV Service</t>
  </si>
  <si>
    <t>ICE000014/45292/1.1.2./NUIB08</t>
  </si>
  <si>
    <t>9ca3527c-2e17-4d5e-b95f-f4f9af9c8f45</t>
  </si>
  <si>
    <t>1 TV Service | 1.1.2. (+) შემოსავალი ლიფტების სერვისიდან - გეგმიური | თბილი სახლი (ს.კ. 204976179) - შპს</t>
  </si>
  <si>
    <t>1 TV Service | 1.1.2. | თბილი სახლი  | 960.00 USD | 01.01.2024</t>
  </si>
  <si>
    <t>ICE598</t>
  </si>
  <si>
    <t>7th Sky Service</t>
  </si>
  <si>
    <t>ICE001124/45292/1.1.2./I1J0P2</t>
  </si>
  <si>
    <t>be52609c-9f8d-4a8f-9386-2ef0e7538f65</t>
  </si>
  <si>
    <t>7th Sky Service | 1.1.2. (+) შემოსავალი ლიფტების სერვისიდან - გეგმიური | ეიჩ გრუპ კონსტრაქშენ (ს.კ. 445510411) - შპს</t>
  </si>
  <si>
    <t>7th Sky Service | 1.1.2. | ეიჩ გრუპ კონსტრაქშენ  | 480.00 USD | 01.01.2024</t>
  </si>
  <si>
    <t>ICE599</t>
  </si>
  <si>
    <t>Alliance Highline Service</t>
  </si>
  <si>
    <t>ICE001822/45292/1.1.2./TYV1WP</t>
  </si>
  <si>
    <t>68eaa004-8e63-435c-99f5-01c79d60e3c6</t>
  </si>
  <si>
    <t>Alliance Highline Service | 1.1.2. (+) შემოსავალი ლიფტების სერვისიდან - გეგმიური | ალიანსი თბილისი (ს.კ. 405144703) - შპს</t>
  </si>
  <si>
    <t>Alliance Highline Service | 1.1.2. | ალიანსი თბილისი  | 1,560.00 USD | 01.01.2024</t>
  </si>
  <si>
    <t>ICE600</t>
  </si>
  <si>
    <t>ჯორჯიან გოლდ ინვესტ (ს.კ. 405602968) - სს</t>
  </si>
  <si>
    <t>Installation</t>
  </si>
  <si>
    <t>ICE002475/45375/1.2.3./4PT69C</t>
  </si>
  <si>
    <t>6f68e719-7e41-4de7-9bd6-8f1f83113386</t>
  </si>
  <si>
    <t>Installation | 1.2.3. (+) შემოსავალი MEP დანადგარების სერვისიდან - არაგეგმიური | ჯორჯიან გოლდ ინვესტ (ს.კ. 405602968) - სს</t>
  </si>
  <si>
    <t>e9c2c691-a5fa-47fe-b9ff-74f2fce6a33d</t>
  </si>
  <si>
    <t>Installation | 1.2.3. | ჯორჯიან გოლდ ინვესტ  | 2,990.00 GEL | 24.03.2024</t>
  </si>
  <si>
    <t>ICE601</t>
  </si>
  <si>
    <t>ICE001882/45292/1.1.2./5WAKVZ</t>
  </si>
  <si>
    <t>d22fc7c9-f775-46e7-8a80-5f8e01959689</t>
  </si>
  <si>
    <t>Alliance Previlige | 1.1.2. (+) შემოსავალი ლიფტების სერვისიდან - გეგმიური | ალიანსი ფრივილიჯი (ს.კ. 412718466) - შპს</t>
  </si>
  <si>
    <t>Alliance Previlige | 1.1.2. | ალიანსი ფრივილიჯი  | 1,770.00 USD | 01.01.2024</t>
  </si>
  <si>
    <t>ICE602</t>
  </si>
  <si>
    <t>Alliance Pevilige Service</t>
  </si>
  <si>
    <t>ICE001882/45292/1.1.2./P7SCEF</t>
  </si>
  <si>
    <t>076c347a-79b7-406c-a032-20726a4cdb01</t>
  </si>
  <si>
    <t>Alliance Pevilige Service | 1.1.2. (+) შემოსავალი ლიფტების სერვისიდან - გეგმიური | ალიანსი ფრივილიჯი (ს.კ. 412718466) - შპს</t>
  </si>
  <si>
    <t>Alliance Pevilige Service | 1.1.2. | ალიანსი ფრივილიჯი  | 1,770.00 USD | 01.01.2024</t>
  </si>
  <si>
    <t>ICE603</t>
  </si>
  <si>
    <t>Askaneli Kvareli Service</t>
  </si>
  <si>
    <t>ICE001907/45292/1.1.2./XC65VP</t>
  </si>
  <si>
    <t>f62f27ae-6686-47b4-87fc-e4f7c93382f4</t>
  </si>
  <si>
    <t>Askaneli Kvareli Service | 1.1.2. (+) შემოსავალი ლიფტების სერვისიდან - გეგმიური | ასკანელი ვაინერი &amp; დისტილერი (ს.კ. 205010888) - შპს</t>
  </si>
  <si>
    <t>Askaneli Kvareli Service | 1.1.2. | ასკანელი ვაინერი &amp; დისტილერი  | 531.00 USD | 01.01.2024</t>
  </si>
  <si>
    <t>ICE604</t>
  </si>
  <si>
    <t>Bagrationi Residence Service</t>
  </si>
  <si>
    <t>ICE001880/45292/1.1.2./H3NRW0</t>
  </si>
  <si>
    <t>c5b8c8ea-aab0-4b6f-9c81-cd5592911991</t>
  </si>
  <si>
    <t>Bagrationi Residence Service | 1.1.2. (+) შემოსავალი ლიფტების სერვისიდან - გეგმიური | ბაგრატიონი რეზიდენსი (ს.კ. 445572568) - შპს</t>
  </si>
  <si>
    <t>Bagrationi Residence Service | 1.1.2. | ბაგრატიონი რეზიდენსი  | 531.00 USD | 01.01.2024</t>
  </si>
  <si>
    <t>ICE605</t>
  </si>
  <si>
    <t>Barnovi Service</t>
  </si>
  <si>
    <t>ICE002070/45292/1.1.2./OUXMIU</t>
  </si>
  <si>
    <t>3adecafc-fdae-4cf5-9baa-2fa52abe03b2</t>
  </si>
  <si>
    <t>Barnovi Service | 1.1.2. (+) შემოსავალი ლიფტების სერვისიდან - გეგმიური | პრემიუმ დეველოპმენტ კომპანი (ს.კ. 404597691) - შპს</t>
  </si>
  <si>
    <t>Barnovi Service | 1.1.2. | პრემიუმ დეველოპმენტ კომპანი  | 118.00 USD | 01.01.2024</t>
  </si>
  <si>
    <t>ICE606</t>
  </si>
  <si>
    <t>Caligraph Hilton Service</t>
  </si>
  <si>
    <t>ICE002074/45292/1.1.2./XTORLR</t>
  </si>
  <si>
    <t>1595d88e-76a9-441d-b45e-efda718c7eff</t>
  </si>
  <si>
    <t>Caligraph Hilton Service | 1.1.2. (+) შემოსავალი ლიფტების სერვისიდან - გეგმიური | გრანდ მაისონ (ს.კ. 445575333) - შპს</t>
  </si>
  <si>
    <t>Caligraph Hilton Service | 1.1.2. | გრანდ მაისონ  | 1,203.60 USD | 01.01.2024</t>
  </si>
  <si>
    <t>ICE607</t>
  </si>
  <si>
    <t>Chateau Di Vere</t>
  </si>
  <si>
    <t>ICE001906/45292/1.1.2./0OYNBC</t>
  </si>
  <si>
    <t>11686e76-5a10-4cc5-bf69-3c417086442b</t>
  </si>
  <si>
    <t>Chateau Di Vere | 1.1.2. (+) შემოსავალი ლიფტების სერვისიდან - გეგმიური | შატო დე ვერე (ს.კ. 405357224) - სს</t>
  </si>
  <si>
    <t>Chateau Di Vere | 1.1.2. | შატო დე ვერე  | 100.00 USD | 01.01.2024</t>
  </si>
  <si>
    <t>ICE608</t>
  </si>
  <si>
    <t>ELT Building Service</t>
  </si>
  <si>
    <t>ICE001922/45292/1.1.2./XVS4GR</t>
  </si>
  <si>
    <t>ab3e19ec-199a-4403-835f-0f9d6640a135</t>
  </si>
  <si>
    <t>ELT Building Service | 1.1.2. (+) შემოსავალი ლიფტების სერვისიდან - გეგმიური | ელთ ბილდინგი (ს.კ. 445471285) - შპს</t>
  </si>
  <si>
    <t>ELT Building Service | 1.1.2. | ელთ ბილდინგი  | 500.00 USD | 01.01.2024</t>
  </si>
  <si>
    <t>ICE609</t>
  </si>
  <si>
    <t>ბი ეს არ-სი დი ჯი დეველოპმენტი (ს.კ. 204513687) - შპს</t>
  </si>
  <si>
    <t>Mziuri Office Service</t>
  </si>
  <si>
    <t>ICE002477/45292/1.1.2./6TMZDJ</t>
  </si>
  <si>
    <t>ab6e18e5-59fb-4578-b3de-c59bff7b844c</t>
  </si>
  <si>
    <t>Mziuri Office Service | 1.1.2. (+) შემოსავალი ლიფტების სერვისიდან - გეგმიური | ბი ეს არ-სი დი ჯი დეველოპმენტი (ს.კ. 204513687) - შპს</t>
  </si>
  <si>
    <t>d5d3619e-0a2b-48b6-bce0-50adcfb8378e</t>
  </si>
  <si>
    <t>Mziuri Office Service | 1.1.2. | ბი ეს არ-სი დი ჯი დეველოპმენტი  | 120.00 USD | 01.01.2024</t>
  </si>
  <si>
    <t>ICE610</t>
  </si>
  <si>
    <t>Gori Mall Service</t>
  </si>
  <si>
    <t>ICE000088/45292/1.1.2./EL0HQD</t>
  </si>
  <si>
    <t>fd27b728-cd75-4020-b91c-5b647e0711bb</t>
  </si>
  <si>
    <t>Gori Mall Service | 1.1.2. (+) შემოსავალი ლიფტების სერვისიდან - გეგმიური | მპ დეველოპმენტი (ს.კ. 404960217) - შპს</t>
  </si>
  <si>
    <t>Gori Mall Service | 1.1.2. | მპ დეველოპმენტი  | 600.00 USD | 01.01.2024</t>
  </si>
  <si>
    <t>ICE611</t>
  </si>
  <si>
    <t>ICE002075/45292/1.1.2./ONTQSQ</t>
  </si>
  <si>
    <t>1ac1335c-bb19-420b-8959-0b9b6d02d4df</t>
  </si>
  <si>
    <t>Gumbati Boulevard Point | 1.1.2. (+) შემოსავალი ლიფტების სერვისიდან - გეგმიური | ბულვარ ფოინთ (ს.კ. 445527494) - შპს</t>
  </si>
  <si>
    <t>Gumbati Boulevard Point | 1.1.2. | ბულვარ ფოინთ  | 675.00 USD | 01.01.2024</t>
  </si>
  <si>
    <t>ICE612</t>
  </si>
  <si>
    <t>ICE2222/45292/1.1.2./Y1PJLX</t>
  </si>
  <si>
    <t>71ffa1eb-3625-42a3-9385-070268670c56</t>
  </si>
  <si>
    <t>Gumbati Apart Kvariati | 1.1.2. (+) შემოსავალი ლიფტების სერვისიდან - გეგმიური | გუმბათი აპარტი კვარიათი (ს.კ. 445580782) - შპს</t>
  </si>
  <si>
    <t>Gumbati Apart Kvariati | 1.1.2. | გუმბათი აპარტი კვარიათი  | 450.00 USD | 01.01.2024</t>
  </si>
  <si>
    <t>ICE613</t>
  </si>
  <si>
    <t>ICE002443/45292/1.1.2./RVVQ1S</t>
  </si>
  <si>
    <t>6fc6ec1c-7fe8-4c59-b5b0-0099ea2e5ab8</t>
  </si>
  <si>
    <t>Gumbati Port Line | 1.1.2. (+) შემოსავალი ლიფტების სერვისიდან - გეგმიური | სქაი ბათუმი (ს.კ. 445552866) - შპს</t>
  </si>
  <si>
    <t>Gumbati Port Line | 1.1.2. | სქაი ბათუმი  | 450.00 USD | 01.01.2024</t>
  </si>
  <si>
    <t>ICE614</t>
  </si>
  <si>
    <t>IBIS Airport Service</t>
  </si>
  <si>
    <t>ICE002155/45292/1.1.2./WUY0QG</t>
  </si>
  <si>
    <t>037e51f5-47ea-48c4-9697-a202656500c5</t>
  </si>
  <si>
    <t>IBIS Airport Service | 1.1.2. (+) შემოსავალი ლიფტების სერვისიდან - გეგმიური | ფუჯინ სილქ ფროფერთის (ს.კ. 405273421) - შპს</t>
  </si>
  <si>
    <t>IBIS Airport Service | 1.1.2. | ფუჯინ სილქ ფროფერთის  | 360.00 USD | 01.01.2024</t>
  </si>
  <si>
    <t>ICE615</t>
  </si>
  <si>
    <t>Kvareli Elevators Service</t>
  </si>
  <si>
    <t>ICE001884/45292/1.1.2./OI5VUW</t>
  </si>
  <si>
    <t>055323fb-ac01-425f-ab71-fcd601f49e1c</t>
  </si>
  <si>
    <t>Kvareli Elevators Service | 1.1.2. (+) შემოსავალი ლიფტების სერვისიდან - გეგმიური | ინდეკო ჰოსფითალითი (ს.კ. 405508026) - შპს</t>
  </si>
  <si>
    <t>Kvareli Elevators Service | 1.1.2. | ინდეკო ჰოსფითალითი  | 1,350.00 USD | 01.01.2024</t>
  </si>
  <si>
    <t>ICE616</t>
  </si>
  <si>
    <t>მედლოგ ფოთი (ს.კ. 215083139) - შპს</t>
  </si>
  <si>
    <t>Medlog Poti</t>
  </si>
  <si>
    <t>1 6 31 2497</t>
  </si>
  <si>
    <t>ICE002478/45292/1.1.2./MK6WZ7</t>
  </si>
  <si>
    <t>0625089c-8b72-4209-8c39-8f3491579a80</t>
  </si>
  <si>
    <t>Medlog Poti | 1.1.2. (+) შემოსავალი ლიფტების სერვისიდან - გეგმიური | მედლოგ ფოთი (ს.კ. 215083139) - შპს</t>
  </si>
  <si>
    <t>9912deb2-2ed7-4d7e-b552-3371e32546a3</t>
  </si>
  <si>
    <t>Medlog Poti | 1.1.2. | მედლოგ ფოთი  | 118.00 USD | 01.01.2024</t>
  </si>
  <si>
    <t>ICE617</t>
  </si>
  <si>
    <t>Mziuri Gardens Service</t>
  </si>
  <si>
    <t>1 6 31 1703</t>
  </si>
  <si>
    <t>ICE001741/45292/1.1.2./ZW5HXS</t>
  </si>
  <si>
    <t>11fca413-dadc-4a4c-89c0-b7b52150dba2</t>
  </si>
  <si>
    <t>Mziuri Gardens Service | 1.1.2. (+) შემოსავალი ლიფტების სერვისიდან - გეგმიური | მზიური რეზორტ (ს.კ. 404462256) - შპს</t>
  </si>
  <si>
    <t>Mziuri Gardens Service | 1.1.2. | მზიური რეზორტ  | 1,440.00 USD | 01.01.2024</t>
  </si>
  <si>
    <t>ICE618</t>
  </si>
  <si>
    <t>D1 Block Service</t>
  </si>
  <si>
    <t>1 6 31 773</t>
  </si>
  <si>
    <t>ICE000001/45292/1.1.2./48BWAY</t>
  </si>
  <si>
    <t>7835377d-23cd-4ca1-9a56-8610de5a7094</t>
  </si>
  <si>
    <t>D1 Block Service | 1.1.2. (+) შემოსავალი ლიფტების სერვისიდან - გეგმიური | ორბი ჯგუფი ბათუმი (ს.კ. 445468798) - შპს</t>
  </si>
  <si>
    <t>D1 Block Service | 1.1.2. | ორბი ჯგუფი ბათუმი  | 1,858.50 USD | 01.01.2024</t>
  </si>
  <si>
    <t>ICE619</t>
  </si>
  <si>
    <t>D2 Block Service</t>
  </si>
  <si>
    <t>ICE000001/45292/1.1.2./0SJP5U</t>
  </si>
  <si>
    <t>cae2d340-0823-4570-8401-f80babf5af47</t>
  </si>
  <si>
    <t>D2 Block Service | 1.1.2. (+) შემოსავალი ლიფტების სერვისიდან - გეგმიური | ორბი ჯგუფი ბათუმი (ს.კ. 445468798) - შპს</t>
  </si>
  <si>
    <t>D2 Block Service | 1.1.2. | ორბი ჯგუფი ბათუმი  | 1,858.50 USD | 01.01.2024</t>
  </si>
  <si>
    <t>ICE620</t>
  </si>
  <si>
    <t>Park Home Saburtalo Service</t>
  </si>
  <si>
    <t>ICE001874/45292/1.1.2./YLURXS</t>
  </si>
  <si>
    <t>9d7cf72e-7356-45a1-86b9-e96b3738f600</t>
  </si>
  <si>
    <t>Park Home Saburtalo Service | 1.1.2. (+) შემოსავალი ლიფტების სერვისიდან - გეგმიური | ნუცუბიძე (ს.კ. 405387861) - შპს</t>
  </si>
  <si>
    <t>Park Home Saburtalo Service | 1.1.2. | ნუცუბიძე  | 885.00 USD | 01.01.2024</t>
  </si>
  <si>
    <t>ICE621</t>
  </si>
  <si>
    <t>Budget Dummy (ს.კ. ICE002065) - შპს</t>
  </si>
  <si>
    <t>Shartava Meppers</t>
  </si>
  <si>
    <t>ICE002065/45292/1.1.2./F0TYOV</t>
  </si>
  <si>
    <t>9bcd48ab-d336-44bf-a18f-40a488d486dc</t>
  </si>
  <si>
    <t>Shartava Meppers | 1.1.2. (+) შემოსავალი ლიფტების სერვისიდან - გეგმიური | Budget Dummy (ს.კ. ICE002065) - შპს</t>
  </si>
  <si>
    <t>61ff53f7-d5c4-429e-9c3c-1e621fd2f21a</t>
  </si>
  <si>
    <t>Shartava Meppers | 1.1.2. | Budget Dummy  | 1,000.00 USD | 01.01.2024</t>
  </si>
  <si>
    <t>ICE622</t>
  </si>
  <si>
    <t>ICE002170/45292/1.1.2./QHXNI1</t>
  </si>
  <si>
    <t>26b0b776-c82e-4bf8-b851-6125c7d5a28f</t>
  </si>
  <si>
    <t>Summit | 1.1.2. (+) შემოსავალი ლიფტების სერვისიდან - გეგმიური | სამიტი ქონსთრაქშენ (ს.კ. 406328184) - შპს</t>
  </si>
  <si>
    <t>Summit | 1.1.2. | სამიტი ქონსთრაქშენ  | 200.00 USD | 01.01.2024</t>
  </si>
  <si>
    <t>ICE623</t>
  </si>
  <si>
    <t>ICE002136/45292/1.1.2./RNQWWA</t>
  </si>
  <si>
    <t>546c5d60-9463-422a-a7cc-b2c425b16a6b</t>
  </si>
  <si>
    <t>Surmanidzeebi | 1.1.2. (+) შემოსავალი ლიფტების სერვისიდან - გეგმიური | სამშენებლო კომპანია სურმანიძეები (ს.კ. 445455846) - შპს</t>
  </si>
  <si>
    <t>Surmanidzeebi | 1.1.2. | სამშენებლო კომპანია სურმანიძეები  | 708.00 USD | 01.01.2024</t>
  </si>
  <si>
    <t>ICE624</t>
  </si>
  <si>
    <t>Palm Apartments Service</t>
  </si>
  <si>
    <t>ICE002221/45292/1.1.2./I0C8QV</t>
  </si>
  <si>
    <t>e8cfb672-add5-4faa-ad22-a302a1962bb4</t>
  </si>
  <si>
    <t>Palm Apartments Service | 1.1.2. (+) შემოსავალი ლიფტების სერვისიდან - გეგმიური | პალმ აპარტამენტი (ს.კ. 445614381) - შპს</t>
  </si>
  <si>
    <t>Palm Apartments Service | 1.1.2. | პალმ აპარტამენტი  | 177.00 USD | 01.01.2024</t>
  </si>
  <si>
    <t>ICE625</t>
  </si>
  <si>
    <t>არგო მენეჯმენტი (ს.კ. 445391647) - შპს</t>
  </si>
  <si>
    <t>Radisson Batumi Services</t>
  </si>
  <si>
    <t>ICE002302/45292/1.1.2./DXUBTH</t>
  </si>
  <si>
    <t>ed40166c-65af-49d0-a0dd-a0491bb63a64</t>
  </si>
  <si>
    <t>Radisson Batumi Services | 1.1.2. (+) შემოსავალი ლიფტების სერვისიდან - გეგმიური | არგო მენეჯმენტი  (ს.კ. 445391647) - შპს</t>
  </si>
  <si>
    <t>Radisson Batumi Services | 1.1.2. | არგო მენეჯმენტი  | 2,478.00 USD | 01.01.2024</t>
  </si>
  <si>
    <t>ICE626</t>
  </si>
  <si>
    <t>Admiral Batumi Service</t>
  </si>
  <si>
    <t>ICE001884/45292/1.1.2./WCBQUX</t>
  </si>
  <si>
    <t>5b0e6f5e-7523-4d16-829d-a37fa54804c4</t>
  </si>
  <si>
    <t>Admiral Batumi Service | 1.1.2. (+) შემოსავალი ლიფტების სერვისიდან - გეგმიური | ინდეკო (ს.კ. 202376133) - შპს</t>
  </si>
  <si>
    <t>Admiral Batumi Service | 1.1.2. | ინდეკო  | 120.00 USD | 01.01.2024</t>
  </si>
  <si>
    <t>ICE627</t>
  </si>
  <si>
    <t>ბაგები 2022 (ს.კ. ICE002479) - ამხანაგობა</t>
  </si>
  <si>
    <t>ICE002479/45292/1.1.2./EAKWHL</t>
  </si>
  <si>
    <t>f8e71221-a379-4784-a3e3-e58c59b72586</t>
  </si>
  <si>
    <t>Epic Bagebi | 1.1.2. (+) შემოსავალი ლიფტების სერვისიდან - გეგმიური | ბაგები 2022 (ს.კ. ICE002479) - ამხანაგობა</t>
  </si>
  <si>
    <t>9d675342-5e2c-4104-bf20-db2fb5454ebf</t>
  </si>
  <si>
    <t>Epic Bagebi | 1.1.2. | ბაგები 2022  | 250.00 GEL | 01.01.2024</t>
  </si>
  <si>
    <t>ICE628</t>
  </si>
  <si>
    <t>Digomi Trade Center</t>
  </si>
  <si>
    <t>ICE002188/45292/1.1.2./O1GTRW</t>
  </si>
  <si>
    <t>ff70400c-3a99-4cc8-be63-f6bb24e0ec02</t>
  </si>
  <si>
    <t>Digomi Trade Center | 1.1.2. (+) შემოსავალი ლიფტების სერვისიდან - გეგმიური | ავტოტრანსპორტი 91 (ს.კ. 212670091) - შპს</t>
  </si>
  <si>
    <t>Digomi Trade Center | 1.1.2. | ავტოტრანსპორტი 91  | 300.00 USD | 01.01.2024</t>
  </si>
  <si>
    <t>ICE629</t>
  </si>
  <si>
    <t>Krtsanisi Villa Residence Meppers</t>
  </si>
  <si>
    <t>ICE000118/45292/1.1.1./ORFV3V</t>
  </si>
  <si>
    <t>fb450f01-100d-42ab-8f6f-8cf875718dcd</t>
  </si>
  <si>
    <t>Krtsanisi Villa Residence Meppers | 1.1.1. (+) შემოსავალი ლიფტების რეალიზაციიდან | მეპერსი (ს.კ. 402121887) - შპს</t>
  </si>
  <si>
    <t>Krtsanisi Villa Residence Meppers | 1.1.1. | მეპერსი  | 40,000.00 USD | 01.01.2024</t>
  </si>
  <si>
    <t>ICE630</t>
  </si>
  <si>
    <t>ICE000118/45292/1.1.2./3R2NVT</t>
  </si>
  <si>
    <t>44e3bc1e-c684-42ce-b79f-aee33b9b16fe</t>
  </si>
  <si>
    <t>Krtsanisi Villa Residence Meppers | 1.1.2. (+) შემოსავალი ლიფტების სერვისიდან - გეგმიური | მეპერსი (ს.კ. 402121887) - შპს</t>
  </si>
  <si>
    <t>Krtsanisi Villa Residence Meppers | 1.1.2. | მეპერსი  | 1,200.00 USD | 01.01.2024</t>
  </si>
  <si>
    <t>ICE631</t>
  </si>
  <si>
    <t>Admiral design</t>
  </si>
  <si>
    <t>1 6 30 2011 15</t>
  </si>
  <si>
    <t>ICE1905/45413/1.2.3./FQQ2IE</t>
  </si>
  <si>
    <t>04882c6c-dd6b-4874-9e9a-ebe0e6e4391e</t>
  </si>
  <si>
    <t>Admiral design | 1.2.3. (+) შემოსავალი MEP დანადგარების სერვისიდან - არაგეგმიური | ინდეკო სი ემ  (ს.კ. 405508339) - შპს</t>
  </si>
  <si>
    <t>Admiral design | 1.2.3. | ინდეკო სი ემ   | 9,300.00 USD | 01.05.2024</t>
  </si>
  <si>
    <t>ICE632</t>
  </si>
  <si>
    <t>Admiral Generator Transport</t>
  </si>
  <si>
    <t>ICE1905/45413/1.2.3./OUQ83B</t>
  </si>
  <si>
    <t>ae140623-8850-41b6-b1d8-976155c57113</t>
  </si>
  <si>
    <t>Admiral Generator Transport | 1.2.3. (+) შემოსავალი MEP დანადგარების სერვისიდან - არაგეგმიური | ინდეკო სი ემ  (ს.კ. 405508339) - შპს</t>
  </si>
  <si>
    <t>Admiral Generator Transport | 1.2.3. | ინდეკო სი ემ   | 2,200.00 GEL | 01.05.2024</t>
  </si>
  <si>
    <t>ICE633</t>
  </si>
  <si>
    <t>Compressor Repair</t>
  </si>
  <si>
    <t>ICE001923/45413/1.2.3./SQ1MWO</t>
  </si>
  <si>
    <t>fce7faf4-86f5-43ea-b502-9904fe8f81e6</t>
  </si>
  <si>
    <t>Compressor Repair | 1.2.3. (+) შემოსავალი MEP დანადგარების სერვისიდან - არაგეგმიური | Beauty Life (ს.კ. 204557639) - შპს</t>
  </si>
  <si>
    <t>Compressor Repair | 1.2.3. | Beauty Life  | 1,600.00 GEL | 01.05.2024</t>
  </si>
  <si>
    <t>ICE634</t>
  </si>
  <si>
    <t>Admiral</t>
  </si>
  <si>
    <t>ICE1905/45413/1.2.3./6RBC0L</t>
  </si>
  <si>
    <t>dedde9b8-c981-4d49-9a64-321230018684</t>
  </si>
  <si>
    <t>Admiral | 1.2.3. (+) შემოსავალი MEP დანადგარების სერვისიდან - არაგეგმიური | ინდეკო სი ემ  (ს.კ. 405508339) - შპს</t>
  </si>
  <si>
    <t>Admiral | 1.2.3. | ინდეკო სი ემ   | 444,536.20 USD | 01.05.2024</t>
  </si>
  <si>
    <t>ICE635</t>
  </si>
  <si>
    <t>Ramishvili VRV Outdoor Units Transport</t>
  </si>
  <si>
    <t>ICE1905/45426/1.2.3./HKDUF2</t>
  </si>
  <si>
    <t>821ac8e7-29ff-417a-a4dd-2ec0b8afbd91</t>
  </si>
  <si>
    <t>Ramishvili VRV Outdoor Units Transport  | 1.2.3. (+) შემოსავალი MEP დანადგარების სერვისიდან - არაგეგმიური | ინდეკო სი ემ  (ს.კ. 405508339) - შპს</t>
  </si>
  <si>
    <t>Ramishvili VRV Outdoor Units Transport  | 1.2.3. | ინდეკო სი ემ   | 20,344.29 GEL | 14.05.2024</t>
  </si>
  <si>
    <t>ICE636</t>
  </si>
  <si>
    <t>ბურაქ ქონსტრაქშენ	 (ს.კ. 404670682) - შპს</t>
  </si>
  <si>
    <t>Porta Apartments 4003</t>
  </si>
  <si>
    <t>1 6 30 2504</t>
  </si>
  <si>
    <t>ICE2564/45432/1.2.1./3UIZ1K</t>
  </si>
  <si>
    <t>78c09c67-22dc-4729-b7b9-983dc8d1d2ea</t>
  </si>
  <si>
    <t>Porta Apartments 4003 | 1.2.1. (+) შემოსავალი MEP დანადგარების რეალიზაციიდან | ბურაქ ქონსტრაქშენ	 (ს.კ. 404670682) - შპს</t>
  </si>
  <si>
    <t>423132b9-3a82-4b97-b534-1ecce73e257d</t>
  </si>
  <si>
    <t>Porta Apartments 4003 | 1.2.1. | ბურაქ ქონსტრაქშენ	  | 14,591.00 USD | 20.05.2024</t>
  </si>
  <si>
    <t>ICE637</t>
  </si>
  <si>
    <t>Porta Apartments 2906</t>
  </si>
  <si>
    <t>ICE2564/45432/1.2.1./9B5ECD</t>
  </si>
  <si>
    <t>c5eea265-199c-42af-afa3-007ddd6ee158</t>
  </si>
  <si>
    <t>Porta Apartments 2906 | 1.2.1. (+) შემოსავალი MEP დანადგარების რეალიზაციიდან | ბურაქ ქონსტრაქშენ	 (ს.კ. 404670682) - შპს</t>
  </si>
  <si>
    <t>Porta Apartments 2906 | 1.2.1. | ბურაქ ქონსტრაქშენ	  | 9,407.00 USD | 20.05.2024</t>
  </si>
  <si>
    <t>ICE638</t>
  </si>
  <si>
    <t>Roomix Unloading</t>
  </si>
  <si>
    <t>ICE002358/45448/1.1.3./B74KQH</t>
  </si>
  <si>
    <t>43e76f38-d974-496b-9f40-2786957b1a4a</t>
  </si>
  <si>
    <t>Roomix Unloading | 1.1.3. (+) შემოსავალი ლიფტების სერვისიდან - არაგეგმიური | ლაქი ქონსთრაქშენ (ს.კ. 405370708) - შპს</t>
  </si>
  <si>
    <t>Roomix Unloading | 1.1.3. | ლაქი ქონსთრაქშენ  | 1,800.00 GEL | 05.06.2024</t>
  </si>
  <si>
    <t>ICE639</t>
  </si>
  <si>
    <t>Rope Change</t>
  </si>
  <si>
    <t>ICE000004/45383/1.1.3./578JUX</t>
  </si>
  <si>
    <t>11ec48ff-6b2e-4450-836e-09ce55085254</t>
  </si>
  <si>
    <t>Rope Change | 1.1.3. (+) შემოსავალი ლიფტების სერვისიდან - არაგეგმიური | დომუს სერვისი (ს.კ. 405311336) - შპს</t>
  </si>
  <si>
    <t>Rope Change | 1.1.3. | დომუს სერვისი  | 2,000.00 GEL | 01.04.2024</t>
  </si>
  <si>
    <t>ICE640</t>
  </si>
  <si>
    <t>ნუგზარ წერეთელი (ს.კ. 01017023738) - ფიზ. პირი</t>
  </si>
  <si>
    <t>MHI Conditioners</t>
  </si>
  <si>
    <t>ICE002570/45456/1.2.1./3WKYOV</t>
  </si>
  <si>
    <t>6cba4fac-3b4a-43e1-9b30-24ca5e490f83</t>
  </si>
  <si>
    <t>MHI Conditioners | 1.2.1. (+) შემოსავალი MEP დანადგარების რეალიზაციიდან | ნუგზარ წერეთელი (ს.კ. 01017023738) - ფიზ. პირი</t>
  </si>
  <si>
    <t>70b1a8bd-11a4-4da0-b024-9f9e48b4b055</t>
  </si>
  <si>
    <t>MHI Conditioners | 1.2.1. | ნუგზარ წერეთელი  | 3,990.00 USD | 13.06.2024</t>
  </si>
  <si>
    <t>ICE641</t>
  </si>
  <si>
    <t>თბილისი დრაი პორტი (ს.კ. 405483454) - შპს</t>
  </si>
  <si>
    <t>Dry Port Elevator</t>
  </si>
  <si>
    <t>ICE002573/45383/1.1.1./QXCPT6</t>
  </si>
  <si>
    <t>be3b2e15-69c7-4585-8ba0-b2a9becf2a62</t>
  </si>
  <si>
    <t>Dry Port Elevator | 1.1.1. (+) შემოსავალი ლიფტების რეალიზაციიდან | თბილისი დრაი პორტი (ს.კ. 405483454) - შპს</t>
  </si>
  <si>
    <t>7ae5b6db-73b8-444e-bdea-71062d3bda50</t>
  </si>
  <si>
    <t>Dry Port Elevator | 1.1.1. | თბილისი დრაი პორტი  | 25,100.00 USD | 01.04.2024</t>
  </si>
  <si>
    <t>ICE642</t>
  </si>
  <si>
    <t>Dry Port HVAC</t>
  </si>
  <si>
    <t>1 6 30 2492</t>
  </si>
  <si>
    <t>ICE002573/45383/1.2.1./IYXQRU</t>
  </si>
  <si>
    <t>77a6b2c5-5cdf-471f-b550-be776a162e6b</t>
  </si>
  <si>
    <t>Dry Port HVAC | 1.2.1. (+) შემოსავალი MEP დანადგარების რეალიზაციიდან | თბილისი დრაი პორტი (ს.კ. 405483454) - შპს</t>
  </si>
  <si>
    <t>Dry Port HVAC | 1.2.1. | თბილისი დრაი პორტი  | 491,903.93 USD | 01.04.2024</t>
  </si>
  <si>
    <t>ICE643</t>
  </si>
  <si>
    <t>სასტუმრო აქვა ბათუმი (ს.კ. 445646720) - შპს</t>
  </si>
  <si>
    <t>1 6 31 1975</t>
  </si>
  <si>
    <t>ICE002334/45292/1.1.2./2USYNC</t>
  </si>
  <si>
    <t>656089ad-59f3-4aa8-85bd-4c98cb08ccfe</t>
  </si>
  <si>
    <t>New Time | 1.1.2. (+) შემოსავალი ლიფტების სერვისიდან - გეგმიური | სასტუმრო აქვა ბათუმი (ს.კ. 445646720) - შპს</t>
  </si>
  <si>
    <t>5e1b5cc8-90da-4a55-a108-54f9e5fdad65</t>
  </si>
  <si>
    <t>autocad080@gmail.com</t>
  </si>
  <si>
    <t>New Time | 1.1.2. | სასტუმრო აქვა ბათუმი  | 1,000.00 GEL | 01.01.2024</t>
  </si>
  <si>
    <t>ICE644</t>
  </si>
  <si>
    <t>დეკა ვერონა (ს.კ. 405570519) - შპს</t>
  </si>
  <si>
    <t>Deka Verona</t>
  </si>
  <si>
    <t>1 6 30 2556</t>
  </si>
  <si>
    <t>ICE002577/45444/1.1.1./5XTCEO</t>
  </si>
  <si>
    <t>0f3d70dc-38b6-492f-8399-6ef5ea0c155a</t>
  </si>
  <si>
    <t>Deka Verona | 1.1.1. (+) შემოსავალი ლიფტების რეალიზაციიდან | დეკა ვერონა (ს.კ. 405570519) - შპს</t>
  </si>
  <si>
    <t>f242e8d0-3197-4b35-90dd-54859cce4bca</t>
  </si>
  <si>
    <t>Deka Verona | 1.1.1. | დეკა ვერონა  | 103,910.00 USD | 01.06.2024</t>
  </si>
  <si>
    <t>ICE645</t>
  </si>
  <si>
    <t>Simetria Lisi 1 Unit</t>
  </si>
  <si>
    <t>ICE000118/45444/1.1.1./DZW8J4</t>
  </si>
  <si>
    <t>4e488bc2-3912-46f1-991c-d248c6def61d</t>
  </si>
  <si>
    <t>Simetria Lisi 1 Unit | 1.1.1. (+) შემოსავალი ლიფტების რეალიზაციიდან | მეპერსი (ს.კ. 402121887) - შპს</t>
  </si>
  <si>
    <t>Simetria Lisi 1 Unit | 1.1.1. | მეპერსი  | 2,000.00 USD | 01.06.2024</t>
  </si>
  <si>
    <t>ICE646</t>
  </si>
  <si>
    <t>აპოლო გ.ს. (ს.კ. 202430468) - შპს</t>
  </si>
  <si>
    <t>KINGS GARDEN 1 UNIT</t>
  </si>
  <si>
    <t>ICE002580/45475/1.2.1./QF4XX7</t>
  </si>
  <si>
    <t>ad47b706-0eb9-46ee-964b-edf7002ac8a6</t>
  </si>
  <si>
    <t>KINGS GARDEN 1 UNIT | 1.2.1. (+) შემოსავალი MEP დანადგარების რეალიზაციიდან | აპოლო გ.ს. (ს.კ. 202430468) - შპს</t>
  </si>
  <si>
    <t>faa2b90d-c93e-48df-b336-59e76f241404</t>
  </si>
  <si>
    <t>KINGS GARDEN 1 UNIT | 1.2.1. | აპოლო გ.ს.  | 7,715.00 USD | 02.07.2024</t>
  </si>
  <si>
    <t>ICE647</t>
  </si>
  <si>
    <t>Chakhrukhadze Compressor</t>
  </si>
  <si>
    <t>1630 1960</t>
  </si>
  <si>
    <t>ICE1905/45505/1.2.1./9QRQCN</t>
  </si>
  <si>
    <t>a18d5f90-5889-4d5a-b4f9-4d14f634d385</t>
  </si>
  <si>
    <t>Chakhrukhadze Compressor | 1.2.1. (+) შემოსავალი MEP დანადგარების რეალიზაციიდან | ინდეკო სი ემ  (ს.კ. 405508339) - შპს</t>
  </si>
  <si>
    <t>Chakhrukhadze Compressor | 1.2.1. | ინდეკო ჰოსფითალითი  | 3,500.00 USD | 01.08.2024</t>
  </si>
  <si>
    <t>ICE648</t>
  </si>
  <si>
    <t>ხიდი 2006 (ს.კ. 245556991) - შპს</t>
  </si>
  <si>
    <t>Goderdzi EP</t>
  </si>
  <si>
    <t>1 6 30 2571</t>
  </si>
  <si>
    <t>ICE002588/45511/1.1.1./T1XLZ9</t>
  </si>
  <si>
    <t>1e6586c3-730a-4da0-87b6-442e59ac3426</t>
  </si>
  <si>
    <t>Goderdzi EP | 1.1.1. (+) შემოსავალი ლიფტების რეალიზაციიდან | ხიდი 2006 (ს.კ. 245556991) - შპს</t>
  </si>
  <si>
    <t>b94d66cd-3ee4-438e-9691-8b9de0f595ce</t>
  </si>
  <si>
    <t>Goderdzi EP | 1.1.1. | ხიდი 2006  | 23,860.00 USD | 07.08.2024</t>
  </si>
  <si>
    <t>ICE649</t>
  </si>
  <si>
    <t>ბაუჰაუს ქონსთრაქშენი (ს.კ. 405610272) - შპს</t>
  </si>
  <si>
    <t>Figures</t>
  </si>
  <si>
    <t>ICE002589/45505/1.1.1./8NI3CU</t>
  </si>
  <si>
    <t>f67cc96b-365f-4a30-9819-a3ee7ad41b1f</t>
  </si>
  <si>
    <t>Figures | 1.1.1. (+) შემოსავალი ლიფტების რეალიზაციიდან | ბაუჰაუს ქონსთრაქშენი (ს.კ. 405610272) - შპს</t>
  </si>
  <si>
    <t>261f89e4-5f76-409f-99a1-14d417daf8cb</t>
  </si>
  <si>
    <t>Figures | 1.1.1. | ბაუჰაუს ქონსთრაქშენი  | 307,060.00 USD | 01.08.2024</t>
  </si>
  <si>
    <t>ICE650</t>
  </si>
  <si>
    <t>McDonalds Didi Digomi Rooftop Lounch</t>
  </si>
  <si>
    <t>ICE000014/45505/1.1.1./L0GJ5P</t>
  </si>
  <si>
    <t>20ccabde-8dfd-4f1c-9a8d-b33609cbd197</t>
  </si>
  <si>
    <t>McDonalds Didi Digomi Rooftop Lounch | 1.1.1. (+) შემოსავალი ლიფტების რეალიზაციიდან | თბილი სახლი (ს.კ. 204976179) - შპს</t>
  </si>
  <si>
    <t>McDonalds Didi Digomi Rooftop Lounch | 1.1.1. | თბილი სახლი  | 1,500.00 GEL | 01.08.2024</t>
  </si>
  <si>
    <t>ICE651</t>
  </si>
  <si>
    <t>გიანთი პალასი (ს.კ. 405128268) - შპს</t>
  </si>
  <si>
    <t>Lisi Veranda 8</t>
  </si>
  <si>
    <t>ICE002606/45505/1.1.1./TPKXWE</t>
  </si>
  <si>
    <t>4efb8f89-6cef-4fa6-bab2-0d06a3924154</t>
  </si>
  <si>
    <t>Lisi Veranda 8 | 1.1.1. (+) შემოსავალი ლიფტების რეალიზაციიდან | გიანთი პალასი (ს.კ. 405128268) - შპს</t>
  </si>
  <si>
    <t>d4b3ff47-1d44-4a70-9d35-770289d93de1</t>
  </si>
  <si>
    <t>Lisi Veranda 8 | 1.1.1. | გიანთი პალასი  | 125,180.00 USD | 01.08.2024</t>
  </si>
  <si>
    <t>ICE652</t>
  </si>
  <si>
    <t>ამბასადორი ბათუმი (ს.კ. 445515719) - შპს</t>
  </si>
  <si>
    <t>Ambassador Batumi</t>
  </si>
  <si>
    <t>ICE2537/45538/1.2.1./T13P4Q</t>
  </si>
  <si>
    <t>6c41ba45-8b1f-47a6-847a-88a0357f8a87</t>
  </si>
  <si>
    <t>Ambassador Batumi | 1.2.1. (+) შემოსავალი MEP დანადგარების რეალიზაციიდან | ამბასადორი ბათუმი (ს.კ. 445515719) - შპს</t>
  </si>
  <si>
    <t>58bc2f80-d8e3-451f-a47d-a7bd05ff94be</t>
  </si>
  <si>
    <t>Ambassador Batumi | 1.2.1. | ამბასადორი ბათუმი  | 1,155,220.00 USD | 03.09.2024</t>
  </si>
  <si>
    <t>ICE653</t>
  </si>
  <si>
    <t>Multiple Rooftops</t>
  </si>
  <si>
    <t>ICE000014/45412/1.2.1./JHZYOG</t>
  </si>
  <si>
    <t>81188a2b-4db5-4878-8744-5a74e7daa243</t>
  </si>
  <si>
    <t>Multiple Rooftops | 1.2.1. (+) შემოსავალი MEP დანადგარების რეალიზაციიდან | თბილი სახლი (ს.კ. 204976179) - შპს</t>
  </si>
  <si>
    <t>Multiple Rooftops | 1.2.1. | თბილი სახლი  | 250,757.00 EUR | 30.04.2024</t>
  </si>
  <si>
    <t>ICE654</t>
  </si>
  <si>
    <t>LUX</t>
  </si>
  <si>
    <t>თათია სეფერთელაძე (ს.კ. 61004073208) - ფიზ. პირი</t>
  </si>
  <si>
    <t>ICE000118/45536/1.1.1./TX1N2W</t>
  </si>
  <si>
    <t>eec3d256-1657-4bbd-b4f6-e7b43062d791</t>
  </si>
  <si>
    <t>LUX | 1.1.1. (+) შემოსავალი ლიფტების რეალიზაციიდან | მეპერსი (ს.კ. 402121887) - შპს</t>
  </si>
  <si>
    <t>c16820cb-b0fb-42f4-837e-8657b575f62a</t>
  </si>
  <si>
    <t>LUX | 1.1.1. | მეპერსი  | 19,160.00 USD | 01.09.2024</t>
  </si>
  <si>
    <t>ICE655</t>
  </si>
  <si>
    <t>ნიუ გრუპ მაღლივი (ს.კ. 405391491) - შპს</t>
  </si>
  <si>
    <t>New Group University</t>
  </si>
  <si>
    <t>ICE002617/45536/1.1.1./L0U4SC</t>
  </si>
  <si>
    <t>93c267f9-fe22-46ba-8ada-aa222b56264d</t>
  </si>
  <si>
    <t>New Group University | 1.1.1. (+) შემოსავალი ლიფტების რეალიზაციიდან | ნიუ გრუპ მაღლივი (ს.კ. 405391491) - შპს</t>
  </si>
  <si>
    <t>779e6a2e-7b52-4c0d-9e5f-eb92c63e767b</t>
  </si>
  <si>
    <t>New Group University | 1.1.1. | ნიუ გრუპ მაღლივი  | 213,160.00 USD | 01.09.2024</t>
  </si>
  <si>
    <t>ICE656</t>
  </si>
  <si>
    <t>Kvareli FF Pump Installation</t>
  </si>
  <si>
    <t>ICE1905/45555/1.2.1./OKD68Q</t>
  </si>
  <si>
    <t>5bf9dba3-9371-4768-941c-56f076a346c8</t>
  </si>
  <si>
    <t>Kvareli FF Pump Installation | 1.2.1. (+) შემოსავალი MEP დანადგარების რეალიზაციიდან | ინდეკო სი ემ  (ს.კ. 405508339) - შპს</t>
  </si>
  <si>
    <t>Kvareli FF Pump Installation | 1.2.1. | ინდეკო სი ემ   | 35,000.00 GEL | 20.09.2024</t>
  </si>
  <si>
    <t>ICE657</t>
  </si>
  <si>
    <t>All Mcdonalds</t>
  </si>
  <si>
    <t>ICE000014/45536/1.1.3./WMRJ1R</t>
  </si>
  <si>
    <t>56e9b94c-2722-40e9-ad02-c6b794e7bdc2</t>
  </si>
  <si>
    <t>All Mcdonalds | 1.1.3. (+) შემოსავალი ლიფტების სერვისიდან - არაგეგმიური | თბილი სახლი (ს.კ. 204976179) - შპს</t>
  </si>
  <si>
    <t>All Mcdonalds | 1.1.3. | თბილი სახლი  | 50,000.00 GEL | 01.09.2024</t>
  </si>
  <si>
    <t>ICE658</t>
  </si>
  <si>
    <t>შპს წინანდლის მამულები (ს.კ. 204557372) - შპს</t>
  </si>
  <si>
    <t>Fan Repair</t>
  </si>
  <si>
    <t>ICE002619/45553/1.2.3./5AWU7L</t>
  </si>
  <si>
    <t>e0a48cf2-3e46-4fe0-b378-7068851486f0</t>
  </si>
  <si>
    <t>Fan Repair | 1.2.3. (+) შემოსავალი MEP დანადგარების სერვისიდან - არაგეგმიური | შპს წინანდლის მამულები (ს.კ. 204557372) - შპს</t>
  </si>
  <si>
    <t>7889d1fa-15ab-4efe-af5b-f3c03fbef8b6</t>
  </si>
  <si>
    <t>Fan Repair | 1.2.3. | შპს წინანდლის მამულები  | 2,100.00 GEL | 18.09.2024</t>
  </si>
  <si>
    <t>ICE659</t>
  </si>
  <si>
    <t>ბათუმი დეველოპმენტ ალიანსი (ს.კ. 445455908) - შპს</t>
  </si>
  <si>
    <t>Modern Residence</t>
  </si>
  <si>
    <t>ICE002621/45536/1.1.1./J52B8H</t>
  </si>
  <si>
    <t>336a8fdd-12e9-4666-b3e9-11bc693b4bee</t>
  </si>
  <si>
    <t>Modern Residence | 1.1.1. (+) შემოსავალი ლიფტების რეალიზაციიდან | ბათუმი დეველოპმენტ ალიანსი (ს.კ. 445455908) - შპს</t>
  </si>
  <si>
    <t>9569d532-c9b8-45dd-9719-457fbef53d9a</t>
  </si>
  <si>
    <t>Modern Residence | 1.1.1. | ბათუმი დეველოპმენტ ალიანსი  | 181,950.00 USD | 01.09.2024</t>
  </si>
  <si>
    <t>ICE660</t>
  </si>
  <si>
    <t>Kings Garden</t>
  </si>
  <si>
    <t>1 6 30 2558</t>
  </si>
  <si>
    <t>ICE002580/45505/1.2.1./WX0NMK</t>
  </si>
  <si>
    <t>589dbdba-b269-413c-aece-5d2c616c2e8a</t>
  </si>
  <si>
    <t>Kings Garden | 1.2.1. (+) შემოსავალი MEP დანადგარების რეალიზაციიდან | აპოლო გ.ს. (ს.კ. 202430468) - შპს</t>
  </si>
  <si>
    <t>Kings Garden | 1.2.1. | აპოლო გ.ს.  | 187,859.80 USD | 01.08.2024</t>
  </si>
  <si>
    <t>ICE661</t>
  </si>
  <si>
    <t>Kvareli Repair</t>
  </si>
  <si>
    <t xml:space="preserve"> GEL</t>
  </si>
  <si>
    <t>1 6 30 541 7</t>
  </si>
  <si>
    <t>ICE000043/45474/1.2.1./ZUM91N</t>
  </si>
  <si>
    <t>684e42f3-7912-48db-b577-9d9d2834f4de</t>
  </si>
  <si>
    <t>Kvareli Repair | 1.2.1. (+) შემოსავალი MEP დანადგარების რეალიზაციიდან | ინდეკო (ს.კ. 202376133) - შპს</t>
  </si>
  <si>
    <t>Kvareli Repair | 1.2.1. | ინდეკო  | 1,800,000.00  GEL | 01.07.2024</t>
  </si>
  <si>
    <t>ICE662</t>
  </si>
  <si>
    <t>DRY PORT GENSET</t>
  </si>
  <si>
    <t>ICE002573/45383/1.2.1./WUTB3L</t>
  </si>
  <si>
    <t>4edfbc43-de9a-40c4-a175-3a5160b26129</t>
  </si>
  <si>
    <t>DRY PORT GENSET | 1.2.1. (+) შემოსავალი MEP დანადგარების რეალიზაციიდან | თბილისი დრაი პორტი (ს.კ. 405483454) - შპს</t>
  </si>
  <si>
    <t>DRY PORT GENSET | 1.2.1. | თბილისი დრაი პორტი  | 63,680.00 EUR | 01.04.2024</t>
  </si>
  <si>
    <t>ICE663</t>
  </si>
  <si>
    <t>2025 Spareparts</t>
  </si>
  <si>
    <t>ICE000112/45560/1.1.1./S874Y3</t>
  </si>
  <si>
    <t>5d10339c-2bf9-4ed7-bb5d-af271377e5da</t>
  </si>
  <si>
    <t>2025 Spareparts | 1.1.1. (+) შემოსავალი ლიფტების რეალიზაციიდან | გალერია თბილისი (ს.კ. 204558497) - შპს</t>
  </si>
  <si>
    <t>2025 Spareparts | 1.1.1. | გალერია თბილისი  | 41,250.00 USD | 25.09.2024</t>
  </si>
  <si>
    <t>ICE664</t>
  </si>
  <si>
    <t>ბილდია (ს.კ. 404535035) - შპს</t>
  </si>
  <si>
    <t>Ginger Gane</t>
  </si>
  <si>
    <t>ICE002629/45429/1.1.1./H6ZWQ4</t>
  </si>
  <si>
    <t>897118e9-0e13-4b0f-9ece-1019e4706477</t>
  </si>
  <si>
    <t>Ginger Gane | 1.1.1. (+) შემოსავალი ლიფტების რეალიზაციიდან | ბილდია (ს.კ. 404535035) - შპს</t>
  </si>
  <si>
    <t>9c7a8162-ce80-43e1-9033-ed354b64357d</t>
  </si>
  <si>
    <t>Ginger Gane | 1.1.1. | ბილდია  | 8,640.00 USD | 17.05.2024</t>
  </si>
  <si>
    <t>ICE665</t>
  </si>
  <si>
    <t>მეკარტ ჯორჯია (ს.კ. 445474852) - შპს</t>
  </si>
  <si>
    <t>Crown Plaza HVAC</t>
  </si>
  <si>
    <t>ICE002630/45601/1.2.1./APL6PZ</t>
  </si>
  <si>
    <t>49874021-2275-4952-b2ab-173fe2385788</t>
  </si>
  <si>
    <t>Crown Plaza HVAC | 1.2.1. (+) შემოსავალი MEP დანადგარების რეალიზაციიდან | მეკარტ ჯორჯია (ს.კ. 445474852) - შპს</t>
  </si>
  <si>
    <t>f7630583-8d8d-482e-800e-f264fb53a791</t>
  </si>
  <si>
    <t>Crown Plaza HVAC | 1.2.1. | მეკარტ ჯორჯია  | 693,840.00 USD | 05.11.2024</t>
  </si>
  <si>
    <t>ICE666</t>
  </si>
  <si>
    <t>ქობულეთი გარდენ ქეი (ს.კ. 446987379) - შპს</t>
  </si>
  <si>
    <t>Kobuleti Garden Key</t>
  </si>
  <si>
    <t>ICE002631/45582/1.1.1./2O3U85</t>
  </si>
  <si>
    <t>93d2092b-4021-4df4-a3eb-3dba0b157eae</t>
  </si>
  <si>
    <t>Kobuleti Garden Key | 1.1.1. (+) შემოსავალი ლიფტების რეალიზაციიდან | ქობულეთი გარდენ ქეი (ს.კ. 446987379) - შპს</t>
  </si>
  <si>
    <t>95213753-94b8-4d29-86ed-72b36302e472</t>
  </si>
  <si>
    <t>Kobuleti Garden Key | 1.1.1. | ქობულეთი გარდენ ქეი  | 52,000.00 USD | 17.10.2024</t>
  </si>
  <si>
    <t>ICE667</t>
  </si>
  <si>
    <t>დიღომი 3 (ს.კ. 404566046) - შპს</t>
  </si>
  <si>
    <t>Archi Digomi Installation</t>
  </si>
  <si>
    <t>1 6 30 2732</t>
  </si>
  <si>
    <t>ICE002637/45597/1.1.1./THWC3V</t>
  </si>
  <si>
    <t>9ef4122a-07e1-41a6-9b9e-b496ab6bc865</t>
  </si>
  <si>
    <t>Archi Digomi Installation | 1.1.1. (+) შემოსავალი ლიფტების რეალიზაციიდან | დიღომი 3 (ს.კ. 404566046) - შპს</t>
  </si>
  <si>
    <t>34369527-d51a-41ce-91af-eb81de271892</t>
  </si>
  <si>
    <t>Archi Digomi Installation | 1.1.1. | დიღომი 3  | 131,040.00 USD | 01.11.2024</t>
  </si>
  <si>
    <t>ICE668</t>
  </si>
  <si>
    <t>Tegeta Chiller</t>
  </si>
  <si>
    <t>1 6 30 93</t>
  </si>
  <si>
    <t>ICE000038/45469/1.2.1./40VB1R</t>
  </si>
  <si>
    <t>a9639004-c58b-4243-bd5c-f81f8061e740</t>
  </si>
  <si>
    <t>Tegeta Chiller | 1.2.1. (+) შემოსავალი MEP დანადგარების რეალიზაციიდან | თეგეტა მოტორსი (ს.კ. 202177205) - შპს</t>
  </si>
  <si>
    <t>Tegeta Chiller | 1.2.1. | თეგეტა მოტორსი  | 257,240.00 EUR | 26.06.2024</t>
  </si>
  <si>
    <t>ICE669</t>
  </si>
  <si>
    <t>აპარტ ქონ (ს.კ. 402204413) - შპს</t>
  </si>
  <si>
    <t>Tagi</t>
  </si>
  <si>
    <t>ICE002640/45607/1.1.1./HL6OR5</t>
  </si>
  <si>
    <t>9caba3be-0508-4edb-bfbf-6ec2a5f33389</t>
  </si>
  <si>
    <t>Tagi | 1.1.1. (+) შემოსავალი ლიფტების რეალიზაციიდან | აპარტ ქონ (ს.კ. 402204413) - შპს</t>
  </si>
  <si>
    <t>a3d0a2c3-99a3-49c1-bfa4-351bf50bc2ca</t>
  </si>
  <si>
    <t>Tagi | 1.1.1. | აპარტ ქონ  | 26,750.00 USD | 11.11.2024</t>
  </si>
  <si>
    <t>ICE670</t>
  </si>
  <si>
    <t>Ambassador Goderdzi</t>
  </si>
  <si>
    <t>1 6 30 2589 2</t>
  </si>
  <si>
    <t>ICE2537/45628/1.2.1./BIWGS9</t>
  </si>
  <si>
    <t>612db50b-afe9-4897-a0ee-10488cb1f6ee</t>
  </si>
  <si>
    <t>Ambassador Goderdzi | 1.2.1. (+) შემოსავალი MEP დანადგარების რეალიზაციიდან | ამბასადორი ბათუმი (ს.კ. 445515719) - შპს</t>
  </si>
  <si>
    <t>Ambassador Goderdzi | 1.2.1. | ამბასადორი ბათუმი  | 43,449.10 USD | 02.12.2024</t>
  </si>
  <si>
    <t>ICE671</t>
  </si>
  <si>
    <t>ნიუ გრუპ დეველოპმენტი (ს.კ. 405650727) - შპს</t>
  </si>
  <si>
    <t>New Group Kavtaradze</t>
  </si>
  <si>
    <t>ICE002696/45627/1.1.1./URLTEW</t>
  </si>
  <si>
    <t>b763ac1f-21a6-4815-ab20-f52e62b7c55c</t>
  </si>
  <si>
    <t>New Group Kavtaradze | 1.1.1. (+) შემოსავალი ლიფტების რეალიზაციიდან | ნიუ გრუპ დეველოპმენტი (ს.კ. 405650727) - შპს</t>
  </si>
  <si>
    <t>3fa873fb-3998-4756-b45f-2f6c3f9c48d7</t>
  </si>
  <si>
    <t>New Group Kavtaradze | 1.1.1. | ნიუ გრუპ დეველოპმენტი  | 32,000.00 USD | 01.12.2024</t>
  </si>
  <si>
    <t>ICE672</t>
  </si>
  <si>
    <t>Compressors 2024</t>
  </si>
  <si>
    <t>ICE002297/45983/1.2.1./OVDXXS</t>
  </si>
  <si>
    <t>adac254c-8de8-4cf6-aa2a-51205dfa9d4a</t>
  </si>
  <si>
    <t>Compressors 2024 | 1.2.1. (+) შემოსავალი MEP დანადგარების რეალიზაციიდან | ტელეგრაფი (ს.კ. 404505406) - შპს</t>
  </si>
  <si>
    <t>Compressors 2024 | 1.2.1. | ტელეგრაფი  | 6,040.00 USD | 22.11.2025</t>
  </si>
  <si>
    <t>ICE673</t>
  </si>
  <si>
    <t>Kvareli Staff House</t>
  </si>
  <si>
    <t>ICE000043/45658/1.2.1./SUA8V9</t>
  </si>
  <si>
    <t>fa663957-1afd-4a7d-bf1e-18f0811873fc</t>
  </si>
  <si>
    <t>Kvareli Staff House | 1.2.1. (+) შემოსავალი MEP დანადგარების რეალიზაციიდან | ინდეკო სი ემ  (ს.კ. 405508339) - შპს</t>
  </si>
  <si>
    <t>Kvareli Staff House | 1.2.1. | ინდეკო სი ემ   | 169,060.00 USD | 01.01.2025</t>
  </si>
  <si>
    <t>ICE674</t>
  </si>
  <si>
    <t>თმ ჯგუფი (ს.კ. 405226802) - შპს</t>
  </si>
  <si>
    <t>Kazbegi</t>
  </si>
  <si>
    <t>ICE002701/45658/1.1.1./L1SURS</t>
  </si>
  <si>
    <t>bf8b7613-3fc4-44a9-80cf-70be3150709e</t>
  </si>
  <si>
    <t>Kazbegi | 1.1.1. (+) შემოსავალი ლიფტების რეალიზაციიდან | თმ ჯგუფი (ს.კ. 405226802) - შპს</t>
  </si>
  <si>
    <t>3bfecaf0-3360-4369-b862-dba8e8888c72</t>
  </si>
  <si>
    <t>Kazbegi | 1.1.1. | თმ ჯგუფი  | 50,000.00 USD | 01.01.2025</t>
  </si>
  <si>
    <t>ICE675</t>
  </si>
  <si>
    <t>Batumi Office Rent MEPPERS</t>
  </si>
  <si>
    <t>ICE000118/45519/1.3.2./ODTARV</t>
  </si>
  <si>
    <t>a156beb2-3cfe-4186-b196-18f13dbc52fb</t>
  </si>
  <si>
    <t>Batumi Office Rent MEPPERS | 1.3.2. (+) იჯარიდან მიღებული შემოსავალი | მეპერსი (ს.კ. 402121887) - შპს</t>
  </si>
  <si>
    <t>Batumi Office Rent MEPPERS | 1.3.2. | მეპერსი  | 2,700.00 USD | 15.08.2024</t>
  </si>
  <si>
    <t>ICE676</t>
  </si>
  <si>
    <t>Batumi Office Rent CASA</t>
  </si>
  <si>
    <t>ICE001112/45519/1.3.2./PAMOQ2</t>
  </si>
  <si>
    <t>55e48fbc-93f2-4b8e-819b-0e6675283ee0</t>
  </si>
  <si>
    <t>Batumi Office Rent CASA | 1.3.2. (+) იჯარიდან მიღებული შემოსავალი | კაზა დი ბათუმი (ს.კ. 405389397) - შპს</t>
  </si>
  <si>
    <t>Batumi Office Rent CASA | 1.3.2. | კაზა დი ბათუმი  | 500.00 USD | 15.08.2024</t>
  </si>
  <si>
    <t>ICE677</t>
  </si>
  <si>
    <t>კომპაქტ მუხიანი (ს.კ. 405568675) - შპს</t>
  </si>
  <si>
    <t>Compact Mukhiani</t>
  </si>
  <si>
    <t>1 6 30 2667</t>
  </si>
  <si>
    <t>ICE002704/45674/1.1.1./QU5T6J</t>
  </si>
  <si>
    <t>06a814a3-da5b-4022-b934-2030a6344726</t>
  </si>
  <si>
    <t>Compact Mukhiani | 1.1.1. (+) შემოსავალი ლიფტების რეალიზაციიდან | კომპაქტ მუხიანი (ს.კ. 405568675) - შპს</t>
  </si>
  <si>
    <t>4ae41a6d-ac3e-44e2-bd81-442223e3d5e8</t>
  </si>
  <si>
    <t>Compact Mukhiani | 1.1.1. | კომპაქტ მუხიანი  | 30,510.00 USD | 17.01.2025</t>
  </si>
  <si>
    <t>ICE678</t>
  </si>
  <si>
    <t>DMS (ს.კ. 404868728) - შპს</t>
  </si>
  <si>
    <t>Buttons</t>
  </si>
  <si>
    <t>ICE2706/45658/1.1.3./PN65R3</t>
  </si>
  <si>
    <t>1f331018-ef65-4dbf-8121-94414670b98f</t>
  </si>
  <si>
    <t>Buttons | 1.1.3. (+) შემოსავალი ლიფტების სერვისიდან - არაგეგმიური | DMS (ს.კ. 404868728) - შპს</t>
  </si>
  <si>
    <t>2aa423e9-6a2d-4193-b467-03bdf7da3a0c</t>
  </si>
  <si>
    <t>Buttons | 1.1.3. | DMS  | 115.00 USD | 01.01.2025</t>
  </si>
  <si>
    <t>ICE679</t>
  </si>
  <si>
    <t>ყვარლის მარანი (ს.კ. 441554499) - შპს</t>
  </si>
  <si>
    <t>Kvareli Marani</t>
  </si>
  <si>
    <t>ICE002705/45627/1.1.2./DKNPHY</t>
  </si>
  <si>
    <t>442d6392-f8f0-4503-b007-fc28df392923</t>
  </si>
  <si>
    <t>Kvareli Marani | 1.1.2. (+) შემოსავალი ლიფტების სერვისიდან - გეგმიური | ყვარლის მარანი (ს.კ. 441554499) - შპს</t>
  </si>
  <si>
    <t>953399c4-7628-4f67-a268-fd36c0a59459</t>
  </si>
  <si>
    <t>Kvareli Marani | 1.1.2. | ყვარლის მარანი  | 200.00 USD | 01.12.2024</t>
  </si>
  <si>
    <t>ICE680</t>
  </si>
  <si>
    <t>Hampton Unloading</t>
  </si>
  <si>
    <t>ICE000118/45658/1.1.3./Q5TOLR</t>
  </si>
  <si>
    <t>c6134fba-9c49-4b8e-98f1-17ed5de5456b</t>
  </si>
  <si>
    <t>Hampton Unloading | 1.1.3. (+) შემოსავალი ლიფტების სერვისიდან - არაგეგმიური | მეპერსი (ს.კ. 402121887) - შპს</t>
  </si>
  <si>
    <t>Hampton Unloading | 1.1.3. | მეპერსი  | 1,700.00 GEL | 01.01.2025</t>
  </si>
  <si>
    <t>ICE681</t>
  </si>
  <si>
    <t>Hampton</t>
  </si>
  <si>
    <t>ICE000118/45658/1.1.1./7WVRS2</t>
  </si>
  <si>
    <t>a7180120-519b-4c0c-9eed-bf3eb90a8f85</t>
  </si>
  <si>
    <t>Hampton | 1.1.1. (+) შემოსავალი ლიფტების რეალიზაციიდან | მეპერსი (ს.კ. 402121887) - შპს</t>
  </si>
  <si>
    <t>Hampton | 1.1.1. | მეპერსი  | 15,000.00 USD | 01.01.2025</t>
  </si>
  <si>
    <t>ICE682</t>
  </si>
  <si>
    <t>ICE002606/45658/1.1.1./8HZC2P</t>
  </si>
  <si>
    <t>1f5a566f-c927-4250-ac01-586c36f9d014</t>
  </si>
  <si>
    <t>Lisi Veranda 8 | 1.1.1. | გიანთი პალასი  | 125,180.00 USD | 01.01.2025</t>
  </si>
  <si>
    <t>ICE683</t>
  </si>
  <si>
    <t>Lisi Veranda 8 Unloading</t>
  </si>
  <si>
    <t>ICE002606/45658/1.1.1./QIDBR4</t>
  </si>
  <si>
    <t>2a95e52d-a73e-43c7-af46-577e4425d9b9</t>
  </si>
  <si>
    <t>Lisi Veranda 8 Unloading | 1.1.1. (+) შემოსავალი ლიფტების რეალიზაციიდან | გიანთი პალასი (ს.კ. 405128268) - შპს</t>
  </si>
  <si>
    <t>Lisi Veranda 8 Unloading | 1.1.1. | გიანთი პალასი  | 3,500.00 GEL | 01.01.2025</t>
  </si>
  <si>
    <t>ICE684</t>
  </si>
  <si>
    <t>სიბიდი დეველოპმენტი (ს.კ. 404382921) - შპს</t>
  </si>
  <si>
    <t>EastPoint Chiller</t>
  </si>
  <si>
    <t>ICE2711/45638/1.2.1./X2TNO3</t>
  </si>
  <si>
    <t>ff4b548c-b47c-423b-96fc-755c9e0df9c1</t>
  </si>
  <si>
    <t>EastPoint Chiller | 1.2.1. (+) შემოსავალი MEP დანადგარების რეალიზაციიდან | სიბიდი დეველოპმენტი (ს.კ. 404382921) - შპს</t>
  </si>
  <si>
    <t>ced534c2-b8b9-43c9-9746-b763c50283d2</t>
  </si>
  <si>
    <t>dito.sichinava@gmail.com</t>
  </si>
  <si>
    <t>EastPoint Chiller | 1.2.1. | სიბიდი დეველოპმენტი  | 596,100.60 EUR | 12.12.2024</t>
  </si>
  <si>
    <t>ICE685</t>
  </si>
  <si>
    <t>სანრაიზ პალასი (ს.კ. 445692518) - შპს</t>
  </si>
  <si>
    <t>Sunrise Palace</t>
  </si>
  <si>
    <t>ICE2719/45602/1.1.1./4TWUSE</t>
  </si>
  <si>
    <t>5bbb243b-d772-41d9-ac5b-400c1e7b2673</t>
  </si>
  <si>
    <t>Sunrise Palace | 1.1.1. (+) შემოსავალი ლიფტების რეალიზაციიდან | სანრაიზ პალასი (ს.კ. 445692518) - შპს</t>
  </si>
  <si>
    <t>3a545140-2831-4b72-ac09-50b44ee6c21d</t>
  </si>
  <si>
    <t>Sunrise Palace | 1.1.1. | სანრაიზ პალასი  | 664,000.00 USD | 06.11.2024</t>
  </si>
  <si>
    <t>ICE686</t>
  </si>
  <si>
    <t>ვოლსი საბურთალო (ს.კ. 405372109) - შპს</t>
  </si>
  <si>
    <t>Sandro Euli</t>
  </si>
  <si>
    <t>ICE2715/45545/1.1.1./8419SP</t>
  </si>
  <si>
    <t>4e3be3fc-fc98-490b-bb3a-cf4d1eb35df5</t>
  </si>
  <si>
    <t>Sandro Euli | 1.1.1. (+) შემოსავალი ლიფტების რეალიზაციიდან | ვოლსი საბურთალო (ს.კ. 405372109) - შპს</t>
  </si>
  <si>
    <t>4038f9e4-505c-4f44-8ad5-e23fbb2e1cc8</t>
  </si>
  <si>
    <t>Sandro Euli | 1.1.1. | ვოლსი საბურთალო  | 65,640.00 USD | 10.09.2024</t>
  </si>
  <si>
    <t>ICE687</t>
  </si>
  <si>
    <t>ემ სი ქონსთრაქშენ (ს.კ. 445558496) - შპს</t>
  </si>
  <si>
    <t>Crown Plaza</t>
  </si>
  <si>
    <t>1 6 30 2625</t>
  </si>
  <si>
    <t>ICE2734/45601/1.2.1./X9WTXQ</t>
  </si>
  <si>
    <t>fd52dbce-dc49-4d84-94c3-3dcf9801ff1b</t>
  </si>
  <si>
    <t>Crown Plaza | 1.2.1. (+) შემოსავალი MEP დანადგარების რეალიზაციიდან | ემ სი ქონსთრაქშენ (ს.კ. 445558496) - შპს</t>
  </si>
  <si>
    <t>d913e4c2-ee1a-4516-9da9-24ab80e6bae7</t>
  </si>
  <si>
    <t>Crown Plaza | 1.2.1. | ემ სი ქონსთრაქშენ  | 693,840.00 EUR | 05.11.2024</t>
  </si>
  <si>
    <t>ICE688</t>
  </si>
  <si>
    <t>ოქროს სანაპირო (ს.კ. 445465773) - შპს</t>
  </si>
  <si>
    <t>Golden Beach Kvariati</t>
  </si>
  <si>
    <t>ICE2714/45463/1.1.1./1QPQEZ</t>
  </si>
  <si>
    <t>72df828f-338b-4a61-857e-41d75526cba4</t>
  </si>
  <si>
    <t>Golden Beach Kvariati | 1.1.1. (+) შემოსავალი ლიფტების რეალიზაციიდან | ოქროს სანაპირო (ს.კ. 445465773) - შპს</t>
  </si>
  <si>
    <t>fc76d846-a1a8-4d93-8907-16b776e3004b</t>
  </si>
  <si>
    <t>Golden Beach Kvariati | 1.1.1. | ოქროს სანაპირო  | 104,000.00 USD | 20.06.2024</t>
  </si>
  <si>
    <t>ICE689</t>
  </si>
  <si>
    <t>Tegeta AHU</t>
  </si>
  <si>
    <t>ICE000038/45489/1.2.1./HX9UTL</t>
  </si>
  <si>
    <t>d5fe337b-7c64-4cd2-b394-3fd25464e5e2</t>
  </si>
  <si>
    <t>Tegeta AHU | 1.2.1. (+) შემოსავალი MEP დანადგარების რეალიზაციიდან | თეგეტა მოტორსი (ს.კ. 202177205) - შპს</t>
  </si>
  <si>
    <t>Tegeta AHU | 1.2.1. | თეგეტა მოტორსი  | 164,800.00 EUR | 16.07.2024</t>
  </si>
  <si>
    <t>ICE690</t>
  </si>
  <si>
    <t>თბილისი ეარფორთ ჰოთელ (ს.კ. 406471269) - შპს</t>
  </si>
  <si>
    <t>Ibis Tbilisi Airport</t>
  </si>
  <si>
    <t>ICE2713/45597/1.1.2./S615YW</t>
  </si>
  <si>
    <t>9f2640f3-ae0c-49f8-9061-1ced93783d1b</t>
  </si>
  <si>
    <t>Ibis Tbilisi Airport | 1.1.2. (+) შემოსავალი ლიფტების სერვისიდან - გეგმიური | თბილისი ეარფორთ ჰოთელ (ს.კ. 406471269) - შპს</t>
  </si>
  <si>
    <t>36746e69-7093-4ed4-ab56-8af69b3f9839</t>
  </si>
  <si>
    <t>Ibis Tbilisi Airport | 1.1.2. | თბილისი ეარფორთ ჰოთელ  | 450.00 USD | 01.11.2024</t>
  </si>
  <si>
    <t>ICE691</t>
  </si>
  <si>
    <t>Aparthotel Service</t>
  </si>
  <si>
    <t>ICE000009/45590/1.1.3./ZO05ES</t>
  </si>
  <si>
    <t>600f100b-fe10-471e-90a9-5bc7931d086f</t>
  </si>
  <si>
    <t>Aparthotel Service | 1.1.3. (+) შემოსავალი ლიფტების სერვისიდან - არაგეგმიური | კანალესა (ს.კ. 405021925) - შპს</t>
  </si>
  <si>
    <t>Aparthotel Service | 1.1.3. | კანალესა  | 760.00 USD | 25.10.2024</t>
  </si>
  <si>
    <t>ICE692</t>
  </si>
  <si>
    <t>კაფე ცენტრალი (ს.კ. 445685884) - შპს</t>
  </si>
  <si>
    <t>Batumi Cafe Central</t>
  </si>
  <si>
    <t>1 6 31 2559</t>
  </si>
  <si>
    <t>ICE2723/45474/1.1.2./DR0PGA</t>
  </si>
  <si>
    <t>25a7bb25-b2f6-4465-93ed-f0906f277c70</t>
  </si>
  <si>
    <t>Batumi Cafe Central | 1.1.2. (+) შემოსავალი ლიფტების სერვისიდან - გეგმიური | კაფე ცენტრალი (ს.კ. 445685884) - შპს</t>
  </si>
  <si>
    <t>4c5156a1-1518-4887-a947-d3dd8dde5f77</t>
  </si>
  <si>
    <t>Batumi Cafe Central | 1.1.2. | კაფე ცენტრალი  | 300.00 GEL | 01.07.2024</t>
  </si>
  <si>
    <t>ICE693</t>
  </si>
  <si>
    <t>ნატალია ვასილიევა (ს.კ. 01019013928) - ფიზ. პირი</t>
  </si>
  <si>
    <t>Mitsubisi Vasilieva</t>
  </si>
  <si>
    <t>ICE2733/45625/1.1.3./2ARSG4</t>
  </si>
  <si>
    <t>5ba10e73-ad9a-41dc-99a7-2d0d2442a590</t>
  </si>
  <si>
    <t>Mitsubisi Vasilieva | 1.1.3. (+) შემოსავალი ლიფტების სერვისიდან - არაგეგმიური | ნატალია ვასილიევა (ს.კ. 01019013928) - ფიზ. პირი</t>
  </si>
  <si>
    <t>25ed3d2c-1cba-476c-8eae-fd1f2a53c252</t>
  </si>
  <si>
    <t>Mitsubisi Vasilieva | 1.1.3. | ნატალია ვასილიევა  | 1,900.00 GEL | 29.11.2024</t>
  </si>
  <si>
    <t>ICE694</t>
  </si>
  <si>
    <t>ეკატერინე გელაშვილი (ს.კ. 01023000852) - ფიზ. პირი</t>
  </si>
  <si>
    <t>ICE2735/45621/1.2.1./KMBIHA</t>
  </si>
  <si>
    <t>a2e3f215-3821-413c-986a-762d210a2b0c</t>
  </si>
  <si>
    <t>Multisplit | 1.2.1. (+) შემოსავალი MEP დანადგარების რეალიზაციიდან | ეკატერინე გელაშვილი (ს.კ. 01023000852) - ფიზ. პირი</t>
  </si>
  <si>
    <t>ec6f69d6-60bd-4f09-920e-1d59a669cda0</t>
  </si>
  <si>
    <t>Multisplit | 1.2.1. | ეკატერინე გელაშვილი  | 2,850.00 GEL | 25.11.2024</t>
  </si>
  <si>
    <t>ICE695</t>
  </si>
  <si>
    <t>Service Irakli Kirtshkhalia</t>
  </si>
  <si>
    <t>ICE000013/45047/1.1.2./7IBPTW</t>
  </si>
  <si>
    <t>92925da9-ca4e-467c-996d-6feda3590026</t>
  </si>
  <si>
    <t>Service Irakli Kirtshkhalia | 1.1.2. (+) შემოსავალი ლიფტების სერვისიდან - გეგმიური | ნინო კირცხალია (ს.კ. 01031005362) - ფიზ. პირი</t>
  </si>
  <si>
    <t>Service Irakli Kirtshkhalia | 1.1.2. | ნინო კირცხალია  | 250.00 GEL | 01.05.2023</t>
  </si>
  <si>
    <t>ICE696</t>
  </si>
  <si>
    <t>მურუსიძე გიორგი (ს.კ. 61001034832) - ფიზ. პირი</t>
  </si>
  <si>
    <t>Air Conditioner</t>
  </si>
  <si>
    <t>ICE2737/45581/1.2.1./P8T97V</t>
  </si>
  <si>
    <t>667cb813-7b0b-44fb-b185-d5b8ae40dab8</t>
  </si>
  <si>
    <t>Air Conditioner | 1.2.1. (+) შემოსავალი MEP დანადგარების რეალიზაციიდან | მურუსიძე გიორგი (ს.კ. 61001034832) - ფიზ. პირი</t>
  </si>
  <si>
    <t>c53753f4-3fee-4509-82e2-dfcb32ff825f</t>
  </si>
  <si>
    <t>Air Conditioner | 1.2.1. | მურუსიძე გიორგი  | 4,716.00 GEL | 16.10.2024</t>
  </si>
  <si>
    <t>ICE697</t>
  </si>
  <si>
    <t>პარავიანი ალვინა (ს.კ. 01014004683) - ფიზ. პირი</t>
  </si>
  <si>
    <t>Conditioner blocks</t>
  </si>
  <si>
    <t>ICE2738/45559/1.2.1./H6K9QN</t>
  </si>
  <si>
    <t>4b812a0f-4a6a-4130-875a-66dedb91ad2a</t>
  </si>
  <si>
    <t>Conditioner blocks | 1.2.1. (+) შემოსავალი MEP დანადგარების რეალიზაციიდან | პარავიანი ალვინა (ს.კ. 01014004683) - ფიზ. პირი</t>
  </si>
  <si>
    <t>916786e4-622b-4979-9435-ffc68150e8f4</t>
  </si>
  <si>
    <t>Conditioner blocks | 1.2.1. | პარავიანი ალვინა  | 1,900.00 GEL | 24.09.2024</t>
  </si>
  <si>
    <t>ICE698</t>
  </si>
  <si>
    <t>ქურცაძე ვასო (ს.კ. 18001065894) - ფიზ. პირი</t>
  </si>
  <si>
    <t>Qurcadze Parts</t>
  </si>
  <si>
    <t>ICE2742/45489/1.2.1./Q0KWOL</t>
  </si>
  <si>
    <t>3d1a5e81-49a0-4a46-a477-a230ab0cc121</t>
  </si>
  <si>
    <t>Qurcadze Parts | 1.2.1. (+) შემოსავალი MEP დანადგარების რეალიზაციიდან | ქურცაძე ვასო (ს.კ. 18001065894) - ფიზ. პირი</t>
  </si>
  <si>
    <t>8c40516d-0520-49f4-95b0-284c72b0f0b5</t>
  </si>
  <si>
    <t>Qurcadze Parts | 1.2.1. | ქურცაძე ვასო  | 950.00 GEL | 16.07.2024</t>
  </si>
  <si>
    <t>ICE699</t>
  </si>
  <si>
    <t>ივანე კონტრიძე (ს.კ. 01024066432) - ფიზ. პირი</t>
  </si>
  <si>
    <t>Kontridze Split</t>
  </si>
  <si>
    <t>ICE2743/45485/1.2.1./TUTXZC</t>
  </si>
  <si>
    <t>81c84c3c-2de9-4ebb-b541-575d248507ae</t>
  </si>
  <si>
    <t>Kontridze Split | 1.2.1. (+) შემოსავალი MEP დანადგარების რეალიზაციიდან | ივანე კონტრიძე (ს.კ. 01024066432) - ფიზ. პირი</t>
  </si>
  <si>
    <t>dc3cae98-45f9-4145-a8f4-a64c90b8f55c</t>
  </si>
  <si>
    <t>Kontridze Split | 1.2.1. | ივანე კონტრიძე  | 500.00 GEL | 12.07.2024</t>
  </si>
  <si>
    <t>ICE700</t>
  </si>
  <si>
    <t>ლომიძე ლიანა (ს.კ. 01117067344) - ფიზ. პირი</t>
  </si>
  <si>
    <t xml:space="preserve">Lomidze Conditioner </t>
  </si>
  <si>
    <t>ICE2744/45444/1.2.1./T7QS54</t>
  </si>
  <si>
    <t>d6364fde-a9a4-4772-bdbd-d788e5769c30</t>
  </si>
  <si>
    <t>Lomidze Conditioner  | 1.2.1. (+) შემოსავალი MEP დანადგარების რეალიზაციიდან | ლომიძე ლიანა (ს.კ. 01117067344) - ფიზ. პირი</t>
  </si>
  <si>
    <t>63601b77-5c6b-4658-93d6-f7a4c3f631f5</t>
  </si>
  <si>
    <t>Lomidze Conditioner  | 1.2.1. | ლომიძე ლიანა  | 1,300.00 GEL | 01.06.2024</t>
  </si>
  <si>
    <t>ICE701</t>
  </si>
  <si>
    <t>ეკატერინე ჭავჭავაძე (ს.კ. 01009010735) - ფიზ. პირი</t>
  </si>
  <si>
    <t>Chavchavadze Oth</t>
  </si>
  <si>
    <t>ICE2746/45460/1.2.1./G5XHOM</t>
  </si>
  <si>
    <t>c9abade1-3a48-479d-b73f-dd6be570c0a0</t>
  </si>
  <si>
    <t>Chavchavadze Oth | 1.2.1. (+) შემოსავალი MEP დანადგარების რეალიზაციიდან | ეკატერინე ჭავჭავაძე (ს.კ. 01009010735) - ფიზ. პირი</t>
  </si>
  <si>
    <t>c91361e4-ec0c-4725-80c8-1e254f632013</t>
  </si>
  <si>
    <t>Chavchavadze Oth | 1.2.1. | ეკატერინე ჭავჭავაძე  | 1,850.00 GEL | 17.06.2024</t>
  </si>
  <si>
    <t>ICE702</t>
  </si>
  <si>
    <t>გოგოტიშვილი კობა (ს.კ. 33001026839) - ფიზ. პირი</t>
  </si>
  <si>
    <t>Gogotishvili Oth</t>
  </si>
  <si>
    <t>ICE2747/45456/1.2.1./26F74Z</t>
  </si>
  <si>
    <t>e7fd2ddd-f62d-4635-9468-df10b5448af4</t>
  </si>
  <si>
    <t>Gogotishvili Oth | 1.2.1. (+) შემოსავალი MEP დანადგარების რეალიზაციიდან | გოგოტიშვილი კობა (ს.კ. 33001026839) - ფიზ. პირი</t>
  </si>
  <si>
    <t>275718ac-94f6-47c6-a5da-540dbf2eeb2c</t>
  </si>
  <si>
    <t>Gogotishvili Oth | 1.2.1. | გოგოტიშვილი კობა  | 1,900.00 GEL | 13.06.2024</t>
  </si>
  <si>
    <t>ICE703</t>
  </si>
  <si>
    <t>ანა გაგუა (ს.კ. 60001021539) - ფიზ. პირი</t>
  </si>
  <si>
    <t>Gagua Oth</t>
  </si>
  <si>
    <t>ICE2748/45436/1.2.1./HG0WPI</t>
  </si>
  <si>
    <t>79500bdf-aec6-4255-8105-31d05c0ca9a4</t>
  </si>
  <si>
    <t>Gagua Oth | 1.2.1. (+) შემოსავალი MEP დანადგარების რეალიზაციიდან | ანა გაგუა (ს.კ. 60001021539) - ფიზ. პირი</t>
  </si>
  <si>
    <t>f3499ead-c0cd-4154-a2c6-5b9c9d204474</t>
  </si>
  <si>
    <t>Gagua Oth | 1.2.1. | ანა გაგუა  | 8,500.00 GEL | 24.05.2024</t>
  </si>
  <si>
    <t>ICE704</t>
  </si>
  <si>
    <t>ვეკუა ლაშა (ს.კ. 01027060345) - ფიზ. პირი</t>
  </si>
  <si>
    <t>Vekua Oth</t>
  </si>
  <si>
    <t>ICE2749/45427/1.2.1./RF1P2T</t>
  </si>
  <si>
    <t>f26f4e6a-f817-4b50-93e7-0f8c69aabd74</t>
  </si>
  <si>
    <t>Vekua Oth | 1.2.1. (+) შემოსავალი MEP დანადგარების რეალიზაციიდან | ვეკუა ლაშა (ს.კ. 01027060345) - ფიზ. პირი</t>
  </si>
  <si>
    <t>cfff9008-ad7c-4c3a-b342-795a737c1c84</t>
  </si>
  <si>
    <t>Vekua Oth | 1.2.1. | ვეკუა ლაშა  | 2,450.00 GEL | 15.05.2024</t>
  </si>
  <si>
    <t>ICE705</t>
  </si>
  <si>
    <t>ლაბარტყავა მარიამ (ს.კ. 01008043151) - ფიზ. პირი</t>
  </si>
  <si>
    <t>Nasidze 20</t>
  </si>
  <si>
    <t>ICE2751/45292/1.1.2./KRIGMC</t>
  </si>
  <si>
    <t>c7c47b8c-a05b-4f2f-89f5-5fcc2dca9f16</t>
  </si>
  <si>
    <t>Nasidze 20 | 1.1.2. (+) შემოსავალი ლიფტების სერვისიდან - გეგმიური | ლაბარტყავა მარიამ (ს.კ. 01008043151) - ფიზ. პირი</t>
  </si>
  <si>
    <t>1a8d434a-1520-44e9-8b1d-c20c8449a0a8</t>
  </si>
  <si>
    <t>Nasidze 20 | 1.1.2. | ლაბარტყავა მარიამ  | 200.00 GEL | 01.01.2024</t>
  </si>
  <si>
    <t>ICE706</t>
  </si>
  <si>
    <t>გაგნიძე ნელი (ს.კ. 01006008918) - ფიზ. პირი</t>
  </si>
  <si>
    <t>Gagnidze Oth</t>
  </si>
  <si>
    <t>ICE2736/45597/1.2.1./O8UT0P</t>
  </si>
  <si>
    <t>2658b30e-b80e-4dec-aeee-e91877237b23</t>
  </si>
  <si>
    <t>Gagnidze Oth | 1.2.1. (+) შემოსავალი MEP დანადგარების რეალიზაციიდან | გაგნიძე ნელი (ს.კ. 01006008918) - ფიზ. პირი</t>
  </si>
  <si>
    <t>ed6e30dd-59f8-433f-88b0-69d6dd5dea41</t>
  </si>
  <si>
    <t>Gagnidze Oth | 1.2.1. | გაგნიძე ნელი  | 2,850.00 GEL | 01.11.2024</t>
  </si>
  <si>
    <t>ICE707</t>
  </si>
  <si>
    <t>Mammadova Oth</t>
  </si>
  <si>
    <t>ICE002152/45272/1.2.1./P1UJVO</t>
  </si>
  <si>
    <t>a2c64723-d22e-4f0c-8840-a93aa06d97f3</t>
  </si>
  <si>
    <t>Mammadova Oth | 1.2.1. (+) შემოსავალი MEP დანადგარების რეალიზაციიდან | ელენა მამმადოვა (ს.კ. 01794001582) - ფიზ. პირი</t>
  </si>
  <si>
    <t>Mammadova Oth | 1.2.1. | ელენა მამმადოვა  | 4,948.00 USD | 12.12.2023</t>
  </si>
  <si>
    <t>ICE708</t>
  </si>
  <si>
    <t>ბერიძე არჩილ (ს.კ. 61001032541) - ფიზ. პირი</t>
  </si>
  <si>
    <t>Beridze Multisplit</t>
  </si>
  <si>
    <t>ICE2753/45084/1.2.1./RQVHTV</t>
  </si>
  <si>
    <t>65a40d34-cef1-44cd-a2af-fc14354579ea</t>
  </si>
  <si>
    <t>Beridze Multisplit | 1.2.1. (+) შემოსავალი MEP დანადგარების რეალიზაციიდან | ბერიძე არჩილ (ს.კ. 61001032541) - ფიზ. პირი</t>
  </si>
  <si>
    <t>d5f876ea-2681-46c7-a28a-16055c6346cf</t>
  </si>
  <si>
    <t>Beridze Multisplit | 1.2.1. | ბერიძე არჩილ  | 4,919.00 USD | 07.06.2023</t>
  </si>
  <si>
    <t>ICE709</t>
  </si>
  <si>
    <t>გიორგი კიკუტაძე (ს.კ. 01901146888) - ფიზ. პირი</t>
  </si>
  <si>
    <t>Kikutadze Conditioner</t>
  </si>
  <si>
    <t>ICE2226/45159/1.2.1./MUPWTE</t>
  </si>
  <si>
    <t>d813cda0-13c5-499b-9e42-9b0f68330eb9</t>
  </si>
  <si>
    <t>Kikutadze Conditioner | 1.2.1. (+) შემოსავალი MEP დანადგარების რეალიზაციიდან | გიორგი კიკუტაძე (ს.კ. 01901146888) - ფიზ. პირი</t>
  </si>
  <si>
    <t>b95f7c20-be12-4f5e-866c-2f3c5afe26f4</t>
  </si>
  <si>
    <t>Kikutadze Conditioner | 1.2.1. | გიორგი კიკუტაძე  | 2,230.00 GEL | 21.08.2023</t>
  </si>
  <si>
    <t>ICE710</t>
  </si>
  <si>
    <t>კობა გოგატიშვილი (ს.კ. 54001008148) - ფიზ. პირი</t>
  </si>
  <si>
    <t>Gogatishvili Oth</t>
  </si>
  <si>
    <t>ICE2228/45048/1.2.1./SYMCZI</t>
  </si>
  <si>
    <t>ae760261-16e0-44ad-b507-8d2f4e6f036a</t>
  </si>
  <si>
    <t>Gogatishvili Oth | 1.2.1. (+) შემოსავალი MEP დანადგარების რეალიზაციიდან | კობა გოგატიშვილი (ს.კ. 54001008148) - ფიზ. პირი</t>
  </si>
  <si>
    <t>902aa9a4-2ddb-4c1d-8d3c-e96c84377e9c</t>
  </si>
  <si>
    <t>Gogatishvili Oth | 1.2.1. | კობა გოგატიშვილი  | 775.00 USD | 02.05.2023</t>
  </si>
  <si>
    <t>ICE711</t>
  </si>
  <si>
    <t>თავაძე თამაზი (ს.კ. 01019014393) - ფიზ. პირი</t>
  </si>
  <si>
    <t>Tavadze Oth</t>
  </si>
  <si>
    <t>ICE2739/45537/1.2.1./H38BCG</t>
  </si>
  <si>
    <t>fa5ac42a-39b7-43c8-ad78-3b4862ec91b4</t>
  </si>
  <si>
    <t>Tavadze Oth | 1.2.1. (+) შემოსავალი MEP დანადგარების რეალიზაციიდან | თავაძე თამაზი (ს.კ. 01019014393) - ფიზ. პირი</t>
  </si>
  <si>
    <t>79525eb7-50b0-4243-a184-1cae6ac6f127</t>
  </si>
  <si>
    <t>Tavadze Oth | 1.2.1. | თავაძე თამაზი  | 2,200.00 GEL | 02.09.2024</t>
  </si>
  <si>
    <t>ICE712</t>
  </si>
  <si>
    <t>ლეკვეიშვილი გრიგოლ (ს.კ. 01001010845) - ფიზ. პირი</t>
  </si>
  <si>
    <t>Lekveishvili Oth</t>
  </si>
  <si>
    <t>ICE2741/45495/1.2.1./PUXXKF</t>
  </si>
  <si>
    <t>898f9815-9aec-455c-8778-12cd91a6e27e</t>
  </si>
  <si>
    <t>Lekveishvili Oth | 1.2.1. (+) შემოსავალი MEP დანადგარების რეალიზაციიდან | ლეკვეიშვილი გრიგოლ (ს.კ. 01001010845) - ფიზ. პირი</t>
  </si>
  <si>
    <t>27f35c75-48c9-4949-a685-69ba8ba972c0</t>
  </si>
  <si>
    <t>Lekveishvili Oth | 1.2.1. | ლეკვეიშვილი გრიგოლ  | 7,964.00 GEL | 22.07.2024</t>
  </si>
  <si>
    <t>ICE713</t>
  </si>
  <si>
    <t>სითიქომ (ს.კ. 405197111) - შპს</t>
  </si>
  <si>
    <t>Navtlugi</t>
  </si>
  <si>
    <t>ICE000121/44937/1.1.2./JX3EOD</t>
  </si>
  <si>
    <t>cf7634e5-aa91-43b9-bc60-046ca6e64b12</t>
  </si>
  <si>
    <t>Navtlugi | 1.1.2. (+) შემოსავალი ლიფტების სერვისიდან - გეგმიური | სითიქომ (ს.კ. 405197111) - შპს</t>
  </si>
  <si>
    <t>B0233419-0052-4A91-AD62-6A8EAC8ED636</t>
  </si>
  <si>
    <t>Navtlugi | 1.1.2. | სითიქომ  | 800.00 GEL | 11.01.2023</t>
  </si>
  <si>
    <t>ICE714</t>
  </si>
  <si>
    <t>Eqvtime Kheladze</t>
  </si>
  <si>
    <t>ICE000121/44937/1.1.2./3NVQ1P</t>
  </si>
  <si>
    <t>492a4428-a288-414a-aeb2-432c7bb64951</t>
  </si>
  <si>
    <t>Eqvtime Kheladze | 1.1.2. (+) შემოსავალი ლიფტების სერვისიდან - გეგმიური | სითიქომ (ს.კ. 405197111) - შპს</t>
  </si>
  <si>
    <t>Eqvtime Kheladze | 1.1.2. | სითიქომ  | 400.00 GEL | 11.01.2023</t>
  </si>
  <si>
    <t>ICE715</t>
  </si>
  <si>
    <t>4000 Meskhtians</t>
  </si>
  <si>
    <t>ICE000121/44937/1.1.2./5O97M8</t>
  </si>
  <si>
    <t>0d3a7855-e6e2-4b63-a939-7c06598e9544</t>
  </si>
  <si>
    <t>4000 Meskhtians | 1.1.2. (+) შემოსავალი ლიფტების სერვისიდან - გეგმიური | სითიქომ (ს.კ. 405197111) - შპს</t>
  </si>
  <si>
    <t>4000 Meskhtians | 1.1.2. | სითიქომ  | 400.00 GEL | 11.01.2023</t>
  </si>
  <si>
    <t>ICE716</t>
  </si>
  <si>
    <t>Tskneti H-way</t>
  </si>
  <si>
    <t>ICE000121/44937/1.1.2./13WQZ8</t>
  </si>
  <si>
    <t>91afec52-e723-43dc-ab36-e7776f8c4384</t>
  </si>
  <si>
    <t>Tskneti H-way | 1.1.2. (+) შემოსავალი ლიფტების სერვისიდან - გეგმიური | სითიქომ (ს.კ. 405197111) - შპს</t>
  </si>
  <si>
    <t>Tskneti H-way | 1.1.2. | სითიქომ  | 600.00 GEL | 11.01.2023</t>
  </si>
  <si>
    <t>ICE717</t>
  </si>
  <si>
    <t>ICE000121/44937/1.1.2./UGY40W</t>
  </si>
  <si>
    <t>44307406-1e99-47c1-b822-6d80ebfb18b6</t>
  </si>
  <si>
    <t>Shartava | 1.1.2. (+) შემოსავალი ლიფტების სერვისიდან - გეგმიური | სითიქომ (ს.კ. 405197111) - შპს</t>
  </si>
  <si>
    <t>Shartava | 1.1.2. | სითიქომ  | 450.00 GEL | 11.01.2023</t>
  </si>
  <si>
    <t>ICE718</t>
  </si>
  <si>
    <t>ოკტოპუსი (ს.კ. 405116084) - შპს</t>
  </si>
  <si>
    <t>Oktopus Serv</t>
  </si>
  <si>
    <t>ICE2716/45536/1.1.2./TP8GNP</t>
  </si>
  <si>
    <t>58dcec7b-b282-43c1-8c03-b8061dd5f405</t>
  </si>
  <si>
    <t>Oktopus Serv | 1.1.2. (+) შემოსავალი ლიფტების სერვისიდან - გეგმიური | ოკტოპუსი (ს.კ. 405116084) - შპს</t>
  </si>
  <si>
    <t>f22517d3-0787-4cd7-bb5d-20546f9e512b</t>
  </si>
  <si>
    <t>Oktopus Serv | 1.1.2. | ოკტოპუსი  | 100.00 USD | 01.09.2024</t>
  </si>
  <si>
    <t>ICE719</t>
  </si>
  <si>
    <t>Service</t>
  </si>
  <si>
    <t>ICE002475/45201/1.1.2./RSCQN6</t>
  </si>
  <si>
    <t>9eb94c52-f2b4-4435-b1fd-cea10385a573</t>
  </si>
  <si>
    <t>Service | 1.1.2. (+) შემოსავალი ლიფტების სერვისიდან - გეგმიური | ჯორჯიან გოლდ ინვესტ (ს.კ. 405602968) - სს</t>
  </si>
  <si>
    <t>Service | 1.1.2. | ჯორჯიან გოლდ ინვესტ  | 2,000.00 GEL | 02.10.2023</t>
  </si>
  <si>
    <t>ICE720</t>
  </si>
  <si>
    <t>UNIX MARSEL Oth</t>
  </si>
  <si>
    <t>ICE001853/45428/1.1.3./IR9A62</t>
  </si>
  <si>
    <t>3b80beb6-c20b-4ecb-81a6-0527b796a706</t>
  </si>
  <si>
    <t>UNIX MARSEL Oth | 1.1.3. (+) შემოსავალი ლიფტების სერვისიდან - არაგეგმიური | ფრანგული უბანი ფრანგული უბნის "დ" და "ე" ბლოკების ამხანაგობა (ს.კ. 200316657) - ამხანაგობა</t>
  </si>
  <si>
    <t>UNIX MARSEL Oth | 1.1.3. | ფრანგული უბანი ფრანგული უბნის "დ" და "ე" ბლოკების ამხანაგობა  | 250.00 USD | 16.05.2024</t>
  </si>
  <si>
    <t>ICE721</t>
  </si>
  <si>
    <t>ფარნავაზ მეფის # 62 (ს.კ. 245665221) - ამხანაგობა</t>
  </si>
  <si>
    <t>King Parnavaz Service</t>
  </si>
  <si>
    <t>ICE2732/45650/1.1.3./T4Q3WG</t>
  </si>
  <si>
    <t>9ee462fd-bce8-4e65-b80f-6597aac0a198</t>
  </si>
  <si>
    <t>King Parnavaz Service | 1.1.3. (+) შემოსავალი ლიფტების სერვისიდან - არაგეგმიური | ფარნავაზ მეფის # 62 (ს.კ. 245665221) - ამხანაგობა</t>
  </si>
  <si>
    <t>c9019178-1b89-4de7-8451-b06bd01ca77b</t>
  </si>
  <si>
    <t>King Parnavaz Service | 1.1.3. | ფარნავაზ მეფის # 62  | 1,800.00 GEL | 24.12.2024</t>
  </si>
  <si>
    <t>ICE722</t>
  </si>
  <si>
    <t>სიმონ შეშელიძე (ს.კ. 33001059430) - ფიზ. პირი</t>
  </si>
  <si>
    <t>Batumi Mall Repair</t>
  </si>
  <si>
    <t>ICE2020/45446/1.1.3./QPB0O8</t>
  </si>
  <si>
    <t>263b24b6-e48a-46b4-8419-bb559f37bdb5</t>
  </si>
  <si>
    <t>Batumi Mall Repair | 1.1.3. (+) შემოსავალი ლიფტების სერვისიდან - არაგეგმიური | სიმონ შეშელიძე (ს.კ. 33001059430) - ფიზ. პირი</t>
  </si>
  <si>
    <t>3c8772d6-ed17-4a44-94bd-f19d09baa79d</t>
  </si>
  <si>
    <t>Batumi Mall Repair | 1.1.3. | სიმონ შეშელიძე  | 310.00 USD | 03.06.2024</t>
  </si>
  <si>
    <t>ICE723</t>
  </si>
  <si>
    <t>Server</t>
  </si>
  <si>
    <t>ICE002619/45559/1.2.3./6TUMXS</t>
  </si>
  <si>
    <t>d68a9652-dc80-4115-b65c-6952cf3030df</t>
  </si>
  <si>
    <t>Server | 1.2.3. (+) შემოსავალი MEP დანადგარების სერვისიდან - არაგეგმიური | შპს წინანდლის მამულები (ს.კ. 204557372) - შპს</t>
  </si>
  <si>
    <t>Server | 1.2.3. | შპს წინანდლის მამულები  | 2,825.00 USD | 24.09.2024</t>
  </si>
  <si>
    <t>ICE724</t>
  </si>
  <si>
    <t>თეა მაღალდაძე (ს.კ. 57001015349) - ინდ. მეწარმე</t>
  </si>
  <si>
    <t>Magaldadze service</t>
  </si>
  <si>
    <t>ICE2731/45444/1.1.2./U41HKW</t>
  </si>
  <si>
    <t>6cdfec35-a686-4791-ad3c-1b5006bf2e17</t>
  </si>
  <si>
    <t>Magaldadze service | 1.1.2. (+) შემოსავალი ლიფტების სერვისიდან - გეგმიური | თეა მაღალდაძე (ს.კ. 57001015349) - ინდ. მეწარმე</t>
  </si>
  <si>
    <t>3c82c866-e061-4767-bfd0-c4b2ba8aa444</t>
  </si>
  <si>
    <t>Magaldadze service | 1.1.2. | თეა მაღალდაძე  | 100.00 USD | 01.06.2024</t>
  </si>
  <si>
    <t>ICE725</t>
  </si>
  <si>
    <t>ჯეიფი ჰაბ (ს.კ. 445657548) - შპს</t>
  </si>
  <si>
    <t>JP Service</t>
  </si>
  <si>
    <t>ICE2724/45170/1.1.2./GATWPF</t>
  </si>
  <si>
    <t>b215c1b4-e250-405b-ac3b-1d5cd2df1eb7</t>
  </si>
  <si>
    <t>JP Service | 1.1.2. (+) შემოსავალი ლიფტების სერვისიდან - გეგმიური | ჯეიფი ჰაბ (ს.კ. 445657548) - შპს</t>
  </si>
  <si>
    <t>51f14bdd-328a-4b13-913b-cb99ce8ac5a9</t>
  </si>
  <si>
    <t>JP Service | 1.1.2. | ჯეიფი ჰაბ  | 385.00 USD | 01.09.2023</t>
  </si>
  <si>
    <t>ICE726</t>
  </si>
  <si>
    <t>Gori Mall Oth</t>
  </si>
  <si>
    <t>ICE000088/45383/1.2.3./VYPVNQ</t>
  </si>
  <si>
    <t>7eb44f77-a800-435f-ab32-702491846076</t>
  </si>
  <si>
    <t>Gori Mall Oth | 1.2.3. (+) შემოსავალი MEP დანადგარების სერვისიდან - არაგეგმიური | მპ დეველოპმენტი (ს.კ. 404960217) - შპს</t>
  </si>
  <si>
    <t>Gori Mall Oth | 1.2.3. | მპ დეველოპმენტი  | 1,080.00 USD | 01.04.2024</t>
  </si>
  <si>
    <t>ICE727</t>
  </si>
  <si>
    <t>ადმირალ ფბ (ს.კ. 405586655) - შპს</t>
  </si>
  <si>
    <t>Admiral Service</t>
  </si>
  <si>
    <t>ICE2729/45505/1.1.2./SY150G</t>
  </si>
  <si>
    <t>18429754-51b7-4e46-a250-cab45c132b7b</t>
  </si>
  <si>
    <t>Admiral Service | 1.1.2. (+) შემოსავალი ლიფტების სერვისიდან - გეგმიური | ადმირალ ფბ (ს.კ. 405586655) - შპს</t>
  </si>
  <si>
    <t>534a0b6e-685a-4bc0-9a5b-8ed62f22fb3f</t>
  </si>
  <si>
    <t>Admiral Service | 1.1.2. | ადმირალ ფბ  | 100.00 USD | 01.08.2024</t>
  </si>
  <si>
    <t>ICE728</t>
  </si>
  <si>
    <t>ვერჰეიჯ ნორა (ს.კ. NV0C25JD1) - ფიზ. პირი</t>
  </si>
  <si>
    <t>Verheij Property</t>
  </si>
  <si>
    <t>ICE2754/45200/1.3.1./S5ODIQ</t>
  </si>
  <si>
    <t>9c110e19-ca3e-4aa2-876e-13dc3ad8b746</t>
  </si>
  <si>
    <t>Verheij Property | 1.3.1. (+) სხვადასხვა ინვენტარის რეალიზაცია | ვერჰეიჯ ნორა (ს.კ. NV0C25JD1) - ფიზ. პირი</t>
  </si>
  <si>
    <t>19c597da-5f1b-4113-a80c-fdba97435783</t>
  </si>
  <si>
    <t>Verheij Property | 1.3.1. | ვერჰეიჯ ნორა  | 30,000.00 USD | 01.10.2023</t>
  </si>
  <si>
    <t>ICE729</t>
  </si>
  <si>
    <t>ანზორ მოლაშვილი (ს.კ. 40001004103) - ინდ. მეწარმე</t>
  </si>
  <si>
    <t>Molashvili Auto</t>
  </si>
  <si>
    <t>ICE2248/45499/1.3.1./PBXUN0</t>
  </si>
  <si>
    <t>2a366a59-81bc-43f7-abdb-194c81dcaa00</t>
  </si>
  <si>
    <t>Molashvili Auto | 1.3.1. (+) სხვადასხვა ინვენტარის რეალიზაცია | ანზორ მოლაშვილი (ს.კ. 40001004103) - ინდ. მეწარმე</t>
  </si>
  <si>
    <t>16253a43-5364-4c7e-8a23-ba97ec60d20a</t>
  </si>
  <si>
    <t>Molashvili Auto | 1.3.1. | ანზორ მოლაშვილი  | 3,000.00 GEL | 26.07.2024</t>
  </si>
  <si>
    <t>ICE730</t>
  </si>
  <si>
    <t>Cafe Central Oth</t>
  </si>
  <si>
    <t>ICE2723/45452/1.1.3./U2MESH</t>
  </si>
  <si>
    <t>de73aba7-f006-499e-b8ca-825c89e8bdbe</t>
  </si>
  <si>
    <t>Cafe Central Oth | 1.1.3. (+) შემოსავალი ლიფტების სერვისიდან - არაგეგმიური | კაფე ცენტრალი (ს.კ. 445685884) - შპს</t>
  </si>
  <si>
    <t>Cafe Central Oth | 1.1.3. | კაფე ცენტრალი  | 170.00 GEL | 09.06.2024</t>
  </si>
  <si>
    <t>ICE731</t>
  </si>
  <si>
    <t>თიბისი ლიზინგი (ს.კ. 205016560) - სს</t>
  </si>
  <si>
    <t>Domus Ipodrom via TBC Leasing</t>
  </si>
  <si>
    <t>ICE2740/45513/1.1.1./YTHI1A</t>
  </si>
  <si>
    <t>22726c64-b6f5-4a4f-bfe2-d0dc0ca3d0e5</t>
  </si>
  <si>
    <t>Domus Ipodrom via TBC Leasing | 1.1.1. (+) შემოსავალი ლიფტების რეალიზაციიდან | თიბისი ლიზინგი (ს.კ. 205016560) - სს</t>
  </si>
  <si>
    <t>a703d7aa-d0ea-48b7-a4c0-34cbdaaf11dd</t>
  </si>
  <si>
    <t>Domus Ipodrom via TBC Leasing | 1.1.1. | თიბისი ლიზინგი  | 1,232,000.00 USD | 09.08.2024</t>
  </si>
  <si>
    <t>ICE732</t>
  </si>
  <si>
    <t>საქართველოს ბანკი (ს.კ. 204378869) - სს</t>
  </si>
  <si>
    <t>BOG Oth</t>
  </si>
  <si>
    <t>ICE000151/45790/1.3.1./HBCLQT</t>
  </si>
  <si>
    <t>95cf5afa-5f39-4ca1-9ce6-6728e96ccf6a</t>
  </si>
  <si>
    <t>BOG Oth | 1.3.1. (+) სხვადასხვა ინვენტარის რეალიზაცია | საქართველოს ბანკი (ს.კ. 204378869) - სს</t>
  </si>
  <si>
    <t>F1BAE597-A18D-4A3B-990E-12772132C8B9</t>
  </si>
  <si>
    <t>BOG Oth | 1.3.1. | საქართველოს ბანკი  | 465.00 USD | 13.05.2025</t>
  </si>
  <si>
    <t>ICE733</t>
  </si>
  <si>
    <t>გთემ ჰოსფითალითი გრუპ (ს.კ. 445604640) - შპს</t>
  </si>
  <si>
    <t>Gtem Hospitality Oth</t>
  </si>
  <si>
    <t>ICE2726/45281/1.2.3./WR6FGL</t>
  </si>
  <si>
    <t>39f85d24-b9fe-4ee2-862a-a1705eb0d659</t>
  </si>
  <si>
    <t>Gtem Hospitality Oth | 1.2.3. (+) შემოსავალი MEP დანადგარების სერვისიდან - არაგეგმიური | გთემ ჰოსფითალითი გრუპ (ს.კ. 445604640) - შპს</t>
  </si>
  <si>
    <t>a7eacbc7-3827-472e-95bc-f6b39b0ff168</t>
  </si>
  <si>
    <t>Gtem Hospitality Oth | 1.2.3. | გთემ ჰოსფითალითი გრუპ  | 2,100.00 GEL | 21.12.2023</t>
  </si>
  <si>
    <t>ICE734</t>
  </si>
  <si>
    <t>ბათუმი ცენტრალი (ს.კ. 445386172) - შპს</t>
  </si>
  <si>
    <t>Batumi Central</t>
  </si>
  <si>
    <t>1 6 30 2553</t>
  </si>
  <si>
    <t>ICE2718/45423/1.1.1./UE8IUB</t>
  </si>
  <si>
    <t>3655c52a-d5cf-463b-9048-b80f859c6f59</t>
  </si>
  <si>
    <t>Batumi Central | 1.1.1. (+) შემოსავალი ლიფტების რეალიზაციიდან | ბათუმი ცენტრალი (ს.კ. 445386172) - შპს</t>
  </si>
  <si>
    <t>26d882f1-0e80-4ca4-8c7e-958513fda0ec</t>
  </si>
  <si>
    <t>Batumi Central | 1.1.1. | ბათუმი ცენტრალი  | 69,644.00 USD | 11.05.2024</t>
  </si>
  <si>
    <t>ICE735</t>
  </si>
  <si>
    <t>Bagrationi VRF</t>
  </si>
  <si>
    <t>ICE001880/45225/1.2.1./0O95VP</t>
  </si>
  <si>
    <t>8c5a66e1-83c1-4c69-8753-00a868f8278b</t>
  </si>
  <si>
    <t>Bagrationi VRF | 1.2.1. (+) შემოსავალი MEP დანადგარების რეალიზაციიდან | ბაგრატიონი რეზიდენსი (ს.კ. 445572568) - შპს</t>
  </si>
  <si>
    <t>Bagrationi VRF | 1.2.1. | ბაგრატიონი რეზიდენსი  | 14,985.00 USD | 26.10.2023</t>
  </si>
  <si>
    <t>ICE736</t>
  </si>
  <si>
    <t>Bagrationi Oth</t>
  </si>
  <si>
    <t>ICE001880/45393/1.2.3./CRWZL4</t>
  </si>
  <si>
    <t>5e9f8dfd-1b74-413f-bfbf-3f573e2a2935</t>
  </si>
  <si>
    <t>Bagrationi Oth | 1.2.3. (+) შემოსავალი MEP დანადგარების სერვისიდან - არაგეგმიური | ბაგრატიონი რეზიდენსი (ს.კ. 445572568) - შპს</t>
  </si>
  <si>
    <t>Bagrationi Oth | 1.2.3. | ბაგრატიონი რეზიდენსი  | 100.00 USD | 11.04.2024</t>
  </si>
  <si>
    <t>ICE737</t>
  </si>
  <si>
    <t>Ibis Airport Oth</t>
  </si>
  <si>
    <t>ICE002155/45548/1.1.3./VWO1F7</t>
  </si>
  <si>
    <t>db0b0f04-8cc8-4554-a3e4-94629f921b7b</t>
  </si>
  <si>
    <t>Ibis Airport Oth | 1.1.3. (+) შემოსავალი ლიფტების სერვისიდან - არაგეგმიური | ფუჯინ სილქ ფროფერთის (ს.კ. 405273421) - შპს</t>
  </si>
  <si>
    <t>Ibis Airport Oth | 1.1.3. | ფუჯინ სილქ ფროფერთის  | 500.00 GEL | 13.09.2024</t>
  </si>
  <si>
    <t>ICE738</t>
  </si>
  <si>
    <t>სი ფი აი ჯორჯია (ს.კ. 204969908) - შპს</t>
  </si>
  <si>
    <t>CPI Geo Oth</t>
  </si>
  <si>
    <t>ICE2725/45320/1.2.1./TYSJ6R</t>
  </si>
  <si>
    <t>63ddf218-4647-4e1b-969f-6b4f83d1e514</t>
  </si>
  <si>
    <t>CPI Geo Oth | 1.2.1. (+) შემოსავალი MEP დანადგარების რეალიზაციიდან | სი ფი აი ჯორჯია (ს.კ. 204969908) - შპს</t>
  </si>
  <si>
    <t>82e5574c-11e5-41be-b979-d091bd52b7f7</t>
  </si>
  <si>
    <t>CPI Geo Oth | 1.2.1. | სი ფი აი ჯორჯია  | 4,310.00 USD | 29.01.2024</t>
  </si>
  <si>
    <t>ICE739</t>
  </si>
  <si>
    <t>PIAZZA MANAGEMENT (ს.კ. 445394369) - შპს</t>
  </si>
  <si>
    <t>Piazza Oth</t>
  </si>
  <si>
    <t>ICE2727/45275/1.2.1./ZDX1FG</t>
  </si>
  <si>
    <t>838b4e65-9a61-4673-a9df-1fd36bf906ac</t>
  </si>
  <si>
    <t>Piazza Oth | 1.2.1. (+) შემოსავალი MEP დანადგარების რეალიზაციიდან | PIAZZA MANAGEMENT (ს.კ. 445394369) - შპს</t>
  </si>
  <si>
    <t>bc6c756a-a57e-4a37-a604-bdccfecace3b</t>
  </si>
  <si>
    <t>Piazza Oth | 1.2.1. | PIAZZA MANAGEMENT  | 1,300.00 USD | 15.12.2023</t>
  </si>
  <si>
    <t>ICE740</t>
  </si>
  <si>
    <t>ქაან ქონსთრაქშენ (ს.კ. 445718411) - შპს</t>
  </si>
  <si>
    <t>Caan Construction Oth</t>
  </si>
  <si>
    <t>ICE2728/45259/1.2.1./DRXOST</t>
  </si>
  <si>
    <t>2fc0f7a8-ad08-469d-8951-4f1e36984883</t>
  </si>
  <si>
    <t>Caan Construction Oth | 1.2.1. (+) შემოსავალი MEP დანადგარების რეალიზაციიდან | ქაან ქონსთრაქშენ (ს.კ. 445718411) - შპს</t>
  </si>
  <si>
    <t>3ef7bb0c-d64a-4a7a-af5a-f4afd334ca47</t>
  </si>
  <si>
    <t>Caan Construction Oth | 1.2.1. | ქაან ქონსთრაქშენ  | 12,080.00 USD | 29.11.2023</t>
  </si>
  <si>
    <t>ICE741</t>
  </si>
  <si>
    <t>V-JEO Restaurant Oth</t>
  </si>
  <si>
    <t>ICE001887/45461/1.2.1./3A9GFE</t>
  </si>
  <si>
    <t>61bdad7e-951a-49e1-ad20-effc58d831c0</t>
  </si>
  <si>
    <t>V-JEO Restaurant Oth | 1.2.1. (+) შემოსავალი MEP დანადგარების რეალიზაციიდან | ვ-ჯეო რესტორნები (ს.კ. 405404076) - შპს</t>
  </si>
  <si>
    <t>V-JEO Restaurant Oth | 1.2.1. | ვ-ჯეო რესტორნები  | 4,550.00 USD | 18.06.2024</t>
  </si>
  <si>
    <t>ICE742</t>
  </si>
  <si>
    <t>V-JEO Restaurant Service</t>
  </si>
  <si>
    <t>ICE001887/45412/1.1.2./JRGQNP</t>
  </si>
  <si>
    <t>3c79a727-6664-46b5-934e-e441dd6e8b15</t>
  </si>
  <si>
    <t>V-JEO Restaurant Service | 1.1.2. (+) შემოსავალი ლიფტების სერვისიდან - გეგმიური | ვ-ჯეო რესტორნები (ს.კ. 405404076) - შპს</t>
  </si>
  <si>
    <t>V-JEO Restaurant Service | 1.1.2. | ვ-ჯეო რესტორნები  | 500.00 GEL | 30.04.2024</t>
  </si>
  <si>
    <t>ICE743</t>
  </si>
  <si>
    <t>Supreme Solutions Var</t>
  </si>
  <si>
    <t>ICE001753/45160/1.2.1./P5GMST</t>
  </si>
  <si>
    <t>8328e43a-5a22-4272-94bf-82dfce48267a</t>
  </si>
  <si>
    <t>Supreme Solutions Var | 1.2.1. (+) შემოსავალი MEP დანადგარების რეალიზაციიდან | სუპრემე სოლუთიონს (ს.კ. 445587320) - შპს</t>
  </si>
  <si>
    <t>Supreme Solutions Var | 1.2.1. | სუპრემე სოლუთიონს  | 3,790.00 USD | 22.08.2023</t>
  </si>
  <si>
    <t>ICE744</t>
  </si>
  <si>
    <t>City Mall Oth</t>
  </si>
  <si>
    <t>ICE000010/45443/1.1.3./U3WI7Q</t>
  </si>
  <si>
    <t>801d2f71-6bad-4428-8e22-38a2b8dac0e4</t>
  </si>
  <si>
    <t>City Mall Oth | 1.1.3. (+) შემოსავალი ლიფტების სერვისიდან - არაგეგმიური | აი ჯი დეველოფმენტ ჯორჯია (ს.კ. 404851503) - შპს</t>
  </si>
  <si>
    <t>City Mall Oth | 1.1.3. | აი ჯი დეველოფმენტ ჯორჯია  | 1,300.00 GEL | 31.05.2024</t>
  </si>
  <si>
    <t>ICE745</t>
  </si>
  <si>
    <t>Police City</t>
  </si>
  <si>
    <t>ICE000033/45624/1.1.1./PW6ER1</t>
  </si>
  <si>
    <t>695ecef4-e21a-4d46-8c6b-39425ab02dea</t>
  </si>
  <si>
    <t>Police City | 1.1.1. (+) შემოსავალი ლიფტების რეალიზაციიდან | ანაგი (ს.კ. 245416401) - შპს</t>
  </si>
  <si>
    <t>Police City | 1.1.1. | ანაგი  | 343,000.00 USD | 28.11.2024</t>
  </si>
  <si>
    <t>ICE746</t>
  </si>
  <si>
    <t>Lisi Fo Green Tower</t>
  </si>
  <si>
    <t>ICE000118/45658/1.1.1./UISG96</t>
  </si>
  <si>
    <t>1f4cd44c-c42a-419a-8ca7-2659815044c3</t>
  </si>
  <si>
    <t>Lisi Fo Green Tower | 1.1.1. (+) შემოსავალი ლიფტების რეალიზაციიდან | მეპერსი (ს.კ. 402121887) - შპს</t>
  </si>
  <si>
    <t>Lisi Fo Green Tower | 1.1.1. | მეპერსი  | 10,000.00 USD | 01.01.2025</t>
  </si>
  <si>
    <t>ICE747</t>
  </si>
  <si>
    <t>Gayrimenkul (Turkey)</t>
  </si>
  <si>
    <t>ICE000118/45658/1.1.1./SWXT9O</t>
  </si>
  <si>
    <t>b0baf9a6-7964-4fe8-a3e6-5e2f13aa212a</t>
  </si>
  <si>
    <t>Gayrimenkul (Turkey) | 1.1.1. (+) შემოსავალი ლიფტების რეალიზაციიდან | მეპერსი (ს.კ. 402121887) - შპს</t>
  </si>
  <si>
    <t>Gayrimenkul (Turkey) | 1.1.1. | მეპერსი  | 10,000.00 USD | 01.01.2025</t>
  </si>
  <si>
    <t>ICE748</t>
  </si>
  <si>
    <t>Rid Yerevan</t>
  </si>
  <si>
    <t>ICE000118/45658/1.1.1./4HNTED</t>
  </si>
  <si>
    <t>82d93de8-f0e9-4b9b-a47b-373b2fbe34df</t>
  </si>
  <si>
    <t>Rid Yerevan | 1.1.1. (+) შემოსავალი ლიფტების რეალიზაციიდან | მეპერსი (ს.კ. 402121887) - შპს</t>
  </si>
  <si>
    <t>Rid Yerevan | 1.1.1. | მეპერსი  | 10,000.00 USD | 01.01.2025</t>
  </si>
  <si>
    <t>ICE749</t>
  </si>
  <si>
    <t>Lisi Fo C4 Block</t>
  </si>
  <si>
    <t>ICE000118/45658/1.1.1./R2ERVJ</t>
  </si>
  <si>
    <t>fb76ebea-5aa9-4dc6-9b29-b2601b1e788c</t>
  </si>
  <si>
    <t>Lisi Fo C4 Block | 1.1.1. (+) შემოსავალი ლიფტების რეალიზაციიდან | მეპერსი (ს.კ. 402121887) - შპს</t>
  </si>
  <si>
    <t>Lisi Fo C4 Block | 1.1.1. | მეპერსი  | 10,000.00 USD | 01.01.2025</t>
  </si>
  <si>
    <t>ICE750</t>
  </si>
  <si>
    <t>Lazika</t>
  </si>
  <si>
    <t>ICE000118/45658/1.1.1./VN6BWP</t>
  </si>
  <si>
    <t>3d3f5a94-fbd9-4195-be75-90ae934a0684</t>
  </si>
  <si>
    <t>Lazika | 1.1.1. (+) შემოსავალი ლიფტების რეალიზაციიდან | მეპერსი (ს.კ. 402121887) - შპს</t>
  </si>
  <si>
    <t>Lazika | 1.1.1. | მეპერსი  | 10,000.00 USD | 01.01.2025</t>
  </si>
  <si>
    <t>ICE751</t>
  </si>
  <si>
    <t>Tsakhnadzur (Arm)</t>
  </si>
  <si>
    <t>ICE000118/45658/1.1.1./HQ0QNV</t>
  </si>
  <si>
    <t>6a74b143-d124-4946-b05b-07d771f1e88f</t>
  </si>
  <si>
    <t>Tsakhnadzur (Arm) | 1.1.1. (+) შემოსავალი ლიფტების რეალიზაციიდან | მეპერსი (ს.კ. 402121887) - შპს</t>
  </si>
  <si>
    <t>Tsakhnadzur (Arm) | 1.1.1. | მეპერსი  | 10,000.00 USD | 01.01.2025</t>
  </si>
  <si>
    <t>ICE752</t>
  </si>
  <si>
    <t>Bk Shartava 43 stage 2</t>
  </si>
  <si>
    <t>ICE000118/45658/1.1.1./PS04YV</t>
  </si>
  <si>
    <t>244e865d-dbf7-40a4-a6c9-e552473f8466</t>
  </si>
  <si>
    <t>Bk Shartava 43 stage 2 | 1.1.1. (+) შემოსავალი ლიფტების რეალიზაციიდან | მეპერსი (ს.კ. 402121887) - შპს</t>
  </si>
  <si>
    <t>Bk Shartava 43 stage 2 | 1.1.1. | მეპერსი  | 10,000.00 USD | 01.01.2025</t>
  </si>
  <si>
    <t>ICE753</t>
  </si>
  <si>
    <t>Hampton Tourinvest</t>
  </si>
  <si>
    <t>ICE000118/45658/1.1.1./4XLQBO</t>
  </si>
  <si>
    <t>c806568f-753b-4011-877c-d783da192c77</t>
  </si>
  <si>
    <t>Hampton Tourinvest | 1.1.1. (+) შემოსავალი ლიფტების რეალიზაციიდან | მეპერსი (ს.კ. 402121887) - შპს</t>
  </si>
  <si>
    <t>Hampton Tourinvest | 1.1.1. | მეპერსი  | 10,000.00 USD | 01.01.2025</t>
  </si>
  <si>
    <t>ICE754</t>
  </si>
  <si>
    <t>Energy + Akhaltsikhe</t>
  </si>
  <si>
    <t>ICE000118/45658/1.1.1./LTP280</t>
  </si>
  <si>
    <t>73523618-800c-4317-b168-167a0d0fb74e</t>
  </si>
  <si>
    <t>Energy + Akhaltsikhe | 1.1.1. (+) შემოსავალი ლიფტების რეალიზაციიდან | მეპერსი (ს.კ. 402121887) - შპს</t>
  </si>
  <si>
    <t>Energy + Akhaltsikhe | 1.1.1. | მეპერსი  | 10,000.00 USD | 01.01.2025</t>
  </si>
  <si>
    <t>ICE755</t>
  </si>
  <si>
    <t>Bk Shartava stage 3</t>
  </si>
  <si>
    <t>ICE000118/45658/1.1.1./Y7O5RX</t>
  </si>
  <si>
    <t>7655eacd-6ce8-4903-b530-42f8f610ebea</t>
  </si>
  <si>
    <t>Bk Shartava stage 3 | 1.1.1. (+) შემოსავალი ლიფტების რეალიზაციიდან | მეპერსი (ს.კ. 402121887) - შპს</t>
  </si>
  <si>
    <t>Bk Shartava stage 3 | 1.1.1. | მეპერსი  | 10,000.00 USD | 01.01.2025</t>
  </si>
  <si>
    <t>ICE756</t>
  </si>
  <si>
    <t>Marshal Development</t>
  </si>
  <si>
    <t>ICE000118/45658/1.1.1./IHWFQV</t>
  </si>
  <si>
    <t>5a84a3c0-0237-492b-ab84-dc0272cde639</t>
  </si>
  <si>
    <t>Marshal Development | 1.1.1. (+) შემოსავალი ლიფტების რეალიზაციიდან | მეპერსი (ს.კ. 402121887) - შპს</t>
  </si>
  <si>
    <t>Marshal Development | 1.1.1. | მეპერსი  | 10,000.00 USD | 01.01.2025</t>
  </si>
  <si>
    <t>ICE757</t>
  </si>
  <si>
    <t>Beta Group</t>
  </si>
  <si>
    <t>ICE000118/45658/1.1.1./AV0TR9</t>
  </si>
  <si>
    <t>31587545-8f9c-4e83-9b84-9143331c1434</t>
  </si>
  <si>
    <t>Beta Group | 1.1.1. (+) შემოსავალი ლიფტების რეალიზაციიდან | მეპერსი (ს.კ. 402121887) - შპს</t>
  </si>
  <si>
    <t>Beta Group | 1.1.1. | მეპერსი  | 10,000.00 USD | 01.01.2025</t>
  </si>
  <si>
    <t>ICE758</t>
  </si>
  <si>
    <t>BK Dzotsi St</t>
  </si>
  <si>
    <t>ICE000118/45658/1.1.1./SMT527</t>
  </si>
  <si>
    <t>bd24921a-385f-44cc-918f-cf52e3cef954</t>
  </si>
  <si>
    <t>BK Dzotsi St | 1.1.1. (+) შემოსავალი ლიფტების რეალიზაციიდან | მეპერსი (ს.კ. 402121887) - შპს</t>
  </si>
  <si>
    <t>BK Dzotsi St | 1.1.1. | მეპერსი  | 10,000.00 USD | 01.01.2025</t>
  </si>
  <si>
    <t>ICE759</t>
  </si>
  <si>
    <t>Bili Menegement</t>
  </si>
  <si>
    <t>ICE000118/45658/1.1.1./PHJNG1</t>
  </si>
  <si>
    <t>fb19f05a-c2bc-432c-8aee-cae452bf0bfd</t>
  </si>
  <si>
    <t>Bili Menegement | 1.1.1. (+) შემოსავალი ლიფტების რეალიზაციიდან | მეპერსი (ს.კ. 402121887) - შპს</t>
  </si>
  <si>
    <t>Bili Menegement | 1.1.1. | მეპერსი  | 10,000.00 USD | 01.01.2025</t>
  </si>
  <si>
    <t>ICE760</t>
  </si>
  <si>
    <t>Krtsanisi Millenio</t>
  </si>
  <si>
    <t>ICE000118/45658/1.1.1./STBUPW</t>
  </si>
  <si>
    <t>a868e0c4-ca3e-4349-adad-a4fdb8f562a9</t>
  </si>
  <si>
    <t>Krtsanisi Millenio | 1.1.1. (+) შემოსავალი ლიფტების რეალიზაციიდან | მეპერსი (ს.კ. 402121887) - შპს</t>
  </si>
  <si>
    <t>Krtsanisi Millenio | 1.1.1. | მეპერსი  | 10,000.00 USD | 01.01.2025</t>
  </si>
  <si>
    <t>ICE761</t>
  </si>
  <si>
    <t>ჯი ემ ფარმასიუთიქალს (ს.კ. 211385268) - შპს</t>
  </si>
  <si>
    <t>GM Pharma Compresor</t>
  </si>
  <si>
    <t>ICE2722/45485/1.2.1./GSVB9X</t>
  </si>
  <si>
    <t>dc11d4a7-8e3c-4a57-8c03-b9ca0d608766</t>
  </si>
  <si>
    <t>GM Pharma Compresor | 1.2.1. (+) შემოსავალი MEP დანადგარების რეალიზაციიდან | ჯი ემ ფარმასიუთიქალს (ს.კ. 211385268) - შპს</t>
  </si>
  <si>
    <t>4750ca0e-322e-465f-97e4-e09307b050e1</t>
  </si>
  <si>
    <t>GM Pharma Compresor | 1.2.1. | ჯი ემ ფარმასიუთიქალს  | 12,000.00 USD | 12.07.2024</t>
  </si>
  <si>
    <t>ICE762</t>
  </si>
  <si>
    <t>Service 2025</t>
  </si>
  <si>
    <t>თამაზ თალაკვაძე (ს.კ. 01991027885) - ფიზ. პირი</t>
  </si>
  <si>
    <t>ICE2726/45691/1.2.3./SRJRQ4</t>
  </si>
  <si>
    <t>74dc0120-1830-4231-8474-81150ce99a12</t>
  </si>
  <si>
    <t>Service 2025 | 1.2.3. (+) შემოსავალი MEP დანადგარების სერვისიდან - არაგეგმიური | გთემ ჰოსფითალითი გრუპ (ს.კ. 445604640) - შპს</t>
  </si>
  <si>
    <t>A778537A-20BD-4AF4-B7E0-06811F6672A1</t>
  </si>
  <si>
    <t>Service 2025 | 1.2.3. | გთემ ჰოსფითალითი გრუპ  | 6,000.00 GEL | 03.02.2025</t>
  </si>
  <si>
    <t>ICE763</t>
  </si>
  <si>
    <t>Zara City Mall Elevator Details</t>
  </si>
  <si>
    <t>ICE000027/45336/1.1.3./VJ5D2Z</t>
  </si>
  <si>
    <t>57750850-228d-4061-97f3-70fd758f51c7</t>
  </si>
  <si>
    <t>Zara City Mall Elevator Details | 1.1.3. (+) შემოსავალი ლიფტების სერვისიდან - არაგეგმიური | Spanish Retail Georgia (ს.კ. 404404774) - შპს</t>
  </si>
  <si>
    <t>Zara City Mall Elevator Details | 1.1.3. | Spanish Retail Georgia  | 2,100.00 GEL | 14.02.2024</t>
  </si>
  <si>
    <t>ICE764</t>
  </si>
  <si>
    <t>Tbilisi Gardens Oth</t>
  </si>
  <si>
    <t>ICE000054/45583/1.1.3./NZTP58</t>
  </si>
  <si>
    <t>a17d631b-d5a2-41ea-ad41-46dfd5b1d2da</t>
  </si>
  <si>
    <t>Tbilisi Gardens Oth | 1.1.3. (+) შემოსავალი ლიფტების სერვისიდან - არაგეგმიური | BD Property (ს.კ. 404390967) - შპს</t>
  </si>
  <si>
    <t>Tbilisi Gardens Oth | 1.1.3. | BD Property  | 1,400.00 GEL | 18.10.2024</t>
  </si>
  <si>
    <t>ICE765</t>
  </si>
  <si>
    <t>ჯეო ჰოსპიტალს (ს.კ. 404907730) - შპს</t>
  </si>
  <si>
    <t>Card System</t>
  </si>
  <si>
    <t>ICE002770/45698/1.1.3./QUTKV2</t>
  </si>
  <si>
    <t>4e611ac4-a2f9-493d-a69a-2caebb0ee090</t>
  </si>
  <si>
    <t>Card System | 1.1.3. (+) შემოსავალი ლიფტების სერვისიდან - არაგეგმიური | ჯეო ჰოსპიტალს (ს.კ. 404907730) - შპს</t>
  </si>
  <si>
    <t>cfd65038-e0c4-4ff2-a12a-b0cc52aec611</t>
  </si>
  <si>
    <t>Card System | 1.1.3. | ჯეო ჰოსპიტალს  | 3,500.00 GEL | 10.02.2025</t>
  </si>
  <si>
    <t>ICE766</t>
  </si>
  <si>
    <t>Archi Isani C1 Repair</t>
  </si>
  <si>
    <t>ICE002461/45672/1.1.3./WVSRLW</t>
  </si>
  <si>
    <t>c7dcea7b-68aa-4429-b33f-d3a7c73a50a7</t>
  </si>
  <si>
    <t>Archi Isani C1 Repair | 1.1.3. (+) შემოსავალი ლიფტების სერვისიდან - არაგეგმიური | ისანი ც სერვისი 1 (ს.კ. 405476300) - შპს</t>
  </si>
  <si>
    <t>Archi Isani C1 Repair | 1.1.3. | ისანი ც სერვისი 1  | 400.00 GEL | 15.01.2025</t>
  </si>
  <si>
    <t>ICE767</t>
  </si>
  <si>
    <t>Kaklebi Oth</t>
  </si>
  <si>
    <t>ICE001258/45344/1.1.3./216U3W</t>
  </si>
  <si>
    <t>fb3a8551-b20d-4a9e-9678-57d0737358ac</t>
  </si>
  <si>
    <t>Kaklebi Oth | 1.1.3. (+) შემოსავალი ლიფტების სერვისიდან - არაგეგმიური | ევროპროდუქტი (ს.კ. 202227134) - შპს</t>
  </si>
  <si>
    <t>Kaklebi Oth | 1.1.3. | ევროპროდუქტი  | 500.00 USD | 22.02.2024</t>
  </si>
  <si>
    <t>ICE768</t>
  </si>
  <si>
    <t>IBIS Perov Oth</t>
  </si>
  <si>
    <t>ICE002330/45290/1.1.3./5XO9MK</t>
  </si>
  <si>
    <t>8fc96a51-c0e1-4cd2-a65c-9097a4d3a10d</t>
  </si>
  <si>
    <t>IBIS Perov Oth | 1.1.3. (+) შემოსავალი ლიფტების სერვისიდან - არაგეგმიური | ბეტა ჰოთელს (ს.კ. 404585686) - შპს</t>
  </si>
  <si>
    <t>IBIS Perov Oth | 1.1.3. | ბეტა ჰოთელს  | 3,888.00 USD | 30.12.2023</t>
  </si>
  <si>
    <t>ICE769</t>
  </si>
  <si>
    <t>Modus Oth</t>
  </si>
  <si>
    <t>ICE000024/45170/1.1.3./P0KSXY</t>
  </si>
  <si>
    <t>7bc35f3e-94db-44b7-88fd-d23a90501f4d</t>
  </si>
  <si>
    <t>Modus Oth | 1.1.3. (+) შემოსავალი ლიფტების სერვისიდან - არაგეგმიური | მოდუსი (ს.კ. 245565669) - შპს</t>
  </si>
  <si>
    <t>Modus Oth | 1.1.3. | მოდუსი  | 260.00 USD | 01.09.2023</t>
  </si>
  <si>
    <t>ICE770</t>
  </si>
  <si>
    <t>Deka Digomi Oth</t>
  </si>
  <si>
    <t>ICE002282/45404/1.1.3./X1TODV</t>
  </si>
  <si>
    <t>37ad22da-f121-422b-a453-f6e17397401c</t>
  </si>
  <si>
    <t>Deka Digomi Oth | 1.1.3. (+) შემოსავალი ლიფტების სერვისიდან - არაგეგმიური | დეკა დიდი დიღომი (ს.კ. 405569665) - შპს</t>
  </si>
  <si>
    <t>Deka Digomi Oth | 1.1.3. | დეკა დიდი დიღომი  | 1,300.00 GEL | 22.04.2024</t>
  </si>
  <si>
    <t>ICE771</t>
  </si>
  <si>
    <t>Sunrise Shartava Oth</t>
  </si>
  <si>
    <t>ICE001140/45619/1.1.3./9T15PV</t>
  </si>
  <si>
    <t>174e78c9-d1af-4a01-9090-699e21e482fa</t>
  </si>
  <si>
    <t>Sunrise Shartava Oth | 1.1.3. (+) შემოსავალი ლიფტების სერვისიდან - არაგეგმიური | სანრაიზ დეველოპმენტი (ს.კ. 405285221) - შპს</t>
  </si>
  <si>
    <t>Sunrise Shartava Oth | 1.1.3. | სანრაიზ დეველოპმენტი  | 1,237.00 USD | 23.11.2024</t>
  </si>
  <si>
    <t>ICE772</t>
  </si>
  <si>
    <t>Shatberashvili 45 Oth</t>
  </si>
  <si>
    <t>ICE002453/45623/1.1.3./J3X5AI</t>
  </si>
  <si>
    <t>e0320f62-e537-44f1-a7ba-4e5e09fd3397</t>
  </si>
  <si>
    <t>Shatberashvili 45 Oth | 1.1.3. (+) შემოსავალი ლიფტების სერვისიდან - არაგეგმიური | შატბერაშვილის 45 (ს.კ. 405629583) - შპს</t>
  </si>
  <si>
    <t>Shatberashvili 45 Oth | 1.1.3. | შატბერაშვილის 45  | 750.00 GEL | 27.11.2024</t>
  </si>
  <si>
    <t>ICE773</t>
  </si>
  <si>
    <t>ხიმშიაშვილი ზურა (ს.კ. 61001076743) - ფიზ. პირი</t>
  </si>
  <si>
    <t>Khimshiashvili Apartment</t>
  </si>
  <si>
    <t>1 6 30 2647</t>
  </si>
  <si>
    <t>ICE002730/45632/1.1.1./WMJICX</t>
  </si>
  <si>
    <t>77870b21-c14a-45d4-aa7d-232c06258f78</t>
  </si>
  <si>
    <t>Khimshiashvili Apartment | 1.1.1. (+) შემოსავალი ლიფტების რეალიზაციიდან | ხიმშიაშვილი ზურა (ს.კ. 61001076743) - ფიზ. პირი</t>
  </si>
  <si>
    <t>6de10689-be38-4cff-a79c-971cf4f69057</t>
  </si>
  <si>
    <t>Khimshiashvili Apartment | 1.1.1. | ხიმშიაშვილი ზურა  | 36,500.00 USD | 06.12.2024</t>
  </si>
  <si>
    <t>ICE774</t>
  </si>
  <si>
    <t>არტე ქერჩი (ს.კ. 400359492) - შპს</t>
  </si>
  <si>
    <t>Arte Kerchi</t>
  </si>
  <si>
    <t>1 6 30 2026</t>
  </si>
  <si>
    <t>ICE2721/45468/1.1.1./OHJSVM</t>
  </si>
  <si>
    <t>ac083c0a-9561-4cd2-88ca-726ff7544bbc</t>
  </si>
  <si>
    <t>Arte Kerchi | 1.1.1. (+) შემოსავალი ლიფტების რეალიზაციიდან | არტე ქერჩი (ს.კ. 400359492) - შპს</t>
  </si>
  <si>
    <t>1cf44d92-bf68-4114-9c6b-a7bf66dcc009</t>
  </si>
  <si>
    <t>Arte Kerchi | 1.1.1. | არტე ქერჩი  | 66,200.00 USD | 25.06.2024</t>
  </si>
  <si>
    <t>ICE775</t>
  </si>
  <si>
    <t>ირ.აბაშიძე 555 (ს.კ. 402204299) - შპს</t>
  </si>
  <si>
    <t>Bloom Bagebi</t>
  </si>
  <si>
    <t>ICE002773/45699/1.1.1./DWIP0T</t>
  </si>
  <si>
    <t>2e3e7724-eba0-45cd-a78f-283385eb780c</t>
  </si>
  <si>
    <t>Bloom Bagebi | 1.1.1. (+) შემოსავალი ლიფტების რეალიზაციიდან | ირ.აბაშიძე 555 (ს.კ. 402204299) - შპს</t>
  </si>
  <si>
    <t>d30886ec-44b7-4138-8342-8bab9c65a6ea</t>
  </si>
  <si>
    <t>Bloom Bagebi | 1.1.1. | ირ.აბაშიძე 555  | 90,500.00 USD | 11.02.2025</t>
  </si>
  <si>
    <t>ICE776</t>
  </si>
  <si>
    <t>ირიგიო (ს.კ. 405167466) - შპს</t>
  </si>
  <si>
    <t>Irigio</t>
  </si>
  <si>
    <t>1 6 30 2623</t>
  </si>
  <si>
    <t>ICE002820/45625/1.1.1./KLS4HQ</t>
  </si>
  <si>
    <t>d1d7ae1c-04a3-4029-b082-195acb8392cf</t>
  </si>
  <si>
    <t>Irigio | 1.1.1. (+) შემოსავალი ლიფტების რეალიზაციიდან | ირიგიო (ს.კ. 405167466) - შპს</t>
  </si>
  <si>
    <t>50041f2f-9449-43a8-89b2-db6ca5cd7ebb</t>
  </si>
  <si>
    <t>Irigio | 1.1.1. | ირიგიო  | 48,530.00 USD | 29.11.2024</t>
  </si>
  <si>
    <t>ICE777</t>
  </si>
  <si>
    <t>Technolux LLC (ს.კ. 0) - უცხოური საწარმო</t>
  </si>
  <si>
    <t>ICE2822/45075/1.2.1./NOJZFP</t>
  </si>
  <si>
    <t>8ee463a9-91d9-4e21-882d-b96d46bc95bb</t>
  </si>
  <si>
    <t>Air Conditioner | 1.2.1. (+) შემოსავალი MEP დანადგარების რეალიზაციიდან | Technolux LLC (ს.კ. 0) - უცხოური საწარმო</t>
  </si>
  <si>
    <t>073db7e0-0259-4883-af62-99330f143fdf</t>
  </si>
  <si>
    <t>Air Conditioner | 1.2.1. | Technolux LLC  | 109,684.00 USD | 29.05.2023</t>
  </si>
  <si>
    <t>ICE778</t>
  </si>
  <si>
    <t>Galleria Service</t>
  </si>
  <si>
    <t>1 6 31 1167</t>
  </si>
  <si>
    <t>ICE000112/45626/1.1.2./BU1P8X</t>
  </si>
  <si>
    <t>837fc472-bab7-4e82-b690-e9d5137b3d92</t>
  </si>
  <si>
    <t>Galleria Service | 1.1.2. (+) შემოსავალი ლიფტების სერვისიდან - გეგმიური | გალერია თბილისი (ს.კ. 204558497) - შპს</t>
  </si>
  <si>
    <t>Galleria Service | 1.1.2. | გალერია თბილისი  | 300.00 USD | 30.11.2024</t>
  </si>
  <si>
    <t>ICE779</t>
  </si>
  <si>
    <t>Dar Tower Oth</t>
  </si>
  <si>
    <t>ICE000012/45365/1.1.3./RKLZIX</t>
  </si>
  <si>
    <t>823a0ad3-5d4c-4917-9ece-a1316ec88f7f</t>
  </si>
  <si>
    <t>Dar Tower Oth | 1.1.3. (+) შემოსავალი ლიფტების სერვისიდან - არაგეგმიური | Dar Building (ს.კ. 445420875) - შპს</t>
  </si>
  <si>
    <t>Dar Tower Oth | 1.1.3. | Dar Building  | 400.00 GEL | 14.03.2024</t>
  </si>
  <si>
    <t>ICE780</t>
  </si>
  <si>
    <t>დავინჩი (ს.კ. 405034680) - შპს</t>
  </si>
  <si>
    <t>DAVINCHI</t>
  </si>
  <si>
    <t>1 6 30 2626</t>
  </si>
  <si>
    <t>ICE002833/45545/1.1.1./XOWM8D</t>
  </si>
  <si>
    <t>c762633f-b0e3-47f6-a2e8-5806a4e23810</t>
  </si>
  <si>
    <t>DAVINCHI | 1.1.1. (+) შემოსავალი ლიფტების რეალიზაციიდან | დავინჩი (ს.კ. 405034680) - შპს</t>
  </si>
  <si>
    <t>51f71b9f-7728-4533-88fa-1bdc301b9d7e</t>
  </si>
  <si>
    <t>DAVINCHI | 1.1.1. | დავინჩი  | 87,050.00 USD | 10.09.2024</t>
  </si>
  <si>
    <t>ICE781</t>
  </si>
  <si>
    <t>Telegraph AHU</t>
  </si>
  <si>
    <t>ICE1904/45383/1.2.1./B9LPFY</t>
  </si>
  <si>
    <t>64b3e7cb-aedc-4b4e-a83d-7722f86b213e</t>
  </si>
  <si>
    <t>Telegraph AHU | 1.2.1. (+) შემოსავალი MEP დანადგარების რეალიზაციიდან | დნთ ქონსთრაქშენ (ს.კ. 405418196) - შპს</t>
  </si>
  <si>
    <t>Telegraph AHU | 1.2.1. | დნთ ქონსთრაქშენ  | 178,165.00 EUR | 01.04.2024</t>
  </si>
  <si>
    <t>ICE782</t>
  </si>
  <si>
    <t>ჯელიფტი + (ს.კ. 405107842) - შპს</t>
  </si>
  <si>
    <t>Gelift</t>
  </si>
  <si>
    <t>ICE002834/45558/1.1.1./Y9F18Q</t>
  </si>
  <si>
    <t>3a82c4d9-e386-4411-b9dc-1c8586122d01</t>
  </si>
  <si>
    <t>Gelift | 1.1.1. (+) შემოსავალი ლიფტების რეალიზაციიდან | ჯელიფტი + (ს.კ. 405107842) - შპს</t>
  </si>
  <si>
    <t>004db192-53fc-4e03-959b-dab06f802d36</t>
  </si>
  <si>
    <t>Gelift | 1.1.1. | ჯელიფტი +  | 34,650.00 USD | 23.09.2024</t>
  </si>
  <si>
    <t>ICE783</t>
  </si>
  <si>
    <t>თამარ ჩუბინიძე (ს.კ. 01008015352) - ფიზ. პირი</t>
  </si>
  <si>
    <t>Office Conditioners</t>
  </si>
  <si>
    <t>ICE002454/45413/1.2.1./TGV7U2</t>
  </si>
  <si>
    <t>c5f126a1-627e-4059-8db9-8ef3184c3cdc</t>
  </si>
  <si>
    <t>Office Conditioners | 1.2.1. (+) შემოსავალი MEP დანადგარების რეალიზაციიდან | თამარ ჩუბინიძე (ს.კ. 01008015352) - ფიზ. პირი</t>
  </si>
  <si>
    <t>0fa2485d-414a-4f52-ad93-ccd6b7b04c5c</t>
  </si>
  <si>
    <t>Office Conditioners | 1.2.1. | თამარ ჩუბინიძე  | 2,300.00 USD | 01.05.2024</t>
  </si>
  <si>
    <t>ICE784</t>
  </si>
  <si>
    <t>დარ ინვესტი (ს.კ. 405351140) - შპს</t>
  </si>
  <si>
    <t>Ramada Plaza</t>
  </si>
  <si>
    <t>ICE002841/45566/1.1.2./P3QE4B</t>
  </si>
  <si>
    <t>4ac17086-b1e2-4610-b00a-6eba68ecf3dc</t>
  </si>
  <si>
    <t>Ramada Plaza | 1.1.2. (+) შემოსავალი ლიფტების სერვისიდან - გეგმიური | დარ ინვესტი (ს.კ. 405351140) - შპს</t>
  </si>
  <si>
    <t>dc93f8a1-3866-44e0-a7ca-68b942c65129</t>
  </si>
  <si>
    <t>Ramada Plaza | 1.1.2. | დარ ინვესტი  | 708.00 USD | 01.10.2024</t>
  </si>
  <si>
    <t>ICE785</t>
  </si>
  <si>
    <t>ზურაბი ლომიძე (ს.კ. 38001046593) - ფიზ. პირი</t>
  </si>
  <si>
    <t>ICE2227/45581/1.2.1./9IQASW</t>
  </si>
  <si>
    <t>01d0c2ca-cf5c-4bfa-a2f5-7db118722143</t>
  </si>
  <si>
    <t>Air Conditioner | 1.2.1. (+) შემოსავალი MEP დანადგარების რეალიზაციიდან | ზურაბი ლომიძე (ს.კ. 38001046593) - ფიზ. პირი</t>
  </si>
  <si>
    <t>f290ce07-8670-453a-96ca-ac959c9ff950</t>
  </si>
  <si>
    <t>Air Conditioner | 1.2.1. | ზურაბი ლომიძე  | 600.00 USD | 16.10.2024</t>
  </si>
  <si>
    <t>ICE786</t>
  </si>
  <si>
    <t>დჯ მშენებლობა (ს.კ. 426549648) - შპს</t>
  </si>
  <si>
    <t>DG Construction</t>
  </si>
  <si>
    <t>ICE002843/45698/1.1.1./2DVQZG</t>
  </si>
  <si>
    <t>dce0c25d-2328-47eb-b618-e79816e83ab5</t>
  </si>
  <si>
    <t>DG Construction | 1.1.1. (+) შემოსავალი ლიფტების რეალიზაციიდან | დჯ მშენებლობა (ს.კ. 426549648) - შპს</t>
  </si>
  <si>
    <t>6fe7ae41-cb6f-4056-b817-edb4173650fa</t>
  </si>
  <si>
    <t>DG Construction | 1.1.1. | დჯ მშენებლობა  | 20,000.00 USD | 10.02.2025</t>
  </si>
  <si>
    <t>ICE787</t>
  </si>
  <si>
    <t>ელირან ტრაბელსი (ს.კ. 0) - ფიზ. პირი</t>
  </si>
  <si>
    <t>ICE002844/45635/1.2.1./7XP48Z</t>
  </si>
  <si>
    <t>c1b197a0-15a4-4e4f-8422-ef40466e43c2</t>
  </si>
  <si>
    <t>Air Conditioner | 1.2.1. (+) შემოსავალი MEP დანადგარების რეალიზაციიდან | ელირან ტრაბელსი (ს.კ. 0) - ფიზ. პირი</t>
  </si>
  <si>
    <t>abd711b2-e0d1-4567-812b-dc87217e16bb</t>
  </si>
  <si>
    <t>Air Conditioner | 1.2.1. | ელირან ტრაბელსი  | 950.00 GEL | 09.12.2024</t>
  </si>
  <si>
    <t>ICE788</t>
  </si>
  <si>
    <t>ლეონოვა ანნა (ს.კ. 756863414) - ფიზ. პირი</t>
  </si>
  <si>
    <t>ICE2845/45491/1.2.1./ZNPRL4</t>
  </si>
  <si>
    <t>26782850-65da-4cc4-ae35-87f207e0be38</t>
  </si>
  <si>
    <t>Air Conditioner | 1.2.1. (+) შემოსავალი MEP დანადგარების რეალიზაციიდან | ლეონოვა ანნა (ს.კ. 756863414) - ფიზ. პირი</t>
  </si>
  <si>
    <t>36cbea8f-b205-463a-9100-5417ddc00f52</t>
  </si>
  <si>
    <t>Air Conditioner | 1.2.1. | ლეონოვა ანნა  | 950.00 GEL | 18.07.2024</t>
  </si>
  <si>
    <t>ICE789</t>
  </si>
  <si>
    <t>გიორგი სულაბერიძე (ს.კ. 01031005706) - ფიზ. პირი</t>
  </si>
  <si>
    <t>ICE2846/45457/1.2.1./16EKT7</t>
  </si>
  <si>
    <t>d9145bd4-38e3-44e6-bff0-c0163b0a77b4</t>
  </si>
  <si>
    <t>Air Conditioner | 1.2.1. (+) შემოსავალი MEP დანადგარების რეალიზაციიდან | გიორგი სულაბერიძე (ს.კ. 01031005706) - ფიზ. პირი</t>
  </si>
  <si>
    <t>5db642bc-8439-432e-b313-f48817e99ec6</t>
  </si>
  <si>
    <t>Air Conditioner | 1.2.1. | გიორგი სულაბერიძე  | 5,000.00 GEL | 14.06.2024</t>
  </si>
  <si>
    <t>ICE790</t>
  </si>
  <si>
    <t>ირაკლი მიქელაძე (ს.კ. 01008048570) - ფიზ. პირი</t>
  </si>
  <si>
    <t>ICE2847/45457/1.2.1./EUTP4U</t>
  </si>
  <si>
    <t>66aa2bdf-5ac1-43bb-973e-d219058d2fcf</t>
  </si>
  <si>
    <t>Air Conditioner | 1.2.1. (+) შემოსავალი MEP დანადგარების რეალიზაციიდან | ირაკლი მიქელაძე (ს.კ. 01008048570) - ფიზ. პირი</t>
  </si>
  <si>
    <t>ae3af743-8d75-4265-9a01-ccdc82416297</t>
  </si>
  <si>
    <t>Air Conditioner | 1.2.1. | ირაკლი მიქელაძე  | 6,450.00 GEL | 14.06.2024</t>
  </si>
  <si>
    <t>ICE791</t>
  </si>
  <si>
    <t>მიხაილ უდოვკინ (ს.კ. 761253063) - ფიზ. პირი</t>
  </si>
  <si>
    <t>ICE2848/45324/1.2.1./7WD5WT</t>
  </si>
  <si>
    <t>b56eb55f-d8ca-497f-a212-344799d996bc</t>
  </si>
  <si>
    <t>Air Conditioner | 1.2.1. (+) შემოსავალი MEP დანადგარების რეალიზაციიდან | მიხაილ უდოვკინ (ს.კ. 761253063) - ფიზ. პირი</t>
  </si>
  <si>
    <t>2d5d7056-25da-4145-9708-ca2295b95418</t>
  </si>
  <si>
    <t>Air Conditioner | 1.2.1. | მიხაილ უდოვკინ  | 2,855.00 USD | 02.02.2024</t>
  </si>
  <si>
    <t>ICE792</t>
  </si>
  <si>
    <t>ოლგა ბეზბაბნიჯა (ს.კ. LV5293430) - ფიზ. პირი</t>
  </si>
  <si>
    <t>ICE2849/45679/1.2.1./HX8OB0</t>
  </si>
  <si>
    <t>d6ed50c7-8195-4769-9f15-84c78c314f63</t>
  </si>
  <si>
    <t>Air Conditioner | 1.2.1. (+) შემოსავალი MEP დანადგარების რეალიზაციიდან | ოლგა ბეზბაბნიჯა (ს.კ. LV5293430) - ფიზ. პირი</t>
  </si>
  <si>
    <t>6da0bfc0-6674-49b5-9286-ed45aea61e75</t>
  </si>
  <si>
    <t>Air Conditioner | 1.2.1. | ოლგა ბეზბაბნიჯა  | 950.00 GEL | 22.01.2025</t>
  </si>
  <si>
    <t>ICE793</t>
  </si>
  <si>
    <t>ზაზა კვიციანი (ს.კ. 01006002615) - ფიზ. პირი</t>
  </si>
  <si>
    <t>ICE2850/45616/1.2.1./XIGWK0</t>
  </si>
  <si>
    <t>82cd5401-3c9e-4b0c-b1ce-e28b66d0d465</t>
  </si>
  <si>
    <t>Air Conditioner | 1.2.1. (+) შემოსავალი MEP დანადგარების რეალიზაციიდან | ზაზა კვიციანი (ს.კ. 01006002615) - ფიზ. პირი</t>
  </si>
  <si>
    <t>59aa6b0b-de50-47f7-aa13-c76e10c376aa</t>
  </si>
  <si>
    <t>Air Conditioner | 1.2.1. | ზაზა კვიციანი  | 2,850.00 GEL | 20.11.2024</t>
  </si>
  <si>
    <t>ICE794</t>
  </si>
  <si>
    <t>ეკატერინე გოგია (ს.კ. 62001008516) - ფიზ. პირი</t>
  </si>
  <si>
    <t>ICE2851/45568/1.2.1./FBO3RA</t>
  </si>
  <si>
    <t>4896ffcf-11a4-4a58-a48d-2aed650ee58d</t>
  </si>
  <si>
    <t>Air Conditioner | 1.2.1. (+) შემოსავალი MEP დანადგარების რეალიზაციიდან | ეკატერინე გოგია (ს.კ. 62001008516) - ფიზ. პირი</t>
  </si>
  <si>
    <t>1b9cd40a-c9e0-4008-8de7-a422d2d843fe</t>
  </si>
  <si>
    <t>Air Conditioner | 1.2.1. | ეკატერინე გოგია  | 950.00 GEL | 03.10.2024</t>
  </si>
  <si>
    <t>ICE795</t>
  </si>
  <si>
    <t>დავით გოზალიშვილი (ს.კ. 01024017502) - ფიზ. პირი</t>
  </si>
  <si>
    <t>ICE002852/45422/1.2.1./ISA8PN</t>
  </si>
  <si>
    <t>40c14abc-bd4d-4bf5-8c03-025945ed5589</t>
  </si>
  <si>
    <t>Air Conditioner | 1.2.1. (+) შემოსავალი MEP დანადგარების რეალიზაციიდან | დავით გოზალიშვილი (ს.კ. 01024017502) - ფიზ. პირი</t>
  </si>
  <si>
    <t>7c1ba2fa-9809-48ba-84d6-b4e9850bfaee</t>
  </si>
  <si>
    <t>Air Conditioner | 1.2.1. | დავით გოზალიშვილი  | 1,800.00 GEL | 10.05.2024</t>
  </si>
  <si>
    <t>ICE796</t>
  </si>
  <si>
    <t>იდეა ქონსთრაქშენი (ს.კ. 405545030) - შპს</t>
  </si>
  <si>
    <t>Panorama</t>
  </si>
  <si>
    <t>ICE002853/45714/1.1.1./MSP9OU</t>
  </si>
  <si>
    <t>7123cc09-b640-437a-8798-45251e0da490</t>
  </si>
  <si>
    <t>Panorama | 1.1.1. (+) შემოსავალი ლიფტების რეალიზაციიდან | იდეა ქონსთრაქშენი (ს.კ. 405545030) - შპს</t>
  </si>
  <si>
    <t>87d80b0a-63a6-42e1-85e9-48e0c4989032</t>
  </si>
  <si>
    <t>Panorama | 1.1.1. | იდეა ქონსთრაქშენი  | 233,110.00 USD | 26.02.2025</t>
  </si>
  <si>
    <t>ICE797</t>
  </si>
  <si>
    <t>ოლეგ კაპლიევ (ს.კ. 345720703) - ინდ. მეწარმე</t>
  </si>
  <si>
    <t>ICE002861/45707/1.2.1./VZFE8A</t>
  </si>
  <si>
    <t>7f82d3e4-bdba-4abe-b584-fbb136b6231f</t>
  </si>
  <si>
    <t>Air Conditioner | 1.2.1. (+) შემოსავალი MEP დანადგარების რეალიზაციიდან | ოლეგ კაპლიევ (ს.კ. 345720703) - ინდ. მეწარმე</t>
  </si>
  <si>
    <t>95d0f9a5-9cfd-4cba-91eb-74381805ea19</t>
  </si>
  <si>
    <t>Air Conditioner | 1.2.1. | ოლეგ კაპლიევ  | 4,545.00 USD | 19.02.2025</t>
  </si>
  <si>
    <t>ICE798</t>
  </si>
  <si>
    <t>ანა კომახიძე (ს.კ. 61001084981) - ფიზ. პირი</t>
  </si>
  <si>
    <t>ICE2863/45699/1.2.1./7M1YSW</t>
  </si>
  <si>
    <t>1e97a333-c3be-47e6-a2c4-fb3909837ddc</t>
  </si>
  <si>
    <t>Air Conditioner | 1.2.1. (+) შემოსავალი MEP დანადგარების რეალიზაციიდან | ანა კომახიძე (ს.კ. 61001084981) - ფიზ. პირი</t>
  </si>
  <si>
    <t>a37cedac-025a-4fb9-8fa8-11cf62744e91</t>
  </si>
  <si>
    <t>Air Conditioner | 1.2.1. | ანა კომახიძე  | 850.00 GEL | 11.02.2025</t>
  </si>
  <si>
    <t>ICE799</t>
  </si>
  <si>
    <t>არქი მეინთენენს (ს.კ. 405752957) - შპს</t>
  </si>
  <si>
    <t>Digomi 2B Service</t>
  </si>
  <si>
    <t>ICE2862/45689/1.1.2./EBT0PY</t>
  </si>
  <si>
    <t>38fa4d48-0354-4e37-96f4-bbff2528d194</t>
  </si>
  <si>
    <t>Digomi 2B Service | 1.1.2. (+) შემოსავალი ლიფტების სერვისიდან - გეგმიური | არქი მეინთენენს (ს.კ. 405752957) - შპს</t>
  </si>
  <si>
    <t>e4776dbb-f3fc-4669-bb43-a1b7c87b7c59</t>
  </si>
  <si>
    <t>Digomi 2B Service | 1.1.2. | არქი მეინთენენს  | 350.00 GEL | 01.02.2025</t>
  </si>
  <si>
    <t>ICE800</t>
  </si>
  <si>
    <t>Park Home Galleria</t>
  </si>
  <si>
    <t>ICE002130/45717/1.1.3./VTP07W</t>
  </si>
  <si>
    <t>78711cce-5f5c-43df-bbd5-690b6421863d</t>
  </si>
  <si>
    <t>Park Home Galleria | 1.1.3. (+) შემოსავალი ლიფტების სერვისიდან - არაგეგმიური | ანაგი დეველოპმენტი 1 (ს.კ. 404567713) - შპს</t>
  </si>
  <si>
    <t>Park Home Galleria | 1.1.3. | ანაგი დეველოპმენტი 1  | 500.00 USD | 01.03.2025</t>
  </si>
  <si>
    <t>ICE801</t>
  </si>
  <si>
    <t>Kvareli Ballrom</t>
  </si>
  <si>
    <t>ICE000043/45689/1.2.1./P8UQG9</t>
  </si>
  <si>
    <t>64c5e4d7-bba6-4a45-ba66-fa1e66b0e138</t>
  </si>
  <si>
    <t>Kvareli Ballrom | 1.2.1. (+) შემოსავალი MEP დანადგარების რეალიზაციიდან | ინდეკო (ს.კ. 202376133) - შპს</t>
  </si>
  <si>
    <t>Kvareli Ballrom | 1.2.1. | ინდეკო  | 15,000.00 USD | 01.02.2025</t>
  </si>
  <si>
    <t>ICE802</t>
  </si>
  <si>
    <t>ფალლაჰა მონა (ს.კ. LR1331828) - ფიზ. პირი</t>
  </si>
  <si>
    <t>ICE2869/45716/1.2.1./0V15HJ</t>
  </si>
  <si>
    <t>bef3d37a-b2b0-4cd3-962a-656b79692471</t>
  </si>
  <si>
    <t>Air Conditioner | 1.2.1. (+) შემოსავალი MEP დანადგარების რეალიზაციიდან | ფალლაჰა მონა (ს.კ. LR1331828) - ფიზ. პირი</t>
  </si>
  <si>
    <t>f41e2ac5-0e57-41cb-b8b7-2dd8dc1a8bf4</t>
  </si>
  <si>
    <t>Air Conditioner | 1.2.1. | ფალლაჰა მონა  | 850.00 GEL | 28.02.2025</t>
  </si>
  <si>
    <t>ICE803</t>
  </si>
  <si>
    <t>ICE2862/45689/1.1.2./FX486U</t>
  </si>
  <si>
    <t>cc102bf8-47ad-42ee-99e1-56f4b79c9244</t>
  </si>
  <si>
    <t>Archi Isani D Block | 1.1.2. (+) შემოსავალი ლიფტების სერვისიდან - გეგმიური | არქი მეინთენენს (ს.კ. 405752957) - შპს</t>
  </si>
  <si>
    <t>Archi Isani D Block | 1.1.2. | არქი მეინთენენს  | 400.00 USD | 01.02.2025</t>
  </si>
  <si>
    <t>ICE804</t>
  </si>
  <si>
    <t>Saburtalo C Block</t>
  </si>
  <si>
    <t>ICE2862/45689/1.1.2./UFCBL3</t>
  </si>
  <si>
    <t>ce7eb35f-7074-41b1-a5fc-6111bc6e3216</t>
  </si>
  <si>
    <t>Saburtalo C Block | 1.1.2. (+) შემოსავალი ლიფტების სერვისიდან - გეგმიური | არქი მეინთენენს (ს.კ. 405752957) - შპს</t>
  </si>
  <si>
    <t>Saburtalo C Block | 1.1.2. | არქი მეინთენენს  | 200.00 USD | 01.02.2025</t>
  </si>
  <si>
    <t>ICE805</t>
  </si>
  <si>
    <t>Archi Isani C Block</t>
  </si>
  <si>
    <t>1 6 31 2687</t>
  </si>
  <si>
    <t>ICE2862/45689/1.1.2./178ZOR</t>
  </si>
  <si>
    <t>699eacfe-5082-495c-b0f3-1e3fd3e7c070</t>
  </si>
  <si>
    <t>Archi Isani C Block | 1.1.2. (+) შემოსავალი ლიფტების სერვისიდან - გეგმიური | არქი მეინთენენს (ს.კ. 405752957) - შპს</t>
  </si>
  <si>
    <t>Archi Isani C Block | 1.1.2. | არქი მეინთენენს  | 200.00 USD | 01.02.2025</t>
  </si>
  <si>
    <t>ICE806</t>
  </si>
  <si>
    <t>სამზეო ყვარელი (ს.კ. 405748268) - შპს</t>
  </si>
  <si>
    <t>Samzeo Service</t>
  </si>
  <si>
    <t>ICE002872/45658/1.1.2./Z5VR2U</t>
  </si>
  <si>
    <t>124ab778-7a93-4783-9601-298e88ec1202</t>
  </si>
  <si>
    <t>Samzeo Service | 1.1.2. (+) შემოსავალი ლიფტების სერვისიდან - გეგმიური | სამზეო ყვარელი (ს.კ. 405748268) - შპს</t>
  </si>
  <si>
    <t>8552e61b-5341-4e48-8dc9-2dcadd5ac20f</t>
  </si>
  <si>
    <t>Samzeo Service | 1.1.2. | სამზეო ყვარელი  | 205.00 USD | 01.01.2025</t>
  </si>
  <si>
    <t>ICE807</t>
  </si>
  <si>
    <t>პეკინის სასტუმრო (ს.კ. 405696073) - შპს</t>
  </si>
  <si>
    <t>Pekini Service</t>
  </si>
  <si>
    <t>ICE2720/45658/1.1.2./8DRN7A</t>
  </si>
  <si>
    <t>1ed13be5-b31a-47e7-a4c5-56363878affe</t>
  </si>
  <si>
    <t>Pekini Service | 1.1.2. (+) შემოსავალი ლიფტების სერვისიდან - გეგმიური | პეკინის სასტუმრო (ს.კ. 405696073) - შპს</t>
  </si>
  <si>
    <t>01f6563f-4cb1-45ad-acfb-f268b7aef9ef</t>
  </si>
  <si>
    <t>Pekini Service | 1.1.2. | პეკინის სასტუმრო  | 450.00 USD | 01.01.2025</t>
  </si>
  <si>
    <t>ICE808</t>
  </si>
  <si>
    <t>მაია ჩავლეიშვილი (ს.კ. 01021017124) - ფიზ. პირი</t>
  </si>
  <si>
    <t>Pult</t>
  </si>
  <si>
    <t>ICE2864/45699/1.2.1./WURXQT</t>
  </si>
  <si>
    <t>b1946c84-d9e0-40d3-87a7-af3ef7ed9984</t>
  </si>
  <si>
    <t>Pult | 1.2.1. (+) შემოსავალი MEP დანადგარების რეალიზაციიდან | მაია ჩავლეიშვილი (ს.კ. 01021017124) - ფიზ. პირი</t>
  </si>
  <si>
    <t>3bcb36cb-f2ad-4468-91ae-2e44f07c8bab</t>
  </si>
  <si>
    <t>Pult | 1.2.1. | მაია ჩავლეიშვილი  | 350.00 GEL | 11.02.2025</t>
  </si>
  <si>
    <t>ICE809</t>
  </si>
  <si>
    <t>ICE001769/45716/1.2.1./XRWYTM</t>
  </si>
  <si>
    <t>eef81c65-a18f-4c07-aeda-19277f8b204d</t>
  </si>
  <si>
    <t>Air Conditioner | 1.2.1. (+) შემოსავალი MEP დანადგარების რეალიზაციიდან | ანტონ ვორონინი (ს.კ. 03187803411) - ფიზ. პირი</t>
  </si>
  <si>
    <t>Air Conditioner | 1.2.1. | ანტონ ვორონინი  | 700.00 USD | 28.02.2025</t>
  </si>
  <si>
    <t>ICE810</t>
  </si>
  <si>
    <t>Telavi Mall</t>
  </si>
  <si>
    <t>ICE000088/45688/1.1.1./MS5RJ4</t>
  </si>
  <si>
    <t>792b7367-dfea-4aa0-9adc-58e434fc8c98</t>
  </si>
  <si>
    <t>Telavi Mall | 1.1.1. (+) შემოსავალი ლიფტების რეალიზაციიდან | მპ დეველოპმენტი (ს.კ. 404960217) - შპს</t>
  </si>
  <si>
    <t>Telavi Mall | 1.1.1. | მპ დეველოპმენტი  | 47,000.00 USD | 31.01.2025</t>
  </si>
  <si>
    <t>ICE811</t>
  </si>
  <si>
    <t>Delisi Oth</t>
  </si>
  <si>
    <t>ICE000007/45705/1.1.3./WUQBIV</t>
  </si>
  <si>
    <t>01a66ea9-0f19-41d9-ad5b-bb031c578257</t>
  </si>
  <si>
    <t>Delisi Oth | 1.1.3. (+) შემოსავალი ლიფტების სერვისიდან - არაგეგმიური | ბიზნეს ცენტრი დელისი (ს.კ. 204854014) - სს</t>
  </si>
  <si>
    <t>Delisi Oth | 1.1.3. | ბიზნეს ცენტრი დელისი  | 375.00 GEL | 17.02.2025</t>
  </si>
  <si>
    <t>ICE812</t>
  </si>
  <si>
    <t>Telegraph Fancoils</t>
  </si>
  <si>
    <t>ICE001903/45191/1.2.1./PPND8L</t>
  </si>
  <si>
    <t>d522af64-5434-40b5-ab55-2e7d15d39ac9</t>
  </si>
  <si>
    <t>Telegraph Fancoils | 1.2.1. (+) შემოსავალი MEP დანადგარების რეალიზაციიდან | DT MUHENDISLIK VE TAAHHUT A.S. (ს.კ. 0) - უცხოური საწარმო</t>
  </si>
  <si>
    <t>Telegraph Fancoils | 1.2.1. | DT MUHENDISLIK VE TAAHHUT A.S.  | 175,247.00 EUR | 22.09.2023</t>
  </si>
  <si>
    <t>ICE813</t>
  </si>
  <si>
    <t>Telegraph Chiller</t>
  </si>
  <si>
    <t>ICE001903/45378/1.2.1./IBCSE4</t>
  </si>
  <si>
    <t>91658558-ce51-4156-bea8-3b5d6362dad3</t>
  </si>
  <si>
    <t>Telegraph Chiller | 1.2.1. (+) შემოსავალი MEP დანადგარების რეალიზაციიდან | DT MUHENDISLIK VE TAAHHUT A.S. (ს.კ. 0) - უცხოური საწარმო</t>
  </si>
  <si>
    <t>Telegraph Chiller | 1.2.1. | DT MUHENDISLIK VE TAAHHUT A.S.  | 311,588.00 EUR | 27.03.2024</t>
  </si>
  <si>
    <t>ICE814</t>
  </si>
  <si>
    <t>Social Houses Batumi</t>
  </si>
  <si>
    <t>ICE000033/45716/1.1.1./PCJFQ2</t>
  </si>
  <si>
    <t>b4621c77-116d-4d76-85d0-dde781f8eb29</t>
  </si>
  <si>
    <t>Social Houses Batumi | 1.1.1. (+) შემოსავალი ლიფტების რეალიზაციიდან | ანაგი (ს.კ. 245416401) - შპს</t>
  </si>
  <si>
    <t>Social Houses Batumi | 1.1.1. | ანაგი  | 201,200.00 USD | 28.02.2025</t>
  </si>
  <si>
    <t>ICE815</t>
  </si>
  <si>
    <t>Bagebi Service</t>
  </si>
  <si>
    <t>1 6 31 2200</t>
  </si>
  <si>
    <t>ICE2332/45737/1.1.3./4RBU58</t>
  </si>
  <si>
    <t>a030a2ee-1901-4a6a-b95f-b2f87e66e0bf</t>
  </si>
  <si>
    <t>Bagebi Service | 1.1.3. (+) შემოსავალი ლიფტების სერვისიდან - არაგეგმიური | ეკატერინე ელისაბედაშვილი (ს.კ. 01019021472) - ფიზ. პირი</t>
  </si>
  <si>
    <t>Bagebi Service | 1.1.3. | ეკატერინე ელისაბედაშვილი  | 1,500.00 GEL | 21.03.2025</t>
  </si>
  <si>
    <t>ICE816</t>
  </si>
  <si>
    <t>ზ-გრუპ (ს.კ. 400017245) - შპს</t>
  </si>
  <si>
    <t>ZYGMA</t>
  </si>
  <si>
    <t>ICE002893/45726/1.1.1./08QWMP</t>
  </si>
  <si>
    <t>2bb06da1-5bb5-4934-af0a-751848294cfe</t>
  </si>
  <si>
    <t>ZYGMA | 1.1.1. (+) შემოსავალი ლიფტების რეალიზაციიდან | ზ-გრუპ (ს.კ. 400017245) - შპს</t>
  </si>
  <si>
    <t>1e432ee6-bf83-4368-89db-5c1fbca8796b</t>
  </si>
  <si>
    <t>ZYGMA | 1.1.1. | ზ-გრუპ  | 524,300.00 USD | 10.03.2025</t>
  </si>
  <si>
    <t>ICE817</t>
  </si>
  <si>
    <t>Batumi Central Install</t>
  </si>
  <si>
    <t>ICE2718/45461/1.1.1./AQCOTY</t>
  </si>
  <si>
    <t>9b9f319f-c87a-47c6-aa79-6c8897d0a6c8</t>
  </si>
  <si>
    <t>Batumi Central Install | 1.1.1. (+) შემოსავალი ლიფტების რეალიზაციიდან | ბათუმი ცენტრალი (ს.კ. 445386172) - შპს</t>
  </si>
  <si>
    <t>Batumi Central Install | 1.1.1. | ბათუმი ცენტრალი  | 9,132.00 USD | 18.06.2024</t>
  </si>
  <si>
    <t>ICE818</t>
  </si>
  <si>
    <t>UNIX MARSEL Repair</t>
  </si>
  <si>
    <t>ICE001853/45738/1.1.3./XNFP0W</t>
  </si>
  <si>
    <t>02ef95a4-c79c-4315-b6ae-ab33e88512fd</t>
  </si>
  <si>
    <t>UNIX MARSEL Repair | 1.1.3. (+) შემოსავალი ლიფტების სერვისიდან - არაგეგმიური | ფრანგული უბანი ფრანგული უბნის "დ" და "ე" ბლოკების ამხანაგობა (ს.კ. 200316657) - ამხანაგობა</t>
  </si>
  <si>
    <t>UNIX MARSEL Repair | 1.1.3. | ფრანგული უბანი ფრანგული უბნის "დ" და "ე" ბლოკების ამხანაგობა  | 500.00 GEL | 22.03.2025</t>
  </si>
  <si>
    <t>ICE819</t>
  </si>
  <si>
    <t>MTZ Service</t>
  </si>
  <si>
    <t>1 6 31 2487</t>
  </si>
  <si>
    <t>ICE002292/45689/1.1.2./FQSH7O</t>
  </si>
  <si>
    <t>a2e40750-f18a-4d9e-8262-ff34e06eb53e</t>
  </si>
  <si>
    <t>MTZ Service | 1.1.2. (+) შემოსავალი ლიფტების სერვისიდან - გეგმიური | მტზ კომპანი (ს.კ. 445525478) - შპს</t>
  </si>
  <si>
    <t>MTZ Service | 1.1.2. | მტზ კომპანი  | 600.00 USD | 01.02.2025</t>
  </si>
  <si>
    <t>ICE820</t>
  </si>
  <si>
    <t>Didi Digomi 2B</t>
  </si>
  <si>
    <t>ICE2862/45689/1.1.2./7QJ2MU</t>
  </si>
  <si>
    <t>c43148de-49f1-440e-b526-89c6f778bc49</t>
  </si>
  <si>
    <t>Didi Digomi 2B | 1.1.2. (+) შემოსავალი ლიფტების სერვისიდან - გეგმიური | არქი მეინთენენს (ს.კ. 405752957) - შპს</t>
  </si>
  <si>
    <t>Didi Digomi 2B | 1.1.2. | არქი მეინთენენს  | 300.00 USD | 01.02.2025</t>
  </si>
  <si>
    <t>ICE821</t>
  </si>
  <si>
    <t>Didi Digomi 2C</t>
  </si>
  <si>
    <t>ICE2862/45689/1.1.2./K1XRCU</t>
  </si>
  <si>
    <t>4f58ef53-d455-47ad-971a-9bce278d33aa</t>
  </si>
  <si>
    <t>Didi Digomi 2C | 1.1.2. (+) შემოსავალი ლიფტების სერვისიდან - გეგმიური | არქი მეინთენენს (ს.კ. 405752957) - შპს</t>
  </si>
  <si>
    <t>Didi Digomi 2C | 1.1.2. | არქი მეინთენენს  | 300.00 USD | 01.02.2025</t>
  </si>
  <si>
    <t>ICE822</t>
  </si>
  <si>
    <t>Didi Digomi 2D</t>
  </si>
  <si>
    <t>ICE2862/45689/1.1.2./IPSU8Q</t>
  </si>
  <si>
    <t>bc912060-bca0-4072-b760-a3d8143125d5</t>
  </si>
  <si>
    <t>Didi Digomi 2D | 1.1.2. (+) შემოსავალი ლიფტების სერვისიდან - გეგმიური | არქი მეინთენენს (ს.კ. 405752957) - შპს</t>
  </si>
  <si>
    <t>Didi Digomi 2D | 1.1.2. | არქი მეინთენენს  | 300.00 USD | 01.02.2025</t>
  </si>
  <si>
    <t>ICE823</t>
  </si>
  <si>
    <t>Central Platform</t>
  </si>
  <si>
    <t>ICE000032/45751/1.2.1./PUSRT9</t>
  </si>
  <si>
    <t>b95df8a1-ba8d-42ed-babd-0c9fdf95d181</t>
  </si>
  <si>
    <t>Central Platform | 1.2.1. (+) შემოსავალი MEP დანადგარების რეალიზაციიდან | თბილისი ცენტრალი (ს.კ. 205129653) - სს</t>
  </si>
  <si>
    <t>Central Platform | 1.2.1. | თბილისი ცენტრალი  | 582,553.50 USD | 04.04.2025</t>
  </si>
  <si>
    <t>ICE824</t>
  </si>
  <si>
    <t>University Transportation</t>
  </si>
  <si>
    <t>ICE002617/45750/1.1.1./N2QR6J</t>
  </si>
  <si>
    <t>e7652f49-24a4-448a-8453-427e243de287</t>
  </si>
  <si>
    <t>University Transportation | 1.1.1. (+) შემოსავალი ლიფტების რეალიზაციიდან | ნიუ გრუპ მაღლივი (ს.კ. 405391491) - შპს</t>
  </si>
  <si>
    <t>University Transportation | 1.1.1. | ნიუ გრუპ მაღლივი  | 3,500.00 GEL | 03.04.2025</t>
  </si>
  <si>
    <t>ICE825</t>
  </si>
  <si>
    <t>კახა ვარდიაშვილი (ს.კ. 01008023192) - ფიზ. პირი</t>
  </si>
  <si>
    <t>ICE002759/45748/1.2.1./VTEPIR</t>
  </si>
  <si>
    <t>d51e9c7e-8b2f-4387-b61b-993c93b9eda4</t>
  </si>
  <si>
    <t>Air Conditioner | 1.2.1. (+) შემოსავალი MEP დანადგარების რეალიზაციიდან | კახა ვარდიაშვილი (ს.კ. 01008023192) - ფიზ. პირი</t>
  </si>
  <si>
    <t>81bf3006-21b0-48ff-ae44-bf82aa104e31</t>
  </si>
  <si>
    <t>Air Conditioner | 1.2.1. | კახა ვარდიაშვილი  | 1,480.00 GEL | 01.04.2025</t>
  </si>
  <si>
    <t>ICE826</t>
  </si>
  <si>
    <t>მაიკლი ნაუმოვი (ს.კ. ICE2953) - ფიზ. პირი</t>
  </si>
  <si>
    <t>ICE2953/45748/1.2.1./ZKXTOB</t>
  </si>
  <si>
    <t>50127fe7-f116-400d-b859-9225eebb5469</t>
  </si>
  <si>
    <t>Air Conditioner | 1.2.1. (+) შემოსავალი MEP დანადგარების რეალიზაციიდან | მაიკლი ნაუმოვი (ს.კ. ICE2953) - ფიზ. პირი</t>
  </si>
  <si>
    <t>2f5f9219-fac1-402c-9141-f6716bf889dc</t>
  </si>
  <si>
    <t>Air Conditioner | 1.2.1. | მაიკლი ნაუმოვი  | 1,900.00 GEL | 01.04.2025</t>
  </si>
  <si>
    <t>ICE827</t>
  </si>
  <si>
    <t>გიორგი ხონელია (ს.კ. 62007000908) - ფიზ. პირი</t>
  </si>
  <si>
    <t>ICE2954/45748/1.2.1./ARRPCH</t>
  </si>
  <si>
    <t>3c364f09-534c-4d14-9a75-0854444da485</t>
  </si>
  <si>
    <t>Air Conditioner | 1.2.1. (+) შემოსავალი MEP დანადგარების რეალიზაციიდან | გიორგი ხონელია (ს.კ. 62007000908) - ფიზ. პირი</t>
  </si>
  <si>
    <t>9824c752-0be4-4b5d-9818-8b590bd9c2ea</t>
  </si>
  <si>
    <t>Air Conditioner | 1.2.1. | გიორგი ხონელია  | 1,900.00 GEL | 01.04.2025</t>
  </si>
  <si>
    <t>ICE828</t>
  </si>
  <si>
    <t>ანაგი მექანიზაცია (ს.კ. 445423587) - შპს</t>
  </si>
  <si>
    <t>Facade Lifts</t>
  </si>
  <si>
    <t>ICE002948/45743/1.1.1./IBWZTR</t>
  </si>
  <si>
    <t>5719fce6-3e16-4a89-9ca2-bfb81be37f0f</t>
  </si>
  <si>
    <t>Facade Lifts | 1.1.1. (+) შემოსავალი ლიფტების რეალიზაციიდან | ანაგი მექანიზაცია (ს.კ. 445423587) - შპს</t>
  </si>
  <si>
    <t>3cfb8504-db19-4e0d-a888-438bff7f2cc8</t>
  </si>
  <si>
    <t>Facade Lifts | 1.1.1. | ანაგი მექანიზაცია  | 397,794.00 USD | 27.03.2025</t>
  </si>
  <si>
    <t>ICE829</t>
  </si>
  <si>
    <t>ნამი 2024 (ს.კ. 405720019) - შპს</t>
  </si>
  <si>
    <t>Nami</t>
  </si>
  <si>
    <t>ICE002957/45763/1.1.1./XH38S9</t>
  </si>
  <si>
    <t>2e71ede0-f32d-4630-952d-aed7f9c504b0</t>
  </si>
  <si>
    <t>Nami | 1.1.1. (+) შემოსავალი ლიფტების რეალიზაციიდან | ნამი 2024 (ს.კ. 405720019) - შპს</t>
  </si>
  <si>
    <t>17ee0bbd-46cb-4653-91a7-ceeb6b721485</t>
  </si>
  <si>
    <t>Nami | 1.1.1. | ნამი 2024  | 66,150.00 USD | 16.04.2025</t>
  </si>
  <si>
    <t>ICE830</t>
  </si>
  <si>
    <t>Radisson Red HVAC Service</t>
  </si>
  <si>
    <t>ICE002297/45441/1.2.2./SAYRBF</t>
  </si>
  <si>
    <t>84b34789-f7e6-4723-9a0d-20fbb0501af4</t>
  </si>
  <si>
    <t>Radisson Red HVAC Service | 1.2.2. (+) შემოსავალი MEP დანადგარების სერვისიდან - გეგმიური | ტელეგრაფი (ს.კ. 404505406) - შპს</t>
  </si>
  <si>
    <t>Radisson Red HVAC Service | 1.2.2. | ტელეგრაფი  | 6,930.00 GEL | 29.05.2024</t>
  </si>
  <si>
    <t>ICE831</t>
  </si>
  <si>
    <t>Holiday Inn Oth</t>
  </si>
  <si>
    <t>ICE001859/45748/1.1.3./RSZORQ</t>
  </si>
  <si>
    <t>6489cc6b-71ea-46f0-8165-5a6db0bdca47</t>
  </si>
  <si>
    <t>Holiday Inn Oth | 1.1.3. (+) შემოსავალი ლიფტების სერვისიდან - არაგეგმიური | ლაიქ ჰაუსი (ს.კ. 445478563) - შპს</t>
  </si>
  <si>
    <t>Holiday Inn Oth | 1.1.3. | ლაიქ ჰაუსი  | 8,150.00 USD | 01.04.2025</t>
  </si>
  <si>
    <t>ICE832</t>
  </si>
  <si>
    <t>DAVINCHI Oth</t>
  </si>
  <si>
    <t>ICE002833/45748/1.1.1./BGM46R</t>
  </si>
  <si>
    <t>809651f2-bf8c-4b6c-9f33-4a87a71f2d90</t>
  </si>
  <si>
    <t>DAVINCHI Oth | 1.1.1. (+) შემოსავალი ლიფტების რეალიზაციიდან | დავინჩი (ს.კ. 405034680) - შპს</t>
  </si>
  <si>
    <t>DAVINCHI Oth | 1.1.1. | დავინჩი  | 1,590.45 GEL | 01.04.2025</t>
  </si>
  <si>
    <t>ICE833</t>
  </si>
  <si>
    <t>ნეო გუდაური (ს.კ. ICE002963) - ამხანაგობა</t>
  </si>
  <si>
    <t>Neo Gudauri Serv</t>
  </si>
  <si>
    <t>1 6 31 2714</t>
  </si>
  <si>
    <t>ICE002963/45689/1.1.2./LRBPNZ</t>
  </si>
  <si>
    <t>822dcb84-1cc8-4d87-97a8-c7a7be201ede</t>
  </si>
  <si>
    <t>Neo Gudauri Serv | 1.1.2. (+) შემოსავალი ლიფტების სერვისიდან - გეგმიური | ნეო გუდაური (ს.კ. ICE002963) - ამხანაგობა</t>
  </si>
  <si>
    <t>59e53ffc-c1df-473a-b257-775514afb099</t>
  </si>
  <si>
    <t>Neo Gudauri Serv | 1.1.2. | ნეო გუდაური  | 1,400.00 USD | 01.02.2025</t>
  </si>
  <si>
    <t>ICE834</t>
  </si>
  <si>
    <t>Dry Port Office</t>
  </si>
  <si>
    <t>ICE002573/45748/1.2.1./R7S3QX</t>
  </si>
  <si>
    <t>f3244c53-709e-4b57-be43-41f06e2358c6</t>
  </si>
  <si>
    <t>Dry Port Office | 1.2.1. (+) შემოსავალი MEP დანადგარების რეალიზაციიდან | თბილისი დრაი პორტი (ს.კ. 405483454) - შპს</t>
  </si>
  <si>
    <t>Dry Port Office | 1.2.1. | თბილისი დრაი პორტი  | 160,000.00 GEL | 01.04.2025</t>
  </si>
  <si>
    <t>ICE835</t>
  </si>
  <si>
    <t>Tegeta Other Repair</t>
  </si>
  <si>
    <t>ICE000038/45769/1.2.3./ZI6VQ2</t>
  </si>
  <si>
    <t>ea8c475c-caa4-4bf8-ab80-24d6d1a9fb53</t>
  </si>
  <si>
    <t>Tegeta Other Repair | 1.2.3. (+) შემოსავალი MEP დანადგარების სერვისიდან - არაგეგმიური | თეგეტა მოტორსი (ს.კ. 202177205) - შპს</t>
  </si>
  <si>
    <t>Tegeta Other Repair | 1.2.3. | თეგეტა მოტორსი  | 3,160.00 GEL | 22.04.2025</t>
  </si>
  <si>
    <t>ICE836</t>
  </si>
  <si>
    <t>Control System</t>
  </si>
  <si>
    <t>ICE000032/45771/1.2.3./A7WERD</t>
  </si>
  <si>
    <t>2c4d2a44-9e47-4cf0-bd0c-536199fc68bd</t>
  </si>
  <si>
    <t>Control System | 1.2.3. (+) შემოსავალი MEP დანადგარების სერვისიდან - არაგეგმიური | თბილისი ცენტრალი (ს.კ. 205129653) - სს</t>
  </si>
  <si>
    <t>Control System | 1.2.3. | თბილისი ცენტრალი  | 1,600.00 USD | 24.04.2025</t>
  </si>
  <si>
    <t>ICE837</t>
  </si>
  <si>
    <t>Shartava LG</t>
  </si>
  <si>
    <t>ICE000118/45748/1.1.1./7UDCRT</t>
  </si>
  <si>
    <t>1f12a81b-7b38-4373-9cd3-33d000f982e9</t>
  </si>
  <si>
    <t>Shartava LG | 1.1.1. (+) შემოსავალი ლიფტების რეალიზაციიდან | მეპერსი (ს.კ. 402121887) - შპს</t>
  </si>
  <si>
    <t>Shartava LG | 1.1.1. | მეპერსი  | 15,000.00 USD | 01.04.2025</t>
  </si>
  <si>
    <t>ICE838</t>
  </si>
  <si>
    <t>Lift Buttons</t>
  </si>
  <si>
    <t>ICE002330/45778/1.1.3./HV0M3Q</t>
  </si>
  <si>
    <t>0ce9ff5a-43b3-4ee5-b98b-1047e260c7f5</t>
  </si>
  <si>
    <t>Lift Buttons | 1.1.3. (+) შემოსავალი ლიფტების სერვისიდან - არაგეგმიური | ბეტა ჰოთელს (ს.კ. 404585686) - შპს</t>
  </si>
  <si>
    <t>Lift Buttons | 1.1.3. | ბეტა ჰოთელს  | 500.00 GEL | 01.05.2025</t>
  </si>
  <si>
    <t>ICE839</t>
  </si>
  <si>
    <t>Kvareli Wine Factory</t>
  </si>
  <si>
    <t>ICE000043/45778/1.2.1./TVW6TV</t>
  </si>
  <si>
    <t>13b6b238-e95d-4330-9167-b02a26df224c</t>
  </si>
  <si>
    <t>Kvareli Wine Factory | 1.2.1. (+) შემოსავალი MEP დანადგარების რეალიზაციიდან | ინდეკო სი ემ  (ს.კ. 405508339) - შპს</t>
  </si>
  <si>
    <t>Kvareli Wine Factory | 1.2.1. | ინდეკო სი ემ   | 36,547.70 USD | 01.05.2025</t>
  </si>
  <si>
    <t>ICE840</t>
  </si>
  <si>
    <t>Kutaisi McDonalds</t>
  </si>
  <si>
    <t>ICE000014/45715/1.2.1./TYZRXI</t>
  </si>
  <si>
    <t>fc3de2c0-06c6-4d7e-b377-6c7575be9502</t>
  </si>
  <si>
    <t>Kutaisi McDonalds | 1.2.1. (+) შემოსავალი MEP დანადგარების რეალიზაციიდან | თბილი სახლი (ს.კ. 204976179) - შპს</t>
  </si>
  <si>
    <t>Kutaisi McDonalds | 1.2.1. | თბილი სახლი  | 94,315.00 EUR | 27.02.2025</t>
  </si>
  <si>
    <t>ICE841</t>
  </si>
  <si>
    <t>Doors Repair</t>
  </si>
  <si>
    <t>ICE001859/45778/1.1.1./NOM69T</t>
  </si>
  <si>
    <t>edcb4fbb-6a57-4308-93aa-8a98f148a069</t>
  </si>
  <si>
    <t>Doors Repair | 1.1.1. (+) შემოსავალი ლიფტების რეალიზაციიდან | ლაიქ ჰაუსი (ს.კ. 445478563) - შპს</t>
  </si>
  <si>
    <t>Doors Repair | 1.1.1. | ლაიქ ჰაუსი  | 10,318.00 USD | 01.05.2025</t>
  </si>
  <si>
    <t>ICE842</t>
  </si>
  <si>
    <t>Grande Krtsanisi D &amp; E Block</t>
  </si>
  <si>
    <t>ICE002441/45790/1.1.1./UL7VPV</t>
  </si>
  <si>
    <t>5a1f5ff1-c9b1-4456-b679-7b227f5802e6</t>
  </si>
  <si>
    <t>Grande Krtsanisi D &amp; E Block | 1.1.1. (+) შემოსავალი ლიფტების რეალიზაციიდან | გრანდე ჯგუფი (ს.კ. 404557127) - შპს</t>
  </si>
  <si>
    <t>Grande Krtsanisi D &amp; E Block | 1.1.1. | გრანდე ჯგუფი  | 235,060.00 USD | 13.05.2025</t>
  </si>
  <si>
    <t>ICE843</t>
  </si>
  <si>
    <t>მშენებელი 2004 (ს.კ. 205023277) - შპს</t>
  </si>
  <si>
    <t>Grishashvili</t>
  </si>
  <si>
    <t>ICE002983/45799/1.1.1./5SMQC4</t>
  </si>
  <si>
    <t>97ca0a05-717f-46ad-8273-5c62d7b7e773</t>
  </si>
  <si>
    <t>Grishashvili | 1.1.1. (+) შემოსავალი ლიფტების რეალიზაციიდან | მშენებელი 2004 (ს.კ. 205023277) - შპს</t>
  </si>
  <si>
    <t>7a49a212-38dd-4a69-bab5-a677f1cbca97</t>
  </si>
  <si>
    <t>Grishashvili | 1.1.1. | მშენებელი 2004  | 50,000.00 USD | 22.05.2025</t>
  </si>
  <si>
    <t>ICE844</t>
  </si>
  <si>
    <t>Telegraph Ahu Additional</t>
  </si>
  <si>
    <t>ICE1904/45791/1.2.1./QEL8OV</t>
  </si>
  <si>
    <t>426e8878-2ce5-4f00-bb0d-8b61642149ba</t>
  </si>
  <si>
    <t>Telegraph Ahu Additional | 1.2.1. (+) შემოსავალი MEP დანადგარების რეალიზაციიდან | დნთ ქონსთრაქშენ (ს.კ. 405418196) - შპს</t>
  </si>
  <si>
    <t>Telegraph Ahu Additional | 1.2.1. | დნთ ქონსთრაქშენ  | 28,000.00 EUR | 14.05.2025</t>
  </si>
  <si>
    <t>ICE845</t>
  </si>
  <si>
    <t>Kvareli Fans</t>
  </si>
  <si>
    <t>ICE000043/45798/1.2.1./7N6X4Z</t>
  </si>
  <si>
    <t>e1fb87bb-f940-42bf-ac21-f89590d25883</t>
  </si>
  <si>
    <t>Kvareli Fans | 1.2.1. (+) შემოსავალი MEP დანადგარების რეალიზაციიდან | ინდეკო (ს.კ. 202376133) - შპს</t>
  </si>
  <si>
    <t>Kvareli Fans | 1.2.1. | ინდეკო  | 5,806.00 EUR | 21.05.2025</t>
  </si>
  <si>
    <t>ICE846</t>
  </si>
  <si>
    <t>ანაგი არტ ჰაუსი (ს.კ. 404630716) - შპს</t>
  </si>
  <si>
    <t>Art House Repair</t>
  </si>
  <si>
    <t>ICE003004/45727/1.1.3./V0NO3I</t>
  </si>
  <si>
    <t>bd751071-e10c-4441-9f9a-ce1b322e8e89</t>
  </si>
  <si>
    <t>Art House Repair | 1.1.3. (+) შემოსავალი ლიფტების სერვისიდან - არაგეგმიური | ანაგი არტ ჰაუსი (ს.კ. 404630716) - შპს</t>
  </si>
  <si>
    <t>47de915e-c03b-4118-b9cc-0d4d80b1caac</t>
  </si>
  <si>
    <t>Art House Repair | 1.1.3. | ანაგი არტ ჰაუსი  | 500.00 USD | 11.03.2025</t>
  </si>
  <si>
    <t>ICE847</t>
  </si>
  <si>
    <t>Kutaisi Rooftop Launch</t>
  </si>
  <si>
    <t>ICE000014/45778/1.2.3./B9QJSV</t>
  </si>
  <si>
    <t>5dab5fd3-0954-44a3-a1a4-36720357b97f</t>
  </si>
  <si>
    <t>Kutaisi Rooftop Launch | 1.2.3. (+) შემოსავალი MEP დანადგარების სერვისიდან - არაგეგმიური | თბილი სახლი (ს.კ. 204976179) - შპს</t>
  </si>
  <si>
    <t>Kutaisi Rooftop Launch | 1.2.3. | თბილი სახლი  | 5,500.00 GEL | 01.05.2025</t>
  </si>
  <si>
    <t>ICE848</t>
  </si>
  <si>
    <t>მეტრო ჰოლდინგი (ს.კ. 404512933) - შპს</t>
  </si>
  <si>
    <t>Varketili Mall</t>
  </si>
  <si>
    <t>ICE003006/45806/1.1.1./DORURB</t>
  </si>
  <si>
    <t>8b348159-e655-4c98-ae2b-fd9ac86087e2</t>
  </si>
  <si>
    <t>Varketili Mall | 1.1.1. (+) შემოსავალი ლიფტების რეალიზაციიდან | მეტრო ჰოლდინგი (ს.კ. 404512933) - შპს</t>
  </si>
  <si>
    <t>4b1110ff-1ace-462f-8822-895425a89a3c</t>
  </si>
  <si>
    <t>Varketili Mall | 1.1.1. | მეტრო ჰოლდინგი  | 339,800.00 USD | 29.05.2025</t>
  </si>
  <si>
    <t>ICE849</t>
  </si>
  <si>
    <t>ტოკიო ჰოტელ (ს.კ. 402229423) - შპს</t>
  </si>
  <si>
    <t>Uznadze Office</t>
  </si>
  <si>
    <t>ICE003010/45778/1.1.1./QDMAXH</t>
  </si>
  <si>
    <t>d2428b0b-1a3c-4735-83cb-3477157e2b34</t>
  </si>
  <si>
    <t>Uznadze Office | 1.1.1. (+) შემოსავალი ლიფტების რეალიზაციიდან | ტოკიო ჰოტელ (ს.კ. 402229423) - შპს</t>
  </si>
  <si>
    <t>f79de391-c7c6-42b0-9326-1b94b5dcd121</t>
  </si>
  <si>
    <t>Uznadze Office | 1.1.1. | ტოკიო ჰოტელ  | 94,000.00 USD | 01.05.2025</t>
  </si>
  <si>
    <t>ICE850</t>
  </si>
  <si>
    <t>Archi Isani C Repair</t>
  </si>
  <si>
    <t>ICE2862/45784/1.1.3./HMGRLK</t>
  </si>
  <si>
    <t>528e9372-befa-4bc5-a9cd-faf9cf0769f2</t>
  </si>
  <si>
    <t>Archi Isani C Repair | 1.1.3. (+) შემოსავალი ლიფტების სერვისიდან - არაგეგმიური | არქი მეინთენენს (ს.კ. 405752957) - შპს</t>
  </si>
  <si>
    <t>Archi Isani C Repair | 1.1.3. | არქი მეინთენენს  | 1,400.00 GEL | 07.05.2025</t>
  </si>
  <si>
    <t>ICE851</t>
  </si>
  <si>
    <t>Galeria Repair</t>
  </si>
  <si>
    <t>ICE000112/45757/1.1.3./DKXLRW</t>
  </si>
  <si>
    <t>1f21b7e8-36ed-4e80-b5cd-cca7c329a9d0</t>
  </si>
  <si>
    <t>Galeria Repair | 1.1.3. (+) შემოსავალი ლიფტების სერვისიდან - არაგეგმიური | გალერია თბილისი (ს.კ. 204558497) - შპს</t>
  </si>
  <si>
    <t>Galeria Repair | 1.1.3. | გალერია თბილისი  | 400.00 GEL | 10.04.2025</t>
  </si>
  <si>
    <t>ICE852</t>
  </si>
  <si>
    <t>საკენი ბიოგრაფი (ს.კ. 404651015) - შპს</t>
  </si>
  <si>
    <t>Sakeni</t>
  </si>
  <si>
    <t>ICE003011/45798/1.1.1./SECP7I</t>
  </si>
  <si>
    <t>b6f7a772-8266-46a4-9bc5-a49779c32dd1</t>
  </si>
  <si>
    <t>Sakeni | 1.1.1. (+) შემოსავალი ლიფტების რეალიზაციიდან | საკენი ბიოგრაფი (ს.კ. 404651015) - შპს</t>
  </si>
  <si>
    <t>52130c6e-2f62-4b07-bce1-28762a400e58</t>
  </si>
  <si>
    <t>Sakeni | 1.1.1. | საკენი ბიოგრაფი  | 26,680.00 USD | 21.05.2025</t>
  </si>
  <si>
    <t>ICE853</t>
  </si>
  <si>
    <t>Fire Cabinet</t>
  </si>
  <si>
    <t>ICE000125/43634/1.2.1./6WRBYF</t>
  </si>
  <si>
    <t>78e4cc00-618f-4336-9fd8-61a70993a023</t>
  </si>
  <si>
    <t>Fire Cabinet | 1.2.1. (+) შემოსავალი MEP დანადგარების რეალიზაციიდან | 1920 (ს.კ. 400247899) - შპს</t>
  </si>
  <si>
    <t>Fire Cabinet | 1.2.1. | 1920  | 3,835.00 USD | 18.06.2019</t>
  </si>
  <si>
    <t>ICE854</t>
  </si>
  <si>
    <t>Accor Avlabari</t>
  </si>
  <si>
    <t>ICE000118/45809/1.1.1./P7ELTO</t>
  </si>
  <si>
    <t>49fdcdd0-d6e8-4a1e-9564-b877be4811d5</t>
  </si>
  <si>
    <t>Accor Avlabari | 1.1.1. (+) შემოსავალი ლიფტების რეალიზაციიდან | მეპერსი (ს.კ. 402121887) - შპს</t>
  </si>
  <si>
    <t>Accor Avlabari | 1.1.1. | მეპერსი  | 30,000.00 USD | 01.06.2025</t>
  </si>
  <si>
    <t>ICE855</t>
  </si>
  <si>
    <t>Lisi Development 6 units</t>
  </si>
  <si>
    <t>ICE000118/45292/1.1.1./MXZXFV</t>
  </si>
  <si>
    <t>78e2519d-639e-4fac-a031-076054f82ed3</t>
  </si>
  <si>
    <t>Lisi Development 6 units | 1.1.1. (+) შემოსავალი ლიფტების რეალიზაციიდან | მეპერსი (ს.კ. 402121887) - შპს</t>
  </si>
  <si>
    <t>Lisi Development 6 units | 1.1.1. | მეპერსი  | 10,000.00 USD | 01.01.2024</t>
  </si>
  <si>
    <t>ICE856</t>
  </si>
  <si>
    <t>Compressors 2025</t>
  </si>
  <si>
    <t>ICE002297/45804/1.2.1./QOHFLD</t>
  </si>
  <si>
    <t>64b6aef8-95fe-4557-b2e4-3400a8fc493a</t>
  </si>
  <si>
    <t>Compressors 2025 | 1.2.1. (+) შემოსავალი MEP დანადგარების რეალიზაციიდან | ტელეგრაფი (ს.კ. 404505406) - შპს</t>
  </si>
  <si>
    <t>Compressors 2025 | 1.2.1. | ტელეგრაფი  | 4,040.00 USD | 27.05.2025</t>
  </si>
  <si>
    <t>ICE857</t>
  </si>
  <si>
    <t>ნინო თავამაიშვილი (ს.კ. 33001020674) - ფიზ. პირი</t>
  </si>
  <si>
    <t>Lisi VRF</t>
  </si>
  <si>
    <t>ICE002977/45804/1.2.1./SSE432</t>
  </si>
  <si>
    <t>9c486204-9f82-46a5-8c27-9862f79429a5</t>
  </si>
  <si>
    <t>Lisi VRF | 1.2.1. (+) შემოსავალი MEP დანადგარების რეალიზაციიდან | ნინო თავამაიშვილი (ს.კ. 33001020674) - ფიზ. პირი</t>
  </si>
  <si>
    <t>15951f75-6aca-4416-8478-e803240069ff</t>
  </si>
  <si>
    <t>Lisi VRF | 1.2.1. | ნინო თავამაიშვილი  | 8,720.00 USD | 27.05.2025</t>
  </si>
  <si>
    <t>ICE858</t>
  </si>
  <si>
    <t>Fotosell</t>
  </si>
  <si>
    <t>ICE002963/45807/1.1.3./5KSNCZ</t>
  </si>
  <si>
    <t>bb17a965-20c8-4bf0-bca0-1bf4793cda23</t>
  </si>
  <si>
    <t>Fotosell | 1.1.3. (+) შემოსავალი ლიფტების სერვისიდან - არაგეგმიური | ნეო გუდაური (ს.კ. ICE002963) - ამხანაგობა</t>
  </si>
  <si>
    <t>Fotosell | 1.1.3. | ნეო გუდაური  | 1,000.00 GEL | 30.05.2025</t>
  </si>
  <si>
    <t>ICE859</t>
  </si>
  <si>
    <t>Door threshold</t>
  </si>
  <si>
    <t>ICE000012/45096/1.1.3./928GC4</t>
  </si>
  <si>
    <t>04f89f95-038a-4435-93b8-56e9be467bf6</t>
  </si>
  <si>
    <t>Door threshold | 1.1.3. (+) შემოსავალი ლიფტების სერვისიდან - არაგეგმიური | Dar Building (ს.კ. 445420875) - შპს</t>
  </si>
  <si>
    <t>Door threshold | 1.1.3. | Dar Building  | 3,000.00 GEL | 19.06.2023</t>
  </si>
  <si>
    <t>ICE860</t>
  </si>
  <si>
    <t>Chkondideli</t>
  </si>
  <si>
    <t>ICE001643/45809/1.1.1./L8U2AS</t>
  </si>
  <si>
    <t>dc70c78a-2632-4024-98d8-5b80adbbeb03</t>
  </si>
  <si>
    <t>Chkondideli | 1.1.1. (+) შემოსავალი ლიფტების რეალიზაციიდან | ოპტიმა (ს.კ. 405160819) - შპს</t>
  </si>
  <si>
    <t>Chkondideli | 1.1.1. | ოპტიმა  | 1,187,000.00 USD | 01.06.2025</t>
  </si>
  <si>
    <t>ICE861</t>
  </si>
  <si>
    <t>ICE002297/45809/1.2.1./M6UQN4</t>
  </si>
  <si>
    <t>8fc23987-6f38-4c47-a180-3a48f70ab235</t>
  </si>
  <si>
    <t>Compressors 2025 | 1.2.1. | ტელეგრაფი  | 4,040.00 USD | 01.06.2025</t>
  </si>
  <si>
    <t>ICE862</t>
  </si>
  <si>
    <t>Container Unloading</t>
  </si>
  <si>
    <t>ICE002577/45620/1.1.1./X3U0R1</t>
  </si>
  <si>
    <t>05b2ec77-b65e-4258-85c0-156f0da91d0e</t>
  </si>
  <si>
    <t>Container Unloading | 1.1.1. (+) შემოსავალი ლიფტების რეალიზაციიდან | დეკა ვერონა (ს.კ. 405570519) - შპს</t>
  </si>
  <si>
    <t>Container Unloading | 1.1.1. | დეკა ვერონა  | 900.00 USD | 24.11.2024</t>
  </si>
  <si>
    <t>ICE863</t>
  </si>
  <si>
    <t>Kutaisi Parliament</t>
  </si>
  <si>
    <t>ICE000014/45671/1.2.1./6FEM9P</t>
  </si>
  <si>
    <t>27edf627-a39e-4024-b633-27bd5cd6a3c7</t>
  </si>
  <si>
    <t>Kutaisi Parliament | 1.2.1. (+) შემოსავალი MEP დანადგარების რეალიზაციიდან | თბილი სახლი (ს.კ. 204976179) - შპს</t>
  </si>
  <si>
    <t>Kutaisi Parliament | 1.2.1. | თბილი სახლი  | 84,565.00 USD | 14.01.2025</t>
  </si>
  <si>
    <t>ICE864</t>
  </si>
  <si>
    <t>Vehicle Service</t>
  </si>
  <si>
    <t>ICE002573/45813/1.2.1./5RKC1N</t>
  </si>
  <si>
    <t>7a8385f2-21c7-4112-9621-2ad305be205e</t>
  </si>
  <si>
    <t>Vehicle Service | 1.2.1. (+) შემოსავალი MEP დანადგარების რეალიზაციიდან | თბილისი დრაი პორტი (ს.კ. 405483454) - შპს</t>
  </si>
  <si>
    <t>Vehicle Service | 1.2.1. | თბილისი დრაი პორტი  | 16,491.00 GEL | 05.06.2025</t>
  </si>
  <si>
    <t>ICE865</t>
  </si>
  <si>
    <t>Gardens Oth</t>
  </si>
  <si>
    <t>ICE001741/45806/1.1.3./42H5Z1</t>
  </si>
  <si>
    <t>a88d27c3-4f8a-4edd-b19b-041153242af3</t>
  </si>
  <si>
    <t>Gardens Oth | 1.1.3. (+) შემოსავალი ლიფტების სერვისიდან - არაგეგმიური | მზიური რეზორტ (ს.კ. 404462256) - შპს</t>
  </si>
  <si>
    <t>Gardens Oth | 1.1.3. | მზიური რეზორტ  | 770.00 GEL | 29.05.2025</t>
  </si>
  <si>
    <t>ICE866</t>
  </si>
  <si>
    <t>Zara Escalator Repair</t>
  </si>
  <si>
    <t>ICE000027/45809/1.1.3./SM42AK</t>
  </si>
  <si>
    <t>c2cb9c5e-2c83-4f37-9827-932c22d33b77</t>
  </si>
  <si>
    <t>Zara Escalator Repair | 1.1.3. (+) შემოსავალი ლიფტების სერვისიდან - არაგეგმიური | Spanish Retail Georgia (ს.კ. 404404774) - შპს</t>
  </si>
  <si>
    <t>Zara Escalator Repair | 1.1.3. | Spanish Retail Georgia  | 4,600.00 GEL | 01.06.2025</t>
  </si>
  <si>
    <t>ICE867</t>
  </si>
  <si>
    <t>Card System Adaptation</t>
  </si>
  <si>
    <t>ICE000001/45824/1.1.3./SBV25Q</t>
  </si>
  <si>
    <t>2c7e2f76-70f7-4ef2-8d8f-cb9058a5b512</t>
  </si>
  <si>
    <t>Card System Adaptation | 1.1.3. (+) შემოსავალი ლიფტების სერვისიდან - არაგეგმიური | ორბი ჯგუფი ბათუმი (ს.კ. 445468798) - შპს</t>
  </si>
  <si>
    <t>Card System Adaptation | 1.1.3. | ორბი ჯგუფი ბათუმი  | 99,619.50 USD | 16.06.2025</t>
  </si>
  <si>
    <t>ICE868</t>
  </si>
  <si>
    <t>Mardi Hills Unloading</t>
  </si>
  <si>
    <t>ICE002369/45505/1.1.1./1BURKV</t>
  </si>
  <si>
    <t>818aa80e-c6bc-41f8-bb23-b903e6967088</t>
  </si>
  <si>
    <t>Mardi Hills Unloading | 1.1.1. (+) შემოსავალი ლიფტების რეალიზაციიდან | მარდი ჰილსი (ს.კ. 405572633) - შპს</t>
  </si>
  <si>
    <t>Mardi Hills Unloading | 1.1.1. | მარდი ჰილსი  | 3,100.00 GEL | 01.08.2024</t>
  </si>
  <si>
    <t>ICE869</t>
  </si>
  <si>
    <t>ICE2732/45627/1.1.2./ZUXFOV</t>
  </si>
  <si>
    <t>a3bea6c5-a05a-47a7-89c9-509c7930d92b</t>
  </si>
  <si>
    <t>King Parnavaz Service | 1.1.2. (+) შემოსავალი ლიფტების სერვისიდან - გეგმიური | ფარნავაზ მეფის # 62 (ს.კ. 245665221) - ამხანაგობა</t>
  </si>
  <si>
    <t>King Parnavaz Service | 1.1.2. | ფარნავაზ მეფის # 62  | 300.00 GEL | 01.12.2024</t>
  </si>
  <si>
    <t>ICE870</t>
  </si>
  <si>
    <t>Art House Service</t>
  </si>
  <si>
    <t>ICE003004/45790/1.1.2./93CTVA</t>
  </si>
  <si>
    <t>7e57e3cf-b8ac-4e16-882d-374e7692b3c2</t>
  </si>
  <si>
    <t>Art House Service | 1.1.2. (+) შემოსავალი ლიფტების სერვისიდან - გეგმიური | ანაგი არტ ჰაუსი (ს.კ. 404630716) - შპს</t>
  </si>
  <si>
    <t>Art House Service | 1.1.2. | ანაგი არტ ჰაუსი  | 100.00 USD | 13.05.2025</t>
  </si>
  <si>
    <t>ICE871</t>
  </si>
  <si>
    <t>DECRIPT CJSC (ს.კ. 02885818) - უცხოური საწარმო</t>
  </si>
  <si>
    <t>Heat Pump</t>
  </si>
  <si>
    <t>ICE003038/45817/1.2.1./1OGPKR</t>
  </si>
  <si>
    <t>8380cc2c-30e5-4ac7-a1a4-85bc1ee0bdff</t>
  </si>
  <si>
    <t>Heat Pump | 1.2.1. (+) შემოსავალი MEP დანადგარების რეალიზაციიდან | DECRIPT CJSC (ს.კ. 02885818) - უცხოური საწარმო</t>
  </si>
  <si>
    <t>e57e51e3-35b5-48de-baf9-c08664162344</t>
  </si>
  <si>
    <t>Heat Pump | 1.2.1. | DECRIPT CJSC  | 4,400.00 USD | 06.09.2025</t>
  </si>
  <si>
    <t>ICE872</t>
  </si>
  <si>
    <t>Kvareli Termostat Check</t>
  </si>
  <si>
    <t>ICE1905/45597/1.2.1./EKB4TG</t>
  </si>
  <si>
    <t>6ed7254f-9cb4-4319-9b92-05f707838d07</t>
  </si>
  <si>
    <t>Kvareli Termostat Check | 1.2.1. (+) შემოსავალი MEP დანადგარების რეალიზაციიდან | ინდეკო სი ემ  (ს.კ. 405508339) - შპს</t>
  </si>
  <si>
    <t>Kvareli Termostat Check | 1.2.1. | ინდეკო სი ემ   | 1,000.00 GEL | 01.11.2024</t>
  </si>
  <si>
    <t>ICE873</t>
  </si>
  <si>
    <t>Vake Ramishvili Refregerant</t>
  </si>
  <si>
    <t>ICE1905/45566/1.2.1./CKNF6P</t>
  </si>
  <si>
    <t>b62a9a1e-f268-4c63-8f98-547fac6ebcea</t>
  </si>
  <si>
    <t>Vake Ramishvili Refregerant | 1.2.1. (+) შემოსავალი MEP დანადგარების რეალიზაციიდან | ინდეკო სი ემ  (ს.კ. 405508339) - შპს</t>
  </si>
  <si>
    <t>Vake Ramishvili Refregerant | 1.2.1. | ინდეკო სი ემ   | 6,100.00 GEL | 01.10.2024</t>
  </si>
  <si>
    <t>ICE874</t>
  </si>
  <si>
    <t>Kvareli Staff House Elevator</t>
  </si>
  <si>
    <t>ICE000043/45778/1.1.1./Q2TNVC</t>
  </si>
  <si>
    <t>fa29fbbe-3029-4837-adde-793c2ca8395d</t>
  </si>
  <si>
    <t>Kvareli Staff House Elevator | 1.1.1. (+) შემოსავალი ლიფტების რეალიზაციიდან | ინდეკო სი ემ  (ს.კ. 405508339) - შპს</t>
  </si>
  <si>
    <t>Kvareli Staff House Elevator | 1.1.1. | ინდეკო სი ემ   | 24,300.00 USD | 01.05.2025</t>
  </si>
  <si>
    <t>ICE875</t>
  </si>
  <si>
    <t>Chkondideli Repair 21 UNITS</t>
  </si>
  <si>
    <t>ICE001643/45846/1.1.1./OWU2R5</t>
  </si>
  <si>
    <t>808bf640-8295-46a9-a083-c43472345717</t>
  </si>
  <si>
    <t>Chkondideli Repair 21 UNITS | 1.1.1. (+) შემოსავალი ლიფტების რეალიზაციიდან | ოპტიმა (ს.კ. 405160819) - შპს</t>
  </si>
  <si>
    <t>Chkondideli Repair 21 UNITS | 1.1.1. | ოპტიმა  | 1,087,440.00 USD | 08.07.2025</t>
  </si>
  <si>
    <t>ICE876</t>
  </si>
  <si>
    <t>Chkondideli Repair 2 UNITS</t>
  </si>
  <si>
    <t>ICE001643/45846/1.1.1./WX6JC2</t>
  </si>
  <si>
    <t>61cf565e-ba4c-40d0-9bba-77ace1f5ae83</t>
  </si>
  <si>
    <t>Chkondideli Repair 2 UNITS | 1.1.1. (+) შემოსავალი ლიფტების რეალიზაციიდან | ოპტიმა (ს.კ. 405160819) - შპს</t>
  </si>
  <si>
    <t>Chkondideli Repair 2 UNITS | 1.1.1. | ოპტიმა  | 123,120.00 EUR | 08.07.2025</t>
  </si>
  <si>
    <t>ICE877</t>
  </si>
  <si>
    <t>ბენე კომფორტი (ს.კ. 405384383) - შპს</t>
  </si>
  <si>
    <t>Varazi 99 D</t>
  </si>
  <si>
    <t>ICE003169/45787/1.2.2./1PX4HG</t>
  </si>
  <si>
    <t>a87c9332-a4ab-4fb3-b4dd-34e3c522dd56</t>
  </si>
  <si>
    <t>Varazi 99 D | 1.2.2. (+) შემოსავალი MEP დანადგარების სერვისიდან - გეგმიური | ბენე კომფორტი (ს.კ. 405384383) - შპს</t>
  </si>
  <si>
    <t>f35a04db-068e-41d5-b8a8-8bfde7ffa421</t>
  </si>
  <si>
    <t>Varazi 99 D | 1.2.2. | ბენე კომფორტი  | 200.00 USD | 10.05.2025</t>
  </si>
  <si>
    <t>ICE878</t>
  </si>
  <si>
    <t>1TV Service</t>
  </si>
  <si>
    <t>ICE000014/45792/1.2.1./UHN9UT</t>
  </si>
  <si>
    <t>4c42287e-5602-4073-ab4e-ac2dc3bce4e2</t>
  </si>
  <si>
    <t>1TV Service | 1.2.1. (+) შემოსავალი MEP დანადგარების რეალიზაციიდან | თბილი სახლი (ს.კ. 204976179) - შპს</t>
  </si>
  <si>
    <t>1TV Service | 1.2.1. | თბილი სახლი  | 1,200.00 USD | 15.05.2025</t>
  </si>
  <si>
    <t>ICE879</t>
  </si>
  <si>
    <t>Additional Shafts</t>
  </si>
  <si>
    <t>ICE002291/45840/1.1.1./LBMPW2</t>
  </si>
  <si>
    <t>34dde880-2eea-4654-919e-454a6ba8c693</t>
  </si>
  <si>
    <t>Additional Shafts | 1.1.1. (+) შემოსავალი ლიფტების რეალიზაციიდან | ავენიუ ბაი ორბი (ს.კ. 445488749) - შპს</t>
  </si>
  <si>
    <t>Additional Shafts | 1.1.1. | ავენიუ ბაი ორბი  | 50,480.00 USD | 02.07.2025</t>
  </si>
  <si>
    <t>ICE880</t>
  </si>
  <si>
    <t>Arken Service</t>
  </si>
  <si>
    <t>ICE002573/45806/1.2.3./PT5JP4</t>
  </si>
  <si>
    <t>780da0cb-91c2-4d8d-9a18-d99b8132c339</t>
  </si>
  <si>
    <t>Arken Service | 1.2.3. (+) შემოსავალი MEP დანადგარების სერვისიდან - არაგეგმიური | თბილისი დრაი პორტი (ს.კ. 405483454) - შპს</t>
  </si>
  <si>
    <t>Arken Service | 1.2.3. | თბილისი დრაი პორტი  | 2,800.00 USD | 29.05.2025</t>
  </si>
  <si>
    <t>ICE881</t>
  </si>
  <si>
    <t>Building Elevator Rent</t>
  </si>
  <si>
    <t>ICE000033/45852/1.1.1./YGRBAU</t>
  </si>
  <si>
    <t>f8554cb4-f969-4d12-bd11-ddf5b8190331</t>
  </si>
  <si>
    <t>Building Elevator Rent | 1.1.1. (+) შემოსავალი ლიფტების რეალიზაციიდან | ანაგი (ს.კ. 245416401) - შპს</t>
  </si>
  <si>
    <t>Building Elevator Rent | 1.1.1. | ანაგი  | 51,000.00 GEL | 14.07.2025</t>
  </si>
  <si>
    <t>ICE882</t>
  </si>
  <si>
    <t>Malsi (ს.კ. 445419770) - შპს</t>
  </si>
  <si>
    <t>Ali Batumi</t>
  </si>
  <si>
    <t>ICE003173/45853/1.2.1./80ZRP1</t>
  </si>
  <si>
    <t>913dcc58-9eb3-4d5f-824f-538c2e0909e4</t>
  </si>
  <si>
    <t>Ali Batumi | 1.2.1. (+) შემოსავალი MEP დანადგარების რეალიზაციიდან | Malsi (ს.კ. 445419770) - შპს</t>
  </si>
  <si>
    <t>2a4d8f4e-e7cd-4ed5-a7dc-a92fc16e37b3</t>
  </si>
  <si>
    <t>Ali Batumi | 1.2.1. | Malsi  | 12,585.00 USD | 15.07.2025</t>
  </si>
  <si>
    <t>ICE883</t>
  </si>
  <si>
    <t>ICE000027/45846/1.1.3./7IDMWQ</t>
  </si>
  <si>
    <t>2b109f1a-7ce1-4af8-a2e7-e0b90d88d0ed</t>
  </si>
  <si>
    <t>Zara Escalator Repair | 1.1.3. | Spanish Retail Georgia  | 4,600.00 GEL | 08.07.2025</t>
  </si>
  <si>
    <t>ICE884</t>
  </si>
  <si>
    <t>თეკლე გორდეზიანი (ს.კ. 35901129029) - ფიზ. პირი</t>
  </si>
  <si>
    <t>Gordeziani Rustavi</t>
  </si>
  <si>
    <t>ICE3142/44316/1.1.2./JVYHGC</t>
  </si>
  <si>
    <t>651ad887-b4f3-46fa-8f0e-f4cf9356e703</t>
  </si>
  <si>
    <t>Gordeziani Rustavi | 1.1.2. (+) შემოსავალი ლიფტების სერვისიდან - გეგმიური | თეკლე გორდეზიანი (ს.კ. 35901129029) - ფიზ. პირი</t>
  </si>
  <si>
    <t>ca619f43-8990-49a5-8c86-f34c86395425</t>
  </si>
  <si>
    <t>Gordeziani Rustavi | 1.1.2. | თეკლე გორდეზიანი  | 600.00 GEL | 30.04.2021</t>
  </si>
  <si>
    <t>ICE885</t>
  </si>
  <si>
    <t>Wedding Hall Reconstruction</t>
  </si>
  <si>
    <t>ICE000024/45831/1.1.1./VCYP5W</t>
  </si>
  <si>
    <t>bdb15239-50fc-466c-8a9a-6f1a1133b180</t>
  </si>
  <si>
    <t>Wedding Hall Reconstruction | 1.1.1. (+) შემოსავალი ლიფტების რეალიზაციიდან | მოდუსი (ს.კ. 245565669) - შპს</t>
  </si>
  <si>
    <t>Wedding Hall Reconstruction | 1.1.1. | მოდუსი  | 9,300.00 USD | 23.06.2025</t>
  </si>
  <si>
    <t>ICE886</t>
  </si>
  <si>
    <t>Nutsubidze Service</t>
  </si>
  <si>
    <t>ICE001277/45809/1.1.2./23KPSO</t>
  </si>
  <si>
    <t>6d09a2ab-a864-46af-bcff-099fd7a7ea00</t>
  </si>
  <si>
    <t>Nutsubidze Service | 1.1.2. (+) შემოსავალი ლიფტების სერვისიდან - გეგმიური | სფერა (ს.კ. 405412361) - შპს</t>
  </si>
  <si>
    <t>Nutsubidze Service | 1.1.2. | სფერა  | 500.00 USD | 01.06.2025</t>
  </si>
  <si>
    <t>ICE887</t>
  </si>
  <si>
    <t>ჰილ საიდ დეველოპმენთ (ს.კ. 404619668) - შპს</t>
  </si>
  <si>
    <t>Gergeti Str</t>
  </si>
  <si>
    <t>ICE003182/45863/1.1.1./OQVTYZ</t>
  </si>
  <si>
    <t>14b74ce2-176f-45a2-a7dc-b2147861533c</t>
  </si>
  <si>
    <t>Gergeti Str | 1.1.1. (+) შემოსავალი ლიფტების რეალიზაციიდან | ჰილ საიდ დეველოპმენთ (ს.კ. 404619668) - შპს</t>
  </si>
  <si>
    <t>bfc971e5-83a3-47a8-b1dc-c45b1b8c8f92</t>
  </si>
  <si>
    <t>Gergeti Str | 1.1.1. | ჰილ საიდ დეველოპმენთ  | 106,000.00 USD | 25.07.2025</t>
  </si>
  <si>
    <t>ICE888</t>
  </si>
  <si>
    <t>ფრანს ავტო (ს.კ. 236098165) - შპს</t>
  </si>
  <si>
    <t>Renault Center Design</t>
  </si>
  <si>
    <t>ICE002323/45860/1.2.1./RJ3TVH</t>
  </si>
  <si>
    <t>20772c20-2969-4621-a1da-86f9844eead3</t>
  </si>
  <si>
    <t>Renault Center Design | 1.2.1. (+) შემოსავალი MEP დანადგარების რეალიზაციიდან | ფრანს ავტო (ს.კ. 236098165) - შპს</t>
  </si>
  <si>
    <t>239c1ffa-b15c-4b14-af18-a276f4963ad1</t>
  </si>
  <si>
    <t>Renault Center Design | 1.2.1. | ფრანს ავტო  | 2,500.00 GEL | 22.07.2025</t>
  </si>
  <si>
    <t>ICE889</t>
  </si>
  <si>
    <t>ჯი-თი მოტორს (ს.კ. 206276340) - შპს</t>
  </si>
  <si>
    <t>BMW CENTER</t>
  </si>
  <si>
    <t>ICE000133/45866/1.1.1./2QE7SK</t>
  </si>
  <si>
    <t>f44869d1-5867-4565-981d-a314e29ff356</t>
  </si>
  <si>
    <t>BMW CENTER | 1.1.1. (+) შემოსავალი ლიფტების რეალიზაციიდან | ჯი-თი მოტორს (ს.კ. 206276340) - შპს</t>
  </si>
  <si>
    <t>0287776F-9E6F-4DA0-B7EF-8779B6C95A99</t>
  </si>
  <si>
    <t>BMW CENTER | 1.1.1. | ჯი-თი მოტორს  | 104,480.00 EUR | 28.07.2025</t>
  </si>
  <si>
    <t>ICE890</t>
  </si>
  <si>
    <t>BMW CENTER (2)</t>
  </si>
  <si>
    <t>ICE000133/45866/1.1.1./IH0S9P</t>
  </si>
  <si>
    <t>d2efdf13-e345-4068-b330-cc3363d7620e</t>
  </si>
  <si>
    <t>BMW CENTER (2) | 1.1.1. (+) შემოსავალი ლიფტების რეალიზაციიდან | ჯი-თი მოტორს (ს.კ. 206276340) - შპს</t>
  </si>
  <si>
    <t>BMW CENTER (2) | 1.1.1. | ჯი-თი მოტორს  | 417,080.00 EUR | 28.07.2025</t>
  </si>
  <si>
    <t>ICE891</t>
  </si>
  <si>
    <t>BMW CENTER (3)</t>
  </si>
  <si>
    <t>ICE000133/45866/1.1.1./Q6RHWV</t>
  </si>
  <si>
    <t>1303872a-1e47-4ede-ba36-dae02084c0e2</t>
  </si>
  <si>
    <t>BMW CENTER (3) | 1.1.1. (+) შემოსავალი ლიფტების რეალიზაციიდან | ჯი-თი მოტორს (ს.კ. 206276340) - შპს</t>
  </si>
  <si>
    <t>BMW CENTER (3) | 1.1.1. | ჯი-თი მოტორს  | 11,340.00 EUR | 28.07.2025</t>
  </si>
  <si>
    <t>ICE892</t>
  </si>
  <si>
    <t>Mitsubishi VRF</t>
  </si>
  <si>
    <t>ICE001884/45868/1.2.3./FORNT7</t>
  </si>
  <si>
    <t>176e1484-cd37-4c5a-904c-db1ae4ba7157</t>
  </si>
  <si>
    <t>Mitsubishi VRF | 1.2.3. (+) შემოსავალი MEP დანადგარების სერვისიდან - არაგეგმიური | ინდეკო ჰოსფითალითი (ს.კ. 405508026) - შპს</t>
  </si>
  <si>
    <t>Mitsubishi VRF | 1.2.3. | ინდეკო ჰოსფითალითი  | 1,050.00 GEL | 30.07.2025</t>
  </si>
  <si>
    <t>ICE893</t>
  </si>
  <si>
    <t>HGI Heat Pump Mbus</t>
  </si>
  <si>
    <t>ICE000118/44482/1.2.1./OQU18S</t>
  </si>
  <si>
    <t>fff21f65-9095-4104-bf7e-6153cfe24096</t>
  </si>
  <si>
    <t>HGI Heat Pump Mbus | 1.2.1. (+) შემოსავალი MEP დანადგარების რეალიზაციიდან | მეპერსი (ს.კ. 402121887) - შპს</t>
  </si>
  <si>
    <t>HGI Heat Pump Mbus | 1.2.1. | მეპერსი  | 10,807.36 USD | 13.10.2021</t>
  </si>
  <si>
    <t>ICE894</t>
  </si>
  <si>
    <t>Fancoil</t>
  </si>
  <si>
    <t>ICE000118/44725/1.2.1./8CPSVZ</t>
  </si>
  <si>
    <t>4d458a60-ecf8-40ed-8900-b45b09123050</t>
  </si>
  <si>
    <t>Fancoil | 1.2.1. (+) შემოსავალი MEP დანადგარების რეალიზაციიდან | მეპერსი (ს.კ. 402121887) - შპს</t>
  </si>
  <si>
    <t>Fancoil | 1.2.1. | მეპერსი  | 1,124.53 USD | 13.06.2022</t>
  </si>
  <si>
    <t>ICE895</t>
  </si>
  <si>
    <t>HIEX (EUR)</t>
  </si>
  <si>
    <t>ICE000118/44256/1.2.1./UE7KVC</t>
  </si>
  <si>
    <t>d78a50df-8538-48a5-a164-2caf2ee08edd</t>
  </si>
  <si>
    <t>HIEX (EUR) | 1.2.1. (+) შემოსავალი MEP დანადგარების რეალიზაციიდან | მეპერსი (ს.კ. 402121887) - შპს</t>
  </si>
  <si>
    <t>HIEX (EUR) | 1.2.1. | მეპერსი  | 34,167.15 EUR | 01.03.2021</t>
  </si>
  <si>
    <t>ICE896</t>
  </si>
  <si>
    <t>Kvariati FLS</t>
  </si>
  <si>
    <t>ICE000118/45422/1.2.1./42HVWB</t>
  </si>
  <si>
    <t>75ec5898-1b86-4e14-a694-5fa0da9f55ef</t>
  </si>
  <si>
    <t>Kvariati FLS | 1.2.1. (+) შემოსავალი MEP დანადგარების რეალიზაციიდან | მეპერსი (ს.კ. 402121887) - შპს</t>
  </si>
  <si>
    <t>Kvariati FLS | 1.2.1. | მეპერსი  | 11,189.02 EUR | 10.05.2024</t>
  </si>
  <si>
    <t>ICE897</t>
  </si>
  <si>
    <t>Scaffolding Rent</t>
  </si>
  <si>
    <t>ICE000118/45679/1.3.2./FO74S1</t>
  </si>
  <si>
    <t>ccd89e5c-8a53-490c-9b49-ebb1d99952b7</t>
  </si>
  <si>
    <t>Scaffolding Rent | 1.3.2. (+) იჯარიდან მიღებული შემოსავალი | მეპერსი (ს.კ. 402121887) - შპს</t>
  </si>
  <si>
    <t>Scaffolding Rent | 1.3.2. | მეპერსი  | 1,800.00 GEL | 22.01.2025</t>
  </si>
  <si>
    <t>ICE898</t>
  </si>
  <si>
    <t>Rustavi Mall Glass</t>
  </si>
  <si>
    <t>ICE000088/45839/1.2.3./ZJO0AX</t>
  </si>
  <si>
    <t>81ef4041-063e-4b84-99e3-f04164edc3d9</t>
  </si>
  <si>
    <t>Rustavi Mall Glass | 1.2.3. (+) შემოსავალი MEP დანადგარების სერვისიდან - არაგეგმიური | მპ დეველოპმენტი (ს.კ. 404960217) - შპს</t>
  </si>
  <si>
    <t>Rustavi Mall Glass | 1.2.3. | მპ დეველოპმენტი  | 960.00 GEL | 01.07.2025</t>
  </si>
  <si>
    <t>ICE899</t>
  </si>
  <si>
    <t>Joints</t>
  </si>
  <si>
    <t>ICE000118/45386/1.2.1./9JFOGU</t>
  </si>
  <si>
    <t>e44aebac-eeb1-42f7-9c90-43fddae3a935</t>
  </si>
  <si>
    <t>Joints | 1.2.1. (+) შემოსავალი MEP დანადგარების რეალიზაციიდან | მეპერსი (ს.კ. 402121887) - შპს</t>
  </si>
  <si>
    <t>Joints | 1.2.1. | მეპერსი  | 595.84 GEL | 04.04.2024</t>
  </si>
  <si>
    <t>ICE900</t>
  </si>
  <si>
    <t>Beach Tower Service</t>
  </si>
  <si>
    <t>ICE000118/44166/1.2.1./YUS6VO</t>
  </si>
  <si>
    <t>60e39328-36da-44a9-93a6-12c7ab19714b</t>
  </si>
  <si>
    <t>Beach Tower Service | 1.2.1. (+) შემოსავალი MEP დანადგარების რეალიზაციიდან | მეპერსი (ს.კ. 402121887) - შპს</t>
  </si>
  <si>
    <t>Beach Tower Service | 1.2.1. | მეპერსი  | 3,849.00 GEL | 01.12.2020</t>
  </si>
  <si>
    <t>ICE901</t>
  </si>
  <si>
    <t>Chakhrukhadze Service</t>
  </si>
  <si>
    <t>ICE001884/45798/1.2.3./WRM27U</t>
  </si>
  <si>
    <t>53708f68-c1b6-4922-b4bb-4e232f4762b6</t>
  </si>
  <si>
    <t>Chakhrukhadze Service | 1.2.3. (+) შემოსავალი MEP დანადგარების სერვისიდან - არაგეგმიური | ინდეკო ჰოსფითალითი (ს.კ. 405508026) - შპს</t>
  </si>
  <si>
    <t>Chakhrukhadze Service | 1.2.3. | ინდეკო ჰოსფითალითი  | 2,000.00 GEL | 21.05.2025</t>
  </si>
  <si>
    <t>ICE902</t>
  </si>
  <si>
    <t>ნექსთ ფროფერთი (ს.კ. 445766859) - შპს</t>
  </si>
  <si>
    <t>Next Tbilisi Downtown</t>
  </si>
  <si>
    <t>ICE003198/45880/1.1.1./3QWUYX</t>
  </si>
  <si>
    <t>3d1f684e-53e5-43bc-a55b-dc2226668e7b</t>
  </si>
  <si>
    <t>Next Tbilisi Downtown | 1.1.1. (+) შემოსავალი ლიფტების რეალიზაციიდან | ნექსთ ფროფერთი (ს.კ. 445766859) - შპს</t>
  </si>
  <si>
    <t>e8b5ea6c-53ce-4c50-a1aa-a21d51c741d8</t>
  </si>
  <si>
    <t>Next Tbilisi Downtown | 1.1.1. | ნექსთ ფროფერთი  | 200,340.00 USD | 11.08.2025</t>
  </si>
  <si>
    <t>ICE903</t>
  </si>
  <si>
    <t>2 Firebox Installation</t>
  </si>
  <si>
    <t>ICE002573/45881/1.2.1./FA06E2</t>
  </si>
  <si>
    <t>b2f6af17-1bef-4188-9ee8-3b679aaca2a1</t>
  </si>
  <si>
    <t>2 Firebox Installation | 1.2.1. (+) შემოსავალი MEP დანადგარების რეალიზაციიდან | თბილისი დრაი პორტი (ს.კ. 405483454) - შპს</t>
  </si>
  <si>
    <t>2 Firebox Installation | 1.2.1. | თბილისი დრაი პორტი  | 2,914.00 GEL | 12.08.2025</t>
  </si>
  <si>
    <t>ICE904</t>
  </si>
  <si>
    <t>Telegraph Hotel Humidifier</t>
  </si>
  <si>
    <t>ICE1904/45839/1.2.1./TQRSX2</t>
  </si>
  <si>
    <t>76dff0ea-9a54-4593-bd6e-27bb5653af7c</t>
  </si>
  <si>
    <t>Telegraph Hotel Humidifier | 1.2.1. (+) შემოსავალი MEP დანადგარების რეალიზაციიდან | დნთ ქონსთრაქშენ (ს.კ. 405418196) - შპს</t>
  </si>
  <si>
    <t>Telegraph Hotel Humidifier | 1.2.1. | დნთ ქონსთრაქშენ  | 2,040.00 USD | 01.07.2025</t>
  </si>
  <si>
    <t>ICE905</t>
  </si>
  <si>
    <t>Chkonia Elevator Service</t>
  </si>
  <si>
    <t>ICE002123/45839/1.1.2./OONGCY</t>
  </si>
  <si>
    <t>1236cdd5-0ca2-4cc7-8537-9265b5813a46</t>
  </si>
  <si>
    <t>Chkonia Elevator Service | 1.1.2. (+) შემოსავალი ლიფტების სერვისიდან - გეგმიური | სახლი ძველ ბათუმში (ს.კ. 445433610) - შპს</t>
  </si>
  <si>
    <t>Chkonia Elevator Service | 1.1.2. | სახლი ძველ ბათუმში  | 100.00 USD | 01.07.2025</t>
  </si>
  <si>
    <t>ICE906</t>
  </si>
  <si>
    <t>Kobuleti Garden Inn Other</t>
  </si>
  <si>
    <t>ICE000048/45883/1.1.3./5XMIXP</t>
  </si>
  <si>
    <t>76c81ead-4186-4cc5-b1cb-8d0bd724c936</t>
  </si>
  <si>
    <t>Kobuleti Garden Inn Other | 1.1.3. (+) შემოსავალი ლიფტების სერვისიდან - არაგეგმიური | იოსებ გუნთაიშვილი (ს.კ. 61001008820) - ფიზ. პირი</t>
  </si>
  <si>
    <t>Kobuleti Garden Inn Other | 1.1.3. | იოსებ გუნთაიშვილი  | 300.00 GEL | 14.08.2025</t>
  </si>
  <si>
    <t>ICE907</t>
  </si>
  <si>
    <t>ფორის დეველოპმენტი (ს.კ. 445587614) - შპს</t>
  </si>
  <si>
    <t>Foris Suits</t>
  </si>
  <si>
    <t>ICE003200/45870/1.1.1./2RFOK4</t>
  </si>
  <si>
    <t>d9f7ad7e-ede5-4474-9f53-2e7dd3f53599</t>
  </si>
  <si>
    <t>Foris Suits | 1.1.1. (+) შემოსავალი ლიფტების რეალიზაციიდან | ფორის დეველოპმენტი (ს.კ. 445587614) - შპს</t>
  </si>
  <si>
    <t>4b211f63-8396-46ff-b4d1-642c7a3d077f</t>
  </si>
  <si>
    <t>Foris Suits | 1.1.1. | ფორის დეველოპმენტი  | 152,170.00 USD | 01.08.2025</t>
  </si>
  <si>
    <t>ICE908</t>
  </si>
  <si>
    <t>BOQ Vake Restaurant</t>
  </si>
  <si>
    <t>ICE1905/45875/1.2.1./QWCGS4</t>
  </si>
  <si>
    <t>e68ef0e0-13b9-4e5b-9b7b-4346ae24e7a6</t>
  </si>
  <si>
    <t>BOQ Vake Restaurant | 1.2.1. (+) შემოსავალი MEP დანადგარების რეალიზაციიდან | ინდეკო სი ემ  (ს.კ. 405508339) - შპს</t>
  </si>
  <si>
    <t>BOQ Vake Restaurant | 1.2.1. | ინდეკო სი ემ   | 92,605.45 USD | 06.08.2025</t>
  </si>
  <si>
    <t>ICE909</t>
  </si>
  <si>
    <t>Isani D Block Door Engine</t>
  </si>
  <si>
    <t>ICE2862/45736/1.1.3./XQK483</t>
  </si>
  <si>
    <t>96622052-3fa7-4a40-ae75-9bbc080c5d5b</t>
  </si>
  <si>
    <t>Isani D Block Door Engine | 1.1.3. (+) შემოსავალი ლიფტების სერვისიდან - არაგეგმიური | არქი მეინთენენს (ს.კ. 405752957) - შპს</t>
  </si>
  <si>
    <t>Isani D Block Door Engine | 1.1.3. | არქი მეინთენენს  | 800.00 USD | 20.03.2025</t>
  </si>
  <si>
    <t>ICE910</t>
  </si>
  <si>
    <t>კამ (ს.კ. 406050856) - შპს</t>
  </si>
  <si>
    <t>Gallery Reprogramming</t>
  </si>
  <si>
    <t>ICE003205/45896/1.2.1./FRWDMU</t>
  </si>
  <si>
    <t>896a4b80-4b57-4a1b-894a-1dcb6dfebf9f</t>
  </si>
  <si>
    <t>Gallery Reprogramming | 1.2.1. (+) შემოსავალი MEP დანადგარების რეალიზაციიდან | კამ (ს.კ. 406050856) - შპს</t>
  </si>
  <si>
    <t>f803a84d-97b6-49cf-824e-d2806271449a</t>
  </si>
  <si>
    <t>Gallery Reprogramming | 1.2.1. | კამ  | 20,234.84 GEL | 27.08.2025</t>
  </si>
  <si>
    <t>ICE911</t>
  </si>
  <si>
    <t>VRF</t>
  </si>
  <si>
    <t>ICE002977/45804/1.2.1./T19PXT</t>
  </si>
  <si>
    <t>52d886f8-9173-4e2d-9d73-fd44e28b55ca</t>
  </si>
  <si>
    <t>VRF | 1.2.1. (+) შემოსავალი MEP დანადგარების რეალიზაციიდან | ნინო თავამაიშვილი (ს.კ. 33001020674) - ფიზ. პირი</t>
  </si>
  <si>
    <t>VRF | 1.2.1. | ნინო თავამაიშვილი  | 8,720.00 USD | 27.05.2025</t>
  </si>
  <si>
    <t>ICE912</t>
  </si>
  <si>
    <t>Escalator Step</t>
  </si>
  <si>
    <t>ICE001883/45895/1.1.3./HRS136</t>
  </si>
  <si>
    <t>3221a7e6-6cd7-4a0c-b402-bf79bdb96de4</t>
  </si>
  <si>
    <t>Escalator Step | 1.1.3. (+) შემოსავალი ლიფტების სერვისიდან - არაგეგმიური | გრანდ მოლი (ს.კ. 445524479) - შპს</t>
  </si>
  <si>
    <t>Escalator Step | 1.1.3. | გრანდ მოლი  | 1,350.00 GEL | 26.08.2025</t>
  </si>
  <si>
    <t>ICE913</t>
  </si>
  <si>
    <t>A &amp; B Block Doors</t>
  </si>
  <si>
    <t>ICE001859/45831/1.1.3./SR0VWS</t>
  </si>
  <si>
    <t>b56a8f1d-3a8b-478e-aed9-78922b71241a</t>
  </si>
  <si>
    <t>A &amp; B Block Doors | 1.1.3. (+) შემოსავალი ლიფტების სერვისიდან - არაგეგმიური | ლაიქ ჰაუსი (ს.კ. 445478563) - შპს</t>
  </si>
  <si>
    <t>A &amp; B Block Doors | 1.1.3. | ლაიქ ჰაუსი  | 3,960.00 USD | 23.06.2025</t>
  </si>
  <si>
    <t>ICE914</t>
  </si>
  <si>
    <t>დეკა ლისი (ს.კ. 405476872) - შპს</t>
  </si>
  <si>
    <t>Deka Lisi</t>
  </si>
  <si>
    <t>ICE003213/45882/1.1.1./JTXV0F</t>
  </si>
  <si>
    <t>317f801f-bf5e-43fc-91d4-d5978e6673a3</t>
  </si>
  <si>
    <t>Deka Lisi | 1.1.1. (+) შემოსავალი ლიფტების რეალიზაციიდან | დეკა ლისი (ს.კ. 405476872) - შპს</t>
  </si>
  <si>
    <t>ab81e45d-fc7d-41c1-bb11-61d2345f074a</t>
  </si>
  <si>
    <t>Deka Lisi | 1.1.1. | დეკა ლისი  | 140,500.00 USD | 13.08.2025</t>
  </si>
  <si>
    <t>ICE915</t>
  </si>
  <si>
    <t>თამარ ანდრიაძე (ს.კ. 1024070871) - ფიზ. პირი</t>
  </si>
  <si>
    <t>Varazi 99</t>
  </si>
  <si>
    <t>ICE003214/45818/1.1.2./87XWP5</t>
  </si>
  <si>
    <t>178203ce-ad2d-4fb5-a269-4dabad09977b</t>
  </si>
  <si>
    <t>Varazi 99 | 1.1.2. (+) შემოსავალი ლიფტების სერვისიდან - გეგმიური | თამარ ანდრიაძე (ს.კ. 1024070871) - ფიზ. პირი</t>
  </si>
  <si>
    <t>c927ff43-63ab-4b84-bd2a-6f3603b427b4</t>
  </si>
  <si>
    <t>Varazi 99 | 1.1.2. | თამარ ანდრიაძე  | 200.00 USD | 10.06.2025</t>
  </si>
  <si>
    <t>ICE916</t>
  </si>
  <si>
    <t>Kart</t>
  </si>
  <si>
    <t>ICE000118/45870/1.2.3./52KZT1</t>
  </si>
  <si>
    <t>a08f2e92-ddcd-44b8-8515-27faf5f4eb63</t>
  </si>
  <si>
    <t>Kart | 1.2.3. (+) შემოსავალი MEP დანადგარების სერვისიდან - არაგეგმიური | მეპერსი (ს.კ. 402121887) - შპს</t>
  </si>
  <si>
    <t>Kart | 1.2.3. | მეპერსი  | 920.00 USD | 01.08.2025</t>
  </si>
  <si>
    <t>ICE917</t>
  </si>
  <si>
    <t>Additional Steel Works</t>
  </si>
  <si>
    <t>ICE002291/45901/1.1.1./UD9HAW</t>
  </si>
  <si>
    <t>d72d257b-3784-4939-8e28-7b69968edcc2</t>
  </si>
  <si>
    <t>Additional Steel Works | 1.1.1. (+) შემოსავალი ლიფტების რეალიზაციიდან | ავენიუ ბაი ორბი (ს.კ. 445488749) - შპს</t>
  </si>
  <si>
    <t>Additional Steel Works | 1.1.1. | ავენიუ ბაი ორბი  | 30,000.00 USD | 01.09.2025</t>
  </si>
  <si>
    <t>ICE918</t>
  </si>
  <si>
    <t>Varketili Mall HVAC</t>
  </si>
  <si>
    <t>ICE003006/45901/1.2.1./UEWTKP</t>
  </si>
  <si>
    <t>975f3203-d3ec-4f9c-a396-1a68ae4b7e30</t>
  </si>
  <si>
    <t>Varketili Mall HVAC | 1.2.1. (+) შემოსავალი MEP დანადგარების რეალიზაციიდან | მეტრო ჰოლდინგი (ს.კ. 404512933) - შპს</t>
  </si>
  <si>
    <t>Varketili Mall HVAC | 1.2.1. | მეტრო ჰოლდინგი  | 6,011,672.50 USD | 01.09.2025</t>
  </si>
  <si>
    <t>ICE919</t>
  </si>
  <si>
    <t>Arte Kerchi Service</t>
  </si>
  <si>
    <t>ICE2721/45870/1.1.2./LIDSOA</t>
  </si>
  <si>
    <t>20804530-adcf-44cb-a337-d21f165a052b</t>
  </si>
  <si>
    <t>Arte Kerchi Service | 1.1.2. (+) შემოსავალი ლიფტების სერვისიდან - გეგმიური | არტე ქერჩი (ს.კ. 400359492) - შპს</t>
  </si>
  <si>
    <t>Arte Kerchi Service | 1.1.2. | არტე ქერჩი  | 200.00 USD | 01.08.2025</t>
  </si>
  <si>
    <t>ICE920</t>
  </si>
  <si>
    <t>ირინე ხახუტაიშვილი (ს.კ. 61004007129) - ფიზ. პირი</t>
  </si>
  <si>
    <t>Tadzris 22 Areali</t>
  </si>
  <si>
    <t>ICE003232/45870/1.1.2./CQI6OF</t>
  </si>
  <si>
    <t>d397440b-a8a7-459f-b315-825fec814c2a</t>
  </si>
  <si>
    <t>Tadzris 22 Areali | 1.1.2. (+) შემოსავალი ლიფტების სერვისიდან - გეგმიური | ირინე ხახუტაიშვილი (ს.კ. 61004007129) - ფიზ. პირი</t>
  </si>
  <si>
    <t>0189a475-ca2b-4535-884b-b5d63f2e774a</t>
  </si>
  <si>
    <t>Tadzris 22 Areali | 1.1.2. | ირინე ხახუტაიშვილი  | 300.00 USD | 01.08.2025</t>
  </si>
  <si>
    <t>ICE921</t>
  </si>
  <si>
    <t>Millenio</t>
  </si>
  <si>
    <t>ICE000118/45920/1.1.1./QNCVOD</t>
  </si>
  <si>
    <t>9f6e78a8-ae91-479c-9830-072976842e2c</t>
  </si>
  <si>
    <t>Millenio | 1.1.1. (+) შემოსავალი ლიფტების რეალიზაციიდან | მეპერსი (ს.კ. 402121887) - შპს</t>
  </si>
  <si>
    <t>Millenio | 1.1.1. | მეპერსი  | 10,000.00 USD | 20.09.2025</t>
  </si>
  <si>
    <t>ICE922</t>
  </si>
  <si>
    <t>Renault Center</t>
  </si>
  <si>
    <t>ICE002323/45910/1.2.1./IU4XT8</t>
  </si>
  <si>
    <t>1f1e7627-ce2b-4a95-a892-ca73802c5e21</t>
  </si>
  <si>
    <t>Renault Center | 1.2.1. (+) შემოსავალი MEP დანადგარების რეალიზაციიდან | ფრანს ავტო (ს.კ. 236098165) - შპს</t>
  </si>
  <si>
    <t>Renault Center | 1.2.1. | ფრანს ავტო  | 117,350.00 USD | 10.09.2025</t>
  </si>
  <si>
    <t>ICE923</t>
  </si>
  <si>
    <t>Freight Elevator Parts</t>
  </si>
  <si>
    <t>ICE000112/45910/1.1.3./W2SWD5</t>
  </si>
  <si>
    <t>1f62ee8c-6a02-4dac-a8d0-808c5f9255fa</t>
  </si>
  <si>
    <t>Freight Elevator Parts | 1.1.3. (+) შემოსავალი ლიფტების სერვისიდან - არაგეგმიური | გალერია თბილისი (ს.კ. 204558497) - შპს</t>
  </si>
  <si>
    <t>Freight Elevator Parts | 1.1.3. | გალერია თბილისი  | 5,025.00 USD | 10.09.2025</t>
  </si>
  <si>
    <t>ICE924</t>
  </si>
  <si>
    <t>ვოლსი ბაკურიანი (ს.კ. 405475926) - შპს</t>
  </si>
  <si>
    <t>Walls Bakuriani</t>
  </si>
  <si>
    <t>ICE003243/45901/1.1.1./VXAT3J</t>
  </si>
  <si>
    <t>87a6c003-48f9-4043-950f-a4d02aa7ac6d</t>
  </si>
  <si>
    <t>Walls Bakuriani | 1.1.1. (+) შემოსავალი ლიფტების რეალიზაციიდან | ვოლსი ბაკურიანი (ს.კ. 405475926) - შპს</t>
  </si>
  <si>
    <t>97df064b-ac3c-44dc-b50f-4931d66dcb64</t>
  </si>
  <si>
    <t>Walls Bakuriani | 1.1.1. | ვოლსი ბაკურიანი  | 25,850.00 USD | 01.09.2025</t>
  </si>
  <si>
    <t>ICE925</t>
  </si>
  <si>
    <t>ლევანი მახათაძე (ს.კ. 18001008498) - ფიზ. პირი</t>
  </si>
  <si>
    <t>Mitsubishi Multisplits</t>
  </si>
  <si>
    <t>ICE003245/45902/1.2.3./OJKGHR</t>
  </si>
  <si>
    <t>ad72b3df-067c-44c4-9e00-f5b8d2b67b3e</t>
  </si>
  <si>
    <t>Mitsubishi Multisplits | 1.2.3. (+) შემოსავალი MEP დანადგარების სერვისიდან - არაგეგმიური | ლევანი მახათაძე (ს.კ. 18001008498) - ფიზ. პირი</t>
  </si>
  <si>
    <t>dff24cc5-ba99-47d7-9966-d83804cb055d</t>
  </si>
  <si>
    <t>Mitsubishi Multisplits | 1.2.3. | ლევანი მახათაძე  | 3,800.00 GEL | 02.09.2025</t>
  </si>
  <si>
    <t>ICE926</t>
  </si>
  <si>
    <t>Ramishvili Restaurant</t>
  </si>
  <si>
    <t>ICE1905/45901/1.2.1./CWXWRU</t>
  </si>
  <si>
    <t>3f76bba1-4514-4dc6-a906-a059e00c5bec</t>
  </si>
  <si>
    <t>Ramishvili Restaurant | 1.2.1. (+) შემოსავალი MEP დანადგარების რეალიზაციიდან | ინდეკო სი ემ  (ს.კ. 405508339) - შპს</t>
  </si>
  <si>
    <t>Ramishvili Restaurant | 1.2.1. | ინდეკო სი ემ   | 50,000.00 USD | 01.09.2025</t>
  </si>
  <si>
    <t>ICE927</t>
  </si>
  <si>
    <t>TELEGRAPH FCU MOTOR</t>
  </si>
  <si>
    <t>ICE1904/45834/1.2.1./U26O48</t>
  </si>
  <si>
    <t>c2527c31-fc87-4dac-990a-f13afa377510</t>
  </si>
  <si>
    <t>TELEGRAPH FCU MOTOR | 1.2.1. (+) შემოსავალი MEP დანადგარების რეალიზაციიდან | დნთ ქონსთრაქშენ (ს.კ. 405418196) - შპს</t>
  </si>
  <si>
    <t>TELEGRAPH FCU MOTOR | 1.2.1. | დნთ ქონსთრაქშენ  | 6,750.00 USD | 26.06.2025</t>
  </si>
  <si>
    <t>ICE928</t>
  </si>
  <si>
    <t>აისტერრა (ს.კ. 445733065) - შპს</t>
  </si>
  <si>
    <t>ICETERRA</t>
  </si>
  <si>
    <t>ICE003246/45909/1.2.1./UE5VTW</t>
  </si>
  <si>
    <t>cd067e66-6a27-47e4-ada8-f0ee19acf89a</t>
  </si>
  <si>
    <t>ICETERRA | 1.2.1. (+) შემოსავალი MEP დანადგარების რეალიზაციიდან | აისტერრა (ს.კ. 445733065) - შპს</t>
  </si>
  <si>
    <t>b02b47b8-6f99-4575-89ae-5c9cbd17d17d</t>
  </si>
  <si>
    <t>ICETERRA | 1.2.1. | აისტერრა  | 23,520.00 USD | 09.09.2025</t>
  </si>
  <si>
    <t>ICE929</t>
  </si>
  <si>
    <t>Kvareli Gallery</t>
  </si>
  <si>
    <t>ICE1905/45901/1.2.1./XV0XUQ</t>
  </si>
  <si>
    <t>d786f320-a2c9-412c-b4be-a05de4861762</t>
  </si>
  <si>
    <t>Kvareli Gallery | 1.2.1. (+) შემოსავალი MEP დანადგარების რეალიზაციიდან | ინდეკო სი ემ  (ს.კ. 405508339) - შპს</t>
  </si>
  <si>
    <t>Kvareli Gallery | 1.2.1. | ინდეკო სი ემ   | 795,000.00 USD | 01.09.2025</t>
  </si>
  <si>
    <t>ICE930</t>
  </si>
  <si>
    <t>ლისი თაურსი (ს.კ. 405535915) - შპს</t>
  </si>
  <si>
    <t>Lisi Trio Facade Elevators</t>
  </si>
  <si>
    <t>ICE003252/45901/1.1.1./V4K7TA</t>
  </si>
  <si>
    <t>9ca00d2c-d824-4172-9b01-11b5ea395289</t>
  </si>
  <si>
    <t>Lisi Trio Facade Elevators | 1.1.1. (+) შემოსავალი ლიფტების რეალიზაციიდან | ლისი თაურსი (ს.კ. 405535915) - შპს</t>
  </si>
  <si>
    <t>01230a64-68df-483f-a665-3da5373ee828</t>
  </si>
  <si>
    <t>Lisi Trio Facade Elevators | 1.1.1. | ლისი თაურსი  | 50,000.00 USD | 01.09.2025</t>
  </si>
  <si>
    <t>ICE931</t>
  </si>
  <si>
    <t>ურბანუს მზიური (ს.კ. 445725831) - შპს</t>
  </si>
  <si>
    <t>Urbanique</t>
  </si>
  <si>
    <t>ICE003270/45935/1.1.1./KU3CW1</t>
  </si>
  <si>
    <t>6358745f-1325-43fb-9b00-bbae70713918</t>
  </si>
  <si>
    <t>Urbanique | 1.1.1. (+) შემოსავალი ლიფტების რეალიზაციიდან | ურბანუს მზიური (ს.კ. 445725831) - შპს</t>
  </si>
  <si>
    <t>8487c8c9-5af1-467a-8a82-3ca25ec4e7c0</t>
  </si>
  <si>
    <t>Urbanique | 1.1.1. | ურბანუს მზიური  | 155,000.00 USD | 05.10.2025</t>
  </si>
  <si>
    <t>ICE932</t>
  </si>
  <si>
    <t>Display repair</t>
  </si>
  <si>
    <t>ICE2731/45905/1.1.3./TE91P5</t>
  </si>
  <si>
    <t>fbdf88c7-0845-4203-8edb-7e146ca94ca0</t>
  </si>
  <si>
    <t>Display repair | 1.1.3. (+) შემოსავალი ლიფტების სერვისიდან - არაგეგმიური | თეა მაღალდაძე (ს.კ. 57001015349) - ინდ. მეწარმე</t>
  </si>
  <si>
    <t>Display repair | 1.1.3. | თეა მაღალდაძე  | 300.00 GEL | 05.09.2025</t>
  </si>
  <si>
    <t>ICE933</t>
  </si>
  <si>
    <t>Impeller</t>
  </si>
  <si>
    <t>ICE1904/45917/1.2.3./TQPVEP</t>
  </si>
  <si>
    <t>85616cb7-40e7-478f-a16e-ab1942aaf326</t>
  </si>
  <si>
    <t>Impeller | 1.2.3. (+) შემოსავალი MEP დანადგარების სერვისიდან - არაგეგმიური | დნთ ქონსთრაქშენ (ს.კ. 405418196) - შპს</t>
  </si>
  <si>
    <t>Impeller | 1.2.3. | დნთ ქონსთრაქშენ  | 941.00 USD | 17.09.2025</t>
  </si>
  <si>
    <t>ICE934</t>
  </si>
  <si>
    <t>Park Home Repair</t>
  </si>
  <si>
    <t>ICE001874/45931/1.1.3./8PBNP9</t>
  </si>
  <si>
    <t>31b7837f-f301-4466-a759-1a2ca0425352</t>
  </si>
  <si>
    <t>Park Home Repair | 1.1.3. (+) შემოსავალი ლიფტების სერვისიდან - არაგეგმიური | ნუცუბიძე (ს.კ. 405387861) - შპს</t>
  </si>
  <si>
    <t>Park Home Repair | 1.1.3. | ნუცუბიძე  | 1,700.00 USD | 01.10.2025</t>
  </si>
  <si>
    <t>ICE935</t>
  </si>
  <si>
    <t>Alliance Highline Additional</t>
  </si>
  <si>
    <t>ICE001822/45933/1.1.1./RENSUC</t>
  </si>
  <si>
    <t>f1b23a87-5964-4ef4-8ee6-80f65503f752</t>
  </si>
  <si>
    <t>Alliance Highline Additional | 1.1.1. (+) შემოსავალი ლიფტების რეალიზაციიდან | ალიანსი თბილისი (ს.კ. 405144703) - შპს</t>
  </si>
  <si>
    <t>Alliance Highline Additional | 1.1.1. | ალიანსი თბილისი  | 77,000.00 USD | 03.10.2025</t>
  </si>
  <si>
    <t>ICE936</t>
  </si>
  <si>
    <t>Lisi Green Apartments 2</t>
  </si>
  <si>
    <t>ICE001742/45940/1.1.1./O3IDAT</t>
  </si>
  <si>
    <t>42374ee0-580e-4d4a-9a57-2d149735326b</t>
  </si>
  <si>
    <t>Lisi Green Apartments 2 | 1.1.1. (+) შემოსავალი ლიფტების რეალიზაციიდან | გრინ დეველოპმენტი (ს.კ. 204452412) - შპს</t>
  </si>
  <si>
    <t>Lisi Green Apartments 2 | 1.1.1. | გრინ დეველოპმენტი  | 60,810.00 USD | 10.10.2025</t>
  </si>
  <si>
    <t>ICE937</t>
  </si>
  <si>
    <t>ეიესჯისოფტ (ს.კ. 402128149) - შპს</t>
  </si>
  <si>
    <t>Panel repair</t>
  </si>
  <si>
    <t>ICE3289/45931/1.1.3./V3U2V4</t>
  </si>
  <si>
    <t>4bb82ea0-b8e9-46e3-a328-811454f6cb93</t>
  </si>
  <si>
    <t>Panel repair | 1.1.3. (+) შემოსავალი ლიფტების სერვისიდან - არაგეგმიური | ეიესჯისოფტ (ს.კ. 402128149) - შპს</t>
  </si>
  <si>
    <t>fd6894fa-ba52-42f9-9754-5f31e51282aa</t>
  </si>
  <si>
    <t>Panel repair | 1.1.3. | ეიესჯისოფტ  | 783.00 GEL | 01.10.2025</t>
  </si>
  <si>
    <t>ICE938</t>
  </si>
  <si>
    <t>Sunrise Palace Reconstruction</t>
  </si>
  <si>
    <t>ICE2719/45950/1.1.1./VT9O48</t>
  </si>
  <si>
    <t>820131c7-c259-4d58-af46-ec403eb2b9b3</t>
  </si>
  <si>
    <t>Sunrise Palace Reconstruction | 1.1.1. (+) შემოსავალი ლიფტების რეალიზაციიდან | სანრაიზ პალასი (ს.კ. 445692518) - შპს</t>
  </si>
  <si>
    <t>Sunrise Palace Reconstruction | 1.1.1. | სანრაიზ პალასი  | 11,597.00 USD | 20.10.2025</t>
  </si>
  <si>
    <t>ICE939</t>
  </si>
  <si>
    <t>Pipes &amp; VRF System</t>
  </si>
  <si>
    <t>ICE000118/45950/1.2.1./M5KPR9</t>
  </si>
  <si>
    <t>2f96e9b9-7b51-42d3-a865-e719e873a3ab</t>
  </si>
  <si>
    <t>Pipes &amp; VRF System | 1.2.1. (+) შემოსავალი MEP დანადგარების რეალიზაციიდან | მეპერსი (ს.კ. 402121887) - შპს</t>
  </si>
  <si>
    <t>Pipes &amp; VRF System | 1.2.1. | მეპერსი  | 67,988.32 GEL | 20.10.2025</t>
  </si>
  <si>
    <t>ICE940</t>
  </si>
  <si>
    <t>Ambassador Goderdzi AHU Panels</t>
  </si>
  <si>
    <t>ICE2537/45860/1.2.1./OH7VCQ</t>
  </si>
  <si>
    <t>7cb7f4b5-368a-4ff8-b6a5-853d97da7b48</t>
  </si>
  <si>
    <t>Ambassador Goderdzi AHU Panels | 1.2.1. (+) შემოსავალი MEP დანადგარების რეალიზაციიდან | ამბასადორი ბათუმი (ს.კ. 445515719) - შპს</t>
  </si>
  <si>
    <t>Ambassador Goderdzi AHU Panels | 1.2.1. | ამბასადორი ბათუმი  | 59,200.00 USD | 22.07.2025</t>
  </si>
  <si>
    <t>ICE941</t>
  </si>
  <si>
    <t>ნიუ გუდაური ბლოკ 5 (ს.კ. ICE3304) - ამხანაგობა</t>
  </si>
  <si>
    <t>Block 5</t>
  </si>
  <si>
    <t>ICE3304/45962/1.1.2./XIZPPG</t>
  </si>
  <si>
    <t>d643d96f-c78d-4ee8-aedb-6e88e2e3706b</t>
  </si>
  <si>
    <t>Block 5 | 1.1.2. (+) შემოსავალი ლიფტების სერვისიდან - გეგმიური | ნიუ გუდაური ბლოკ 5 (ს.კ. ICE3304) - ამხანაგობა</t>
  </si>
  <si>
    <t>7b4c9594-fc75-4042-af16-03a548b4dc14</t>
  </si>
  <si>
    <t>Block 5 | 1.1.2. | ნიუ გუდაური ბლოკ 5  | 600.00 USD | 01.11.2025</t>
  </si>
  <si>
    <t>ICE942</t>
  </si>
  <si>
    <t>მაზა (ს.კ. 401987374) - შპს</t>
  </si>
  <si>
    <t>Maza Development</t>
  </si>
  <si>
    <t>ICE003305/45953/1.1.1./W7WX3L</t>
  </si>
  <si>
    <t>8e8e9e93-1570-45dc-beb8-75f5d202158f</t>
  </si>
  <si>
    <t>Maza Development | 1.1.1. (+) შემოსავალი ლიფტების რეალიზაციიდან | მაზა (ს.კ. 401987374) - შპს</t>
  </si>
  <si>
    <t>973fec8b-65e8-45ad-8f61-8c9dbdd41ed4</t>
  </si>
  <si>
    <t>Maza Development | 1.1.1. | მაზა  | 300,000.00 USD | 23.10.2025</t>
  </si>
  <si>
    <t>ICE943</t>
  </si>
  <si>
    <t xml:space="preserve">
</t>
  </si>
  <si>
    <t>SUM of თანხა :</t>
  </si>
  <si>
    <t>Income Docs</t>
  </si>
  <si>
    <t>CF_Income</t>
  </si>
  <si>
    <t>1 6 30 90</t>
  </si>
  <si>
    <t>Admiral Sewage | 1.2.3. | ინდეკო სი ემ   | 10,000.00 GEL | 01.05.2024</t>
  </si>
  <si>
    <t>New Time | 1.1.2. | სასტუმრო აქვა ბათუმი  | 1,000.00 USD | 01.01.2024</t>
  </si>
  <si>
    <t>Neo Gudauri Serv | 1.1.2. | ნეო გუდაური  | 1,400.00 GEL | 01.02.2025</t>
  </si>
  <si>
    <t>1 6 30 2438</t>
  </si>
  <si>
    <t>ნომერი</t>
  </si>
  <si>
    <t>ALLIANCE HIGHLINES CHILLERS | 1.2.1. | მეპერსი  | 273,570.00 EUR | 15.06.2022</t>
  </si>
  <si>
    <t>Bagrationi | 1.1.1. | ბაგრატიონი რეზიდენსი  | 450,470.00 USD | 25.06.2022</t>
  </si>
  <si>
    <t>Alliance Previlige | 1.1.1. | ალიანსი ფრივილიჯი  | 600,000.00 USD | 01.08.2022</t>
  </si>
  <si>
    <t>Batumi Mall | 1.1.1. | გრანდ მოლი  | 1,185,000.00 USD | 05.08.2022</t>
  </si>
  <si>
    <t>Goderdzi Hotel AHU | 1.2.1. | თი ელ ქონსთრაქშენ  | 80,564.50 EUR | 27.08.2022</t>
  </si>
  <si>
    <t>Afisha | 1.1.1. | მელიქიშვილი ინნ  | 184,560.00 USD | 13.03.2023</t>
  </si>
  <si>
    <t>Lisi Green Apartaments | 1.1.1. | გრინ დეველოპმენტი  | 62,360.00 USD | 01.04.2023</t>
  </si>
  <si>
    <t>Vake Sewage | 1.2.3. | ინდეკო სი ემ   | 79,603.00 GEL | 11.05.2023</t>
  </si>
  <si>
    <t>Gumbati Apart Kvariati | 1.1.1. | გუმბათი აპარტი კვარიათი  | 120,000.00 USD | 04.08.2023</t>
  </si>
  <si>
    <t>Laboratoria2 | 1.2.1. (+) შემოსავალი MEP დანადგარების რეალიზაციიდან | DIAGNOSTICA MEDICAL CORPORATION (ს.კ.  01202228) - უცხოური საწარმო</t>
  </si>
  <si>
    <t>Laboratoria2 | 1.2.1. | DIAGNOSTICA MEDICAL CORPORATION  | 79,428.00 USD | 12.04.2023</t>
  </si>
  <si>
    <t>mms group poti | 1.1.1. | მმს გრუპ  | 228,630.00 USD | 02.08.2023</t>
  </si>
  <si>
    <t>Gumbati Port Line | 1.1.1. | სქაი ბათუმი  | 185,360.00 USD | 04.08.2023</t>
  </si>
  <si>
    <t>Counteragent</t>
  </si>
  <si>
    <t>Project Name</t>
  </si>
  <si>
    <t>Brand</t>
  </si>
  <si>
    <t>Description</t>
  </si>
  <si>
    <t>Contract Date:</t>
  </si>
  <si>
    <t>Value</t>
  </si>
  <si>
    <t>Currency</t>
  </si>
  <si>
    <t>DT MUHENDISLIK VE TAAHHUT A.S. - Turkey</t>
  </si>
  <si>
    <t>Carrier</t>
  </si>
  <si>
    <t>Supply of HVAC equipment</t>
  </si>
  <si>
    <t>MTZ Company (ID 445525478) - LTD</t>
  </si>
  <si>
    <t>Otis Elevator Company</t>
  </si>
  <si>
    <t>Elevators Mounting</t>
  </si>
  <si>
    <t>Nutsubidze (ID 405387861) - LTD</t>
  </si>
  <si>
    <t>Mitsubishi Heavy Industries</t>
  </si>
  <si>
    <t>Supply and installation of HVAC equipment</t>
  </si>
  <si>
    <t>Tbilisi Central (ID 205129653) - სს</t>
  </si>
  <si>
    <t>Carrier/Mitsubishi Heavy Industries</t>
  </si>
  <si>
    <t>Building Company Surmanidzes (ID 445455846) - LTD</t>
  </si>
  <si>
    <t>DNT Construction (ID 405418196) - LTD</t>
  </si>
  <si>
    <t>Grand Mall (ID 445524479) - LTD</t>
  </si>
  <si>
    <t>Bagrationi Residence (ID 445572568) - LTD</t>
  </si>
  <si>
    <t>Like House (ID 445478563) - LTD</t>
  </si>
  <si>
    <t>ELT Building (ID 445471285) - LTD</t>
  </si>
  <si>
    <t>Premium Group (ID 445522907) - LTD</t>
  </si>
  <si>
    <t>Orbi Group Batumi (ID 445468798) - LTD</t>
  </si>
  <si>
    <t>Anagi (ID 245416401) - LTD</t>
  </si>
  <si>
    <t>Ozinan Assansor</t>
  </si>
  <si>
    <t>Shanghai Mitsubishi Elevator Co.</t>
  </si>
  <si>
    <t>Mziuri Resort (ID 404462256) - LTD</t>
  </si>
  <si>
    <t>Orbi Group (ID 245621849) - LTD</t>
  </si>
  <si>
    <t>N/A</t>
  </si>
  <si>
    <t>Steel constructions</t>
  </si>
  <si>
    <t>Meppers (ID 402121887) - LTD</t>
  </si>
  <si>
    <t>Misc.</t>
  </si>
  <si>
    <t>Sunrise Development (ID 405285221) - LTD</t>
  </si>
  <si>
    <t>Olimp Georgia (ID 405231011) - LTD</t>
  </si>
  <si>
    <t>Unix Construction Company (ID 405133822) - LTD</t>
  </si>
  <si>
    <t>Delfar Elevator Company</t>
  </si>
  <si>
    <t>Dar Building (ID 445420875) - LTD</t>
  </si>
  <si>
    <t>IG Development Georgia (ID 404851503) - LTD</t>
  </si>
  <si>
    <t>Red-Co (ID 405148415) - LTD</t>
  </si>
  <si>
    <t>City Real Estate (ID 406067410) - LTD</t>
  </si>
  <si>
    <t>Kleeman</t>
  </si>
  <si>
    <t>GMT Hotels (ID 203842333) - LTD</t>
  </si>
  <si>
    <t>Engineers Group (ID 400101457) - LTD</t>
  </si>
  <si>
    <t>Domus Development (ID 205210261) - LTD</t>
  </si>
  <si>
    <t>Batumi Sunrise</t>
  </si>
  <si>
    <t>ჰაიექსი</t>
  </si>
  <si>
    <t>Accor | 1.1.1. (+) შემოსავალი ლიფტების რეალიზაციიდან | მეპერსი (ს.კ. 402121887) - შპს</t>
  </si>
  <si>
    <t>ორბი/მზიური</t>
  </si>
  <si>
    <t>მზიური</t>
  </si>
  <si>
    <t>მახათა</t>
  </si>
  <si>
    <t>ორბი</t>
  </si>
  <si>
    <t>სითი მოლი</t>
  </si>
  <si>
    <t>აისი - ძირითადი</t>
  </si>
  <si>
    <t>ნუცუბიძე - კონდიც</t>
  </si>
  <si>
    <t>ამბასადორი</t>
  </si>
  <si>
    <t>დევნილები</t>
  </si>
  <si>
    <t>აპარტ ქონ</t>
  </si>
  <si>
    <t>ხიდი 2006</t>
  </si>
  <si>
    <t>City Mall Service</t>
  </si>
  <si>
    <t>ანაგი დეველოპმენტი 1 შშმ პირების ლიფტი</t>
  </si>
  <si>
    <t>Lisi Palace | 1.1.1. (+) შემოსავალი ლიფტების რეალიზაციიდან | გიანთი პალასი (ს.კ. 405128268) - შპს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</si>
</sst>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.&quot;mm&quot;.&quot;yyyy"/>
    <numFmt numFmtId="165" formatCode="m/d/yyyy h:mm:ss"/>
    <numFmt numFmtId="166" formatCode="&quot;$&quot;#,##0.00"/>
    <numFmt numFmtId="167" formatCode="m d yy"/>
    <numFmt numFmtId="168" formatCode="h:mm:ss am/pm"/>
    <numFmt numFmtId="169" formatCode="0.0"/>
    <numFmt numFmtId="170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</font>
    <font>
      <sz val="9.0"/>
      <color rgb="FF3C4043"/>
      <name val="&quot;Roboto Mono&quot;"/>
    </font>
    <font>
      <color theme="1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1F3F4"/>
        <bgColor rgb="FFF1F3F4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 readingOrder="0"/>
    </xf>
    <xf borderId="0" fillId="0" fontId="1" numFmtId="167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4" numFmtId="168" xfId="0" applyAlignment="1" applyFont="1" applyNumberFormat="1">
      <alignment readingOrder="0" shrinkToFit="0" wrapText="0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1" fillId="0" fontId="5" numFmtId="0" xfId="0" applyAlignment="1" applyBorder="1" applyFont="1">
      <alignment shrinkToFit="0" vertical="bottom" wrapText="0"/>
    </xf>
    <xf borderId="0" fillId="3" fontId="4" numFmtId="0" xfId="0" applyAlignment="1" applyFill="1" applyFont="1">
      <alignment horizontal="left" readingOrder="0"/>
    </xf>
    <xf borderId="0" fillId="2" fontId="4" numFmtId="0" xfId="0" applyAlignment="1" applyFont="1">
      <alignment horizontal="left" readingOrder="0"/>
    </xf>
    <xf borderId="0" fillId="4" fontId="4" numFmtId="0" xfId="0" applyAlignment="1" applyFill="1" applyFont="1">
      <alignment horizontal="left" readingOrder="0"/>
    </xf>
    <xf borderId="0" fillId="2" fontId="5" numFmtId="165" xfId="0" applyAlignment="1" applyFont="1" applyNumberFormat="1">
      <alignment horizontal="right"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horizontal="right" vertical="bottom"/>
    </xf>
    <xf borderId="1" fillId="2" fontId="5" numFmtId="0" xfId="0" applyAlignment="1" applyBorder="1" applyFont="1">
      <alignment shrinkToFit="0" vertical="bottom" wrapText="0"/>
    </xf>
    <xf borderId="0" fillId="0" fontId="1" numFmtId="4" xfId="0" applyFont="1" applyNumberFormat="1"/>
    <xf borderId="0" fillId="5" fontId="1" numFmtId="166" xfId="0" applyAlignment="1" applyFill="1" applyFont="1" applyNumberFormat="1">
      <alignment readingOrder="0"/>
    </xf>
    <xf borderId="0" fillId="5" fontId="1" numFmtId="0" xfId="0" applyFont="1"/>
    <xf borderId="0" fillId="0" fontId="1" numFmtId="16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70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450" sheet="Projects"/>
  </cacheSource>
  <cacheFields>
    <cacheField name="Timestamp" numFmtId="165">
      <sharedItems containsDate="1" containsString="0" containsBlank="1">
        <d v="2021-05-26T17:29:00Z"/>
        <d v="2021-05-26T17:29:02Z"/>
        <d v="2021-05-26T17:29:04Z"/>
        <d v="2021-05-26T17:29:06Z"/>
        <d v="2021-05-26T17:29:09Z"/>
        <d v="2021-05-26T17:29:11Z"/>
        <d v="2021-05-26T17:29:13Z"/>
        <d v="2021-05-26T17:29:15Z"/>
        <d v="2021-05-26T17:29:17Z"/>
        <d v="2021-05-26T17:29:19Z"/>
        <d v="2021-05-26T17:29:21Z"/>
        <d v="2021-05-26T17:29:24Z"/>
        <d v="2021-05-26T17:29:26Z"/>
        <d v="2021-05-26T17:29:28Z"/>
        <d v="2021-05-26T17:29:30Z"/>
        <d v="2021-05-26T17:29:32Z"/>
        <d v="2021-05-26T17:29:34Z"/>
        <d v="2021-05-26T17:29:36Z"/>
        <d v="2021-05-26T17:29:39Z"/>
        <d v="2021-05-26T17:29:41Z"/>
        <d v="2021-05-26T17:29:43Z"/>
        <d v="2021-05-26T17:29:45Z"/>
        <d v="2021-05-26T17:29:47Z"/>
        <d v="2021-05-26T17:29:49Z"/>
        <d v="2021-05-26T17:29:51Z"/>
        <d v="2021-05-26T17:29:54Z"/>
        <d v="2021-05-26T17:29:56Z"/>
        <d v="2021-05-26T17:29:58Z"/>
        <d v="2021-05-26T17:30:00Z"/>
        <d v="2021-05-26T17:30:03Z"/>
        <d v="2021-05-26T17:30:05Z"/>
        <d v="2021-05-26T17:30:07Z"/>
        <d v="2021-05-26T17:30:09Z"/>
        <d v="2021-05-26T17:30:11Z"/>
        <d v="2021-05-26T17:30:14Z"/>
        <d v="2021-05-26T17:30:16Z"/>
        <d v="2021-05-26T17:30:18Z"/>
        <d v="2021-05-26T17:30:20Z"/>
        <d v="2021-05-26T17:30:22Z"/>
        <d v="2021-05-26T17:30:24Z"/>
        <d v="2021-05-26T17:30:26Z"/>
        <d v="2021-05-26T17:30:29Z"/>
        <d v="2021-05-26T17:30:31Z"/>
        <d v="2021-05-26T17:30:33Z"/>
        <d v="2021-05-26T17:30:35Z"/>
        <d v="2021-05-26T17:30:37Z"/>
        <d v="2021-05-26T17:30:39Z"/>
        <d v="2021-05-26T17:30:41Z"/>
        <d v="2021-05-26T17:30:43Z"/>
        <d v="2021-05-26T17:30:46Z"/>
        <d v="2021-05-26T17:30:48Z"/>
        <d v="2021-05-26T17:30:50Z"/>
        <d v="2021-05-26T17:30:52Z"/>
        <d v="2021-05-26T17:30:54Z"/>
        <d v="2021-05-26T17:30:56Z"/>
        <d v="2021-05-26T17:30:58Z"/>
        <d v="2021-05-26T17:31:01Z"/>
        <d v="2021-05-26T17:31:05Z"/>
        <d v="2021-05-26T17:31:03Z"/>
        <d v="2021-05-26T17:31:09Z"/>
        <d v="2021-05-26T17:31:07Z"/>
        <d v="2021-05-26T17:31:11Z"/>
        <d v="2021-05-26T17:31:13Z"/>
        <d v="2021-05-26T17:31:16Z"/>
        <d v="2021-05-26T17:31:18Z"/>
        <d v="2021-05-26T17:31:20Z"/>
        <d v="2021-05-26T17:31:22Z"/>
        <d v="2021-05-26T17:31:24Z"/>
        <d v="2021-05-26T17:31:27Z"/>
        <d v="2021-05-26T17:31:29Z"/>
        <d v="2021-05-26T17:31:31Z"/>
        <d v="2021-05-26T17:31:33Z"/>
        <d v="2021-05-26T17:31:36Z"/>
        <d v="2021-05-26T17:31:38Z"/>
        <d v="2021-05-26T17:31:40Z"/>
        <d v="2021-05-26T17:31:42Z"/>
        <d v="2021-05-26T17:31:44Z"/>
        <d v="2021-05-26T17:31:46Z"/>
        <d v="2021-05-26T17:31:49Z"/>
        <d v="2021-05-26T17:31:51Z"/>
        <d v="2021-05-26T17:31:53Z"/>
        <d v="2021-05-26T17:31:55Z"/>
        <d v="2021-05-26T17:31:57Z"/>
        <d v="2021-05-26T17:31:59Z"/>
        <d v="2021-05-26T17:32:02Z"/>
        <d v="2021-05-26T17:32:04Z"/>
        <d v="2021-05-26T17:32:06Z"/>
        <d v="2021-05-26T17:32:08Z"/>
        <d v="2021-05-26T17:32:10Z"/>
        <d v="2021-05-26T17:32:13Z"/>
        <d v="2021-05-26T17:32:15Z"/>
        <d v="2021-05-26T17:32:17Z"/>
        <d v="2021-05-26T17:32:19Z"/>
        <d v="2021-05-26T17:32:21Z"/>
        <d v="2021-05-26T17:32:23Z"/>
        <d v="2021-05-26T17:32:26Z"/>
        <d v="2021-05-26T17:32:28Z"/>
        <d v="2021-05-26T17:32:30Z"/>
        <d v="2021-05-26T17:32:32Z"/>
        <d v="2021-05-26T17:32:35Z"/>
        <d v="2021-05-26T17:32:37Z"/>
        <d v="2021-05-26T17:32:39Z"/>
        <d v="2021-05-26T17:32:41Z"/>
        <d v="2021-05-26T17:32:43Z"/>
        <d v="2021-05-26T17:32:46Z"/>
        <d v="2021-05-26T17:32:48Z"/>
        <d v="2021-05-26T17:32:50Z"/>
        <d v="2021-05-26T17:32:52Z"/>
        <d v="2021-05-26T17:32:54Z"/>
        <d v="2021-05-26T17:32:56Z"/>
        <d v="2021-05-26T17:32:58Z"/>
        <d v="2021-05-26T17:33:01Z"/>
        <d v="2021-05-26T17:33:03Z"/>
        <d v="2021-05-26T17:33:05Z"/>
        <d v="2021-05-26T17:33:07Z"/>
        <d v="2021-05-26T17:33:09Z"/>
        <d v="2021-05-26T17:33:11Z"/>
        <d v="2021-05-26T17:33:13Z"/>
        <d v="2021-05-26T17:33:16Z"/>
        <d v="2021-05-26T17:33:18Z"/>
        <d v="2021-05-26T17:33:20Z"/>
        <d v="2021-05-26T17:33:22Z"/>
        <d v="2021-05-26T17:33:25Z"/>
        <d v="2021-05-26T17:33:27Z"/>
        <d v="2021-05-26T17:33:29Z"/>
        <d v="2021-05-26T17:33:31Z"/>
        <d v="2021-05-26T17:33:34Z"/>
        <d v="2021-05-26T17:33:36Z"/>
        <d v="2021-05-26T17:33:39Z"/>
        <d v="2021-05-26T17:33:41Z"/>
        <d v="2021-05-26T17:33:43Z"/>
        <d v="2021-05-26T17:33:45Z"/>
        <d v="2021-05-26T17:33:48Z"/>
        <d v="2021-05-26T17:33:50Z"/>
        <d v="2021-05-26T17:33:52Z"/>
        <d v="2021-05-26T17:33:54Z"/>
        <d v="2021-05-26T17:33:57Z"/>
        <d v="2021-05-26T17:33:59Z"/>
        <d v="2021-05-26T17:34:01Z"/>
        <d v="2021-05-26T17:34:03Z"/>
        <d v="2021-05-26T17:34:06Z"/>
        <d v="2021-05-26T17:34:08Z"/>
        <d v="2021-05-26T17:34:10Z"/>
        <d v="2021-05-26T17:34:12Z"/>
        <d v="2021-05-26T17:34:14Z"/>
        <d v="2021-05-26T17:34:17Z"/>
        <d v="2021-05-26T17:34:19Z"/>
        <d v="2021-05-26T17:34:21Z"/>
        <d v="2021-05-26T17:34:23Z"/>
        <d v="2021-05-26T17:34:25Z"/>
        <d v="2021-05-26T17:34:27Z"/>
        <d v="2021-05-26T17:34:30Z"/>
        <d v="2021-05-26T17:34:32Z"/>
        <d v="2021-05-26T17:34:34Z"/>
        <d v="2021-05-26T17:34:36Z"/>
        <d v="2021-05-26T17:34:38Z"/>
        <d v="2021-05-26T17:34:40Z"/>
        <d v="2021-05-26T17:34:43Z"/>
        <d v="2021-05-26T17:34:45Z"/>
        <d v="2021-05-26T17:34:47Z"/>
        <d v="2021-05-26T17:34:49Z"/>
        <d v="2021-05-26T17:34:52Z"/>
        <d v="2021-05-26T17:34:54Z"/>
        <d v="2021-05-26T17:37:27Z"/>
        <d v="2021-05-26T17:37:29Z"/>
        <d v="2021-05-26T17:37:30Z"/>
        <d v="2021-05-26T17:37:31Z"/>
        <d v="2021-05-26T17:37:33Z"/>
        <d v="2021-05-26T17:37:34Z"/>
        <d v="2021-05-26T17:37:36Z"/>
        <d v="2021-05-26T17:37:37Z"/>
        <d v="2021-05-26T17:37:38Z"/>
        <d v="2021-05-26T17:37:40Z"/>
        <d v="2021-05-26T17:37:41Z"/>
        <d v="2021-05-26T17:37:42Z"/>
        <d v="2021-05-26T17:37:44Z"/>
        <d v="2021-05-26T17:37:45Z"/>
        <d v="2021-05-26T17:37:46Z"/>
        <d v="2021-05-26T17:37:48Z"/>
        <d v="2021-05-26T17:37:49Z"/>
        <d v="2021-05-26T17:37:50Z"/>
        <d v="2021-05-26T17:37:52Z"/>
        <d v="2021-05-26T17:37:53Z"/>
        <d v="2021-05-26T17:37:55Z"/>
        <d v="2021-05-26T17:37:56Z"/>
        <d v="2021-05-26T17:37:57Z"/>
        <d v="2021-05-26T17:37:59Z"/>
        <d v="2021-05-26T17:38:00Z"/>
        <d v="2021-05-26T17:38:01Z"/>
        <d v="2021-05-26T17:38:03Z"/>
        <d v="2021-05-26T17:38:04Z"/>
        <d v="2021-05-26T17:38:05Z"/>
        <d v="2021-05-26T17:38:07Z"/>
        <d v="2021-05-26T17:38:08Z"/>
        <d v="2021-05-26T17:38:09Z"/>
        <d v="2021-05-26T17:38:11Z"/>
        <d v="2021-05-26T17:38:12Z"/>
        <d v="2021-05-26T17:38:14Z"/>
        <d v="2021-05-26T17:38:15Z"/>
        <d v="2021-05-26T17:38:16Z"/>
        <d v="2021-05-26T17:38:18Z"/>
        <d v="2021-05-26T17:38:19Z"/>
        <d v="2021-05-26T17:38:20Z"/>
        <d v="2021-05-26T17:38:22Z"/>
        <d v="2021-05-26T17:38:23Z"/>
        <d v="2021-05-26T17:38:24Z"/>
        <d v="2021-05-26T17:38:26Z"/>
        <d v="2021-05-26T17:38:27Z"/>
        <d v="2021-05-26T17:38:28Z"/>
        <d v="2021-05-26T17:38:30Z"/>
        <d v="2021-05-26T17:38:31Z"/>
        <d v="2021-05-26T17:38:33Z"/>
        <d v="2021-05-26T17:38:34Z"/>
        <d v="2021-05-26T17:38:35Z"/>
        <d v="2021-05-26T17:38:37Z"/>
        <d v="2021-05-26T17:38:38Z"/>
        <d v="2021-05-26T17:38:40Z"/>
        <d v="2021-05-26T17:38:41Z"/>
        <d v="2021-05-26T17:38:43Z"/>
        <d v="2021-05-26T17:38:44Z"/>
        <d v="2021-05-26T17:38:45Z"/>
        <d v="2021-05-26T17:38:47Z"/>
        <d v="2021-05-26T17:38:48Z"/>
        <d v="2021-05-26T17:38:50Z"/>
        <d v="2021-05-26T17:38:51Z"/>
        <d v="2021-05-26T17:38:53Z"/>
        <d v="2021-05-26T17:38:54Z"/>
        <d v="2021-05-26T17:38:55Z"/>
        <d v="2021-05-26T17:38:57Z"/>
        <d v="2021-05-26T17:38:58Z"/>
        <d v="2021-05-26T17:39:00Z"/>
        <d v="2021-05-26T17:39:01Z"/>
        <d v="2021-05-26T17:39:02Z"/>
        <d v="2021-05-26T17:39:04Z"/>
        <d v="2021-05-26T17:39:05Z"/>
        <d v="2021-05-26T17:39:06Z"/>
        <d v="2021-05-26T17:39:08Z"/>
        <d v="2021-05-26T17:39:09Z"/>
        <d v="2021-05-26T17:39:11Z"/>
        <d v="2021-05-26T17:39:12Z"/>
        <d v="2021-05-26T17:39:13Z"/>
        <d v="2021-05-26T17:39:15Z"/>
        <d v="2021-05-26T17:39:16Z"/>
        <d v="2021-05-26T17:39:18Z"/>
        <d v="2021-05-26T17:39:19Z"/>
        <d v="2021-05-26T17:39:20Z"/>
        <d v="2021-05-26T17:39:22Z"/>
        <d v="2021-05-26T17:39:23Z"/>
        <d v="2021-05-26T17:39:25Z"/>
        <d v="2021-05-26T17:39:26Z"/>
        <d v="2021-05-26T17:39:27Z"/>
        <d v="2021-05-26T17:39:29Z"/>
        <d v="2021-05-26T17:39:30Z"/>
        <d v="2021-05-26T17:39:31Z"/>
        <d v="2021-05-26T17:39:33Z"/>
        <d v="2021-05-26T17:39:34Z"/>
        <d v="2021-05-26T17:39:36Z"/>
        <d v="2021-05-26T17:39:37Z"/>
        <d v="2021-05-26T17:39:38Z"/>
        <d v="2021-05-26T17:39:40Z"/>
        <d v="2021-05-26T17:39:41Z"/>
        <d v="2021-06-08T16:59:48Z"/>
        <d v="2021-06-10T12:13:52Z"/>
        <d v="2021-06-10T14:54:11Z"/>
        <d v="2021-06-10T16:03:57Z"/>
        <d v="2021-06-16T12:32:51Z"/>
        <d v="2021-06-17T17:58:07Z"/>
        <d v="2021-06-17T18:22:15Z"/>
        <d v="2021-06-22T13:47:09Z"/>
        <d v="2021-06-22T15:32:07Z"/>
        <d v="2021-06-22T16:20:00Z"/>
        <d v="2021-06-22T17:55:29Z"/>
        <d v="2021-06-24T12:10:54Z"/>
        <d v="2021-06-29T13:16:05Z"/>
        <d v="2021-06-29T13:19:45Z"/>
        <d v="2021-07-01T14:21:40Z"/>
        <d v="2021-07-01T14:44:57Z"/>
        <d v="2021-07-02T13:04:58Z"/>
        <d v="2021-07-02T13:48:49Z"/>
        <d v="2021-07-06T15:37:03Z"/>
        <d v="2021-07-20T18:48:19Z"/>
        <d v="2021-07-20T18:53:16Z"/>
        <d v="2021-07-21T17:25:07Z"/>
        <d v="2021-07-22T12:56:14Z"/>
        <d v="2021-07-22T13:51:03Z"/>
        <d v="2021-07-22T15:26:52Z"/>
        <d v="2021-08-05T17:21:41Z"/>
        <d v="2021-08-05T17:47:42Z"/>
        <d v="2021-08-11T15:29:48Z"/>
        <d v="2021-08-11T15:54:12Z"/>
        <d v="2021-08-13T17:42:22Z"/>
        <d v="2021-08-13T18:20:43Z"/>
        <d v="2021-08-13T18:23:45Z"/>
        <d v="2021-08-27T13:33:50Z"/>
        <d v="2021-09-07T11:30:13Z"/>
        <d v="2021-09-07T11:34:47Z"/>
        <d v="2021-09-24T14:33:43Z"/>
        <d v="2021-09-28T13:53:02Z"/>
        <d v="2021-09-29T16:57:13Z"/>
        <d v="2021-10-06T17:21:44Z"/>
        <d v="2021-10-27T14:11:10Z"/>
        <d v="2021-10-27T15:41:57Z"/>
        <d v="2021-10-27T16:53:33Z"/>
        <d v="2021-11-03T15:40:04Z"/>
        <d v="2021-11-06T15:27:30Z"/>
        <d v="2021-11-17T13:34:48Z"/>
        <d v="2021-11-26T15:29:08Z"/>
        <d v="2021-11-29T12:22:43Z"/>
        <d v="2021-12-06T14:17:38Z"/>
        <d v="2021-12-07T13:30:34Z"/>
        <d v="2021-12-28T14:51:11Z"/>
        <d v="2022-01-11T14:30:53Z"/>
        <d v="2022-01-14T14:00:59Z"/>
        <d v="2022-01-26T12:49:06Z"/>
        <d v="2022-01-27T12:17:32Z"/>
        <d v="2022-01-28T16:48:52Z"/>
        <d v="2022-02-23T17:35:44Z"/>
        <d v="2022-03-07T15:15:28Z"/>
        <d v="2022-03-14T14:54:50Z"/>
        <d v="2022-03-17T14:35:04Z"/>
        <d v="2022-03-17T15:52:06Z"/>
        <d v="2022-03-22T15:17:28Z"/>
        <d v="2022-03-24T17:09:53Z"/>
        <d v="2022-03-25T17:04:21Z"/>
        <d v="2022-03-28T12:13:42Z"/>
        <d v="2022-03-28T12:51:19Z"/>
        <d v="2022-04-06T16:38:37Z"/>
        <d v="2022-04-12T14:49:34Z"/>
        <d v="2022-04-13T18:59:22Z"/>
        <d v="2022-04-14T15:55:05Z"/>
        <d v="2022-04-27T15:08:14Z"/>
        <d v="2022-05-02T15:32:46Z"/>
        <d v="2022-05-04T12:01:11Z"/>
        <d v="2022-05-04T14:29:31Z"/>
        <d v="2022-05-06T12:24:31Z"/>
        <d v="2022-05-06T16:33:47Z"/>
        <d v="2022-05-06T16:35:21Z"/>
        <d v="2022-05-06T17:45:37Z"/>
        <d v="2022-05-06T17:55:17Z"/>
        <d v="2022-05-06T18:21:37Z"/>
        <d v="2022-05-11T14:10:55Z"/>
        <d v="2022-05-11T14:12:06Z"/>
        <d v="2022-05-11T16:03:38Z"/>
        <d v="2022-05-11T16:50:14Z"/>
        <d v="2022-05-11T19:23:35Z"/>
        <d v="2022-05-11T19:25:27Z"/>
        <d v="2022-05-13T12:39:23Z"/>
        <d v="2022-05-13T13:19:18Z"/>
        <d v="2022-05-16T11:29:23Z"/>
        <d v="2022-05-16T13:39:18Z"/>
        <d v="2022-05-17T13:18:37Z"/>
        <d v="2022-05-17T17:56:37Z"/>
        <d v="2022-05-18T17:03:36Z"/>
        <d v="2022-05-19T12:13:45Z"/>
        <d v="2022-05-31T17:37:55Z"/>
        <d v="2022-06-06T14:15:30Z"/>
        <d v="2022-06-08T17:36:21Z"/>
        <d v="2022-06-15T14:08:10Z"/>
        <d v="2022-07-19T17:20:13Z"/>
        <d v="2022-07-20T00:00:00Z"/>
        <d v="2022-07-20T15:46:31Z"/>
        <d v="2022-07-20T16:19:46Z"/>
        <d v="2022-07-20T16:40:09Z"/>
        <d v="2022-07-20T17:04:19Z"/>
        <d v="2022-07-20T17:53:53Z"/>
        <d v="2022-07-20T18:09:48Z"/>
        <d v="2022-07-21T16:57:44Z"/>
        <d v="2022-07-26T17:50:20Z"/>
        <d v="2022-08-01T13:30:42Z"/>
        <d v="2022-08-01T14:07:14Z"/>
        <d v="2022-08-05T12:08:05Z"/>
        <d v="2022-08-05T17:45:32Z"/>
        <d v="2022-08-08T13:10:27Z"/>
        <d v="2022-09-01T15:40:21Z"/>
        <d v="2022-09-19T15:01:54Z"/>
        <d v="2022-09-20T15:53:10Z"/>
        <d v="2022-09-30T14:20:57Z"/>
        <d v="2022-10-13T13:50:52Z"/>
        <d v="2022-10-25T14:22:14Z"/>
        <d v="2022-10-26T12:09:09Z"/>
        <d v="2022-10-26T12:20:40Z"/>
        <d v="2022-10-26T14:05:02Z"/>
        <d v="2022-10-26T16:51:53Z"/>
        <d v="2022-10-28T13:00:10Z"/>
        <d v="2022-11-04T13:33:22Z"/>
        <d v="2022-11-05T22:03:17Z"/>
        <d v="2022-11-10T13:39:11Z"/>
        <d v="2022-11-17T17:55:49Z"/>
        <d v="2022-11-22T13:02:32Z"/>
        <d v="2022-11-25T16:52:04Z"/>
        <d v="2022-11-28T14:49:41Z"/>
        <d v="2022-11-28T17:21:40Z"/>
        <d v="2022-11-29T12:28:08Z"/>
        <d v="2022-11-29T15:21:15Z"/>
        <d v="2022-11-30T15:30:26Z"/>
        <d v="2022-12-07T12:26:07Z"/>
        <d v="2022-12-26T14:30:48Z"/>
        <d v="2022-12-26T15:10:53Z"/>
        <d v="2022-12-26T16:30:32Z"/>
        <d v="2022-12-27T17:51:51Z"/>
        <d v="2023-01-09T11:55:27Z"/>
        <d v="2023-01-20T16:03:08Z"/>
        <d v="2023-01-24T17:58:43Z"/>
        <d v="2023-01-27T13:28:48Z"/>
        <d v="2023-01-27T16:37:43Z"/>
        <d v="2023-01-27T17:49:06Z"/>
        <d v="2023-01-28T14:52:37Z"/>
        <d v="2023-01-30T23:01:24Z"/>
        <d v="2023-01-31T11:38:27Z"/>
        <d v="2023-02-01T17:02:59Z"/>
        <d v="2023-02-03T12:32:12Z"/>
        <d v="2023-02-03T13:22:37Z"/>
        <d v="2023-02-06T17:11:32Z"/>
        <d v="2023-02-08T13:28:53Z"/>
        <d v="2023-02-13T12:11:50Z"/>
        <d v="2023-02-15T17:23:36Z"/>
        <d v="2023-02-16T15:25:57Z"/>
        <d v="2023-02-20T17:52:06Z"/>
        <d v="2023-02-21T13:36:11Z"/>
        <d v="2023-02-21T18:18:12Z"/>
        <d v="2023-03-01T16:22:40Z"/>
        <d v="2023-03-09T13:42:33Z"/>
        <d v="2023-03-13T12:05:42Z"/>
        <d v="2023-03-13T12:15:09Z"/>
        <d v="2023-03-15T13:06:26Z"/>
        <d v="2023-03-15T16:04:29Z"/>
        <d v="2023-03-17T11:47:36Z"/>
        <d v="2023-03-29T13:13:03Z"/>
        <d v="2023-04-07T16:52:08Z"/>
        <d v="2023-04-10T11:57:09Z"/>
        <d v="2023-04-11T20:50:12Z"/>
        <d v="2023-04-15T23:32:28Z"/>
        <d v="2023-04-18T12:46:09Z"/>
        <d v="2023-04-18T17:58:13Z"/>
        <d v="2023-04-19T20:29:54Z"/>
        <d v="2023-04-19T21:03:51Z"/>
        <d v="2023-04-21T16:30:53Z"/>
        <d v="2023-04-23T18:04:58Z"/>
        <d v="2023-04-24T13:52:40Z"/>
        <d v="2023-04-27T17:28:45Z"/>
        <d v="2023-05-01T19:26:33Z"/>
        <d v="2023-05-02T15:15:04Z"/>
        <d v="2023-05-05T16:41:26Z"/>
        <d v="2023-05-11T19:10:08Z"/>
        <d v="2023-05-15T14:38:10Z"/>
        <d v="2023-05-22T13:32:47Z"/>
        <d v="2023-05-22T17:50:00Z"/>
        <d v="2023-05-23T12:04:00Z"/>
        <d v="2023-05-29T12:23:15Z"/>
        <d v="2023-06-08T13:36:21Z"/>
        <d v="2023-06-23T13:34:34Z"/>
        <d v="2023-06-25T00:45:47Z"/>
        <d v="2023-06-26T12:50:53Z"/>
        <d v="2023-06-27T13:56:04Z"/>
        <d v="2023-06-27T14:27:33Z"/>
        <d v="2023-06-29T14:43:37Z"/>
        <d v="2023-07-06T11:29:12Z"/>
        <d v="2023-07-07T15:24:08Z"/>
        <d v="2023-07-07T19:00:07Z"/>
        <d v="2023-07-17T16:53:29Z"/>
        <d v="2023-07-28T14:10:03Z"/>
        <d v="2023-08-07T16:18:33Z"/>
        <d v="2023-08-09T16:08:31Z"/>
        <d v="2023-08-09T17:52:15Z"/>
        <d v="2023-08-10T16:48:24Z"/>
        <d v="2023-08-16T12:40:42Z"/>
        <d v="2023-08-16T14:54:07Z"/>
        <d v="2023-08-17T16:02:53Z"/>
        <d v="2023-08-18T13:28:58Z"/>
        <d v="2023-08-18T14:13:55Z"/>
        <d v="2023-08-18T14:38:05Z"/>
        <d v="2023-08-18T15:02:50Z"/>
        <d v="2023-08-30T15:38:17Z"/>
        <d v="2023-08-30T15:57:02Z"/>
        <d v="2023-08-30T17:26:33Z"/>
        <d v="2023-09-06T18:40:23Z"/>
        <d v="2023-09-07T11:47:22Z"/>
        <d v="2023-09-12T17:50:41Z"/>
        <d v="2023-09-13T16:15:07Z"/>
        <d v="2023-09-14T18:28:53Z"/>
        <d v="2023-09-18T23:43:01Z"/>
        <d v="2023-09-26T12:38:18Z"/>
        <d v="2023-09-26T14:26:53Z"/>
        <d v="2023-09-27T14:39:28Z"/>
        <d v="2023-10-02T14:56:34Z"/>
        <d v="2023-10-03T15:29:55Z"/>
        <d v="2023-10-03T16:11:47Z"/>
        <d v="2023-10-05T13:38:36Z"/>
        <d v="2023-10-09T13:41:08Z"/>
        <d v="2023-11-15T12:51:03Z"/>
        <d v="2023-10-13T12:24:13Z"/>
        <d v="2023-10-15T23:47:48Z"/>
        <d v="2023-10-19T18:57:42Z"/>
        <d v="2023-10-27T13:19:19Z"/>
        <d v="2023-10-28T11:16:47Z"/>
        <d v="2023-11-01T16:05:10Z"/>
        <d v="2023-11-01T16:27:05Z"/>
        <d v="2023-11-15T13:17:58Z"/>
        <d v="2024-01-23T18:13:38Z"/>
        <d v="2023-11-15T13:20:11Z"/>
        <d v="2023-11-15T13:59:27Z"/>
        <d v="2023-11-16T18:31:11Z"/>
        <d v="2023-11-16T23:42:33Z"/>
        <d v="2023-11-17T03:14:31Z"/>
        <d v="2023-11-21T04:09:44Z"/>
        <d v="2023-11-22T18:10:54Z"/>
        <d v="2023-11-29T19:47:35Z"/>
        <d v="2023-12-04T17:02:52Z"/>
        <d v="2023-12-06T13:21:58Z"/>
        <d v="2023-12-06T13:41:35Z"/>
        <d v="2023-12-08T14:05:39Z"/>
        <d v="2023-12-16T14:21:30Z"/>
        <d v="2023-12-18T13:16:53Z"/>
        <d v="2023-12-19T15:25:51Z"/>
        <d v="2023-12-20T12:24:31Z"/>
        <d v="2023-12-20T12:27:52Z"/>
        <d v="2023-12-20T12:45:36Z"/>
        <d v="2023-12-20T13:06:48Z"/>
        <d v="2023-12-22T14:55:31Z"/>
        <d v="2023-12-25T12:39:19Z"/>
        <d v="2023-12-28T16:53:29Z"/>
        <d v="2023-12-28T17:09:06Z"/>
        <d v="2023-12-28T19:10:43Z"/>
        <d v="2023-12-28T19:14:03Z"/>
        <d v="2024-01-05T16:36:19Z"/>
        <d v="2024-01-23T18:34:18Z"/>
        <d v="2024-01-28T00:47:03Z"/>
        <d v="2024-01-28T00:56:18Z"/>
        <d v="2024-01-30T00:12:40Z"/>
        <d v="2024-02-08T00:23:59Z"/>
        <d v="2024-02-14T18:43:51Z"/>
        <d v="2024-02-17T14:25:37Z"/>
        <d v="2024-02-17T14:33:47Z"/>
        <d v="2024-02-20T14:25:15Z"/>
        <d v="2024-02-27T11:46:42Z"/>
        <d v="2024-02-28T18:21:20Z"/>
        <d v="2024-02-29T16:44:46Z"/>
        <d v="2024-03-01T13:15:23Z"/>
        <d v="2024-03-13T12:54:55Z"/>
        <d v="2024-03-13T18:57:52Z"/>
        <d v="2024-03-19T12:20:03Z"/>
        <d v="2024-03-20T14:26:07Z"/>
        <d v="2024-03-20T14:36:24Z"/>
        <d v="2024-03-21T19:08:24Z"/>
        <d v="2024-03-25T11:39:04Z"/>
        <d v="2024-03-28T18:16:15Z"/>
        <d v="2024-03-29T19:02:07Z"/>
        <d v="2024-04-04T16:20:31Z"/>
        <d v="2024-04-05T13:09:17Z"/>
        <d v="2024-04-05T13:28:47Z"/>
        <d v="2024-04-05T14:09:21Z"/>
        <d v="2024-04-05T18:10:31Z"/>
        <d v="2024-04-05T18:29:51Z"/>
        <d v="2024-04-11T13:16:32Z"/>
        <d v="2024-04-11T16:27:33Z"/>
        <d v="2024-04-14T14:23:54Z"/>
        <d v="2024-04-14T17:59:00Z"/>
        <d v="2024-04-14T18:44:47Z"/>
        <d v="2024-04-15T16:25:46Z"/>
        <d v="2024-04-16T14:21:03Z"/>
        <d v="2024-04-16T15:29:42Z"/>
        <d v="2024-04-16T15:48:12Z"/>
        <d v="2024-04-16T16:05:57Z"/>
        <d v="2024-04-16T18:19:57Z"/>
        <d v="2024-04-16T18:34:31Z"/>
        <d v="2024-04-16T19:02:26Z"/>
        <d v="2024-04-16T19:07:44Z"/>
        <d v="2024-04-16T19:18:47Z"/>
        <d v="2024-04-16T19:25:16Z"/>
        <d v="2024-04-16T23:37:04Z"/>
        <d v="2024-04-17T00:47:12Z"/>
        <d v="2024-04-17T00:57:53Z"/>
        <d v="2024-04-17T02:11:38Z"/>
        <d v="2024-04-17T02:27:52Z"/>
        <d v="2024-04-17T02:57:43Z"/>
        <d v="2024-04-17T14:06:25Z"/>
        <d v="2024-04-17T14:15:00Z"/>
        <d v="2024-04-17T14:45:51Z"/>
        <d v="2024-04-17T14:55:47Z"/>
        <d v="2024-04-19T15:15:42Z"/>
        <d v="2024-04-19T16:37:51Z"/>
        <d v="2024-04-19T17:06:32Z"/>
        <d v="2024-04-19T19:07:28Z"/>
        <d v="2024-04-19T23:06:16Z"/>
        <d v="2024-05-01T19:25:34Z"/>
        <d v="2024-05-13T18:27:47Z"/>
        <d v="2024-05-13T19:02:42Z"/>
        <d v="2024-05-23T20:46:53Z"/>
        <d v="2024-05-28T16:23:46Z"/>
        <d v="2024-06-03T21:07:57Z"/>
        <d v="2024-06-06T12:23:42Z"/>
        <d v="2024-06-10T17:35:55Z"/>
        <d v="2024-06-18T16:05:31Z"/>
        <d v="2024-06-26T15:18:55Z"/>
        <d v="2024-07-12T16:47:59Z"/>
        <d v="2024-07-17T23:56:52Z"/>
        <d v="2024-07-18T21:36:34Z"/>
        <d v="2024-07-19T14:38:32Z"/>
        <d v="2024-08-02T14:21:59Z"/>
        <d v="2024-08-07T14:18:57Z"/>
        <d v="2024-08-08T14:40:49Z"/>
        <d v="2024-08-15T19:06:47Z"/>
        <d v="2024-08-29T16:27:12Z"/>
        <d v="2024-09-03T22:54:50Z"/>
        <d v="2024-09-09T17:37:47Z"/>
        <d v="2024-09-11T16:00:57Z"/>
        <d v="2024-09-17T12:14:12Z"/>
        <d v="2024-09-21T20:20:59Z"/>
        <d v="2024-09-26T01:11:52Z"/>
        <d v="2024-09-26T01:21:12Z"/>
        <d v="2024-10-01T14:25:11Z"/>
        <d v="2024-10-02T14:56:16Z"/>
        <d v="2024-10-09T16:47:14Z"/>
        <d v="2024-10-15T13:49:20Z"/>
        <d v="2024-11-01T13:59:38Z"/>
        <d v="2024-11-04T18:28:36Z"/>
        <d v="2024-11-05T12:19:55Z"/>
        <d v="2024-11-05T14:38:51Z"/>
        <d v="2024-11-14T23:53:35Z"/>
        <d v="2024-11-28T15:19:48Z"/>
        <d v="2024-11-29T10:37:56Z"/>
        <d v="2024-12-07T15:05:57Z"/>
        <d v="2024-12-31T17:47:08Z"/>
        <d v="2025-01-04T14:21:45Z"/>
        <d v="2025-01-09T18:12:46Z"/>
        <d v="2025-01-13T19:11:14Z"/>
        <d v="2025-01-14T15:59:29Z"/>
        <d v="2025-01-17T17:38:21Z"/>
        <d v="2025-01-20T12:01:41Z"/>
        <d v="2025-01-22T16:12:48Z"/>
        <d v="2025-01-22T20:58:26Z"/>
        <d v="2025-01-22T22:35:04Z"/>
        <d v="2025-01-31T10:15:44Z"/>
        <d v="2025-02-03T15:00:09Z"/>
        <d v="2025-02-03T16:18:39Z"/>
        <d v="2025-02-05T12:28:24Z"/>
        <d v="2025-02-05T13:17:22Z"/>
        <d v="2025-02-05T16:39:29Z"/>
        <d v="2025-02-05T17:48:45Z"/>
        <d v="2025-02-06T15:27:40Z"/>
        <d v="2025-02-07T14:05:27Z"/>
        <d v="2025-02-08T14:00:15Z"/>
        <d v="2025-02-08T14:05:20Z"/>
        <d v="2025-02-08T14:14:01Z"/>
        <d v="2025-02-08T14:18:52Z"/>
        <d v="2025-02-08T14:23:56Z"/>
        <d v="2025-02-08T15:29:42Z"/>
        <d v="2025-02-08T15:32:39Z"/>
        <d v="2025-02-08T15:37:00Z"/>
        <d v="2025-02-08T15:39:53Z"/>
        <d v="2025-02-08T15:54:13Z"/>
        <d v="2025-02-08T15:58:33Z"/>
        <d v="2025-02-08T16:02:26Z"/>
        <d v="2025-02-08T16:08:52Z"/>
        <d v="2025-02-08T16:14:01Z"/>
        <d v="2025-02-08T16:18:02Z"/>
        <d v="2025-02-08T16:34:56Z"/>
        <d v="2025-02-08T16:51:28Z"/>
        <d v="2025-02-08T16:58:26Z"/>
        <d v="2025-02-08T17:10:33Z"/>
        <d v="2025-02-08T17:22:10Z"/>
        <d v="2025-02-10T13:35:05Z"/>
        <d v="2025-02-10T17:16:57Z"/>
        <d v="2025-02-10T18:00:19Z"/>
        <d v="2025-02-11T09:31:50Z"/>
        <d v="2025-02-11T09:37:48Z"/>
        <d v="2025-02-11T10:04:53Z"/>
        <d v="2025-02-11T10:18:15Z"/>
        <d v="2025-02-11T10:23:14Z"/>
        <d v="2025-02-11T11:37:38Z"/>
        <d v="2025-02-11T12:58:37Z"/>
        <d v="2025-02-11T13:03:37Z"/>
        <d v="2025-02-11T13:12:01Z"/>
        <d v="2025-02-11T13:34:00Z"/>
        <d v="2025-02-11T13:48:06Z"/>
        <d v="2025-02-11T13:52:59Z"/>
        <d v="2025-02-11T14:02:27Z"/>
        <d v="2025-02-11T15:25:52Z"/>
        <d v="2025-02-11T17:34:16Z"/>
        <d v="2025-02-11T17:51:25Z"/>
        <d v="2025-02-12T10:29:11Z"/>
        <d v="2025-02-12T10:33:08Z"/>
        <d v="2025-02-12T10:38:43Z"/>
        <d v="2025-02-12T11:00:54Z"/>
        <d v="2025-02-12T11:07:39Z"/>
        <d v="2025-02-12T11:18:12Z"/>
        <d v="2025-02-12T13:47:13Z"/>
        <d v="2025-02-12T14:59:44Z"/>
        <d v="2025-02-12T17:45:33Z"/>
        <d v="2025-02-12T19:59:10Z"/>
        <d v="2025-02-13T10:25:26Z"/>
        <d v="2025-02-13T10:46:56Z"/>
        <d v="2025-02-13T11:07:33Z"/>
        <d v="2025-02-13T11:09:01Z"/>
        <d v="2025-02-13T11:11:41Z"/>
        <d v="2025-02-13T11:41:42Z"/>
        <d v="2025-02-13T11:45:26Z"/>
        <d v="2025-02-13T11:48:38Z"/>
        <d v="2025-02-13T11:52:55Z"/>
        <d v="2025-02-13T12:13:48Z"/>
        <d v="2025-02-13T16:13:49Z"/>
        <d v="2025-02-13T16:49:15Z"/>
        <d v="2025-02-14T19:29:36Z"/>
        <d v="2025-02-19T11:30:59Z"/>
        <d v="2025-02-20T17:37:08Z"/>
        <d v="2025-02-21T12:28:11Z"/>
        <d v="2025-02-21T16:50:17Z"/>
        <d v="2025-02-21T17:19:29Z"/>
        <d v="2025-02-22T11:42:38Z"/>
        <d v="2025-02-22T12:52:51Z"/>
        <d v="2025-02-22T16:44:19Z"/>
        <d v="2025-02-24T13:13:15Z"/>
        <d v="2025-02-24T13:49:51Z"/>
        <d v="2025-02-24T15:26:47Z"/>
        <d v="2025-02-24T16:15:05Z"/>
        <d v="2025-02-24T16:34:32Z"/>
        <d v="2025-02-27T12:17:08Z"/>
        <d v="2025-02-28T11:01:00Z"/>
        <d v="2025-03-05T10:35:58Z"/>
        <d v="2025-03-06T17:25:29Z"/>
        <d v="2025-03-10T12:18:25Z"/>
        <d v="2025-03-10T17:15:15Z"/>
        <d v="2025-03-10T17:42:36Z"/>
        <d v="2025-03-12T14:48:31Z"/>
        <d v="2025-03-12T14:54:41Z"/>
        <d v="2025-03-13T12:25:23Z"/>
        <d v="2025-03-13T16:38:26Z"/>
        <d v="2025-03-21T15:27:29Z"/>
        <d v="2025-03-27T13:57:41Z"/>
        <d v="2025-03-27T16:00:10Z"/>
        <d v="2025-03-28T14:23:20Z"/>
        <d v="2025-03-28T16:39:22Z"/>
        <d v="2025-04-01T14:24:15Z"/>
        <d v="2025-04-02T12:19:25Z"/>
        <d v="2025-04-16T13:09:26Z"/>
        <d v="2025-04-16T13:53:11Z"/>
        <d v="2025-04-16T14:56:32Z"/>
        <d v="2025-04-16T15:12:31Z"/>
        <d v="2025-04-16T16:24:01Z"/>
        <d v="2025-04-18T12:54:42Z"/>
        <d v="2025-04-23T16:50:22Z"/>
        <d v="2025-05-01T19:50:32Z"/>
        <d v="2025-05-06T12:13:44Z"/>
        <d v="2025-05-07T13:48:12Z"/>
        <d v="2025-05-08T15:39:21Z"/>
        <d v="2025-05-14T14:12:16Z"/>
        <d v="2025-05-14T14:56:38Z"/>
        <d v="2025-05-14T19:20:33Z"/>
        <d v="2025-05-15T15:32:01Z"/>
        <d v="2025-05-22T18:09:31Z"/>
        <d v="2025-05-27T14:26:27Z"/>
        <d v="2025-05-27T16:35:04Z"/>
        <d v="2025-05-28T11:40:26Z"/>
        <d v="2025-05-29T12:24:42Z"/>
        <d v="2025-05-29T23:22:46Z"/>
        <d v="2025-05-30T12:36:34Z"/>
        <d v="2025-05-30T12:40:03Z"/>
        <d v="2025-05-30T13:23:22Z"/>
        <d v="2025-05-30T15:35:36Z"/>
        <d v="2025-06-02T12:38:22Z"/>
        <d v="2025-06-02T18:06:07Z"/>
        <d v="2025-06-03T11:42:13Z"/>
        <d v="2025-06-03T17:46:45Z"/>
        <d v="2025-06-09T12:13:43Z"/>
        <d v="2025-06-10T14:07:47Z"/>
        <d v="2025-06-11T19:33:31Z"/>
        <d v="2025-06-12T14:22:08Z"/>
        <d v="2025-06-12T15:16:48Z"/>
        <d v="2025-06-16T23:05:01Z"/>
        <d v="2025-06-17T10:46:12Z"/>
        <d v="2025-06-17T16:45:30Z"/>
        <d v="2025-06-19T12:41:57Z"/>
        <d v="2025-06-24T12:10:00Z"/>
        <d v="2025-06-25T17:12:44Z"/>
        <d v="2025-06-30T19:59:24Z"/>
        <d v="2025-06-30T20:20:41Z"/>
        <d v="2025-06-30T20:23:10Z"/>
        <d v="2025-07-11T14:29:09Z"/>
        <d v="2025-07-15T13:04:28Z"/>
        <d v="2025-07-15T13:10:05Z"/>
        <d v="2025-07-15T16:28:15Z"/>
        <d v="2025-07-15T21:29:59Z"/>
        <d v="2025-07-17T13:55:14Z"/>
        <d v="2025-07-18T22:30:24Z"/>
        <d v="2025-07-22T17:34:07Z"/>
        <d v="2025-07-22T19:52:00Z"/>
        <d v="2025-07-25T17:41:49Z"/>
        <d v="2025-07-25T17:55:00Z"/>
        <d v="2025-07-25T20:25:44Z"/>
        <d v="2025-07-31T13:53:46Z"/>
        <d v="2025-07-31T14:03:30Z"/>
        <d v="2025-08-01T18:55:04Z"/>
        <d v="2025-08-05T17:10:36Z"/>
        <d v="2025-08-05T17:17:28Z"/>
        <d v="2025-08-05T17:30:00Z"/>
        <d v="2025-08-05T18:21:07Z"/>
        <d v="2025-08-05T18:43:01Z"/>
        <d v="2025-08-06T12:56:39Z"/>
        <d v="2025-08-06T17:55:18Z"/>
        <d v="2025-08-07T13:19:21Z"/>
        <d v="2025-08-08T19:40:20Z"/>
        <d v="2025-08-12T13:50:18Z"/>
        <d v="2025-08-12T17:03:16Z"/>
        <d v="2025-08-13T11:19:58Z"/>
        <d v="2025-08-13T12:14:14Z"/>
        <d v="2025-08-14T12:07:57Z"/>
        <d v="2025-08-18T12:51:06Z"/>
        <d v="2025-08-22T13:23:26Z"/>
        <d v="2025-08-27T17:18:57Z"/>
        <d v="2025-08-27T19:25:25Z"/>
        <d v="2025-08-27T20:11:24Z"/>
        <d v="2025-08-29T13:31:50Z"/>
        <d v="2025-09-02T14:49:17Z"/>
        <d v="2025-09-02T15:56:42Z"/>
        <d v="2025-09-02T16:24:29Z"/>
        <d v="2025-09-05T13:57:57Z"/>
        <d v="2025-09-11T15:57:42Z"/>
        <d v="2025-09-17T16:32:32Z"/>
        <d v="2025-09-18T13:22:35Z"/>
        <d v="2025-09-23T16:09:58Z"/>
        <d v="2025-09-24T13:25:41Z"/>
        <d v="2025-09-24T21:18:31Z"/>
        <d v="2025-09-25T12:24:38Z"/>
        <d v="2025-09-25T12:40:59Z"/>
        <d v="2025-09-25T18:49:23Z"/>
        <d v="2025-10-01T20:31:31Z"/>
        <d v="2025-10-07T12:23:30Z"/>
        <d v="2025-10-08T14:39:35Z"/>
        <d v="2025-10-08T15:16:05Z"/>
        <d v="2025-10-15T19:52:25Z"/>
        <d v="2025-10-16T12:34:11Z"/>
        <d v="2025-10-22T14:31:45Z"/>
        <d v="2025-10-23T17:26:34Z"/>
        <d v="2025-10-27T13:41:57Z"/>
        <d v="2025-11-05T14:08:06Z"/>
        <d v="2025-11-05T17:15:43Z"/>
        <m/>
      </sharedItems>
    </cacheField>
    <cacheField name="კონტრაგენტი :" numFmtId="0">
      <sharedItems containsBlank="1">
        <s v="ოლიმპ ჯორჯია (ს.კ. 405231011) - შპს"/>
        <s v="ინდეკო (ს.კ. 202376133) - შპს"/>
        <s v="ბეტა ჯგუფი (ს.კ. 405171996) - შპს"/>
        <s v="გიოკაპიტალი (ს.კ. 406155841) - შპს"/>
        <s v="რედ-კო (ს.კ. 405148415) - შპს"/>
        <s v="მაია კვიჭიძე (ს.კ. 01008011243) - ფიზ. პირი"/>
        <s v="მოდუსი (ს.კ. 245565669) - შპს"/>
        <s v="ჰომბეი (ს.კ. 405255815) - შპს"/>
        <s v="ანა აბუსერიძე (ს.კ. 61001051501) - ფიზ. პირი"/>
        <s v="იუნიქს ქონსთრაქშენ კომპანი (ს.კ. 405133822) - შპს"/>
        <s v="თბილისი პალასი (ს.კ. 405253381) - შპს"/>
        <s v="თეგეტა მოტორსი (ს.კ. 202177205) - შპს"/>
        <s v="Dar Building (ს.კ. 445420875) - შპს"/>
        <s v="ბათბილდინგი (ს.კ. 445509334) - შპს"/>
        <s v="რუმი (ს.კ. 445481853) - შპს"/>
        <s v="ფალიაშვილის 63 (ს.კ. ICE000034) - ამხანაგობა"/>
        <s v="ეკომეტრი (ს.კ. 404464030) - შპს"/>
        <s v="ჩემპიონი 2 (ს.კ. 248416432) - შპს"/>
        <s v="ნიუ თაიმ (ს.კ. 445440577) - შპს"/>
        <s v="ელტური-2008 (ს.კ. 248434038) - შპს"/>
        <s v="ბიზნეს ცენტრი დელისი (ს.კ. 204854014) - სს"/>
        <s v="შველა (ს.კ. 448396021) - შპს"/>
        <s v="ბკ კაპიტალი (ს.კ. 205057123) - შპს"/>
        <s v="ინჟინერთა ჯგუფი (ს.კ. 400101457) - შპს"/>
        <s v="სითი დეველოპმენტ (ს.კ. 404481324) - შპს"/>
        <s v="დომუს დეველოპმენტ (ს.კ. 205210261) - შპს"/>
        <s v="ირაკლი კაციტაძე (ს.კ. 01008004604) - ფიზ. პირი"/>
        <s v="ორბი ჯგუფი ბათუმი (ს.კ. 445468798) - შპს"/>
        <s v="აი ჯი დეველოფმენტ ჯორჯია (ს.კ. 404851503) - შპს"/>
        <s v="რენთინგ ბიენბი (ს.კ. 404564244) - სს"/>
        <s v="ტრანსმშენი (ს.კ. 212274812) - სს"/>
        <s v="ლუდსახარში ორი კათხა (ს.კ. 406283338) - შპს"/>
        <s v="ახალშენი 2016 (ს.კ. 405136758) - შპს"/>
        <s v="კანოპუსი (ს.კ. 405229881) - შპს"/>
        <s v="სითი რეალ ისთეით (ს.კ. 406067410) - შპს"/>
        <s v="ანაგი (ს.კ. 245416401) - შპს"/>
        <s v="დეველოპერული კომპანია მც კვადრატი (ს.კ. 404474403) - შპს"/>
        <s v="თერმორუმი (ს.კ. 405134448) - შპს"/>
        <s v="ტექნოკლიმა (ს.კ. 402009857) - შპს"/>
        <s v="ჯი-ემ-თი სასტუმროები (ს.კ. 203842333) - შპს"/>
        <s v="1920 (ს.კ. 400247899) - შპს"/>
        <s v="გოჩა ჩხაიძე (ს.კ. 65002012107) - ფიზ. პირი"/>
        <s v="სვირი + (ს.კ. 212916932) - შპს"/>
        <s v="ორბი ჯგუფი (ს.კ. 245621849) - შპს"/>
        <s v="მეპერსი (ს.კ. 402121887) - შპს"/>
        <s v="Spanish Retail Georgia (ს.კ. 404404774) - შპს"/>
        <s v="გალერია ჰოტელ მენეჯმენტი (ს.კ. 404567508) - შპს"/>
        <s v="ერა პალასი (ს.კ. 245619807) - შპს"/>
        <s v="თბილი სახლი (ს.კ. 204976179) - შპს"/>
        <s v="პიქსელ მენეჯმენტი (ს.კ. 404862314) - შპს"/>
        <s v="დავუდ (ს.კ. 404438417) - სს"/>
        <s v="თბილისი ცენტრალი (ს.კ. 205129653) - სს"/>
        <s v="ნინო კირცხალია (ს.კ. 01031005362) - ფიზ. პირი"/>
        <s v="ნირან პროპერტის დეველოპმენტი (ს.კ. 204564729) - შპს"/>
        <s v="ეიჩ ენდ ემ ჰენეს ენდ მაურიც ჯორჯია (ს.კ. 405164192) - შპს"/>
        <s v="ჯი ემ ემ (ს.კ. 405115174) - შპს"/>
        <s v="ოლსერვისგრუპ (ს.კ. 406233552) - შპს"/>
        <s v="ოლსერვისჯგუფი (ს.კ. 406269041) - შპს"/>
        <s v="არქი საბურთალო (ს.კ. 405176982) - შპს"/>
        <s v="შატო მუხრანი (ს.კ. 205000381) - სს"/>
        <s v="ენსოლი (ს.კ. 205236190) - შპს"/>
        <s v="დომუსი (ს.კ. 404908864) - შპს"/>
        <s v="როვშან მამადოვი (ს.კ. 67008001418) - ფიზ. პირი"/>
        <s v="ი. აბაშიძე 70 (ს.კ. ICE001082) - ამხანაგობა"/>
        <s v="დელისი 2020 (ს.კ. ICE001083) - ამხანაგობა"/>
        <s v="ბაგები (ს.კ. 405330262) - შპს"/>
        <s v="საქ სამეცნიერო-საგანმანათ. კომპ ქსელების ასოციაცია გრენა (ს.კ. 204931654) - ასოციაცია"/>
        <s v="დომუს სერვისი (ს.კ. 405311336) - შპს"/>
        <s v="BD Property (ს.კ. 404390967) - შპს"/>
        <s v="გელა ხომერიკი (ს.კ. 33001011813) - ფიზ. პირი"/>
        <s v="რედ-კო მენეჯმენტ გრუპი (ს.კ. 405198986) - შპს"/>
        <s v="ჯი-ემ-თი მთაწმინდა (ს.კ. 203843396) - შპს"/>
        <s v="არქი დიღომი (ს.კ. 405225037) - შპს"/>
        <s v="ბაკურიანი ბიზნეს ჯგუფი (ს.კ. 226166163) - შპს"/>
        <s v="იოსებ გუნთაიშვილი (ს.კ. 61001008820) - ფიზ. პირი"/>
        <s v="კანალესა (ს.კ. 405021925) - შპს"/>
        <s v="გუდაური ლოჯი (ს.კ. 402084221) - შპს"/>
        <s v="პაატა დვალიშვილი (ს.კ. 01001011731) - ფიზ. პირი"/>
        <s v="ქეთევანი ავალიანი (ს.კ. 60001034749) - ფიზ. პირი"/>
        <s v="ნორვეგიის სამეფოს საელჩო ქ. თბილისში (ს.კ. 205376608) - დიპლომატი"/>
        <s v="ასოციაცია ატუ (ს.კ. 239402491) - არასამეწარმეო (არაკომერციული) იურიდიული პირი"/>
        <s v="მონუმენტი 1880 (ს.კ. 402159980) - შპს"/>
        <s v="ტურინვესტი (ს.კ. 245555554) - შპს"/>
        <s v="აკაკი მგელაძე (ს.კ. 61001034433) - ფიზ. პირი"/>
        <s v="მ2 (ს.კ. 404465529) - შპს"/>
        <s v="ჯემალ ინაიშვილი (ს.კ. 61001000802) - ფიზ. პირი"/>
        <s v="სტრაქტიფორმი (ს.კ. 405313940) - შპს"/>
        <s v="შპს სტელა + (ს.კ. 418475974) - შპს"/>
        <s v="გიორგი გულაშვილი (ს.კ. 01026006745) - ფიზ. პირი"/>
        <s v="სანრაიზ დეველოპმენტი (ს.კ. 405285221) - შპს"/>
        <s v="გიორგი ბახტაძე (ს.კ. 01024067298) - ფიზ. პირი"/>
        <s v="AHI Carrier Fzc (ს.კ. ICE001144) - უცხოური საწარმო"/>
        <s v="ინსტალი (ს.კ. 404436570) - შპს"/>
        <s v="გალერია თბილისი (ს.კ. 204558497) - შპს"/>
        <s v="აკაკი ახვლედიანი (ს.კ. 01024008652) - ფიზ. პირი"/>
        <s v="აი-სი-ი (ს.კ. 400017245) - შპს"/>
        <s v="მებოენჯინიერინგ (ს.კ. 405353399) - შპს"/>
        <s v="არგო გრუპ ჯორჯია (ს.კ. 400113532) - შპს"/>
        <s v="ლენოქსი (ს.კ. 418476893) - შპს"/>
        <s v="სფერა (ს.კ. 405412361 ) - შპს"/>
        <s v="თინათინ ასათიანი (ს.კ. 01009008545) - ფიზ. პირი"/>
        <s v="ბკ ქონსთრაქშენი (ს.კ. 404537809) - შპს"/>
        <s v="რუსთავი მოლი (ს.კ. 405271450) - შპს"/>
        <s v="ზუგდიდი პალასი (ს.კ. 404583492) - შპს"/>
        <s v="ელიტ ელექტრონიქსი (ს.კ. 202268928) - შპს"/>
        <s v="ოპტიმა (ს.კ. 405160819) - შპს"/>
        <s v="დავით დავითაშვილი (ს.კ. 24001002261) - ფიზ. პირი"/>
        <s v="ბალტიის ბიზნეს განვითარება (ს.კ. 400098078 ) - შპს"/>
        <s v="ირინა ბაგრატიონი (ს.კ. 62001000738) - ფიზ. პირი"/>
        <s v="ემ-ეს-სი ჯორჯია (ს.კ. 205276681) - შპს"/>
        <s v="CENTER OF ELECTRICAT GOODS (ს.კ. ICE001696) - უცხოური საწარმო"/>
        <s v="სტუდიო  (ს.კ. 405429987 ) - შპს"/>
        <s v="გიორგი მარგებაძე (ს.კ. 01025019447) - ფიზ. პირი"/>
        <s v="თენგიზ სარჯველაძე (ს.კ. 61001018248) - ფიზ. პირი"/>
        <s v="პალადა (ს.კ. 205180472) - შპს"/>
        <s v="ბეთბი (ს.კ. 204882190 ) - შპს"/>
        <s v="თაბორი რიზორთსი (ს.კ. 405147755 ) - შპს"/>
        <s v="გრიგოლ ცირეკიძე (ს.კ. 01007008822) - ფიზ. პირი"/>
        <s v="კრწანისი როიალ რეზიდენსი (ს.კ. 404569837) - შპს"/>
        <s v="გრინ ლაიფ (ს.კ. 404477730) - შპს"/>
        <s v="ბექა ლეჟავა (ს.კ. 01009014629) - ფიზ. პირი"/>
        <s v="გიორგი გაგნიძე (ს.კ. 01027023991) - ფიზ. პირი"/>
        <s v="სოკარ ჯორჯია პეტროლეუმი (ს.კ. 202352514) - შპს"/>
        <s v="ანა თალაკვაძე (ს.კ. 01001003747) - ფიზ. პირი"/>
        <s v="რუსუდან ბრაგვაძე (ს.კ. 01024067897) - ფიზ. პირი"/>
        <s v="ონისე იოსელიანი (ს.კ. 01009020969) - ფიზ. პირი"/>
        <s v="დავით მაჭავარიანი (ს.კ. 01031006443) - ფიზ. პირი"/>
        <s v="ირაკლი თავართქილაძე (ს.კ. 61001014004) - ფიზ. პირი"/>
        <s v="ვენჯორჯია (ს.კ. 404885335) - შპს"/>
        <s v="მაქრო ტურიზმ (ს.კ. 404492759) - შპს"/>
        <s v="აისბერგი 2 (ს.კ. 215127725) - შპს"/>
        <s v="ეიჩ გრუპ კონსტრაქშენ (ს.კ. 445510411) - შპს"/>
        <s v="მზიური რეზორტ (ს.კ. 404462256) - შპს"/>
        <s v="გრინ დეველოპმენტი (ს.კ. 204452412) - შპს"/>
        <s v="ჯი თი ჯი კაპიტალი (ს.კ. 405307350) - შპს"/>
        <s v="პენსილვანიის (აშშ) საგუშაგო კოშკის, ბიბლიისა და&#10;ტრაქტატების საზოგადოების ფილიალი საქართველოში (ს.კ. 206093494) - უცხოური არასამეწარმეო იურიდიული პირის ფილიალი"/>
        <s v="ეკატერინა ბერდიშევა (ს.კ. 762917460) - ფიზ. პირი"/>
        <s v="SIGRAM (ს.კ. ICE001752) - უცხოური საწარმო"/>
        <s v="სუპრემე სოლუთიონს (ს.კ. 445587320) - შპს"/>
        <s v="ბიელსი (ს.კ. 404507182) - შპს"/>
        <s v="ემ ელ სი ლოჯისტიკს (ს.კ. 405380181) - შპს"/>
        <s v="გიდანი (ს.კ. 205259780) - შპს"/>
        <s v="ანტონ ვორონინი (ს.კ. 03187803411) - ფიზ. პირი"/>
        <s v="აჭარის პროექტების მართვის კომპანია (ს.კ. 445409415) - შპს"/>
        <s v="მშვილდოსანი (ს.კ. 404385401) - შპს"/>
        <s v="ნინო სირბილაძე (ს.კ. 01008033246) - ფიზ. პირი"/>
        <s v="ტიგრან ხაჩატრიან (ს.კ. 65130000512) - ფიზ. პირი"/>
        <s v="პრემიუმ ჯგუფი (ს.კ. 445522907) - შპს"/>
        <s v="ჰავანა (ს.კ. 405022817) - შპს"/>
        <s v="მაია მესხი (ს.კ. 01024009520) - ფიზ. პირი"/>
        <s v="ბმა ქ. ბათუმი, ნინოშვილის N23ა (ს.კ. ICE001801) - ამხანაგობა"/>
        <s v="კაპიტალ გრუპი (ს.კ. 405296255) - შპს"/>
        <s v="ირაკლი ბუხიაშვილი (ს.კ. 01031007136) - ფიზ. პირი"/>
        <s v="ოლეკსანდრ შიპოშა (ს.კ. 19891103-00237) - ფიზ. პირი"/>
        <s v="კლიმატ ინჟინერინგი (ს.კ. 405164584) - შპს"/>
        <s v="გიორგი ლორთქიფანიძე (ს.კ. 01009002617) - ფიზ. პირი"/>
        <s v="ალიანსი თბილისი (ს.კ. 405144703) - შპს"/>
        <s v="იევგენ ოვეშნიაქოვ (ს.კ. 1982092803392) - ფიზ. პირი"/>
        <s v="ილია იაკობიძე (ს.კ. 01008053571) - ფიზ. პირი"/>
        <s v="ბეჟან სამხარაძე (ს.კ. 01024029963) - ფიზ. პირი"/>
        <s v="ანა ფირცხალავა (ს.კ. 62003014448) - ინდ. მეწარმე"/>
        <s v="მპ დეველოპმენტი (ს.კ. 404960217) - შპს"/>
        <s v="პრაიმ არქი (ს.კ. 406132929) - შპს"/>
        <s v="კომპანია ჯდჯ (ს.კ. 405119964) - შპს"/>
        <s v="ფრანგული უბანი ფრანგული უბნის &quot;დ&quot; და &quot;ე&quot; ბლოკების ამხანაგობა (ს.კ. 200316657) - ამხანაგობა"/>
        <s v="ფრანგული დასახლების ა-ბ-გ ბლოკების ამხანაგობა (ს.კ. 200317273) - ამხანაგობა"/>
        <s v="გორგილაძის 88ა (ს.კ. ICE001857) - ამხანაგობა"/>
        <s v="ისანი პალასი (ს.კ. ICE001858) - ამხანაგობა"/>
        <s v="ნინოწმინდა (ს.კ. 438115754) - შპს"/>
        <s v="დემურ დიასამიძე (ს.კ. 61001029125) - ფიზ. პირი"/>
        <s v="ლაიქ ჰაუსი (ს.კ. 445478563) - შპს"/>
        <s v="ნუცუბიძე (ს.კ. 405387861) - შპს"/>
        <s v="ზურაბ ბეროშვილი (ს.კ. 01008016853) - ფიზ. პირი"/>
        <s v="ნიკოლოზ სეთურიძე (ს.კ. 01017017831) - ფიზ. პირი"/>
        <s v="ვერგე (ს.კ. 425365507) - შპს"/>
        <s v="გრიინ ინვესტ (ს.კ. 445450850) - შპს"/>
        <s v="შოთა მონადირიშვილი (ს.კ. 01024051928) - ფიზ. პირი"/>
        <s v="ვოიარგ ლიმითედ (ს.კ. 405346102) - შპს"/>
        <s v="ბაგრატიონი რეზიდენსი (ს.კ. 445572568) - შპს"/>
        <s v="აიდისი (ს.კ. 204998342) - შპს"/>
        <s v="ალიანსი ფრივილიჯი (ს.კ. 412718466) - შპს"/>
        <s v="გრანდ მოლი (ს.კ. 445524479) - შპს"/>
        <s v="ინდეკო ჰოსფითალითი (ს.კ. 405508026) - შპს"/>
        <s v="გიორგი ნიქაბაძე (ს.კ. 01030030896) - ფიზ. პირი"/>
        <s v="ზენ იოგა სტუდიო (ს.კ. 205288856) - შპს"/>
        <s v="გიორგი კურტანიძე (ს.კ. 11001002721) - ფიზ. პირი"/>
        <s v="ვ-ჯეო რესტორნები (ს.კ. 405404076) - შპს"/>
        <s v="გოლდენ გრუპ (ს.კ. 445519831) - შპს"/>
        <s v="თი ელ ქონსთრაქშენ (ს.კ. 445520525) - შპს"/>
        <s v="თამილა ჭურკვეიძე (ს.კ. 61006026727) - ფიზ. პირი"/>
        <s v="თემურ უსტიაშვილი (ს.კ. 61001007309) - ფიზ. პირი"/>
        <s v="თბილისი სითი (ს.კ. 405034537) - შპს"/>
        <s v="იბრაიმ შალიკაძე (ს.კ. 61006002758) - ფიზ. პირი"/>
        <s v="DT MUHENDISLIK VE TAAHHUT A.S. (ს.კ. 0) - უცხოური საწარმო"/>
        <s v="დნთ ქონსთრაქშენ (ს.კ. 405418196) - შპს"/>
        <s v="ინდეკო სი ემ  (ს.კ. 405508339) - შპს"/>
        <s v="შატო დე ვერე (ს.კ. 405357224) - სს"/>
        <s v="ასკანელი ვაინერი &amp; დისტილერი (ს.კ. 205010888) - შპს"/>
        <s v="იეჰოვას მოწმეთა ქრისტიანული კრება საქართველოში (ს.კ. 406134678) - საჯარო სამართლის იურიდიული პირი"/>
        <s v="სითი სისტემს (ს.კ. 405319668) - შპს"/>
        <s v="Beauty Life (ს.კ. 204557639) - შპს"/>
        <s v="ელთ ბილდინგი (ს.კ. 445471285) - შპს"/>
        <s v="გიორგი ჩხიკვიშვილი (ს.კ. 55001026533) - ფიზ. პირი"/>
        <s v="ELL‐GA‐MAN (ს.კ. 0) - უცხოური საწარმო"/>
        <s v="მელიქიშვილი ინნ (ს.კ. 405463546) - შპს"/>
        <s v="პრემიუმ დეველოპმენტ კომპანი (ს.კ. 404597691) - შპს"/>
        <s v="გრანდ მაისონ (ს.კ. 445575333) - შპს"/>
        <s v="ბულვარ ფოინთ (ს.კ. 445527494) - შპს"/>
        <s v="სფერა (ს.კ. 405412361) - შპს"/>
        <s v="დრს ინტერნეიშენალ (ს.კ. 421279182) - შპს"/>
        <s v="კაზა დი ბათუმი (ს.კ. 405389397) - შპს"/>
        <s v="სახლი ძველ ბათუმში (ს.კ. 445433610) - შპს"/>
        <s v="ანაგი დეველოპმენტი 1 (ს.კ. 404567713) - შპს"/>
        <s v="სამშენებლო კომპანია სურმანიძეები (ს.კ. 445455846) - შპს"/>
        <s v="ზვიად ჯორბენაძე (ს.კ. 61001067900) - ფიზ. პირი"/>
        <s v="ელენა მამმადოვა (ს.კ. 01794001582) - ფიზ. პირი"/>
        <s v="დავით ნიკოლეიშვილი (ს.კ. 01027021475) - ფიზ. პირი"/>
        <s v="ფუჯინ სილქ ფროფერთის (ს.კ. 405273421) - შპს"/>
        <s v="აიემდი (ს.კ. 405203462) - შპს"/>
        <s v="სამიტი ქონსთრაქშენ (ს.კ. 406328184) - შპს"/>
        <s v="გამა (ს.კ. 204425906) - შპს"/>
        <s v="ავტოტრანსპორტი 91 (ს.კ. 212670091) - შპს"/>
        <s v="პრომეჩი (ს.კ. 445496213) - შპს"/>
        <s v="SCHERCO TRADING AG (ს.კ. ICE002054) - უცხოური საწარმო"/>
        <s v="სანა მენტე (ს.კ. 405627022) - შპს"/>
        <s v="ფეიმანე ქალამიან (ს.კ. 01797002696) - ფიზ. პირი"/>
        <s v="ბერკეტი-დიზაინი (ს.კ. 204909812) - შპს"/>
        <s v="მასტერ ოქეი (ს.კ. 402010471) - შპს"/>
        <s v="პალმ აპარტამენტი (ს.კ. 445614381) - შპს"/>
        <s v="გუმბათი აპარტი კვარიათი (ს.კ. 445580782) - შპს"/>
        <s v="დიღომი 2ბ სერვისი (ს.კ. 405476319) - შპს"/>
        <s v="დეკა დიდი დიღომი (ს.კ. 405569665) - შპს"/>
        <s v="არეალი (ს.კ. 448389994) - შპს"/>
        <s v="ავენიუ ბაი ორბი (ს.კ. 445488749) - შპს"/>
        <s v="არგო მენეჯმენტი  (ს.კ. 445391647) - შპს"/>
        <s v="ტელეგრაფი (ს.კ. 404505406) - შპს"/>
        <s v="ვახტანგი ხაბაზი (ს.კ. 61004063799) - ფიზ. პირი"/>
        <s v="იორკ ჰოლდინგ გრუპი (ს.კ. 430800733) - შპს"/>
        <s v="DIAGNOSTICA MEDICAL CORPORATION (ს.კ.  01202228) - უცხოური საწარმო"/>
        <s v="Svogan LLC (ს.კ. 0) - უცხოური საწარმო"/>
        <s v="ევროპროდუქტი (ს.კ. 202227134) - შპს"/>
        <s v="ჯი ემ თი (ს.კ. 435431445) - შპს"/>
        <s v="შ.პ.ს ბეტა ჰოთელს (ს.კ. 404585686) - შპს"/>
        <s v="კონსტანტინე ესაძე (ს.კ. 01009007850) - ფიზ. პირი"/>
        <s v="ეკატერინე ელისაბედაშვილი (ს.კ. 01019021472) - ფიზ. პირი"/>
        <s v="გრინლაიფ რეზიდენსი (ს.კ. 65002012550) - ამხანაგობა"/>
        <s v="მმს გრუპ (ს.კ. 445472774) - შპს"/>
        <s v="საქკაბელი (ს.კ. 230026888) - სს"/>
        <s v="მტზ კომპანი (ს.კ. 445525478) - შპს"/>
        <s v="ლაქი ქონსთრაქშენ (ს.კ. 405370708) - შპს"/>
        <s v="EurAsia Klimat LLC (ს.კ. 230840027493) - უცხოური საწარმო"/>
        <s v="მარდი ჰილსი (ს.კ. 405572633) - შპს"/>
        <s v="არსენალ რეზიდენსი (ს.კ. 406259668) - შპს"/>
        <s v="როტა (ს.კ. 445569484) - შპს"/>
        <s v="პროპერთი ინვესტ გრუპ (ს.კ. 405483285) - შპს"/>
        <s v="გრანდე ჯგუფი (ს.კ. 404557127) - შპს"/>
        <s v="სქაი ბათუმი (ს.კ. 445552866) - შპს"/>
        <s v="ბესიკ ბერიძე (ს.კ. 01024001602) - ფიზ. პირი"/>
        <s v="შატბერაშვილის 45 (ს.კ. 405629583) - შპს"/>
        <s v="საბურთალო ც სერვისი (ს.კ. 405476337) - შპს"/>
        <s v="ისანი ც სერვისი 1 (ს.კ. 405476300) - შპს"/>
        <s v="ისანი ც სერვისი 2 (ს.კ. 405476239) - შპს"/>
        <s v="ისანი ც სერვისი 3 (ს.კ. 405476293) - შპს"/>
        <s v="ისანი დ სერვისი 1 (ს.კ. 405534827) - შპს"/>
        <s v="ისანი დ სერვისი 2 (ს.კ. 405534863) - შპს"/>
        <s v="ბეტა ჰოთელს (ს.კ. 404585686) - შპს"/>
        <s v="ამხანაგობა ბარათაშვილი 24 (ს.კ. ICE002467) - ამხანაგობა"/>
        <s v="ირაკლი კირცხალია (ს.კ. 01031005361) - ფიზ. პირი"/>
        <s v="ჯორჯიან გოლდ ინვესტ (ს.კ. 405602968) - სს"/>
        <s v="ბი ეს არ-სი დი ჯი დეველოპმენტი (ს.კ. 204513687) - შპს"/>
        <s v="მედლოგ ფოთი (ს.კ. 215083139) - შპს"/>
        <s v="Budget Dummy (ს.კ. ICE002065) - შპს"/>
        <s v="არგო მენეჯმენტი (ს.კ. 445391647) - შპს"/>
        <s v="ბაგები 2022 (ს.კ. ICE002479) - ამხანაგობა"/>
        <s v="ბურაქ ქონსტრაქშენ  (ს.კ. 404670682) - შპს"/>
        <s v="ნუგზარ წერეთელი (ს.კ. 01017023738) - ფიზ. პირი"/>
        <s v="თბილისი დრაი პორტი (ს.კ. 405483454) - შპს"/>
        <s v="სასტუმრო აქვა ბათუმი (ს.კ. 445646720) - შპს"/>
        <s v="დეკა ვერონა (ს.კ. 405570519) - შპს"/>
        <s v="აპოლო გ.ს. (ს.კ. 202430468) - შპს"/>
        <s v="ხიდი 2006 (ს.კ. 245556991) - შპს"/>
        <s v="ბაუჰაუს ქონსთრაქშენი (ს.კ. 405610272) - შპს"/>
        <s v="გიანთი პალასი (ს.კ. 405128268) - შპს"/>
        <s v="ამბასადორი ბათუმი (ს.კ. 445515719) - შპს"/>
        <s v="ნიუ გრუპ მაღლივი (ს.კ. 405391491) - შპს"/>
        <s v="შპს წინანდლის მამულები (ს.კ. 204557372) - შპს"/>
        <s v="ბათუმი დეველოპმენტ ალიანსი (ს.კ. 445455908) - შპს"/>
        <s v="ბილდია (ს.კ. 404535035) - შპს"/>
        <s v="მეკარტ ჯორჯია (ს.კ. 445474852) - შპს"/>
        <s v="ქობულეთი გარდენ ქეი (ს.კ. 446987379) - შპს"/>
        <s v="დიღომი 3 (ს.კ. 404566046) - შპს"/>
        <s v="აპარტ ქონ (ს.კ. 402204413) - შპს"/>
        <s v="ნიუ გრუპ დეველოპმენტი (ს.კ. 405650727) - შპს"/>
        <s v="თმ ჯგუფი (ს.კ. 405226802) - შპს"/>
        <s v="კომპაქტ მუხიანი (ს.კ. 405568675) - შპს"/>
        <s v="DMS (ს.კ. 404868728) - შპს"/>
        <s v="ყვარლის მარანი (ს.კ. 441554499) - შპს"/>
        <s v="სიბიდი დეველოპმენტი (ს.კ. 404382921) - შპს"/>
        <s v="სანრაიზ პალასი (ს.კ. 445692518) - შპს"/>
        <s v="ვოლსი საბურთალო (ს.კ. 405372109) - შპს"/>
        <s v="ემ სი ქონსთრაქშენ (ს.კ. 445558496) - შპს"/>
        <s v="ოქროს სანაპირო (ს.კ. 445465773) - შპს"/>
        <s v="თბილისი ეარფორთ ჰოთელ (ს.კ. 406471269) - შპს"/>
        <s v="კაფე ცენტრალი (ს.კ. 445685884) - შპს"/>
        <s v="ნატალია ვასილიევა (ს.კ. 01019013928) - ფიზ. პირი"/>
        <s v="ეკატერინე გელაშვილი (ს.კ. 01023000852) - ფიზ. პირი"/>
        <s v="მურუსიძე გიორგი (ს.კ. 61001034832) - ფიზ. პირი"/>
        <s v="პარავიანი ალვინა (ს.კ. 01014004683) - ფიზ. პირი"/>
        <s v="ქურცაძე ვასო (ს.კ. 18001065894) - ფიზ. პირი"/>
        <s v="ივანე კონტრიძე (ს.კ. 01024066432) - ფიზ. პირი"/>
        <s v="ლომიძე ლიანა (ს.კ. 01117067344) - ფიზ. პირი"/>
        <s v="ეკატერინე ჭავჭავაძე (ს.კ. 01009010735) - ფიზ. პირი"/>
        <s v="გოგოტიშვილი კობა (ს.კ. 33001026839) - ფიზ. პირი"/>
        <s v="ანა გაგუა (ს.კ. 60001021539) - ფიზ. პირი"/>
        <s v="ვეკუა ლაშა (ს.კ. 01027060345) - ფიზ. პირი"/>
        <s v="ლაბარტყავა მარიამ (ს.კ. 01008043151) - ფიზ. პირი"/>
        <s v="გაგნიძე ნელი (ს.კ. 01006008918) - ფიზ. პირი"/>
        <s v="ბერიძე არჩილ (ს.კ. 61001032541) - ფიზ. პირი"/>
        <s v="გიორგი კიკუტაძე (ს.კ. 01901146888) - ფიზ. პირი"/>
        <s v="კობა გოგატიშვილი (ს.კ. 54001008148) - ფიზ. პირი"/>
        <s v="თავაძე თამაზი (ს.კ. 01019014393) - ფიზ. პირი"/>
        <s v="ლეკვეიშვილი გრიგოლ (ს.კ. 01001010845) - ფიზ. პირი"/>
        <s v="სითიქომ (ს.კ. 405197111) - შპს"/>
        <s v="ოკტოპუსი (ს.კ. 405116084) - შპს"/>
        <s v="ფარნავაზ მეფის # 62 (ს.კ. 245665221) - ამხანაგობა"/>
        <s v="სიმონ შეშელიძე (ს.კ. 33001059430) - ფიზ. პირი"/>
        <s v="თეა მაღალდაძე (ს.კ. 57001015349) - ინდ. მეწარმე"/>
        <s v="ჯეიფი ჰაბ (ს.კ. 445657548) - შპს"/>
        <s v="ადმირალ ფბ (ს.კ. 405586655) - შპს"/>
        <s v="ვერჰეიჯ ნორა (ს.კ. NV0C25JD1) - ფიზ. პირი"/>
        <s v="ანზორ მოლაშვილი (ს.კ. 40001004103) - ინდ. მეწარმე"/>
        <s v="თიბისი ლიზინგი (ს.კ. 205016560) - სს"/>
        <s v="საქართველოს ბანკი (ს.კ. 204378869) - სს"/>
        <s v="გთემ ჰოსფითალითი გრუპ (ს.კ. 445604640) - შპს"/>
        <s v="ბათუმი ცენტრალი (ს.კ. 445386172) - შპს"/>
        <s v="სი ფი აი ჯორჯია (ს.კ. 204969908) - შპს"/>
        <s v="PIAZZA MANAGEMENT (ს.კ. 445394369) - შპს"/>
        <s v="ქაან ქონსთრაქშენ (ს.კ. 445718411) - შპს"/>
        <s v="ჯი ემ ფარმასიუთიქალს (ს.კ. 211385268) - შპს"/>
        <s v="ჯეო ჰოსპიტალს (ს.კ. 404907730) - შპს"/>
        <s v="ხიმშიაშვილი ზურა (ს.კ. 61001076743) - ფიზ. პირი"/>
        <s v="არტე ქერჩი (ს.კ. 400359492) - შპს"/>
        <s v="ირ.აბაშიძე 555 (ს.კ. 402204299) - შპს"/>
        <s v="ირიგიო (ს.კ. 405167466) - შპს"/>
        <s v="Technolux LLC (ს.კ. 0) - უცხოური საწარმო"/>
        <s v="დავინჩი (ს.კ. 405034680) - შპს"/>
        <s v="ჯელიფტი + (ს.კ. 405107842) - შპს"/>
        <s v="თამარ ჩუბინიძე (ს.კ. 01008015352) - ფიზ. პირი"/>
        <s v="დარ ინვესტი (ს.კ. 405351140) - შპს"/>
        <s v="ზურაბი ლომიძე (ს.კ. 38001046593) - ფიზ. პირი"/>
        <s v="დჯ მშენებლობა (ს.კ. 426549648) - შპს"/>
        <s v="ელირან ტრაბელსი (ს.კ. 0) - ფიზ. პირი"/>
        <s v="ლეონოვა ანნა (ს.კ. 756863414) - ფიზ. პირი"/>
        <s v="გიორგი სულაბერიძე (ს.კ. 01031005706) - ფიზ. პირი"/>
        <s v="ირაკლი მიქელაძე (ს.კ. 01008048570) - ფიზ. პირი"/>
        <s v="მიხაილ უდოვკინ (ს.კ. 761253063) - ფიზ. პირი"/>
        <s v="ოლგა ბეზბაბნიჯა (ს.კ. LV5293430) - ფიზ. პირი"/>
        <s v="ზაზა კვიციანი (ს.კ. 01006002615) - ფიზ. პირი"/>
        <s v="ეკატერინე გოგია (ს.კ. 62001008516) - ფიზ. პირი"/>
        <s v="დავით გოზალიშვილი (ს.კ. 01024017502) - ფიზ. პირი"/>
        <s v="იდეა ქონსთრაქშენი (ს.კ. 405545030) - შპს"/>
        <s v="ოლეგ კაპლიევ (ს.კ. 345720703) - ინდ. მეწარმე"/>
        <s v="ანა კომახიძე (ს.კ. 61001084981) - ფიზ. პირი"/>
        <s v="არქი მეინთენენს (ს.კ. 405752957) - შპს"/>
        <s v="ფალლაჰა მონა (ს.კ. LR1331828) - ფიზ. პირი"/>
        <s v="სამზეო ყვარელი (ს.კ. 405748268) - შპს"/>
        <s v="პეკინის სასტუმრო (ს.კ. 405696073) - შპს"/>
        <s v="მაია ჩავლეიშვილი (ს.კ. 01021017124) - ფიზ. პირი"/>
        <s v="ზ-გრუპ (ს.კ. 400017245) - შპს"/>
        <s v="კახა ვარდიაშვილი (ს.კ. 01008023192) - ფიზ. პირი"/>
        <s v="მაიკლი ნაუმოვი (ს.კ. ICE2953) - ფიზ. პირი"/>
        <s v="გიორგი ხონელია (ს.კ. 62007000908) - ფიზ. პირი"/>
        <s v="ანაგი მექანიზაცია (ს.კ. 445423587) - შპს"/>
        <s v="ნამი 2024 (ს.კ. 405720019) - შპს"/>
        <s v="ნეო გუდაური (ს.კ. ICE002963) - ამხანაგობა"/>
        <s v="მშენებელი 2004 (ს.კ. 205023277) - შპს"/>
        <s v="ანაგი არტ ჰაუსი (ს.კ. 404630716) - შპს"/>
        <s v="მეტრო ჰოლდინგი (ს.კ. 404512933) - შპს"/>
        <s v="ტოკიო ჰოტელ (ს.კ. 402229423) - შპს"/>
        <s v="საკენი ბიოგრაფი (ს.კ. 404651015) - შპს"/>
        <s v="ნინო თავამაიშვილი (ს.კ. 33001020674) - ფიზ. პირი"/>
        <s v="DECRIPT CJSC (ს.კ. 02885818) - უცხოური საწარმო"/>
        <s v="ბენე კომფორტი (ს.კ. 405384383) - შპს"/>
        <s v="Malsi (ს.კ. 445419770) - შპს"/>
        <s v="თეკლე გორდეზიანი (ს.კ. 35901129029) - ფიზ. პირი"/>
        <s v="ჰილ საიდ დეველოპმენთ (ს.კ. 404619668) - შპს"/>
        <s v="ფრანს ავტო (ს.კ. 236098165) - შპს"/>
        <s v="ჯი-თი მოტორს (ს.კ. 206276340) - შპს"/>
        <s v="ნექსთ ფროფერთი (ს.კ. 445766859) - შპს"/>
        <s v="ფორის დეველოპმენტი (ს.კ. 445587614) - შპს"/>
        <s v="კამ (ს.კ. 406050856) - შპს"/>
        <s v="დეკა ლისი (ს.კ. 405476872) - შპს"/>
        <s v="თამარ ანდრიაძე (ს.კ. 1024070871) - ფიზ. პირი"/>
        <s v="ირინე ხახუტაიშვილი (ს.კ. 61004007129) - ფიზ. პირი"/>
        <s v="ვოლსი ბაკურიანი (ს.კ. 405475926) - შპს"/>
        <s v="ლევანი მახათაძე (ს.კ. 18001008498) - ფიზ. პირი"/>
        <s v="აისტერრა (ს.კ. 445733065) - შპს"/>
        <s v="ლისი თაურსი (ს.კ. 405535915) - შპს"/>
        <s v="ურბანუს მზიური (ს.კ. 445725831) - შპს"/>
        <s v="ეიესჯისოფტ (ს.კ. 402128149) - შპს"/>
        <s v="ნიუ გუდაური ბლოკ 5 (ს.კ. ICE3304) - ამხანაგობა"/>
        <s v="მაზა (ს.კ. 401987374) - შპს"/>
        <m/>
      </sharedItems>
    </cacheField>
    <cacheField name="პროექტის დასახელება :" numFmtId="0">
      <sharedItems containsBlank="1">
        <s v="Biota Park"/>
        <s v="Chakhrukhadze"/>
        <s v="Med. University"/>
        <s v="Varketili"/>
        <s v="Gudauri Redco Parking"/>
        <s v="Ortachala"/>
        <s v="Modus Agladze"/>
        <s v="Crystal Bakuriani"/>
        <s v="Abuseridze - Batumi"/>
        <s v="UNIX Marselle"/>
        <s v="Tbilisi Palace"/>
        <s v="Tegeta Batumi"/>
        <s v="DAR TOWER"/>
        <s v="BAT Tower"/>
        <s v="Rumi - batumi"/>
        <s v="Domus Paliashviliს 63"/>
        <s v="Gelovani 52"/>
        <s v="Chempioni"/>
        <s v="New Time"/>
        <s v="Green Cape"/>
        <s v="Indeko - shartava 39"/>
        <s v="Redco 1"/>
        <s v="Delisi"/>
        <s v="Shvela"/>
        <s v="Moxy Zaabruken Hotel 1"/>
        <s v="Tbilisi Gardens"/>
        <s v="Modus Kakhety HW"/>
        <s v="Kbuleti Str. - Khomeriki"/>
        <s v="Domus"/>
        <s v="Paliashvili 23"/>
        <s v="Moxy Zabruken Restaurant"/>
        <s v="TWIN TOWER"/>
        <s v="City Mall"/>
        <s v="Renting BNB"/>
        <s v="Aeroporti"/>
        <s v="Dividers Med Uni"/>
        <s v="Brewery 1 (300KG)"/>
        <s v="Khiliani"/>
        <s v="ORBI Office Lift"/>
        <s v="IBIS Perovi"/>
        <s v="Sololaki"/>
        <s v="IBIS Perov Dumbwaiter"/>
        <s v="Kleemann Pekini"/>
        <s v="Gudauri Alpic"/>
        <s v="Batumi Stadium"/>
        <s v="Gazapkhuli"/>
        <s v="Thermoroom"/>
        <s v="ENCORE Gudauri"/>
        <s v="MOXY HVAC"/>
        <s v="Paster Hostel"/>
        <s v="Kaklebi"/>
        <s v="156-ე საჯარო სკოლა"/>
        <s v="Beach Tower"/>
        <s v="Modus PU Duct"/>
        <s v="Modus VRV"/>
        <s v="Ramada Melikishvili"/>
        <s v="Ramada Melikishvili Additional"/>
        <s v="Hilton Garden Mockup"/>
        <s v="Kempinski Mockup"/>
        <s v="Copper Pipes Stock"/>
        <s v="Valves Med. University"/>
        <s v="Orbi Bakuriani VRV"/>
        <s v="Hilton Garden Inn VRV 1"/>
        <s v="Hilton Garden Inn PIPES"/>
        <s v="OFFICE Dar Building"/>
        <s v="Archi Digomi"/>
        <s v="Zara City Mall"/>
        <s v="Galleria Hotel"/>
        <s v="Era Palace"/>
        <s v="Muzeums"/>
        <s v="UNIX Ipolit Ivanov"/>
        <s v="PIXEL"/>
        <s v="Khetagurov Office"/>
        <s v="Galleria Tbilisi"/>
        <s v="Tbilisi Central HVAC Service"/>
        <s v="Mziuri"/>
        <s v="Orbi Other"/>
        <s v="Bagebi"/>
        <s v="H&amp;M"/>
        <s v="Marshal Gelovanis 52"/>
        <s v="Marshal Gelovani 52"/>
        <s v="Archi Jikia Block C"/>
        <s v="Shato Mukhrani Gen-Set 2020"/>
        <s v="Rovshan Mamadovi"/>
        <s v="Sapatrulo"/>
        <s v="Erovnuli"/>
        <s v="Gonio"/>
        <s v="Modus batumi"/>
        <s v="Abashidze 70"/>
        <s v="Epic gazapkhuli"/>
        <s v="Epic Bagebi"/>
        <s v="Hilton Garden Inn Pipes 2"/>
        <s v="Grena MEP 1"/>
        <s v="Domus Paliashvilis 63"/>
        <s v="UNIX Marselle 1"/>
        <s v="MOXY OFFICE"/>
        <s v="Encoder"/>
        <s v="Kobuleti Garden Inn"/>
        <s v="Aparthotel Vake"/>
        <s v="ORBI CITY A"/>
        <s v="Hospital Generator"/>
        <s v="Tskhneti House Valves"/>
        <s v="Hilton Garden VRV2"/>
        <s v="Paata House"/>
        <s v="MHI Splits"/>
        <s v="P1 P2 Ceilings"/>
        <s v="Chonkadze Home"/>
        <s v="Chonkadze Home Split"/>
        <s v="Uninstall/Install 2"/>
        <s v="Uninstall/Install 1"/>
        <s v="Modus Wedding Hall"/>
        <s v="Norway Embassy MEP1"/>
        <s v="Turkish Repair"/>
        <s v="ATU Duck Type 2020"/>
        <s v="Compressors 1"/>
        <s v="Compressor Instalation"/>
        <s v="Mitsubishi Splits"/>
        <s v="Hilton Service Parts"/>
        <s v="Filter supply and compresor change service"/>
        <s v="Conditioners"/>
        <s v="INVERTER COOLING FAN"/>
        <s v="7Sky VRV Mockup"/>
        <s v="Compressors 2"/>
        <s v="Hilton Batumi VRF"/>
        <s v="Rustavi MIA"/>
        <s v="Unix Marselle 2"/>
        <s v="Meppers Hilton Garden Inn Carrier"/>
        <s v="Jemali House"/>
        <s v="Inspection"/>
        <s v="Stela  "/>
        <s v="SRK45ZSP-S/SRC45ZSP-S"/>
        <s v="Thermoroom 2 units"/>
        <s v="Sunrise Batumi"/>
        <s v="Jikia house"/>
        <s v="Paata House Splits"/>
        <s v="Mitsubishi Split Conditioners"/>
        <s v="Poti Port Service"/>
        <s v="MHI Conditioner"/>
        <s v="Split Mitsubishi Conditioners (R410A)"/>
        <s v="N2 lift service"/>
        <s v="Beach Tower Trouble"/>
        <s v="Kafelis Saxli"/>
        <s v="Fan Propeller"/>
        <s v="4 Units RC-EX3"/>
        <s v="3 MHI SPLITS"/>
        <s v="Compressor"/>
        <s v="PU Ducts"/>
        <s v="Orbi Spa"/>
        <s v="ICE - Gazapkhuli Stock"/>
        <s v="Paata House Thermostats "/>
        <s v="Ford Center Propeler Motor"/>
        <s v="N13 Elevator board"/>
        <s v="Display &amp; Board"/>
        <s v="Meboengineering"/>
        <s v="Havana club"/>
        <s v="Carrier Unit"/>
        <s v="Dumpers"/>
        <s v="ICE - Lilo Open Stock"/>
        <s v="ICE - Lilo Closed Stock"/>
        <s v="Axis office"/>
        <s v="Jemali house Elevator"/>
        <s v="Asatiani - Kvariati"/>
        <s v="Mitsubishi Compressor"/>
        <s v="Galleria Elevator Spare Parts "/>
        <s v="Galleria Escalator Spare Part "/>
        <s v="Archi Isani 2"/>
        <s v="House Elevator"/>
        <s v="Rustavi Moll and Poti"/>
        <s v="Zugdidi"/>
        <s v="Digomi elevators"/>
        <s v="VRF Sensor &amp; Fan motor"/>
        <s v="Living Container"/>
        <s v="MHI Split"/>
        <s v="Sveti"/>
        <s v="Moxy Zaabruken Hotel 2"/>
        <s v="Zara Brush"/>
        <s v="Archi Isani"/>
        <s v="Thermostats and joints"/>
        <s v="Mitsubishi Conditioner"/>
        <s v="Mitsubishi Split Condicioner"/>
        <s v="Rent-Tamarashvili"/>
        <s v="M2 conditioner instalatio"/>
        <s v="Redisson Red VRV"/>
        <s v="SAUDI"/>
        <s v="Abashidze 70 "/>
        <s v="Ford Center"/>
        <s v="Hotel Radius"/>
        <s v="SOLOLAKI VRF "/>
        <s v="2 Units Mitsubishi Split Conditioner"/>
        <s v="SARJVELADZE - VRF"/>
        <s v="Samkharauli SOS"/>
        <s v="ATU Conditioners"/>
        <s v="HIEX"/>
        <s v="Germany Embassy "/>
        <s v="Tabori Resorts"/>
        <s v="Tbili Sakhli Digomi"/>
        <s v="Tsirekidze - Mitsubishi Split Conditioner"/>
        <s v="Norwegian Embassy"/>
        <s v="Krtsanisi Residence"/>
        <s v="Okrokana"/>
        <s v="Okrokana  MEP"/>
        <s v="Krtsanisi Residence 1"/>
        <s v="Lezhava - Mitsubishi Split Conditioner"/>
        <s v="Gagnidze - Mitsubishi Split Conditioner"/>
        <s v="Gagnidze - Mitsubishi Split Conditioner Instalation"/>
        <s v="Hilton Batumi VRF Service"/>
        <s v="10 Units Mitsubishi Split Conditioner"/>
        <s v="Talakvadze - Mitsubishi Split Conditioner"/>
        <s v="Bragvadze - Mitsubishi Split Conditioner"/>
        <s v="Ioseliani - Mitsubishi Split Conditioner"/>
        <s v="Machavariani - 3 Units Mitsubishi Split Conditioner"/>
        <s v="Green life - 2 Units Mitsubishi Split Conditioner"/>
        <s v="Tavartkiladze - Mitsubishi Split Conditioner"/>
        <s v="Wendys Compressors"/>
        <s v="IBIS ORTACHALA MEP + VRF Washing"/>
        <s v="Tbilisi Central MHI Compressor"/>
        <s v="ICEBERG"/>
        <s v="7th Heaven Mockup 2"/>
        <s v="Inverter Board and Buttons"/>
        <s v="Mziuri Office"/>
        <s v="Mziuri Garden"/>
        <s v="Tbilisi Central Conditioners system"/>
        <s v="Lisi Green"/>
        <s v="Disabled Platform"/>
        <s v="Carrier AC"/>
        <s v="Akhaltsikhe Compressor"/>
        <s v="Toshiba Outdoor Unit"/>
        <s v="Hilton 1703"/>
        <s v="Gogotishvili kaklebi"/>
        <s v="Armenia Project"/>
        <s v="Supreme Solutions"/>
        <s v="HOTEL IBIS VRV Service"/>
        <s v="Makhata"/>
        <s v="BLC VRF"/>
        <s v="Jgenti Warehouse"/>
        <s v="Vake Apartment"/>
        <s v="Anton Voronin -HILTON BATUMI "/>
        <s v="Mshvildosani - Mitsubishi Conditioner"/>
        <s v="Shartava 39"/>
        <s v="Kitchen Fan"/>
        <s v="Khachatrian - Mitsubishi Split Conditioner"/>
        <s v="Fans and Dumper"/>
        <s v="Premium Group"/>
        <s v="HAVANA CLUB KIFSHIDZE"/>
        <s v="Sea Tower"/>
        <s v="MESKHI - 4 Units Mitsubishi Conditioner"/>
        <s v="SARJVELADZE - Multisplit"/>
        <s v="Batumi, Ninoshvilis 23"/>
        <s v="SAKCABELI"/>
        <s v="Lisi Villa MEP &amp; Smart house"/>
        <s v="Galleria Tbilisi - Escalator Handrail rollers"/>
        <s v="Orbi City D2 block"/>
        <s v="Orbi city D1 block"/>
        <s v="Sea Tower Additional"/>
        <s v="Shyposha - Hilton Batumi  Apartment"/>
        <s v="Fan Motor"/>
        <s v="Lortkipanidze - Mitsubishi Conditioner"/>
        <s v="Alliance Highline"/>
        <s v="Kaklebi doors repears"/>
        <s v="Iveshniakov - Conditioner"/>
        <s v="Supreme Solutions VRV"/>
        <s v="Iakobidze - Mitsubishi Conditioner"/>
        <s v="Samkharadze - 2 Units Mitsubishi Conditioner"/>
        <s v="Inaishvili - 2 Units Mitsubishi Conditioner"/>
        <s v="MOXY HOTEL"/>
        <s v="Baratashvili"/>
        <s v="Rustavi and Poti Mall "/>
        <s v="Poti"/>
        <s v="Archi Isani C"/>
        <s v="Archi Isani D Block"/>
        <s v="Dighomi"/>
        <s v="Mestia"/>
        <s v="Janashia"/>
        <s v="ORBI CITY C"/>
        <s v="Chavchavadze 30"/>
        <s v="UNIX MARSEL"/>
        <s v="Gorgiladzis 88a"/>
        <s v="Isani Palace"/>
        <s v="Ninotsminda - Mitsubishi Conditioner"/>
        <s v="Modus Kakhety HW 2"/>
        <s v="Batumi Apartaments"/>
        <s v="Tsikhisdziri"/>
        <s v="Holiday Inn"/>
        <s v="Park Home Saburtalo"/>
        <s v="BLC VRF Service"/>
        <s v="Beroshvili - Mitsubishi Split Conditioner"/>
        <s v="Seturidze - Mitsubishi Conditioner"/>
        <s v="7th sky"/>
        <s v="ALLIANCE HIGHLINES CHILLERS"/>
        <s v="Moxy hotel Service"/>
        <s v="Askaneli Restaurant"/>
        <s v="Galleria Tbilisi - Escalator Combs"/>
        <s v="ATU Conditioners 2"/>
        <s v="Okrokana Service"/>
        <s v="Monadirishvili - Mitsubishi Conditioner "/>
        <s v="VOYARG ASSY CONTROL"/>
        <s v="Shato Mukhrani Filters"/>
        <s v="Bagrationi"/>
        <s v="IDC Mitsubishi Conditioner"/>
        <s v="Alliance Previlige"/>
        <s v="Batumi Mall"/>
        <s v="Shavteli Street"/>
        <s v="Conditioner Parts"/>
        <s v="Chiller Compressors"/>
        <s v="Toshiba Split"/>
        <s v="Yoga Center"/>
        <s v="Moxy Hotel Rooftop Service"/>
        <s v="Mitsubishi VRF System"/>
        <s v="8 Units Elevator Service"/>
        <s v="V-JEO Restaurant Platform"/>
        <s v="Saturday Mode"/>
        <s v="White square"/>
        <s v="Goderdzi Hotel AHU"/>
        <s v="Churkveidze - 2 Units Conditioner"/>
        <s v="1TV"/>
        <s v="Diesel Generator Service"/>
        <s v="Cooling Tower Belts"/>
        <s v="Macdonalds Orkhevi"/>
        <s v="Macdonalds Isani"/>
        <s v="Gold Market"/>
        <s v="SAKCABELI - Fan"/>
        <s v="IBRAHIM GRILS"/>
        <s v="Philip Morries Elevator Repair"/>
        <s v="TBC Chillers"/>
        <s v="TBC Refregerant"/>
        <s v="TBC Fancoils"/>
        <s v="TBC AHU"/>
        <s v="Kvareli Elevators"/>
        <s v="Kvareli VRV"/>
        <s v="Kvareli AHU"/>
        <s v="Chato di Vere"/>
        <s v="Askaneli Kvareli"/>
        <s v="Watch Tower"/>
        <s v="Gori Mall"/>
        <s v="Motor DC"/>
        <s v="Fan Motor - City System"/>
        <s v="Beauty Life"/>
        <s v="ELT BUILDING"/>
        <s v="Iumashev Stock"/>
        <s v="Dar Building Doors"/>
        <s v="Macdonalds Ortachala Rooftop System"/>
        <s v="Moxy Hotel Service 2023"/>
        <s v="Chavchavadze Stock"/>
        <s v="Batumi Office Stock"/>
        <s v="Didi dighomi LOP"/>
        <s v="Gas Co"/>
        <s v="Kostia Armenia Elmagan"/>
        <s v="Elevator Rope"/>
        <s v="Waikiki Flo"/>
        <s v="Macdonalds Orkhevi Rooftop System"/>
        <s v="Beauty Life MEP"/>
        <s v="Beauty Life MEP Installation"/>
        <s v="Heat Pumps"/>
        <s v="Ceiling Cassette Type &amp; Remote Control"/>
        <s v="Alliance Chiller Repair"/>
        <s v="Meppers Casino"/>
        <s v="Galeria Panoramic Buttons"/>
        <s v="Cooling Tower Pomp"/>
        <s v="Moxy Compressor"/>
        <s v="Darchidze Home"/>
        <s v="Afisha"/>
        <s v="Barnovi"/>
        <s v="Calligraphy Hilton"/>
        <s v="Gumbati Boulevard Point"/>
        <s v="Batteries"/>
        <s v="Central Office"/>
        <s v="McDonalds Tsereteli"/>
        <s v="DRS AHU"/>
        <s v="1TV Fireboxes"/>
        <s v="Batumi office rental"/>
        <s v="Digomi Elevator Service"/>
        <s v="Unix Lop &amp; Display "/>
        <s v="Lisi Green Apartaments"/>
        <s v="Chkonia Elevator"/>
        <s v="HGI DOOR"/>
        <s v="Calligraphy Hilton 2"/>
        <s v="Park Home Vake Galleria Elevator"/>
        <s v="Surmanidzeebi"/>
        <s v="Honda Civic"/>
        <s v="Dar Building Additional floors"/>
        <s v="Multisplits PHS"/>
        <s v="Vake Sewage"/>
        <s v="Multisplit"/>
        <s v="Radius Hotel"/>
        <s v="IBIS Airport"/>
        <s v="MHI Control Module"/>
        <s v="Paco"/>
        <s v="Summit"/>
        <s v="Kontakt Home"/>
        <s v="Vake Fire Fighting"/>
        <s v="Vake VRV"/>
        <s v="Founder Home"/>
        <s v="Havana Club Mziuri"/>
        <s v="BLC Service"/>
        <s v="Park Home Vake"/>
        <s v="Shartava"/>
        <s v="Digomi trade center"/>
        <s v="Hilton Batumi VTF System Parts"/>
        <s v="Kvareli Pool AHU"/>
        <s v="Batumi Restaurant Promech"/>
        <s v="Central Compressors 2023"/>
        <s v="Escalator PCB"/>
        <s v="Park Home Mziuri Rooftop"/>
        <s v="Ramishvili VRF Instalation"/>
        <s v="Amera Bank 3"/>
        <s v="Nutsubidze"/>
        <s v="Orbi C block reprograming"/>
        <s v="Orbi D1 block reprograming"/>
        <s v="Rehab VRF"/>
        <s v="Rehab VRF Installation"/>
        <s v="Kalamian - Mitsubishi Conditioner"/>
        <s v="Rehab Elevators"/>
        <s v="MHI Products"/>
        <s v="Doors change"/>
        <s v="Rehab Sewage"/>
        <s v="2 Units Mitsubishi Conditioner"/>
        <s v="Ford Center Compressor Control Board"/>
        <s v="Palm Apartments"/>
        <s v="Gumbati Apart Kvariati"/>
        <s v="P4 P5 Elevator Sensor"/>
        <s v="Building elevator spareparts"/>
        <s v="Batumi McDonald's Rooftop"/>
        <s v="Kvareli Mockup"/>
        <s v="Kvareli VRF FILTER Installation"/>
        <s v="Batumi Multisplits Instalation"/>
        <s v="Rooftop Parts"/>
        <s v="VRF Materials"/>
        <s v="Dighomi 2B"/>
        <s v="Dighomi 2B Push Button"/>
        <s v="Vehicle TOYOTA 2014"/>
        <s v="McDonalds Marjanishvili Rooftop"/>
        <s v="Kvareli VRV Installation"/>
        <s v="Kvareli Additional VRF Installation"/>
        <s v="ვრფ სისტემის დიაგნოსტიკა ინვ#-03/10"/>
        <s v="Batumi Stock"/>
        <s v="Lisi Development 1 UNIT"/>
        <s v="Deka Digomi"/>
        <s v="Car Platform"/>
        <s v="Areali"/>
        <s v="Kvareli FF Pump"/>
        <s v="Ramishvili Toshiba Installation"/>
        <s v="Ramishvili Toshiba Ventilation Equipment"/>
        <s v="Kvareli Additional VRV Controllers"/>
        <s v="Kvareli Dammaged Indoor 2 Units"/>
        <s v="VRF Service"/>
        <s v="Bagrationi Avenue"/>
        <s v="Radisson Batumi Reabilitation"/>
        <s v="B Block Divider Materials"/>
        <s v="Reinstallation"/>
        <s v="Zurab Margvelashvili"/>
        <s v="Khabazi Kobuleti"/>
        <s v="Kvareli Sprinklers"/>
        <s v="Kvareli Fire Valve"/>
        <s v="Ramishvili Firefighting"/>
        <s v="Ramishvili Ventilation"/>
        <s v="VRF Repair"/>
        <s v="Saakadze McDonalds Rooftops lounching"/>
        <s v="Kuwait Villa"/>
        <s v="Laboratoria"/>
        <s v="Laboratoria2"/>
        <s v="Pirosmani King Solomon"/>
        <s v="Sunrise Shartava"/>
        <s v="Parnavaz Mepis 26"/>
        <s v="Aleqseevka"/>
        <s v="Arqi mindeli"/>
        <s v="Marriots"/>
        <s v="Akhvlediani 22"/>
        <s v="Varazis 42"/>
        <s v="Tskneti 51"/>
        <s v="Okroyana"/>
        <s v="radisson telegraph chileers"/>
        <s v="radisson telegraph FCU"/>
        <s v="mms group poti"/>
        <s v="Kvareli Residence"/>
        <s v="Refugee Tbilisi"/>
        <s v="GRG VRF Lounching abashidze"/>
        <s v="VRV Service"/>
        <s v="PCB"/>
        <s v="Central Thermal Curtains"/>
        <s v="Kvareli 3 units PFD Box"/>
        <s v="Ramishvili Toshiba Installation Materials"/>
        <s v="MTZ"/>
        <s v="Roomix Tsintsadze"/>
        <s v="MHI KZ 1"/>
        <s v="Basis Bank"/>
        <s v="European School"/>
        <s v="Tbilisi Office"/>
        <s v="Rehab Sewage Materials"/>
        <s v="Marjanishvili McDonalds rooftop lounch"/>
        <s v="Rehab Elevator Service"/>
        <s v="Mardi Hills"/>
        <s v="Arsenal"/>
        <s v="GAS CO Additional"/>
        <s v="Porta Tower"/>
        <s v="Shalva Nutsubidze"/>
        <s v="Grande Krtsanisi"/>
        <s v="Gumbati Port Line"/>
        <s v="Alliance Highline FCU"/>
        <s v="Alliance Highline Thermostat"/>
        <s v="Shatberashvili 45"/>
        <s v="Bochorma"/>
        <s v="Archi Jikia"/>
        <s v="Archi Isani C1"/>
        <s v="Archi Isani C2"/>
        <s v="Archi Isani C3"/>
        <s v="Archi Isani D1"/>
        <s v="Archi Isani D2"/>
        <s v="IBIS Perov"/>
        <s v="Baratashvili 24 DAR Building"/>
        <s v="Epic Mziuri"/>
        <s v="CASA DI BATUMI"/>
        <s v="Grand Mall Batumi"/>
        <s v="Afisha Service"/>
        <s v="1 TV Service"/>
        <s v="7th Sky Service"/>
        <s v="Alliance Highline Service"/>
        <s v="Installation"/>
        <s v="Alliance Pevilige Service"/>
        <s v="Askaneli Kvareli Service"/>
        <s v="Bagrationi Residence Service"/>
        <s v="Barnovi Service"/>
        <s v="Caligraph Hilton Service"/>
        <s v="Chateau Di Vere"/>
        <s v="ELT Building Service"/>
        <s v="Mziuri Office Service"/>
        <s v="Gori Mall Service"/>
        <s v="IBIS Airport Service"/>
        <s v="Kvareli Elevators Service"/>
        <s v="Medlog Poti"/>
        <s v="Mziuri Gardens Service"/>
        <s v="D1 Block Service"/>
        <s v="D2 Block Service"/>
        <s v="Park Home Saburtalo Service"/>
        <s v="Shartava Meppers"/>
        <s v="Palm Apartments Service"/>
        <s v="Radisson Batumi Services"/>
        <s v="Admiral Batumi Service"/>
        <s v="Krtsanisi Villa Residence Meppers"/>
        <s v="Admiral design"/>
        <s v="Admiral Generator Transport"/>
        <s v="Compressor Repair"/>
        <s v="Admiral"/>
        <s v="Ramishvili VRV Outdoor Units Transport"/>
        <s v="Porta Apartments 4003"/>
        <s v="Porta Apartments 2906"/>
        <s v="Roomix Unloading"/>
        <s v="Rope Change"/>
        <s v="MHI Conditioners"/>
        <s v="Dry Port Elevator"/>
        <s v="Dry Port HVAC"/>
        <s v="Deka Verona"/>
        <s v="Simetria Lisi 1 Unit"/>
        <s v="KINGS GARDEN 1 UNIT"/>
        <s v="Chakhrukhadze Compressor"/>
        <s v="Goderdzi EP"/>
        <s v="Figures"/>
        <s v="McDonalds Didi Digomi Rooftop Lounch"/>
        <s v="Lisi Veranda 8"/>
        <s v="Ambassador Batumi"/>
        <s v="Multiple Rooftops"/>
        <s v="LUX"/>
        <s v="New Group University"/>
        <s v="Kvareli FF Pump Installation"/>
        <s v="All Mcdonalds"/>
        <s v="Fan Repair"/>
        <s v="Modern Residence"/>
        <s v="Kings Garden"/>
        <s v="Kvareli Repair"/>
        <s v="DRY PORT GENSET"/>
        <s v="2025 Spareparts"/>
        <s v="Ginger Gane"/>
        <s v="Crown Plaza HVAC"/>
        <s v="Kobuleti Garden Key"/>
        <s v="Archi Digomi Installation"/>
        <s v="Tegeta Chiller"/>
        <s v="Tagi"/>
        <s v="Ambassador Goderdzi"/>
        <s v="New Group Kavtaradze"/>
        <s v="Compressors 2024"/>
        <s v="Kvareli Staff House"/>
        <s v="Kazbegi"/>
        <s v="Batumi Office Rent MEPPERS"/>
        <s v="Batumi Office Rent CASA"/>
        <s v="Compact Mukhiani"/>
        <s v="Buttons"/>
        <s v="Kvareli Marani"/>
        <s v="Hampton Unloading"/>
        <s v="Hampton"/>
        <s v="Lisi Veranda 8 Unloading"/>
        <s v="EastPoint Chiller"/>
        <s v="Sunrise Palace"/>
        <s v="Sandro Euli"/>
        <s v="Crown Plaza"/>
        <s v="Golden Beach Kvariati"/>
        <s v="Tegeta AHU"/>
        <s v="Ibis Tbilisi Airport"/>
        <s v="Aparthotel Service"/>
        <s v="Batumi Cafe Central"/>
        <s v="Mitsubisi Vasilieva"/>
        <s v="Service Irakli Kirtshkhalia"/>
        <s v="Air Conditioner"/>
        <s v="Conditioner blocks"/>
        <s v="Qurcadze Parts"/>
        <s v="Kontridze Split"/>
        <s v="Lomidze Conditioner "/>
        <s v="Chavchavadze Oth"/>
        <s v="Gogotishvili Oth"/>
        <s v="Gagua Oth"/>
        <s v="Vekua Oth"/>
        <s v="Nasidze 20"/>
        <s v="Gagnidze Oth"/>
        <s v="Mammadova Oth"/>
        <s v="Beridze Multisplit"/>
        <s v="Kikutadze Conditioner"/>
        <s v="Gogatishvili Oth"/>
        <s v="Tavadze Oth"/>
        <s v="Lekveishvili Oth"/>
        <s v="Navtlugi"/>
        <s v="Eqvtime Kheladze"/>
        <s v="4000 Meskhtians"/>
        <s v="Tskneti H-way"/>
        <s v="Oktopus Serv"/>
        <s v="Service"/>
        <s v="UNIX MARSEL Oth"/>
        <s v="King Parnavaz Service"/>
        <s v="Batumi Mall Repair"/>
        <s v="Server"/>
        <s v="Magaldadze service"/>
        <s v="JP Service"/>
        <s v="Gori Mall Oth"/>
        <s v="Admiral Service"/>
        <s v="Verheij Property"/>
        <s v="Molashvili Auto"/>
        <s v="Cafe Central Oth"/>
        <s v="Domus Ipodrom via TBC Leasing"/>
        <s v="BOG Oth"/>
        <s v="Gtem Hospitality Oth"/>
        <s v="Batumi Central"/>
        <s v="Bagrationi VRF"/>
        <s v="Bagrationi Oth"/>
        <s v="Ibis Airport Oth"/>
        <s v="CPI Geo Oth"/>
        <s v="Piazza Oth"/>
        <s v="Caan Construction Oth"/>
        <s v="V-JEO Restaurant Oth"/>
        <s v="V-JEO Restaurant Service"/>
        <s v="Supreme Solutions Var"/>
        <s v="City Mall Oth"/>
        <s v="Police City"/>
        <s v="Lisi Fo Green Tower"/>
        <s v="Gayrimenkul (Turkey)"/>
        <s v="Rid Yerevan"/>
        <s v="Lisi Fo C4 Block"/>
        <s v="Lazika"/>
        <s v="Tsakhnadzur (Arm)"/>
        <s v="Bk Shartava 43 stage 2"/>
        <s v="Hampton Tourinvest"/>
        <s v="Energy + Akhaltsikhe"/>
        <s v="Bk Shartava stage 3"/>
        <s v="Marshal Development"/>
        <s v="Beta Group"/>
        <s v="BK Dzotsi St"/>
        <s v="Bili Menegement"/>
        <s v="Krtsanisi Millenio"/>
        <s v="GM Pharma Compresor"/>
        <s v="Service 2025"/>
        <s v="Zara City Mall Elevator Details"/>
        <s v="Tbilisi Gardens Oth"/>
        <s v="Card System"/>
        <s v="Archi Isani C1 Repair"/>
        <s v="Kaklebi Oth"/>
        <s v="IBIS Perov Oth"/>
        <s v="Modus Oth"/>
        <s v="Deka Digomi Oth"/>
        <s v="Sunrise Shartava Oth"/>
        <s v="Shatberashvili 45 Oth"/>
        <s v="Khimshiashvili Apartment"/>
        <s v="Arte Kerchi"/>
        <s v="Bloom Bagebi"/>
        <s v="Irigio"/>
        <s v="Galleria Service"/>
        <s v="Dar Tower Oth"/>
        <s v="DAVINCHI"/>
        <s v="Telegraph AHU"/>
        <s v="Gelift"/>
        <s v="Office Conditioners"/>
        <s v="Ramada Plaza"/>
        <s v="DG Construction"/>
        <s v="Panorama"/>
        <s v="Digomi 2B Service"/>
        <s v="Park Home Galleria"/>
        <s v="Kvareli Ballrom"/>
        <s v="Saburtalo C Block"/>
        <s v="Archi Isani C Block"/>
        <s v="Samzeo Service"/>
        <s v="Pekini Service"/>
        <s v="Pult"/>
        <s v="Telavi Mall"/>
        <s v="Delisi Oth"/>
        <s v="Telegraph Fancoils"/>
        <s v="Telegraph Chiller"/>
        <s v="Social Houses Batumi"/>
        <s v="Bagebi Service"/>
        <s v="ZYGMA"/>
        <s v="Batumi Central Install"/>
        <s v="UNIX MARSEL Repair"/>
        <s v="MTZ Service"/>
        <s v="Didi Digomi 2B"/>
        <s v="Didi Digomi 2C"/>
        <s v="Didi Digomi 2D"/>
        <s v="Central Platform"/>
        <s v="University Transportation"/>
        <s v="Facade Lifts"/>
        <s v="Nami"/>
        <s v="Radisson Red HVAC Service"/>
        <s v="Holiday Inn Oth"/>
        <s v="DAVINCHI Oth"/>
        <s v="Neo Gudauri Serv"/>
        <s v="Dry Port Office"/>
        <s v="Tegeta Other Repair"/>
        <s v="Control System"/>
        <s v="Shartava LG"/>
        <s v="Lift Buttons"/>
        <s v="Kvareli Wine Factory"/>
        <s v="Kutaisi McDonalds"/>
        <s v="Doors Repair"/>
        <s v="Grande Krtsanisi D &amp; E Block"/>
        <s v="Grishashvili"/>
        <s v="Telegraph Ahu Additional"/>
        <s v="Kvareli Fans"/>
        <s v="Art House Repair"/>
        <s v="Kutaisi Rooftop Launch"/>
        <s v="Varketili Mall"/>
        <s v="Uznadze Office"/>
        <s v="Archi Isani C Repair"/>
        <s v="Galeria Repair"/>
        <s v="Sakeni"/>
        <s v="Fire Cabinet"/>
        <s v="Accor Avlabari"/>
        <s v="Lisi Development 6 units"/>
        <s v="Compressors 2025"/>
        <s v="Lisi VRF"/>
        <s v="Fotosell"/>
        <s v="Door threshold"/>
        <s v="Chkondideli"/>
        <s v="Container Unloading"/>
        <s v="Kutaisi Parliament"/>
        <s v="Vehicle Service"/>
        <s v="Gardens Oth"/>
        <s v="Zara Escalator Repair"/>
        <s v="Card System Adaptation"/>
        <s v="Mardi Hills Unloading"/>
        <s v="Art House Service"/>
        <s v="Heat Pump"/>
        <s v="Kvareli Termostat Check"/>
        <s v="Vake Ramishvili Refregerant"/>
        <s v="Kvareli Staff House Elevator"/>
        <s v="Chkondideli Repair 21 UNITS"/>
        <s v="Chkondideli Repair 2 UNITS"/>
        <s v="Varazi 99 D"/>
        <s v="1TV Service"/>
        <s v="Additional Shafts"/>
        <s v="Arken Service"/>
        <s v="Building Elevator Rent"/>
        <s v="Ali Batumi"/>
        <s v="Gordeziani Rustavi"/>
        <s v="Wedding Hall Reconstruction"/>
        <s v="Nutsubidze Service"/>
        <s v="Gergeti Str"/>
        <s v="Renault Center Design"/>
        <s v="BMW CENTER"/>
        <s v="BMW CENTER (2)"/>
        <s v="BMW CENTER (3)"/>
        <s v="Mitsubishi VRF"/>
        <s v="HGI Heat Pump Mbus"/>
        <s v="Fancoil"/>
        <s v="HIEX (EUR)"/>
        <s v="Kvariati FLS"/>
        <s v="Scaffolding Rent"/>
        <s v="Rustavi Mall Glass"/>
        <s v="Joints"/>
        <s v="Beach Tower Service"/>
        <s v="Chakhrukhadze Service"/>
        <s v="Next Tbilisi Downtown"/>
        <s v="2 Firebox Installation"/>
        <s v="Telegraph Hotel Humidifier"/>
        <s v="Chkonia Elevator Service"/>
        <s v="Kobuleti Garden Inn Other"/>
        <s v="Foris Suits"/>
        <s v="BOQ Vake Restaurant"/>
        <s v="Isani D Block Door Engine"/>
        <s v="Gallery Reprogramming"/>
        <s v="VRF"/>
        <s v="Escalator Step"/>
        <s v="A &amp; B Block Doors"/>
        <s v="Deka Lisi"/>
        <s v="Varazi 99"/>
        <s v="Kart"/>
        <s v="Additional Steel Works"/>
        <s v="Varketili Mall HVAC"/>
        <s v="Arte Kerchi Service"/>
        <s v="Tadzris 22 Areali"/>
        <s v="Millenio"/>
        <s v="Renault Center"/>
        <s v="Freight Elevator Parts"/>
        <s v="Walls Bakuriani"/>
        <s v="Mitsubishi Multisplits"/>
        <s v="Ramishvili Restaurant"/>
        <s v="TELEGRAPH FCU MOTOR"/>
        <s v="ICETERRA"/>
        <s v="Kvareli Gallery"/>
        <s v="Lisi Trio Facade Elevators"/>
        <s v="Urbanique"/>
        <s v="Display repair"/>
        <s v="Impeller"/>
        <s v="Park Home Repair"/>
        <s v="Alliance Highline Additional"/>
        <s v="Lisi Green Apartments 2"/>
        <s v="Panel repair"/>
        <s v="Sunrise Palace Reconstruction"/>
        <s v="Pipes &amp; VRF System"/>
        <s v="Ambassador Goderdzi AHU Panels"/>
        <s v="Block 5"/>
        <s v="Maza Development"/>
        <m/>
      </sharedItems>
    </cacheField>
    <cacheField name="შემოსავლის კოდი :" numFmtId="0">
      <sharedItems containsBlank="1">
        <s v="1.1.1. (+) შემოსავალი ლიფტების რეალიზაციიდან"/>
        <s v="1.1.2. (+) შემოსავალი ლიფტების სერვისიდან - გეგმიური"/>
        <s v="1.2.1. (+) შემოსავალი MEP დანადგარების რეალიზაციიდან"/>
        <s v="1.2.2. (+) შემოსავალი MEP დანადგარების სერვისიდან - გეგმიური"/>
        <s v="1.1.3. (+) შემოსავალი ლიფტების სერვისიდან - არაგეგმიური"/>
        <s v="1.2.3. (+) შემოსავალი MEP დანადგარების სერვისიდან - არაგეგმიური"/>
        <s v="1.3.1. (+) სხვადასხვა ინვენტარის რეალიზაცია"/>
        <s v="1.3.2. (+) იჯარიდან მიღებული შემოსავალი"/>
        <s v="1.1.4. (+) შემოსავალი ლიფტების შახტის გამყოფები"/>
        <m/>
        <s v=" &#10;"/>
      </sharedItems>
    </cacheField>
    <cacheField name="თარიღი :" numFmtId="164">
      <sharedItems containsDate="1" containsString="0" containsBlank="1">
        <d v="2019-10-29T00:00:00Z"/>
        <d v="2019-10-24T00:00:00Z"/>
        <d v="2019-09-16T00:00:00Z"/>
        <d v="2019-09-26T00:00:00Z"/>
        <d v="2019-07-26T00:00:00Z"/>
        <d v="2019-06-17T00:00:00Z"/>
        <d v="2019-05-23T00:00:00Z"/>
        <d v="2019-06-06T00:00:00Z"/>
        <d v="2019-05-22T00:00:00Z"/>
        <d v="2018-12-26T00:00:00Z"/>
        <d v="2019-01-14T00:00:00Z"/>
        <d v="2018-09-20T00:00:00Z"/>
        <d v="2018-12-27T00:00:00Z"/>
        <d v="2019-12-17T00:00:00Z"/>
        <d v="2017-08-01T00:00:00Z"/>
        <d v="2017-07-07T00:00:00Z"/>
        <d v="2016-06-15T00:00:00Z"/>
        <d v="2017-05-30T00:00:00Z"/>
        <d v="2018-05-28T00:00:00Z"/>
        <d v="2016-08-16T00:00:00Z"/>
        <d v="2016-10-04T00:00:00Z"/>
        <d v="2016-12-19T00:00:00Z"/>
        <d v="2016-09-28T00:00:00Z"/>
        <d v="2016-04-25T00:00:00Z"/>
        <d v="2015-12-17T00:00:00Z"/>
        <d v="2020-01-01T00:00:00Z"/>
        <d v="2019-10-04T00:00:00Z"/>
        <d v="2017-11-20T00:00:00Z"/>
        <d v="2018-09-11T00:00:00Z"/>
        <d v="2020-02-25T00:00:00Z"/>
        <d v="2019-08-22T00:00:00Z"/>
        <d v="2019-01-12T00:00:00Z"/>
        <d v="2020-03-06T00:00:00Z"/>
        <d v="2019-07-31T00:00:00Z"/>
        <d v="2019-11-19T00:00:00Z"/>
        <d v="2019-09-11T00:00:00Z"/>
        <d v="2019-10-31T00:00:00Z"/>
        <d v="2019-12-05T00:00:00Z"/>
        <d v="2018-05-08T00:00:00Z"/>
        <d v="2019-09-24T00:00:00Z"/>
        <d v="2019-05-04T00:00:00Z"/>
        <d v="2019-03-22T00:00:00Z"/>
        <d v="2019-09-03T00:00:00Z"/>
        <d v="2018-01-24T00:00:00Z"/>
        <d v="2019-04-16T00:00:00Z"/>
        <d v="2019-04-11T00:00:00Z"/>
        <d v="2020-01-31T00:00:00Z"/>
        <d v="2018-09-05T00:00:00Z"/>
        <d v="2019-05-10T00:00:00Z"/>
        <d v="2019-05-17T00:00:00Z"/>
        <d v="2019-08-16T00:00:00Z"/>
        <d v="2019-05-12T00:00:00Z"/>
        <d v="2019-10-21T00:00:00Z"/>
        <d v="2020-02-21T00:00:00Z"/>
        <d v="2019-12-16T00:00:00Z"/>
        <d v="2020-03-04T00:00:00Z"/>
        <d v="2020-03-10T00:00:00Z"/>
        <d v="2020-03-13T00:00:00Z"/>
        <d v="2020-12-05T00:00:00Z"/>
        <d v="2020-05-04T00:00:00Z"/>
        <d v="2019-12-01T00:00:00Z"/>
        <d v="2019-06-01T00:00:00Z"/>
        <d v="2019-05-01T00:00:00Z"/>
        <d v="2019-02-01T00:00:00Z"/>
        <d v="2019-03-15T00:00:00Z"/>
        <d v="2018-12-01T00:00:00Z"/>
        <d v="2018-12-28T00:00:00Z"/>
        <d v="2020-02-01T00:00:00Z"/>
        <d v="2020-09-01T00:00:00Z"/>
        <d v="2018-01-22T00:00:00Z"/>
        <d v="2019-01-01T00:00:00Z"/>
        <d v="2019-01-06T00:00:00Z"/>
        <d v="2020-06-08T00:00:00Z"/>
        <d v="2018-02-15T00:00:00Z"/>
        <d v="2020-06-17T00:00:00Z"/>
        <d v="2019-05-07T00:00:00Z"/>
        <d v="2020-07-01T00:00:00Z"/>
        <d v="2020-07-02T00:00:00Z"/>
        <d v="2020-06-01T00:00:00Z"/>
        <d v="2020-06-22T00:00:00Z"/>
        <d v="2020-03-01T00:00:00Z"/>
        <d v="2020-07-07T00:00:00Z"/>
        <d v="2018-01-02T00:00:00Z"/>
        <d v="2019-07-01T00:00:00Z"/>
        <d v="2018-02-01T00:00:00Z"/>
        <d v="2020-05-06T00:00:00Z"/>
        <d v="2018-07-30T00:00:00Z"/>
        <d v="2020-02-18T00:00:00Z"/>
        <d v="2019-11-01T00:00:00Z"/>
        <d v="2018-01-08T00:00:00Z"/>
        <d v="2020-05-05T00:00:00Z"/>
        <d v="2019-12-25T00:00:00Z"/>
        <d v="2019-10-30T00:00:00Z"/>
        <d v="2020-07-20T00:00:00Z"/>
        <d v="2020-06-15T00:00:00Z"/>
        <d v="2020-08-10T00:00:00Z"/>
        <d v="2020-08-11T00:00:00Z"/>
        <d v="2020-07-29T00:00:00Z"/>
        <d v="2020-07-27T00:00:00Z"/>
        <d v="2018-05-04T00:00:00Z"/>
        <d v="2017-12-26T00:00:00Z"/>
        <d v="2020-05-25T00:00:00Z"/>
        <d v="2018-06-22T00:00:00Z"/>
        <d v="2020-08-27T00:00:00Z"/>
        <d v="2020-02-17T00:00:00Z"/>
        <d v="2020-06-23T00:00:00Z"/>
        <d v="2020-03-12T00:00:00Z"/>
        <d v="2020-08-19T00:00:00Z"/>
        <d v="2020-09-10T00:00:00Z"/>
        <d v="2020-09-17T00:00:00Z"/>
        <d v="2020-08-20T00:00:00Z"/>
        <d v="2020-09-21T00:00:00Z"/>
        <d v="2020-09-28T00:00:00Z"/>
        <d v="2020-08-17T00:00:00Z"/>
        <d v="2020-10-01T00:00:00Z"/>
        <d v="2020-06-16T00:00:00Z"/>
        <d v="2019-02-22T00:00:00Z"/>
        <d v="2020-09-25T00:00:00Z"/>
        <d v="2020-10-10T00:00:00Z"/>
        <d v="2020-10-13T00:00:00Z"/>
        <d v="2020-10-12T00:00:00Z"/>
        <d v="2020-10-14T00:00:00Z"/>
        <d v="2020-10-23T00:00:00Z"/>
        <d v="2020-10-16T00:00:00Z"/>
        <d v="2020-09-04T00:00:00Z"/>
        <d v="2019-11-29T00:00:00Z"/>
        <d v="2020-10-26T00:00:00Z"/>
        <d v="2020-10-28T00:00:00Z"/>
        <d v="2020-09-23T00:00:00Z"/>
        <d v="2020-11-05T00:00:00Z"/>
        <d v="2020-10-22T00:00:00Z"/>
        <d v="2020-11-17T00:00:00Z"/>
        <d v="2020-11-16T00:00:00Z"/>
        <d v="2020-11-03T00:00:00Z"/>
        <d v="2020-10-08T00:00:00Z"/>
        <d v="2020-12-18T00:00:00Z"/>
        <d v="2020-11-19T00:00:00Z"/>
        <d v="2020-11-24T00:00:00Z"/>
        <d v="2020-10-02T00:00:00Z"/>
        <d v="2020-12-22T00:00:00Z"/>
        <d v="2020-11-27T00:00:00Z"/>
        <d v="2020-12-01T00:00:00Z"/>
        <d v="2011-01-01T00:00:00Z"/>
        <d v="2021-01-15T00:00:00Z"/>
        <d v="2020-12-30T00:00:00Z"/>
        <d v="2020-12-08T00:00:00Z"/>
        <d v="2021-02-12T00:00:00Z"/>
        <d v="2021-02-09T00:00:00Z"/>
        <d v="2020-08-25T00:00:00Z"/>
        <d v="2021-02-16T00:00:00Z"/>
        <d v="2020-11-30T00:00:00Z"/>
        <d v="2020-12-20T00:00:00Z"/>
        <d v="2021-02-17T00:00:00Z"/>
        <d v="2021-02-18T00:00:00Z"/>
        <d v="2020-04-01T00:00:00Z"/>
        <d v="2020-10-20T00:00:00Z"/>
        <d v="2021-02-24T00:00:00Z"/>
        <d v="2021-02-25T00:00:00Z"/>
        <d v="2021-03-03T00:00:00Z"/>
        <d v="2021-02-22T00:00:00Z"/>
        <d v="2021-02-07T00:00:00Z"/>
        <d v="2020-09-03T00:00:00Z"/>
        <d v="2021-03-28T00:00:00Z"/>
        <d v="2021-03-23T00:00:00Z"/>
        <d v="2021-03-29T00:00:00Z"/>
        <d v="2020-12-14T00:00:00Z"/>
        <d v="2021-04-05T00:00:00Z"/>
        <d v="2021-03-25T00:00:00Z"/>
        <d v="2021-04-12T00:00:00Z"/>
        <d v="2021-04-15T00:00:00Z"/>
        <d v="2021-04-29T00:00:00Z"/>
        <d v="2021-05-13T00:00:00Z"/>
        <d v="2021-01-12T00:00:00Z"/>
        <d v="2021-04-01T00:00:00Z"/>
        <d v="2021-05-20T00:00:00Z"/>
        <d v="2021-03-01T00:00:00Z"/>
        <d v="2021-05-25T00:00:00Z"/>
        <d v="2021-05-17T00:00:00Z"/>
        <d v="2021-06-02T00:00:00Z"/>
        <d v="2021-06-09T00:00:00Z"/>
        <d v="2021-06-16T00:00:00Z"/>
        <d v="2021-02-26T00:00:00Z"/>
        <d v="2021-04-23T00:00:00Z"/>
        <d v="2021-06-21T00:00:00Z"/>
        <d v="2021-06-22T00:00:00Z"/>
        <d v="2021-06-25T00:00:00Z"/>
        <d v="2021-06-28T00:00:00Z"/>
        <d v="2021-07-01T00:00:00Z"/>
        <d v="2021-07-02T00:00:00Z"/>
        <d v="2021-07-06T00:00:00Z"/>
        <d v="2021-07-09T00:00:00Z"/>
        <d v="2021-07-08T00:00:00Z"/>
        <d v="2021-07-12T00:00:00Z"/>
        <d v="2021-05-01T00:00:00Z"/>
        <d v="2021-06-01T00:00:00Z"/>
        <d v="2021-07-15T00:00:00Z"/>
        <d v="2021-07-21T00:00:00Z"/>
        <d v="2021-08-05T00:00:00Z"/>
        <d v="2021-08-06T00:00:00Z"/>
        <d v="2021-05-10T00:00:00Z"/>
        <d v="2021-08-12T00:00:00Z"/>
        <d v="2021-02-03T00:00:00Z"/>
        <d v="2021-08-26T00:00:00Z"/>
        <d v="2021-08-16T00:00:00Z"/>
        <d v="2021-08-19T00:00:00Z"/>
        <d v="2021-09-28T00:00:00Z"/>
        <d v="2021-07-23T00:00:00Z"/>
        <d v="2021-10-05T00:00:00Z"/>
        <d v="2021-08-20T00:00:00Z"/>
        <d v="2021-09-27T00:00:00Z"/>
        <d v="2021-10-01T00:00:00Z"/>
        <d v="2021-10-15T00:00:00Z"/>
        <d v="2021-10-07T00:00:00Z"/>
        <d v="2021-11-11T00:00:00Z"/>
        <d v="2021-11-29T00:00:00Z"/>
        <d v="2021-12-06T00:00:00Z"/>
        <d v="2021-12-01T00:00:00Z"/>
        <d v="2021-12-24T00:00:00Z"/>
        <d v="2022-01-10T00:00:00Z"/>
        <d v="2021-04-07T00:00:00Z"/>
        <d v="2022-01-24T00:00:00Z"/>
        <d v="2021-06-10T00:00:00Z"/>
        <d v="2022-01-01T00:00:00Z"/>
        <d v="2022-02-22T00:00:00Z"/>
        <d v="2022-02-03T00:00:00Z"/>
        <d v="2021-11-23T00:00:00Z"/>
        <d v="2021-12-16T00:00:00Z"/>
        <d v="2022-01-20T00:00:00Z"/>
        <d v="2022-03-24T00:00:00Z"/>
        <d v="2021-10-11T00:00:00Z"/>
        <d v="2022-03-25T00:00:00Z"/>
        <d v="2022-01-21T00:00:00Z"/>
        <d v="2022-03-23T00:00:00Z"/>
        <d v="2021-12-17T00:00:00Z"/>
        <d v="2022-04-14T00:00:00Z"/>
        <d v="2022-04-18T00:00:00Z"/>
        <d v="2022-05-02T00:00:00Z"/>
        <d v="2021-08-01T00:00:00Z"/>
        <d v="2022-04-01T00:00:00Z"/>
        <d v="2022-05-10T00:00:00Z"/>
        <d v="2020-09-15T00:00:00Z"/>
        <d v="2021-11-01T00:00:00Z"/>
        <d v="2022-03-31T00:00:00Z"/>
        <d v="2022-05-01T00:00:00Z"/>
        <d v="2022-05-16T00:00:00Z"/>
        <d v="2022-06-20T00:00:00Z"/>
        <d v="2022-02-10T00:00:00Z"/>
        <d v="2022-05-20T00:00:00Z"/>
        <d v="2022-06-03T00:00:00Z"/>
        <d v="2022-06-07T00:00:00Z"/>
        <d v="2022-06-13T00:00:00Z"/>
        <d v="2022-07-13T00:00:00Z"/>
        <d v="2022-06-15T00:00:00Z"/>
        <d v="2022-07-11T00:00:00Z"/>
        <d v="2022-07-05T00:00:00Z"/>
        <d v="2022-06-22T00:00:00Z"/>
        <d v="2022-06-01T00:00:00Z"/>
        <d v="2022-06-06T00:00:00Z"/>
        <d v="2022-05-24T00:00:00Z"/>
        <d v="2022-05-27T00:00:00Z"/>
        <d v="2020-09-24T00:00:00Z"/>
        <d v="2022-07-26T00:00:00Z"/>
        <d v="2022-06-25T00:00:00Z"/>
        <d v="2022-07-25T00:00:00Z"/>
        <d v="2022-08-01T00:00:00Z"/>
        <d v="2022-08-05T00:00:00Z"/>
        <d v="2022-08-15T00:00:00Z"/>
        <d v="2022-08-17T00:00:00Z"/>
        <d v="2022-07-16T00:00:00Z"/>
        <d v="2022-10-18T00:00:00Z"/>
        <d v="2022-10-20T00:00:00Z"/>
        <d v="2022-10-25T00:00:00Z"/>
        <d v="2022-10-24T00:00:00Z"/>
        <d v="2022-10-26T00:00:00Z"/>
        <d v="2022-10-01T00:00:00Z"/>
        <d v="2022-11-05T00:00:00Z"/>
        <d v="2022-08-27T00:00:00Z"/>
        <d v="2022-11-17T00:00:00Z"/>
        <d v="2022-11-01T00:00:00Z"/>
        <d v="2022-11-07T00:00:00Z"/>
        <d v="2022-10-27T00:00:00Z"/>
        <d v="2022-09-30T00:00:00Z"/>
        <d v="2022-11-24T00:00:00Z"/>
        <d v="2022-11-18T00:00:00Z"/>
        <d v="2022-12-22T00:00:00Z"/>
        <d v="2022-12-10T00:00:00Z"/>
        <d v="2022-12-01T00:00:00Z"/>
        <d v="2022-12-23T00:00:00Z"/>
        <d v="2022-12-30T00:00:00Z"/>
        <d v="2023-01-18T00:00:00Z"/>
        <d v="2023-01-20T00:00:00Z"/>
        <d v="2001-01-01T00:00:00Z"/>
        <d v="2023-01-27T00:00:00Z"/>
        <d v="2022-12-19T00:00:00Z"/>
        <d v="2023-01-23T00:00:00Z"/>
        <d v="2000-01-01T00:00:00Z"/>
        <d v="2023-01-26T00:00:00Z"/>
        <d v="2022-02-01T00:00:00Z"/>
        <d v="2022-12-14T00:00:00Z"/>
        <d v="2023-02-02T00:00:00Z"/>
        <d v="2022-09-22T00:00:00Z"/>
        <d v="2023-02-07T00:00:00Z"/>
        <d v="2022-11-02T00:00:00Z"/>
        <d v="2022-12-21T00:00:00Z"/>
        <d v="2023-02-15T00:00:00Z"/>
        <d v="2023-02-20T00:00:00Z"/>
        <d v="2023-02-16T00:00:00Z"/>
        <d v="2023-02-21T00:00:00Z"/>
        <d v="2023-02-28T00:00:00Z"/>
        <d v="2021-09-16T00:00:00Z"/>
        <d v="2023-03-13T00:00:00Z"/>
        <d v="2022-12-27T00:00:00Z"/>
        <d v="2023-02-27T00:00:00Z"/>
        <d v="2023-03-16T00:00:00Z"/>
        <d v="2023-03-28T00:00:00Z"/>
        <d v="2023-04-05T00:00:00Z"/>
        <d v="2023-03-01T00:00:00Z"/>
        <d v="2020-08-14T00:00:00Z"/>
        <d v="2023-01-01T00:00:00Z"/>
        <d v="2021-08-18T00:00:00Z"/>
        <d v="2023-04-01T00:00:00Z"/>
        <d v="2023-04-19T00:00:00Z"/>
        <d v="2023-04-21T00:00:00Z"/>
        <d v="2023-02-08T00:00:00Z"/>
        <d v="2022-11-21T00:00:00Z"/>
        <d v="2023-05-01T00:00:00Z"/>
        <d v="2023-05-11T00:00:00Z"/>
        <d v="2023-05-19T00:00:00Z"/>
        <d v="2023-05-18T00:00:00Z"/>
        <d v="2023-05-17T00:00:00Z"/>
        <d v="2023-05-22T00:00:00Z"/>
        <d v="2023-06-06T00:00:00Z"/>
        <d v="2023-06-14T00:00:00Z"/>
        <d v="2023-06-22T00:00:00Z"/>
        <d v="2023-06-01T00:00:00Z"/>
        <d v="2023-05-16T00:00:00Z"/>
        <d v="2023-06-27T00:00:00Z"/>
        <d v="2023-07-01T00:00:00Z"/>
        <d v="2023-07-03T00:00:00Z"/>
        <d v="2023-07-17T00:00:00Z"/>
        <d v="2023-07-14T00:00:00Z"/>
        <d v="2023-08-03T00:00:00Z"/>
        <d v="2023-07-20T00:00:00Z"/>
        <d v="2023-08-07T00:00:00Z"/>
        <d v="2023-03-22T00:00:00Z"/>
        <d v="2023-08-14T00:00:00Z"/>
        <d v="2023-08-16T00:00:00Z"/>
        <d v="2023-08-09T00:00:00Z"/>
        <d v="2023-08-11T00:00:00Z"/>
        <d v="2023-04-20T00:00:00Z"/>
        <d v="2023-07-11T00:00:00Z"/>
        <d v="2023-07-12T00:00:00Z"/>
        <d v="2023-08-17T00:00:00Z"/>
        <d v="2023-08-25T00:00:00Z"/>
        <d v="2023-08-29T00:00:00Z"/>
        <d v="2023-09-05T00:00:00Z"/>
        <d v="2023-08-30T00:00:00Z"/>
        <d v="2023-08-04T00:00:00Z"/>
        <d v="2023-09-13T00:00:00Z"/>
        <d v="2023-09-01T00:00:00Z"/>
        <d v="2023-09-18T00:00:00Z"/>
        <d v="2022-12-13T00:00:00Z"/>
        <d v="2023-09-27T00:00:00Z"/>
        <d v="2023-08-01T00:00:00Z"/>
        <d v="2023-09-12T00:00:00Z"/>
        <d v="2023-06-08T00:00:00Z"/>
        <d v="2023-10-11T00:00:00Z"/>
        <d v="2023-10-01T00:00:00Z"/>
        <d v="2023-10-26T00:00:00Z"/>
        <d v="2023-11-13T00:00:00Z"/>
        <d v="2024-01-01T00:00:00Z"/>
        <d v="2023-11-01T00:00:00Z"/>
        <d v="2023-10-04T00:00:00Z"/>
        <d v="2023-12-04T00:00:00Z"/>
        <d v="2023-12-01T00:00:00Z"/>
        <d v="2023-12-07T00:00:00Z"/>
        <d v="2023-04-12T00:00:00Z"/>
        <d v="2023-04-03T00:00:00Z"/>
        <d v="2023-11-29T00:00:00Z"/>
        <d v="2023-06-16T00:00:00Z"/>
        <d v="2023-12-06T00:00:00Z"/>
        <d v="2023-08-02T00:00:00Z"/>
        <d v="2023-12-26T00:00:00Z"/>
        <d v="2024-01-18T00:00:00Z"/>
        <d v="2024-02-05T00:00:00Z"/>
        <d v="2024-02-12T00:00:00Z"/>
        <d v="2024-02-01T00:00:00Z"/>
        <d v="2024-11-29T00:00:00Z"/>
        <d v="2024-02-21T00:00:00Z"/>
        <d v="2024-03-07T00:00:00Z"/>
        <d v="2024-03-01T00:00:00Z"/>
        <d v="2024-03-05T00:00:00Z"/>
        <d v="2023-11-06T00:00:00Z"/>
        <d v="2024-03-29T00:00:00Z"/>
        <d v="2022-09-01T00:00:00Z"/>
        <d v="2023-06-28T00:00:00Z"/>
        <d v="2024-03-24T00:00:00Z"/>
        <d v="2024-05-01T00:00:00Z"/>
        <d v="2024-05-14T00:00:00Z"/>
        <d v="2024-05-20T00:00:00Z"/>
        <d v="2024-06-05T00:00:00Z"/>
        <d v="2024-04-01T00:00:00Z"/>
        <d v="2024-06-13T00:00:00Z"/>
        <d v="2024-06-01T00:00:00Z"/>
        <d v="2024-07-02T00:00:00Z"/>
        <d v="2024-08-01T00:00:00Z"/>
        <d v="2024-08-07T00:00:00Z"/>
        <d v="2024-09-03T00:00:00Z"/>
        <d v="2024-04-30T00:00:00Z"/>
        <d v="2024-09-01T00:00:00Z"/>
        <d v="2024-09-20T00:00:00Z"/>
        <d v="2024-09-18T00:00:00Z"/>
        <d v="2024-07-01T00:00:00Z"/>
        <d v="2024-09-25T00:00:00Z"/>
        <d v="2024-05-17T00:00:00Z"/>
        <d v="2024-11-05T00:00:00Z"/>
        <d v="2024-10-17T00:00:00Z"/>
        <d v="2024-11-01T00:00:00Z"/>
        <d v="2024-06-26T00:00:00Z"/>
        <d v="2024-11-11T00:00:00Z"/>
        <d v="2024-12-02T00:00:00Z"/>
        <d v="2024-12-01T00:00:00Z"/>
        <d v="2025-11-22T00:00:00Z"/>
        <d v="2025-01-01T00:00:00Z"/>
        <d v="2024-08-15T00:00:00Z"/>
        <d v="2025-01-17T00:00:00Z"/>
        <d v="2024-12-12T00:00:00Z"/>
        <d v="2024-11-06T00:00:00Z"/>
        <d v="2024-09-10T00:00:00Z"/>
        <d v="2024-06-20T00:00:00Z"/>
        <d v="2024-07-16T00:00:00Z"/>
        <d v="2024-10-25T00:00:00Z"/>
        <d v="2024-11-25T00:00:00Z"/>
        <d v="2024-10-16T00:00:00Z"/>
        <d v="2024-09-24T00:00:00Z"/>
        <d v="2024-07-12T00:00:00Z"/>
        <d v="2024-06-17T00:00:00Z"/>
        <d v="2024-05-24T00:00:00Z"/>
        <d v="2024-05-15T00:00:00Z"/>
        <d v="2023-12-12T00:00:00Z"/>
        <d v="2023-06-07T00:00:00Z"/>
        <d v="2023-08-21T00:00:00Z"/>
        <d v="2023-05-02T00:00:00Z"/>
        <d v="2024-09-02T00:00:00Z"/>
        <d v="2024-07-22T00:00:00Z"/>
        <d v="2023-01-11T00:00:00Z"/>
        <d v="2023-10-02T00:00:00Z"/>
        <d v="2024-05-16T00:00:00Z"/>
        <d v="2024-12-24T00:00:00Z"/>
        <d v="2024-06-03T00:00:00Z"/>
        <d v="2024-07-26T00:00:00Z"/>
        <d v="2024-06-09T00:00:00Z"/>
        <d v="2024-08-09T00:00:00Z"/>
        <d v="2025-05-13T00:00:00Z"/>
        <d v="2023-12-21T00:00:00Z"/>
        <d v="2024-05-11T00:00:00Z"/>
        <d v="2024-04-11T00:00:00Z"/>
        <d v="2024-09-13T00:00:00Z"/>
        <d v="2024-01-29T00:00:00Z"/>
        <d v="2023-12-15T00:00:00Z"/>
        <d v="2024-06-18T00:00:00Z"/>
        <d v="2023-08-22T00:00:00Z"/>
        <d v="2024-05-31T00:00:00Z"/>
        <d v="2024-11-28T00:00:00Z"/>
        <d v="2025-02-03T00:00:00Z"/>
        <d v="2024-02-14T00:00:00Z"/>
        <d v="2024-10-18T00:00:00Z"/>
        <d v="2025-02-10T00:00:00Z"/>
        <d v="2025-01-15T00:00:00Z"/>
        <d v="2024-02-22T00:00:00Z"/>
        <d v="2023-12-30T00:00:00Z"/>
        <d v="2024-04-22T00:00:00Z"/>
        <d v="2024-11-23T00:00:00Z"/>
        <d v="2024-11-27T00:00:00Z"/>
        <d v="2024-12-06T00:00:00Z"/>
        <d v="2024-06-25T00:00:00Z"/>
        <d v="2025-02-11T00:00:00Z"/>
        <d v="2023-05-29T00:00:00Z"/>
        <d v="2024-11-30T00:00:00Z"/>
        <d v="2024-03-14T00:00:00Z"/>
        <d v="2024-09-23T00:00:00Z"/>
        <d v="2024-10-01T00:00:00Z"/>
        <d v="2024-12-09T00:00:00Z"/>
        <d v="2024-07-18T00:00:00Z"/>
        <d v="2024-06-14T00:00:00Z"/>
        <d v="2024-02-02T00:00:00Z"/>
        <d v="2025-01-22T00:00:00Z"/>
        <d v="2024-11-20T00:00:00Z"/>
        <d v="2024-10-03T00:00:00Z"/>
        <d v="2024-05-10T00:00:00Z"/>
        <d v="2025-02-26T00:00:00Z"/>
        <d v="2025-02-19T00:00:00Z"/>
        <d v="2025-02-01T00:00:00Z"/>
        <d v="2025-03-01T00:00:00Z"/>
        <d v="2025-02-28T00:00:00Z"/>
        <d v="2025-01-31T00:00:00Z"/>
        <d v="2025-02-17T00:00:00Z"/>
        <d v="2023-09-22T00:00:00Z"/>
        <d v="2024-03-27T00:00:00Z"/>
        <d v="2025-03-21T00:00:00Z"/>
        <d v="2025-03-10T00:00:00Z"/>
        <d v="2025-03-22T00:00:00Z"/>
        <d v="2025-04-04T00:00:00Z"/>
        <d v="2025-04-03T00:00:00Z"/>
        <d v="2025-04-01T00:00:00Z"/>
        <d v="2025-03-27T00:00:00Z"/>
        <d v="2025-04-16T00:00:00Z"/>
        <d v="2024-05-29T00:00:00Z"/>
        <d v="2025-04-22T00:00:00Z"/>
        <d v="2025-04-24T00:00:00Z"/>
        <d v="2025-05-01T00:00:00Z"/>
        <d v="2025-02-27T00:00:00Z"/>
        <d v="2025-05-22T00:00:00Z"/>
        <d v="2025-05-14T00:00:00Z"/>
        <d v="2025-05-21T00:00:00Z"/>
        <d v="2025-03-11T00:00:00Z"/>
        <d v="2025-05-29T00:00:00Z"/>
        <d v="2025-05-07T00:00:00Z"/>
        <d v="2025-04-10T00:00:00Z"/>
        <d v="2019-06-18T00:00:00Z"/>
        <d v="2025-06-01T00:00:00Z"/>
        <d v="2025-05-27T00:00:00Z"/>
        <d v="2025-05-30T00:00:00Z"/>
        <d v="2023-06-19T00:00:00Z"/>
        <d v="2024-11-24T00:00:00Z"/>
        <d v="2025-01-14T00:00:00Z"/>
        <d v="2025-06-05T00:00:00Z"/>
        <d v="2025-06-16T00:00:00Z"/>
        <d v="2025-09-06T00:00:00Z"/>
        <d v="2025-07-08T00:00:00Z"/>
        <d v="2025-05-10T00:00:00Z"/>
        <d v="2025-05-15T00:00:00Z"/>
        <d v="2025-07-02T00:00:00Z"/>
        <d v="2025-07-14T00:00:00Z"/>
        <d v="2025-07-15T00:00:00Z"/>
        <d v="2021-04-30T00:00:00Z"/>
        <d v="2025-06-23T00:00:00Z"/>
        <d v="2025-07-25T00:00:00Z"/>
        <d v="2025-07-22T00:00:00Z"/>
        <d v="2025-07-28T00:00:00Z"/>
        <d v="2025-07-30T00:00:00Z"/>
        <d v="2021-10-13T00:00:00Z"/>
        <d v="2025-07-01T00:00:00Z"/>
        <d v="2024-04-04T00:00:00Z"/>
        <d v="2025-08-11T00:00:00Z"/>
        <d v="2025-08-12T00:00:00Z"/>
        <d v="2025-08-14T00:00:00Z"/>
        <d v="2025-08-01T00:00:00Z"/>
        <d v="2025-08-06T00:00:00Z"/>
        <d v="2025-03-20T00:00:00Z"/>
        <d v="2025-08-27T00:00:00Z"/>
        <d v="2025-08-26T00:00:00Z"/>
        <d v="2025-08-13T00:00:00Z"/>
        <d v="2025-06-10T00:00:00Z"/>
        <d v="2025-09-01T00:00:00Z"/>
        <d v="2025-09-20T00:00:00Z"/>
        <d v="2025-09-10T00:00:00Z"/>
        <d v="2025-09-02T00:00:00Z"/>
        <d v="2025-06-26T00:00:00Z"/>
        <d v="2025-09-09T00:00:00Z"/>
        <d v="2025-10-05T00:00:00Z"/>
        <d v="2025-09-05T00:00:00Z"/>
        <d v="2025-09-17T00:00:00Z"/>
        <d v="2025-10-01T00:00:00Z"/>
        <d v="2025-10-03T00:00:00Z"/>
        <d v="2025-10-10T00:00:00Z"/>
        <d v="2025-10-20T00:00:00Z"/>
        <d v="2025-11-01T00:00:00Z"/>
        <d v="2025-10-23T00:00:00Z"/>
        <m/>
      </sharedItems>
    </cacheField>
    <cacheField name="თანხა :">
      <sharedItems containsDate="1" containsString="0" containsBlank="1" containsMixedTypes="1">
        <n v="350000.0"/>
        <n v="23100.0"/>
        <n v="42500.0"/>
        <n v="48500.0"/>
        <n v="28000.0"/>
        <n v="24000.0"/>
        <n v="32000.0"/>
        <n v="104500.0"/>
        <n v="31000.0"/>
        <n v="340000.0"/>
        <n v="160000.0"/>
        <n v="28650.0"/>
        <n v="1046340.0"/>
        <n v="73000.0"/>
        <n v="117370.0"/>
        <n v="97000.0"/>
        <n v="161000.0"/>
        <n v="23924.0"/>
        <n v="150000.0"/>
        <n v="70360.0"/>
        <n v="155520.0"/>
        <n v="370000.0"/>
        <n v="53454.0"/>
        <n v="50206.0"/>
        <n v="157608.67"/>
        <n v="325000.0"/>
        <n v="25000.0"/>
        <n v="36577.0"/>
        <n v="527700.0"/>
        <n v="1.0"/>
        <n v="78804.33"/>
        <n v="3273908.0"/>
        <n v="1194345.0"/>
        <n v="26000.0"/>
        <n v="20000.0"/>
        <n v="11000.0"/>
        <n v="10610.0"/>
        <n v="26400.0"/>
        <n v="30000.0"/>
        <n v="83750.0"/>
        <n v="16300.0"/>
        <n v="353218.0"/>
        <n v="81000.0"/>
        <n v="139932.66"/>
        <n v="100.0"/>
        <n v="82900.0"/>
        <n v="180540.0"/>
        <n v="416156.43"/>
        <n v="36200.0"/>
        <n v="37760.0"/>
        <n v="8900.0"/>
        <n v="650000.0"/>
        <n v="109423.76"/>
        <n v="11810.0"/>
        <n v="312660.95999999996"/>
        <n v="11636.28"/>
        <n v="2872.57"/>
        <n v="2245.13"/>
        <n v="7201.2"/>
        <n v="881.46"/>
        <n v="87484.25"/>
        <n v="56818.84"/>
        <n v="8684.86"/>
        <n v="20800.0"/>
        <n v="107760.0"/>
        <n v="1800.0"/>
        <n v="300.0"/>
        <n v="200.0"/>
        <n v="750.0"/>
        <n v="1500.0"/>
        <n v="1645.0"/>
        <n v="1000.0"/>
        <n v="132998.0"/>
        <n v="1200.0"/>
        <n v="10.0"/>
        <n v="136600.0"/>
        <n v="55680.0"/>
        <n v="3500.0"/>
        <n v="1400.0"/>
        <n v="8214.0"/>
        <n v="250.0"/>
        <n v="500.0"/>
        <n v="400.0"/>
        <n v="3000.0"/>
        <n v="64790.0"/>
        <n v="4580.94"/>
        <n v="9885.0"/>
        <n v="2000.0"/>
        <n v="5100.0"/>
        <n v="3658.893"/>
        <n v="124122.43"/>
        <n v="2812.46"/>
        <n v="9490.0"/>
        <n v="10200.0"/>
        <n v="11508.0"/>
        <n v="3492.0"/>
        <n v="5343.0"/>
        <n v="44100.0"/>
        <n v="5250.0"/>
        <n v="16000.0"/>
        <n v="19200.0"/>
        <n v="25200.0"/>
        <n v="6800.0"/>
        <n v="22240.0"/>
        <n v="7350.0"/>
        <n v="1150.0"/>
        <n v="6000.0"/>
        <n v="824.0"/>
        <n v="2458.27"/>
        <n v="12410.0"/>
        <n v="7600.0"/>
        <n v="65300.0"/>
        <n v="800.0"/>
        <n v="51684.38"/>
        <n v="31550.0"/>
        <n v="600.0"/>
        <n v="31350.0"/>
        <n v="5700.0"/>
        <n v="2260.0"/>
        <n v="2640.0"/>
        <n v="10420.0"/>
        <n v="449870.0"/>
        <n v="2720.0"/>
        <n v="5670.0"/>
        <n v="7320.0"/>
        <n v="1180.0"/>
        <n v="3849.0"/>
        <n v="23000.0"/>
        <n v="5500.0"/>
        <n v="3965.0"/>
        <n v="14728.5"/>
        <n v="0.0"/>
        <n v="1735.0"/>
        <n v="18970.0"/>
        <n v="17000.0"/>
        <n v="1900.0"/>
        <n v="150.0"/>
        <n v="350.0"/>
        <n v="60886.0"/>
        <n v="29270.0"/>
        <n v="2585.4"/>
        <n v="1550.0"/>
        <n v="6950.0"/>
        <n v="7335.0"/>
        <n v="3420.0"/>
        <n v="220000.0"/>
        <n v="126360.0"/>
        <n v="30140.0"/>
        <n v="53260.0"/>
        <n v="680.0"/>
        <n v="22373.0"/>
        <n v="2399130.0"/>
        <n v="2450.0"/>
        <n v="576.8"/>
        <n v="1440.0"/>
        <n v="1214.0"/>
        <n v="773.0"/>
        <n v="4009.0"/>
        <n v="840.0"/>
        <n v="163727.0"/>
        <n v="366050.0"/>
        <n v="23750.0"/>
        <n v="17882.0"/>
        <n v="1380.0"/>
        <n v="2800.0"/>
        <n v="6913.5"/>
        <n v="181545.0"/>
        <n v="227761.0"/>
        <n v="10708.0"/>
        <n v="1290.0"/>
        <n v="2545.0"/>
        <n v="2340.0"/>
        <n v="5350.0"/>
        <n v="4420.0"/>
        <n v="11441.0"/>
        <n v="271416.96"/>
        <n v="31200.0"/>
        <n v="678014.84"/>
        <n v="4320.0"/>
        <n v="2035.0"/>
        <n v="54510.0"/>
        <n v="2900.0"/>
        <n v="3600.0"/>
        <n v="29415.0"/>
        <n v="22060.0"/>
        <n v="3350.0"/>
        <n v="12000.0"/>
        <n v="13800.0"/>
        <n v="3590.0"/>
        <n v="1860.0"/>
        <n v="4690.0"/>
        <n v="3720.0"/>
        <n v="6505.0"/>
        <n v="7575.0"/>
        <n v="5920.0"/>
        <n v="31500.0"/>
        <n v="62500.0"/>
        <n v="575281.93"/>
        <n v="34060.0"/>
        <n v="55690.0"/>
        <n v="11800.0"/>
        <n v="3100.0"/>
        <n v="320.0"/>
        <n v="2675.0"/>
        <n v="8805.0"/>
        <n v="4681.0"/>
        <n v="2975.0"/>
        <n v="2650.0"/>
        <n v="1158300.0"/>
        <n v="6890.0"/>
        <n v="29850.0"/>
        <n v="13930.0"/>
        <n v="3505.0"/>
        <n v="43200.0"/>
        <n v="1870.0"/>
        <n v="450.0"/>
        <n v="22250.0"/>
        <n v="6600.0"/>
        <n v="9500.0"/>
        <n v="400000.0"/>
        <n v="429922.0"/>
        <n v="9000.0"/>
        <n v="5352.0"/>
        <n v="60000.0"/>
        <n v="9140.0"/>
        <n v="660.0"/>
        <n v="1161507.0"/>
        <n v="1161507.82"/>
        <n v="1250.0"/>
        <n v="870.0"/>
        <n v="1420.0"/>
        <n v="2281058.0"/>
        <n v="501.0"/>
        <n v="4750.0"/>
        <n v="1895.0"/>
        <n v="6250.0"/>
        <n v="1280.0"/>
        <n v="900.0"/>
        <n v="225.0"/>
        <n v="372497.0"/>
        <n v="626280.0"/>
        <n v="5000.0"/>
        <n v="4050.0"/>
        <n v="3370.0"/>
        <n v="1266280.0"/>
        <n v="276034.0"/>
        <n v="1300.0"/>
        <d v="1906-10-28T13:26:24Z"/>
        <n v="6300.0"/>
        <d v="1900-04-09T00:00:00Z"/>
        <n v="8780.0"/>
        <n v="545.0"/>
        <n v="413654.0"/>
        <n v="2855.0"/>
        <n v="610990.0"/>
        <n v="1036581.96"/>
        <n v="120.0"/>
        <n v="25080.0"/>
        <n v="28800.0"/>
        <n v="35733.6"/>
        <n v="2250.0"/>
        <n v="8600.0"/>
        <n v="3900.0"/>
        <n v="1000000.0"/>
        <n v="71023.91"/>
        <n v="5140.0"/>
        <n v="199940.0"/>
        <n v="1076.2"/>
        <n v="12060.0"/>
        <n v="944.0"/>
        <n v="218060.0"/>
        <n v="12850.0"/>
        <n v="22740.0"/>
        <n v="2400.0"/>
        <n v="465028.0"/>
        <n v="12390.0"/>
        <n v="281128.0"/>
        <n v="313042.0"/>
        <n v="291990.0"/>
        <n v="254269.84"/>
        <n v="109707.0"/>
        <n v="28300.0"/>
        <n v="139500.0"/>
        <n v="13090.0"/>
        <n v="125000.0"/>
        <n v="9330.0"/>
        <n v="328000.0"/>
        <n v="17845.0"/>
        <n v="2500.0"/>
        <n v="268.0"/>
        <n v="230.0"/>
        <n v="100000.0"/>
        <n v="12050.75"/>
        <n v="2350.0"/>
        <n v="84897.5"/>
        <n v="3200.0"/>
        <n v="3700.0"/>
        <n v="7830.0"/>
        <n v="2585.8"/>
        <n v="37410.0"/>
        <n v="1610.0"/>
        <n v="31760.0"/>
        <n v="188560.0"/>
        <n v="42000.0"/>
        <n v="210000.0"/>
        <n v="238490.0"/>
        <n v="520.0"/>
        <n v="364528.0"/>
        <n v="14300.0"/>
        <n v="54875.0"/>
        <n v="62400.0"/>
        <n v="38160.0"/>
        <n v="413.0"/>
        <n v="255000.0"/>
        <n v="33810.0"/>
        <n v="305000.0"/>
        <n v="5300.0"/>
        <n v="12340.0"/>
        <n v="387000.0"/>
        <n v="81108.0"/>
        <n v="5565.0"/>
        <n v="7675.0"/>
        <n v="102560.0"/>
        <n v="51640.0"/>
        <n v="48750.0"/>
        <n v="25952.64"/>
        <n v="240000.0"/>
        <n v="188915.32"/>
        <n v="7000.0"/>
        <n v="18884.0"/>
        <n v="246098.6"/>
        <n v="50000.0"/>
        <n v="43500.0"/>
        <n v="34270.0"/>
        <n v="7890.0"/>
        <n v="33755.0"/>
        <n v="13035.0"/>
        <n v="51447.0"/>
        <n v="540.0"/>
        <n v="57722.9"/>
        <n v="3630.0"/>
        <n v="549980.0"/>
        <n v="10500.0"/>
        <n v="15750.0"/>
        <n v="48825.0"/>
        <n v="23580.0"/>
        <n v="2870.0"/>
        <n v="22490.0"/>
        <n v="12436.0"/>
        <n v="480.0"/>
        <n v="158713.0"/>
        <n v="5470.0"/>
        <n v="1350.0"/>
        <n v="51000.0"/>
        <n v="126000.0"/>
        <n v="240.0"/>
        <n v="4882.9"/>
        <n v="980.0"/>
        <n v="2755.0"/>
        <n v="2877.0"/>
        <n v="5285.0"/>
        <n v="56076.6"/>
        <n v="130.0"/>
        <n v="69385.0"/>
        <n v="82990.0"/>
        <n v="8591.0"/>
        <n v="58400.0"/>
        <n v="14350.0"/>
        <n v="84400.0"/>
        <n v="51668.0"/>
        <n v="45000.0"/>
        <n v="45968.0"/>
        <n v="15120.0"/>
        <n v="1320.0"/>
        <n v="2230000.0"/>
        <n v="24320.0"/>
        <n v="2970.0"/>
        <n v="13310.0"/>
        <n v="29700.0"/>
        <n v="10339.0"/>
        <n v="219593.0"/>
        <n v="183367.5"/>
        <n v="1700.0"/>
        <n v="25990.0"/>
        <n v="102052.0"/>
        <n v="79428.0"/>
        <n v="27000.0"/>
        <n v="311588.02"/>
        <n v="175247.0"/>
        <n v="22830.0"/>
        <n v="616940.0"/>
        <n v="1600.0"/>
        <n v="675.0"/>
        <n v="9332.6"/>
        <n v="1875.0"/>
        <n v="26817.0"/>
        <n v="323200.0"/>
        <n v="200000.0"/>
        <n v="118273.05"/>
        <n v="25910.0"/>
        <n v="122329.89"/>
        <n v="130000.0"/>
        <n v="195270.0"/>
        <n v="110000.0"/>
        <n v="97800.0"/>
        <n v="191360.0"/>
        <n v="83274.0"/>
        <n v="22000.0"/>
        <n v="7370.0"/>
        <n v="45150.0"/>
        <n v="120000.0"/>
        <n v="179560.0"/>
        <n v="3955.0"/>
        <n v="960.0"/>
        <n v="1560.0"/>
        <n v="2990.0"/>
        <n v="1770.0"/>
        <n v="531.0"/>
        <n v="118.0"/>
        <n v="1203.6"/>
        <n v="360.0"/>
        <n v="1858.5"/>
        <n v="885.0"/>
        <n v="708.0"/>
        <n v="177.0"/>
        <n v="2478.0"/>
        <n v="40000.0"/>
        <n v="9300.0"/>
        <n v="2200.0"/>
        <n v="444536.2"/>
        <n v="20344.29"/>
        <n v="14591.0"/>
        <n v="9407.0"/>
        <n v="3990.0"/>
        <n v="25100.0"/>
        <n v="491903.93"/>
        <n v="103910.0"/>
        <n v="7715.0"/>
        <n v="23860.0"/>
        <n v="307060.0"/>
        <n v="125180.0"/>
        <n v="1155220.0"/>
        <n v="250757.0"/>
        <n v="19160.0"/>
        <n v="213160.0"/>
        <n v="35000.0"/>
        <n v="2100.0"/>
        <n v="181950.0"/>
        <n v="187859.8"/>
        <n v="1800000.0"/>
        <n v="63680.0"/>
        <n v="41250.0"/>
        <n v="8640.0"/>
        <n v="693840.0"/>
        <n v="52000.0"/>
        <n v="131040.0"/>
        <n v="257240.0"/>
        <n v="26750.0"/>
        <n v="43449.1"/>
        <n v="6040.0"/>
        <n v="169060.0"/>
        <n v="2700.0"/>
        <n v="30510.0"/>
        <n v="115.0"/>
        <n v="15000.0"/>
        <n v="596100.6"/>
        <n v="664000.0"/>
        <n v="65640.0"/>
        <n v="104000.0"/>
        <n v="164800.0"/>
        <n v="760.0"/>
        <n v="2850.0"/>
        <n v="4716.0"/>
        <n v="950.0"/>
        <n v="1850.0"/>
        <n v="8500.0"/>
        <n v="4948.0"/>
        <n v="4919.0"/>
        <n v="2230.0"/>
        <n v="775.0"/>
        <n v="7964.0"/>
        <n v="310.0"/>
        <n v="2825.0"/>
        <n v="385.0"/>
        <n v="1080.0"/>
        <n v="170.0"/>
        <n v="1232000.0"/>
        <n v="465.0"/>
        <n v="69644.0"/>
        <n v="14985.0"/>
        <n v="4310.0"/>
        <n v="12080.0"/>
        <n v="4550.0"/>
        <n v="3790.0"/>
        <n v="343000.0"/>
        <n v="10000.0"/>
        <n v="3888.0"/>
        <n v="260.0"/>
        <n v="1237.0"/>
        <n v="36500.0"/>
        <n v="66200.0"/>
        <n v="90500.0"/>
        <n v="48530.0"/>
        <n v="109684.0"/>
        <n v="87050.0"/>
        <n v="178165.0"/>
        <n v="34650.0"/>
        <n v="2300.0"/>
        <n v="6450.0"/>
        <n v="233110.0"/>
        <n v="4545.0"/>
        <n v="850.0"/>
        <n v="205.0"/>
        <n v="700.0"/>
        <n v="47000.0"/>
        <n v="375.0"/>
        <n v="311588.0"/>
        <n v="201200.0"/>
        <n v="524300.0"/>
        <n v="9132.0"/>
        <n v="582553.5"/>
        <n v="1480.0"/>
        <n v="397794.0"/>
        <n v="66150.0"/>
        <n v="6930.0"/>
        <n v="8150.0"/>
        <n v="1590.45"/>
        <n v="3160.0"/>
        <n v="36547.7"/>
        <n v="94315.0"/>
        <n v="10318.0"/>
        <n v="235060.0"/>
        <n v="5806.0"/>
        <n v="339800.0"/>
        <n v="94000.0"/>
        <n v="26680.0"/>
        <n v="3835.0"/>
        <n v="4040.0"/>
        <n v="8720.0"/>
        <n v="1187000.0"/>
        <n v="84565.0"/>
        <n v="16491.0"/>
        <n v="770.0"/>
        <n v="4600.0"/>
        <n v="99619.5"/>
        <n v="4400.0"/>
        <n v="6100.0"/>
        <n v="24300.0"/>
        <n v="1087440.0"/>
        <n v="123120.0"/>
        <n v="50480.0"/>
        <n v="12585.0"/>
        <n v="106000.0"/>
        <n v="104480.0"/>
        <n v="417080.0"/>
        <n v="11340.0"/>
        <n v="1050.0"/>
        <n v="10807.36"/>
        <n v="1124.53"/>
        <n v="34167.15"/>
        <n v="11189.02"/>
        <n v="595.84"/>
        <n v="200340.0"/>
        <n v="2914.0"/>
        <n v="2040.0"/>
        <n v="152170.0"/>
        <n v="92605.45"/>
        <n v="20234.84"/>
        <n v="3960.0"/>
        <n v="140500.0"/>
        <n v="920.0"/>
        <n v="6011672.5"/>
        <n v="117350.0"/>
        <n v="5025.0"/>
        <n v="25850.0"/>
        <n v="3800.0"/>
        <n v="6750.0"/>
        <n v="23520.0"/>
        <n v="795000.0"/>
        <n v="155000.0"/>
        <n v="941.0"/>
        <n v="77000.0"/>
        <n v="60810.0"/>
        <n v="783.0"/>
        <n v="11597.0"/>
        <n v="67988.32"/>
        <n v="59200.0"/>
        <n v="300000.0"/>
        <m/>
      </sharedItems>
    </cacheField>
    <cacheField name="ვალუტა :" numFmtId="0">
      <sharedItems containsBlank="1">
        <s v="USD"/>
        <s v="GEL"/>
        <s v="EUR"/>
        <s v=" GEL"/>
        <m/>
      </sharedItems>
    </cacheField>
    <cacheField name="პროექტის სტატუსი :" numFmtId="0">
      <sharedItems containsBlank="1">
        <s v="მიმდინარე"/>
        <s v="დახურული"/>
        <m/>
      </sharedItems>
    </cacheField>
    <cacheField name="თანამშრომელი :" numFmtId="0">
      <sharedItems containsBlank="1">
        <m/>
        <s v="თეა ურიდია (ს.კ. 62001030230) - ფიზ. პირი"/>
        <s v="ნინო ბახტაძე (ს.კ. 01024071279) - ფიზ. პირი"/>
        <s v="დავით ნადირაძე (ს.კ. 01001014120) - ფიზ. პირი"/>
        <s v="ცოტნე ჯმუხაძე (ს.კ. 01027089575) - ფიზ. პირი"/>
        <s v="თეონა რომაშვილი (ს.კ. 01017023607) - ფიზ. პირი"/>
        <s v="გიორგი გუნაშვილი (ს.კ. 01005042868) - ფიზ. პირი"/>
        <s v="ნიკოლოზ ოთარაშვილი (ს.კ. 01026015799) - ფიზ. პირი"/>
        <s v="ნინო ბერიძე (ს.კ. 61001080225) - ფიზ. პირი"/>
        <s v="თამარი დვალიშვილი (ს.კ. 01019021033) - ფიზ. პირი"/>
        <s v="რატი რომაშვილი (ს.კ. 01017049157) - ფიზ. პირი"/>
        <s v="გიორგი ნიქაბაძე (ს.კ. 01030030896) - ფიზ. პირი"/>
        <s v="ვლადიმერი ცერცვაძე (ს.კ. 01006011583) - ფიზ. პირი"/>
        <s v="დავით ჩიტაიშვილი (ს.კ. 01030049942) - ფიზ. პირი"/>
        <s v="პაატა დვალიშვილი (ს.კ. 01001011731) - ფიზ. პირი"/>
        <s v="ლევან წერეთელი (ს.კ. 01007013287) - ფიზ. პირი"/>
        <s v="ლაშა თედორაძე (ს.კ. 61008003787) - ფიზ. პირი"/>
        <s v="გიორგი ბახტაძე (ს.კ. 01024067298) - ფიზ. პირი"/>
        <s v="თათია სეფერთელაძე (ს.კ. 61004073208) - ფიზ. პირი"/>
        <s v="თამაზ თალაკვაძე (ს.კ. 01991027885) - ფიზ. პირი"/>
      </sharedItems>
    </cacheField>
    <cacheField name="ORIS 1630 :" numFmtId="0">
      <sharedItems containsBlank="1">
        <s v="1 6 30 1270"/>
        <s v="1 6 30 541 4"/>
        <m/>
        <s v="1 6 30 1252"/>
        <s v="1 6 30 1179"/>
        <s v="1 6 30 853 1"/>
        <s v="1 6 30 1039"/>
        <s v="1 6 30 1335"/>
        <s v="1 6 30 917 2"/>
        <s v="1 6 31 1380"/>
        <s v="1 6 30 773 1"/>
        <s v="1 6 30 971"/>
        <s v="1 6 30 1429"/>
        <s v="1 6 30 1257 1"/>
        <s v="1 6 30 1148"/>
        <s v="1 6 30 1132 3"/>
        <s v="1 6 31 1221"/>
        <s v="1 6 31 902"/>
        <s v="1 6 31 1044"/>
        <s v="1 6 31 1059"/>
        <s v="1 6 31 4 1"/>
        <s v="1 6 31 1371"/>
        <s v="1 6 30 1453"/>
        <s v="1 6 31 1485"/>
        <s v="1 6 31 1470"/>
        <s v="1 6 30 1471"/>
        <s v="1 6 31 863"/>
        <s v="1 6 31 1233"/>
        <s v="1 6 30 642 2"/>
        <s v="1 6 31 848"/>
        <s v="1 6 31 882"/>
        <s v="1 6 31 1166"/>
        <s v="1 6 31 1108"/>
        <s v="1 6 31 853"/>
        <s v="1 6 31 1717"/>
        <s v="1 6 31 1270"/>
        <s v="1 6 31 998"/>
        <s v="1 6 31 773 1"/>
        <s v="1 6 31 1453"/>
        <s v="1 6 31 971"/>
        <s v="1 6 30 1481"/>
        <s v="1 6 30 642 5"/>
        <s v="1 6 30 1468"/>
        <s v="1 6 31 1468"/>
        <s v="1 6 30 1235"/>
        <s v="1 6 30 724 2"/>
        <s v="1 6 30 1511"/>
        <s v="1 6 30 1514"/>
        <s v="1 6 30 998 2"/>
        <s v="1_6 _20"/>
        <s v="1 6 30 1543"/>
        <s v="1 6 30 1529"/>
        <s v="1 6 31 1559"/>
        <s v="1630 724 1"/>
        <s v="1 6 30 1538 2"/>
        <s v="1 6 30 1555"/>
        <s v="1 6 30 1554"/>
        <s v="1 6 30 4 2"/>
        <s v="1 6 30 1573"/>
        <s v="1 6 30 1271"/>
        <s v="1 6 30 1132 4"/>
        <s v="1 6 30 1149"/>
        <s v="1_6_44"/>
        <s v="1 6 30 1538"/>
        <s v="1 6 30 1606"/>
        <s v="1 6 30 1614"/>
        <s v="1 6 30 504"/>
        <s v="1 6 30 1635"/>
        <s v="1 6 30 1580"/>
        <s v="1 6 30 1652"/>
        <s v="1 6 30 1651"/>
        <s v="1 6 30 1580 1"/>
        <s v="1 6 31 225"/>
        <s v="1 6 30 1371"/>
        <s v="1 6 30 1599"/>
        <s v="1 6 30 1132 5"/>
        <s v="1630 1703 1"/>
        <s v="1 6 30 1697"/>
        <s v="1 6 30 1617"/>
        <s v="1 6 31 1655"/>
        <s v="1 6 30 1132 6"/>
        <s v="1 6 30 1707"/>
        <s v="1 6 30 1720"/>
        <s v="1 6 30 1732"/>
        <s v="1 6 31 1739"/>
        <s v="1 6 31 1626"/>
        <s v="1 6 30 1751"/>
        <s v="1 6 30 1820"/>
        <s v="1 6 31 1817"/>
        <s v="1 6 30 1847"/>
        <s v="1 6 30 773 7"/>
        <s v="1 6 30 773 5"/>
        <s v="1 6 30 1791"/>
        <s v="1 6 31 1865"/>
        <s v="1 6 31 810"/>
        <s v="1 6 31 1877"/>
        <s v="1 6 31 1750"/>
        <s v="1 6 31 1607"/>
        <s v="1 6 31 1713"/>
        <s v="1 6 48"/>
        <s v="1 6 30 1876"/>
        <s v="1 6 30 2142"/>
        <s v="1 6 30 1911 1"/>
        <s v="1 6 30 1502"/>
        <s v="1 6 31 1580"/>
        <s v="1 6 30 1927"/>
        <s v="1 6 30 1952"/>
        <s v="1 6 30 1959"/>
        <s v="1 6 30 1493 2"/>
        <s v="1 6 30 1984"/>
        <s v="1 6 30 1092"/>
        <s v="1 6 30 1994"/>
        <s v="1 6 30 4 4"/>
        <s v="1 6 30 541 6"/>
        <s v="1 6 30 2037"/>
        <s v="1 6 30 2102"/>
        <s v="1 6 30 810"/>
        <s v="1630 2064"/>
        <s v="1 6 30 2101"/>
        <s v="1 6 31 4 6"/>
        <s v="1 6 30 853 3"/>
        <s v="1 6 30 2172"/>
        <s v="1 6 30 2053 1"/>
        <s v="1 6 30 2107"/>
        <s v="1 6 31 2060"/>
        <s v="1 6 30 2169"/>
        <s v="1 6 30 2053"/>
        <s v="1 6 30 2176 1"/>
        <s v="1 6 30 2136"/>
        <s v="1 6 30 1911 2"/>
        <s v="1 6 30 2011 5"/>
        <s v="1 6 30 2227"/>
        <s v="1 6 30 2211"/>
        <s v="1 6 30 2176 2"/>
        <s v="1 6 30 2011 4"/>
        <s v="1 6 30 2185"/>
        <s v="1 6 30 2241"/>
        <s v="1 6 30 2011 8"/>
        <s v="1 6 30 1559"/>
        <s v="1 6 30 2223 2"/>
        <s v="1 6 30 2223 1"/>
        <s v="1 6 30 1703 2"/>
        <s v="1 6 30 2228"/>
        <s v="1 6 30 2260"/>
        <s v="1 6 30 2223 3"/>
        <s v="1 6 31 2266"/>
        <s v="1 6 30 2011 3"/>
        <s v="1 6 30 2303"/>
        <s v="1 6 30 2299"/>
        <s v="1 6 30 2011 13"/>
        <s v="1630 634"/>
        <s v="1 6 30 2307"/>
        <s v="1 6 30 2347"/>
        <s v="1 6 30 2011 6"/>
        <s v="1 6 30 2322"/>
        <s v="1 6 30 1522"/>
        <s v="1631 2200"/>
        <s v="1 6 30 959"/>
        <s v="1 6 30 1132 7"/>
        <s v="1 6 30 2487"/>
        <s v="1 6 31 2223"/>
        <s v="1 6 30 2433"/>
        <s v="1 6 30 2478"/>
        <s v="1 6 30 2440"/>
        <s v="1 6 30 2479"/>
        <s v="1 6 30 2290"/>
        <s v="1 6 30 2323"/>
        <s v="1 6 30 2515"/>
        <s v="1 6 31 2395"/>
        <s v="1 6 31 1961"/>
        <s v="1 6 30 1486"/>
        <s v="1 6 31 1959"/>
        <s v="1 6 31 2172"/>
        <s v="1 6 31 2497"/>
        <s v="1 6 31 1703"/>
        <s v="1 6 31 773"/>
        <s v="1 6 30 2011 15"/>
        <s v="1 6 30 2504"/>
        <s v="1 6 30 2492"/>
        <s v="1 6 31 1975"/>
        <s v="1 6 30 2556"/>
        <s v="1630 1960"/>
        <s v="1 6 30 2571"/>
        <s v="1 6 30 2558"/>
        <s v="1 6 30 541 7"/>
        <s v="1 6 30 2732"/>
        <s v="1 6 30 93"/>
        <s v="1 6 30 2589 2"/>
        <s v="1 6 30 2667"/>
        <s v="1 6 30 2625"/>
        <s v="1 6 31 2559"/>
        <s v="1 6 30 2553"/>
        <s v="1 6 30 2647"/>
        <s v="1 6 30 2026"/>
        <s v="1 6 30 2623"/>
        <s v="1 6 31 1167"/>
        <s v="1 6 30 2626"/>
        <s v="1 6 31 2687"/>
        <s v="1 6 31 2200"/>
        <s v="1 6 31 2487"/>
        <s v="1 6 31 2714"/>
      </sharedItems>
    </cacheField>
    <cacheField name="კონტრაქტის # - " numFmtId="0">
      <sharedItems containsBlank="1">
        <s v="405231011/43767/1.1.1./1"/>
        <s v="202376133/43762/1.1.1./1"/>
        <s v="405171996/43767/1.1.1./1"/>
        <s v="406155841/43724/1.1.1./1"/>
        <s v="405148415/43734/1.1.1./1"/>
        <s v="01008011243/43672/1.1.1./1"/>
        <s v="245565669/43633/1.1.1./1"/>
        <s v="405255815/43608/1.1.1./1"/>
        <s v="61001051501/43622/1.1.1./1"/>
        <s v="405133822/43607/1.1.1./1"/>
        <s v="405253381/43460/1.1.1./1"/>
        <s v="202177205/43479/1.1.1./1"/>
        <s v="445420875/43363/1.1.1./1"/>
        <s v="445509334/43461/1.1.1./1"/>
        <s v="445481853/43816/1.1.1./1"/>
        <s v="ICE000034/42948/1.1.1./1"/>
        <s v="404464030/42923/1.1.1./1"/>
        <s v="248416432/42536/1.1.1./1"/>
        <s v="445440577/42885/1.1.1./1"/>
        <s v="248434038/43460/1.1.1./1"/>
        <s v="202376133/42345/1.1.1./1"/>
        <s v="405148415/43248/1.1.1./1"/>
        <s v="204854014/42598/1.1.1./1"/>
        <s v="448396021/42536/1.1.1./1"/>
        <s v="205057123/42647/1.1.1./1"/>
        <s v="400101457/42723/1.1.1./1"/>
        <s v="245565669/42641/1.1.1./1"/>
        <s v="404481324/42485/1.1.1./1"/>
        <s v="205210261/42355/1.1.1./1"/>
        <s v="01008004604/43831/1.1.2./1"/>
        <s v="205057123/43742/1.1.1./1"/>
        <s v="445468798/43059/1.1.1./1"/>
        <s v="404851503/43354/1.1.1./1"/>
        <s v="404564244/43886/1.1.1./1"/>
        <s v="212274812/43699/1.1.1./1"/>
        <s v="405171996/43477/1.1.1./1"/>
        <s v="406283338/43896/1.1.1./1"/>
        <s v="405136758/43677/1.1.1./1"/>
        <s v="445468798/43788/1.1.1./1"/>
        <s v="405171996/43719/1.1.1./1"/>
        <s v="405229881/43769/1.1.1./1"/>
        <s v="405171996/43804/1.1.1./1"/>
        <s v="406067410/43228/1.1.1./1"/>
        <s v="245416401/43732/1.1.1./1"/>
        <s v="245416401/43589/1.1.1./1"/>
        <s v="404474403/43831/1.1.2./1"/>
        <s v="405134448/43546/1.1.1./1"/>
        <s v="402009857/43711/1.1.1./1"/>
        <s v="203842333/43124/1.2.1./1"/>
        <s v="400247899/43571/1.1.1./1"/>
        <s v="65002012107/43566/1.1.1./1"/>
        <s v="212916932/43861/1.1.1./1"/>
        <s v="245621849/43348/1.1.1./1"/>
        <s v="402121887/43595/1.2.1./1"/>
        <s v="402121887/43602/1.2.1./1"/>
        <s v="402121887/43633/1.2.1./1"/>
        <s v="402121887/43693/1.2.1./1"/>
        <s v="402121887/43597/1.2.1./1"/>
        <s v="402121887/43759/1.2.1./1"/>
        <s v="402121887/43882/1.2.1./1"/>
        <s v="402121887/43815/1.2.1./1"/>
        <s v="402121887/43894/1.2.1./1"/>
        <s v="402121887/43900/1.2.1./1"/>
        <s v="402121887/43903/1.2.1./1"/>
        <s v="445420875/44170/1.1.1./1"/>
        <s v="245416401/43955/1.1.1./1"/>
        <s v="404404774/43800/1.1.2./1"/>
        <s v="404567508/43617/1.1.2./1"/>
        <s v="245619807/43586/1.1.2./1"/>
        <s v="204976179/43497/1.1.2./1"/>
        <s v="405133822/43539/1.1.2./1"/>
        <s v="404862314/43435/1.1.2./1"/>
        <s v="404438417/43462/1.1.2./1"/>
        <s v="204976179/43862/1.1.2./1"/>
        <s v="205129653/44075/1.2.2./1"/>
        <s v="01031005362/43831/1.1.2./1"/>
        <s v="445468798/43831/1.1.2./1"/>
        <s v="204564729/43122/1.1.1./1"/>
        <s v="405164192/43831/1.1.2./1"/>
        <s v="405115174/43831/1.1.2./1"/>
        <s v="406233552/43466/1.1.2./1"/>
        <s v="406269041/43471/1.1.2./1"/>
        <s v="405176982/44170/1.1.1./1"/>
        <s v="205000381/43990/1.2.1./1"/>
        <s v="205236190/43497/1.1.2./1"/>
        <s v="404908864/43146/1.1.2./1"/>
        <s v="67008001418/43999/1.2.1./1"/>
        <s v="245619807/43617/1.1.2./1"/>
        <s v="245565669/43592/1.1.2./1"/>
        <s v="ICE001082/44013/1.1.2./1"/>
        <s v="ICE001083/44014/1.1.2./1"/>
        <s v="405330262/44013/1.1.1./1"/>
        <s v="402121887/43983/1.2.1./1"/>
        <s v="202177205/44013/1.1.2./1"/>
        <s v="204931654/44004/1.2.1./1"/>
        <s v="405136758/43891/1.1.2./1"/>
        <s v="ICE000034/44019/1.1.2./1"/>
        <s v="202376133/43102/1.1.2./1"/>
        <s v="405311336/43647/1.1.2./1"/>
        <s v="405133822/44013/1.1.2./1"/>
        <s v="204854014/43831/1.1.2./1"/>
        <s v="245565669/43586/1.1.2./1"/>
        <s v="404390967/43466/1.1.2./1"/>
        <s v="33001011813/43132/1.1.2./1"/>
        <s v="405253381/43957/1.1.2./1"/>
        <s v="245565669/43633/1.1.2./1"/>
        <s v="445440577/43311/1.1.2./1"/>
        <s v="445468798/43788/1.1.2./1"/>
        <s v="405198986/43879/1.1.2./1"/>
        <s v="203843396/43770/1.1.2./1"/>
        <s v="203842333/43586/1.1.2./1"/>
        <s v="400247899/43571/1.1.2./1"/>
        <s v="404464030/43108/1.1.2./1"/>
        <s v="445420875/44075/1.1.2./1"/>
        <s v="404464030/44013/1.1.3./1"/>
        <s v="445420875/44170/1.1.2./1"/>
        <s v="61001051501/43622/1.1.2./1"/>
        <s v="245416401/43589/1.1.2./1"/>
        <s v="405225037/43956/1.1.2./1"/>
        <s v="445509334/43461/1.1.2./1"/>
        <s v="226166163/43608/1.1.2./1"/>
        <s v="405171996/43767/1.1.2./1"/>
        <s v="405171996/43719/1.1.2./1"/>
        <s v="405171996/43804/1.1.2./1"/>
        <s v="406155841/43724/1.1.2./1"/>
        <s v="65002012107/43566/1.1.2./1"/>
        <s v="248434038/43460/1.1.2./1"/>
        <s v="405134448/43546/1.1.2./1"/>
        <s v="202376133/43762/1.1.2./1"/>
        <s v="61001008820/43824/1.1.2./1"/>
        <s v="405021925/43768/1.1.2./1"/>
        <s v="405229881/43769/1.1.2./1"/>
        <s v="01008011243/43672/1.1.2./1"/>
        <s v="204564729/43122/1.1.2./1"/>
        <s v="405231011/43767/1.1.2./1"/>
        <s v="245621849/43348/1.1.2./1"/>
        <s v="445468798/44013/1.1.2./1"/>
        <s v="405198986/43732/1.1.2./1"/>
        <s v="404564244/43886/1.1.2./1"/>
        <s v="445481853/43816/1.1.2./1"/>
        <s v="212274812/43699/1.1.2./1"/>
        <s v="405176982/44170/1.1.2./1"/>
        <s v="405198986/43734/1.1.2./1"/>
        <s v="404851503/43354/1.1.2./1"/>
        <s v="402084221/43711/1.1.2./1"/>
        <s v="448396021/42536/1.1.2./1"/>
        <s v="248416432/42536/1.1.2./1"/>
        <s v="404481324/43146/1.1.2./1"/>
        <s v="204976179/44032/1.2.1./1"/>
        <s v="402121887/43997/1.2.1./1"/>
        <s v="405330262/44013/1.1.2./1"/>
        <s v="402121887/44032/1.2.1./1"/>
        <s v="01001011731/44032/1.2.1./1"/>
        <s v="204976179/44053/1.2.1./1"/>
        <s v="404851503/44054/1.1.1./1"/>
        <s v="60001034749/44041/1.2.1./1"/>
        <s v="60001034749/44039/1.2.1./1"/>
        <s v="445468798/43224/1.1.1./1"/>
        <s v="445468798/43095/1.1.1./1"/>
        <s v="245565669/43976/1.1.1./1"/>
        <s v="205376608/43983/1.2.1./1"/>
        <s v="445468798/43273/1.1.1./1"/>
        <s v="239402491/44070/1.2.1./1"/>
        <s v="205129653/43878/1.2.1./1"/>
        <s v="205129653/44005/1.2.1./1"/>
        <s v="402159980/43902/1.2.1./1"/>
        <s v="245555554/44062/1.2.1./1"/>
        <s v="205129653/44084/1.2.1./1"/>
        <s v="61001034433/44091/1.2.1./1"/>
        <s v="404465529/44063/1.2.1./1"/>
        <s v="402121887/44095/1.2.1./1"/>
        <s v="205129653/44091/1.2.1./1"/>
        <s v="245555554/44102/1.1.2./1"/>
        <s v="212274812/44060/1.1.1./1"/>
        <s v="405133822/44102/1.1.2./1"/>
        <s v="402121887/44105/1.2.1./1"/>
        <s v="61001000802/44075/1.2.1./1"/>
        <s v="245555554/43998/1.1.2./1"/>
        <s v="405313940/43518/1.1.1./1"/>
        <s v="418475974/44099/1.2.1./1"/>
        <s v="61001034433/44114/1.2.1./1"/>
        <s v="405134448/44117/1.2.1./1"/>
        <s v="01026006745/44116/1.2.1./1"/>
        <s v="405285221/44118/1.1.1./1"/>
        <s v="01024067298/44127/1.2.1./1"/>
        <s v="01001011731/44127/1.2.1./1"/>
        <s v="204976179/44120/1.2.1./1"/>
        <s v="ICE001144/44078/1.2.3./1"/>
        <s v="404436570/43798/1.2.1./1"/>
        <s v="204558497/44130/1.1.3./1"/>
        <s v="402009857/44132/1.2.1./1"/>
        <s v="245565669/44097/1.1.1./1"/>
        <s v="204976179/44140/1.2.1./1"/>
        <s v="405134448/44126/1.2.1./1"/>
        <s v="405134448/44152/1.2.1./1"/>
        <s v="01024008652/44151/1.2.1./1"/>
        <s v="405134448/44138/1.2.1./1"/>
        <s v="245621849/44112/1.1.1./1"/>
        <s v="400017245/40544/1.1.1./1"/>
        <s v="01001011731/44183/1.2.1./1"/>
        <s v="204976179/44154/1.2.1./1"/>
        <s v="204558497/44159/1.1.3./1"/>
        <s v="405133822/44106/1.1.3./1"/>
        <s v="405353399/44187/1.2.1./1"/>
        <s v="400113532/44162/1.2.1./1"/>
        <s v="418476893/44166/1.2.1./1"/>
        <s v="405412361 /44211/1.1.2./1"/>
        <s v="204976179/44195/1.2.1./1"/>
        <s v="61001000802/44075/1.1.1./1"/>
        <s v="204976179/44173/1.1.3./1"/>
        <s v="01009008545/44239/1.2.1./1"/>
        <s v="204976179/44236/1.2.1./1"/>
        <s v="204558497/44068/1.1.3./1"/>
        <s v="204558497/44243/1.1.3./1"/>
        <s v="404537809/44165/1.1.1./1"/>
        <s v="405271450/44185/1.1.1./1"/>
        <s v="404583492/44185/1.1.1./1"/>
        <s v="204976179/44166/1.1.1./1"/>
        <s v="205129653/44244/1.2.1./1"/>
        <s v="402121887/44245/1.3.1./1"/>
        <s v="202268928/43922/1.2.1./1"/>
        <s v="405160819/44124/1.1.1./1"/>
        <s v="203842333/44251/1.1.3./1"/>
        <s v="203842333/44252/1.1.3./1"/>
        <s v="24001002261/44252/1.2.1./1"/>
        <s v="404404774/44258/1.1.3./1"/>
        <s v="405171996/44258/1.1.3./1"/>
        <s v="445420875/44249/1.1.3./1"/>
        <s v="405133822/44249/1.1.3./1"/>
        <s v="445468798/44234/1.1.3./1"/>
        <s v="245621849/44234/1.1.3./1"/>
        <s v="405021925/43768/1.1.1./1"/>
        <s v="245416401/44077/1.1.1./1"/>
        <s v="61001008820/43824/1.1.1./1"/>
        <s v="400098078 /44283/1.2.1./1"/>
        <s v="405134448/44278/1.2.1./1"/>
        <s v="62001000738/44284/1.2.1./1"/>
        <s v="205276681/44278/1.3.2./1"/>
        <s v="404537809/44179/1.2.3./1"/>
        <s v="400098078 /44291/1.2.1./1"/>
        <s v="ICE001696/44280/1.2.1./1"/>
        <s v="ICE001082/44298/1.1.3./1"/>
        <s v="204976179/44280/1.2.1./1"/>
        <s v="204976179/44301/1.2.1./1"/>
        <s v="405429987 /44315/1.2.1./1"/>
        <s v="01025019447/44329/1.2.1./1"/>
        <s v="61001018248/44208/1.2.1./1"/>
        <s v="205180472/44287/1.2.1./1"/>
        <s v="239402491/44336/1.2.1./1"/>
        <s v="402121887/44256/1.2.1./1"/>
        <s v="204882190 /44336/1.2.1./1"/>
        <s v="204882190 /44341/1.2.2./1"/>
        <s v="204882190 /44336/1.1.3./1"/>
        <s v="405147755 /44333/1.2.1./1"/>
        <s v="204976179/44075/1.1.1./1"/>
        <s v="01007008822/44349/1.2.1./1"/>
        <s v="205376608/44356/1.2.1./1"/>
        <s v="404569837/44363/1.2.1./1"/>
        <s v="404477730/44253/1.1.1./1"/>
        <s v="404477730/44309/1.2.1./1"/>
        <s v="404569837/44368/1.2.1./1"/>
        <s v="01009014629/44369/1.2.1./1"/>
        <s v="01027023991/44369/1.2.1./1"/>
        <s v="245555554/44368/1.2.2./1"/>
        <s v="202352514/44372/1.2.1./1"/>
        <s v="01001003747/44375/1.2.1./1"/>
        <s v="01024067897/44378/1.2.1./1"/>
        <s v="01009020969/44378/1.2.1./1"/>
        <s v="01031006443/44379/1.2.1./1"/>
        <s v="404477730/44379/1.2.1./1"/>
        <s v="61001014004/44383/1.2.1./1"/>
        <s v="404885335/44386/1.2.1./1"/>
        <s v="404492759/44385/1.2.1./1"/>
        <s v="205129653/44389/1.2.1./1"/>
        <s v="215127725/44317/1.1.1./1"/>
        <s v="445510411/44348/1.2.1./1"/>
        <s v="405133822/44329/1.1.3./1"/>
        <s v="245416401/44392/1.1.1./1"/>
        <s v="404462256/44398/1.1.1./1"/>
        <s v="205129653/44413/1.2.1./1"/>
        <s v="204452412/44414/1.1.1./1"/>
        <s v="405307350/44326/1.1.1./1"/>
        <s v="204976179/44420/1.2.1./1"/>
        <s v="204976179/44230/1.2.1./1"/>
        <s v="206093494/44434/1.2.1./1"/>
        <s v="762917460/44424/1.2.1./1"/>
        <s v="204976179/44427/1.2.1./1"/>
        <s v="ICE001752/44383/1.2.1./1"/>
        <s v="445587320/44467/1.2.1./1"/>
        <s v="404492759/44400/1.2.3./1"/>
        <s v="245416401/44474/1.1.1./1"/>
        <s v="404507182/44428/1.2.1./1"/>
        <s v="405380181/44466/1.1.1./1"/>
        <s v="205259780/44470/1.2.1./1"/>
        <s v="03187803411/44484/1.2.1./1"/>
        <s v="445409415/44476/1.1.2./1"/>
        <s v="404385401/44511/1.2.1./1"/>
        <s v="01008033246/44317/1.1.2./1"/>
        <s v="239402491/44529/1.2.1./1"/>
        <s v="65130000512/44536/1.2.1./1"/>
        <s v="418476893/44531/1.2.1./1"/>
        <s v="445522907/44554/1.1.1./1"/>
        <s v="405022817/44571/1.2.3./1"/>
        <s v="245621849/44293/1.1.1./1"/>
        <s v="01024009520/44585/1.2.1./1"/>
        <s v="61001018248/44357/1.2.1./1"/>
        <s v="ICE001801/44562/1.1.2./1"/>
        <s v="405296255/44614/1.2.1./1"/>
        <s v="01031007136/44595/1.2.1./1"/>
        <s v="204558497/44523/1.1.3./1"/>
        <s v="445468798/44546/1.1.1./1"/>
        <s v="445468798/44496/1.1.1./1"/>
        <s v="245621849/44581/1.1.1./1"/>
        <s v="19891103-00237/44644/1.2.1./1"/>
        <s v="405164584/44480/1.2.1./1"/>
        <s v="01009002617/44645/1.2.1./1"/>
        <s v="405144703/44582/1.1.1./1"/>
        <s v="65002012107/44643/1.1.3./1"/>
        <s v="1982092803392/44644/1.2.1./1"/>
        <s v="445587320/44547/1.2.1./1"/>
        <s v="01008053571/44665/1.2.1./1"/>
        <s v="01024029963/44669/1.2.1./1"/>
        <s v="61001000802/44683/1.2.1./1"/>
        <s v="445420875/44409/1.1.2./1"/>
        <s v="62003014448/44652/1.1.2./1"/>
        <s v="405271450/44652/1.1.2./1"/>
        <s v="406132929/44474/1.1.2./1"/>
        <s v="406132929/44691/1.1.2./1"/>
        <s v="204976179/44075/1.1.2./1"/>
        <s v="204976179/43466/1.1.2./1"/>
        <s v="445468798/44562/1.1.2./1"/>
        <s v="405119964/44089/1.1.2./1"/>
        <s v="200316657/43466/1.1.2./1"/>
        <s v="200317273/43466/1.1.2./1"/>
        <s v="ICE001857/44501/1.1.2./1"/>
        <s v="ICE001858/44651/1.1.2./1"/>
        <s v="405380181/44682/1.1.2./1"/>
        <s v="438115754/44697/1.2.1./1"/>
        <s v="245565669/43466/1.1.2./1"/>
        <s v="400017245/44562/1.3.1./1"/>
        <s v="61001029125/44652/1.2.1./1"/>
        <s v="445478563/44602/1.1.1./1"/>
        <s v="405387861/44701/1.1.1./1"/>
        <s v="404507182/44715/1.2.3./1"/>
        <s v="01008016853/44719/1.2.1./1"/>
        <s v="01017017831/44725/1.2.1./1"/>
        <s v="ICE001124/44755/1.1.1./3GTVRO"/>
        <s v="ICE000118/44727/1.2.1./QVXXKU"/>
        <s v="ICE001877/44755/1.2.3./0XWT7V"/>
        <s v="ICE000243/44753/1.2.3./ESJ7CG"/>
        <s v="ICE000112/44747/1.1.3./8K5VMS"/>
        <s v="ICE000144/44734/1.2.1./N9PD0S"/>
        <s v="ICE001706/44713/1.1.2./VTIPM1"/>
        <s v="ICE001876/44718/1.2.1./L8PQVB"/>
        <s v="ICE000014/44705/1.2.1./4LP03T"/>
        <s v="ICE001878/44708/1.2.1./PDIG8X"/>
        <s v="ICE000024/44098/1.1.1./U5WRDG"/>
        <s v="ICE000804/44768/1.2.1./TYRMPV"/>
        <s v="ICE001880/44737/1.1.1./2T1HQF"/>
        <s v="ICE001881/44767/1.2.1./O2PFTZ"/>
        <s v="ICE001882/44774/1.1.1./AYODT5"/>
        <s v="ICE001883/44778/1.1.1./WBWRVQ"/>
        <s v="ICE001884/44788/1.1.2./V39ORF"/>
        <s v="ICE000032/NaN/1.2.1./GE5FQI"/>
        <s v="ICE000032/44790/1.2.1./3A5BUY"/>
        <s v="ICE001849/44652/1.1.2./VU6JKX"/>
        <s v="ICE001128/44075/1.2.1./YXVT03"/>
        <s v="ICE000437/44758/1.2.1./0UW7SL"/>
        <s v="ICE001886/44852/1.2.1./TVL4XR"/>
        <s v="ICE001877/44854/1.2.3./GPWEIL"/>
        <s v="ICE001877/44854/1.2.3./LX172K"/>
        <s v="ICE000564/44859/1.2.1./DQKSRA"/>
        <s v="ICE000004/44858/1.1.3./6MPT8V"/>
        <s v="ICE001887/44860/1.1.1./EMBQ1W"/>
        <s v="ICE001888/44835/1.1.3./S6PH8X"/>
        <s v="ICE000118/44870/1.1.1./6CUISF"/>
        <s v="ICE001890/44800/1.2.1./4SR2SX"/>
        <s v="ICE001893/44882/1.2.1./9X7OVA"/>
        <s v="ICE000014/44866/1.1.1./XDWOXH"/>
        <s v="ICE000631/44859/1.2.3./XFPVR8"/>
        <s v="ICE001894/44872/1.2.1./EMOLPP"/>
        <s v="ICE000014/44835/1.2.2./4GZACN"/>
        <s v="ICE000014/44866/1.2.2./5FJVW8"/>
        <s v="ICE000032/44861/1.2.1./4VVQP1"/>
        <s v="ICE001267/44834/1.2.2./ZPVOFX"/>
        <s v="ICE001896/44889/1.2.1./U92RA5"/>
        <s v="ICE000021/44883/1.1.3./A379OG"/>
        <s v="ICE001903/44917/1.2.1./JL4P7U"/>
        <s v="ICE1904/44917/1.2.1./9N8UKR"/>
        <s v="ICE001903/44917/1.2.1./QQTVCW"/>
        <s v="ICE1904/44917/1.2.1./O8BOFH"/>
        <s v="ICE000043/44866/1.1.1./TV7AQC"/>
        <s v="ICE1905/44866/1.2.1./6TJBQV"/>
        <s v="ICE1905/44866/1.2.1./TC1D7T"/>
        <s v="ICE001906/44905/1.1.1./5VLWZR"/>
        <s v="ICE001907/44896/1.1.1./U5J6LO"/>
        <s v="ICE000145/44918/1.2.1./2XRYJE"/>
        <s v="ICE001427/44925/1.1.1./JID2RU"/>
        <s v="ICE001918/44944/1.2.1./E93OV0"/>
        <s v="ICE001918/44944/1.2.1./RNHIQ4"/>
        <s v="ICE001923/44946/1.2.1./XCVTV9"/>
        <s v="ICE001922/44585/1.1.1./I0N7CX"/>
        <s v="ICE000169/36892/1.1.1./JGS8TT"/>
        <s v="ICE000012/44953/1.1.1./0ROM78"/>
        <s v="ICE000014/44914/1.2.3./IPHQBX"/>
        <s v="ICE001877/44949/1.2.3./PAHM9X"/>
        <s v="ICE000169/36526/1.3.1./LSQFA8"/>
        <s v="ICE000169/36526/1.3.1./7WJQXP"/>
        <s v="ICE002026/44952/1.2.3./SWQRMY"/>
        <s v="ICE000014/44952/1.1.3./C6TUO8"/>
        <s v="ICE000118/44593/1.1.1./5WYTD9"/>
        <s v="ICE002032/44944/1.2.1./7G5KVZ"/>
        <s v="ICE000019/44909/1.1.3./WJCQRS"/>
        <s v="ICE000032/44959/1.2.3./FZDORH"/>
        <s v="ICE000014/44826/1.2.3./FX78JT"/>
        <s v="ICE001923/44581/1.2.1./O704IW"/>
        <s v="ICE001923/44964/1.2.1./1T0KB5"/>
        <s v="ICE001753/44867/1.2.1./BOVFUJ"/>
        <s v="ICE001753/44916/1.2.1./ODWS9V"/>
        <s v="ICE000118/44972/1.2.1./3SIV8N"/>
        <s v="ICE000118/44972/1.2.1./JSLFDX"/>
        <s v="ICE000112/44977/1.1.3./DFCGUL"/>
        <s v="ICE001894/44973/1.2.1./CR2JUI"/>
        <s v="ICE000014/44978/1.2.1./K6CRTJ"/>
        <s v="ICE000020/44985/1.2.1./N0V36P"/>
        <s v="ICE000012/44455/1.1.1./EVQLUG"/>
        <s v="ICE002069/44998/1.1.1./FA7J8Q"/>
        <s v="ICE002070/44998/1.1.1./HDYX4Q"/>
        <s v="ICE002074/44922/1.1.1./O1E0WK"/>
        <s v="ICE002075/44984/1.1.1./H12UP5"/>
        <s v="ICE001277/45001/1.1.3./68SF9U"/>
        <s v="ICE000032/45013/1.2.1./WTQXSP"/>
        <s v="ICE000014/45021/1.2.1./ARIWPX"/>
        <s v="ICE002106/44922/1.2.1./Q0VTN3"/>
        <s v="ICE000014/44986/1.2.1./XD0YPJ"/>
        <s v="ICE001112/44057/1.3.2./1BUZYD"/>
        <s v="ICE002026/44927/1.1.2./AVZ3WP"/>
        <s v="ICE000008/44426/1.1.1./ZPWMSX"/>
        <s v="ICE001742/45017/1.1.1./RE1PYV"/>
        <s v="ICE002123/45017/1.1.1./JOQTGL"/>
        <s v="ICE000118/45035/1.1.1./YIPG40"/>
        <s v="ICE002074/44986/1.3.2./MUNRS1"/>
        <s v="ICE002130/45037/1.1.1./52WO6O"/>
        <s v="ICE002136/45013/1.1.1./BHAE6Y"/>
        <s v="ICE002129/44965/1.3.1./VGLRMV"/>
        <s v="ICE000012/44886/1.1.1./Z7TK6X"/>
        <s v="ICE001874/45047/1.2.1./JNHF5Y"/>
        <s v="ICE1905/45057/1.2.3./QUMAW7"/>
        <s v="ICE002152/45047/1.2.1./VCF8DR"/>
        <s v="ICE002153/45065/1.2.1./WXT6EM"/>
        <s v="ICE000014/45064/1.2.3./TXMPDT"/>
        <s v="ICE002155/45063/1.1.1./X82ASM"/>
        <s v="ICE000118/45068/1.2.1./R8H0FQ"/>
        <s v="ICE002171/45083/1.2.1./T3FS57"/>
        <s v="ICE002170/45091/1.1.1./UTRVW2"/>
        <s v="ICE000032/45099/1.2.1./ASEQTN"/>
        <s v="ICE002130/45078/1.2.1./UQIQUV"/>
        <s v="ICE1905/45078/1.2.1./6GSUQW"/>
        <s v="ICE001265/45062/1.2.1./RF24S3"/>
        <s v="ICE002175/45078/1.2.1./SUU52O"/>
        <s v="ICE001765/45104/1.2.3./5LAZUT"/>
        <s v="ICE002130/45099/1.1.1./6MT1XX"/>
        <s v="ICE000118/45108/1.1.1./95WZ7W"/>
        <s v="ICE002070/45110/1.1.1./N3R0Q7"/>
        <s v="ICE002188/45124/1.1.1./Z1573T"/>
        <s v="ICE001080/45121/1.2.1./S9OEYC"/>
        <s v="ICE1905/45141/1.2.1./K7SOD3"/>
        <s v="ICE002202/45127/1.2.1./XZKAIE"/>
        <s v="ICE000032/45145/1.2.1./A9237D"/>
        <s v="ICE000112/45007/1.1.3./LRQV7T"/>
        <s v="ICE000014/45152/1.2.1./GPXOYW"/>
        <s v="ICE1905/45154/1.2.1./12AT6C"/>
        <s v="ICE002054/45147/1.2.1./HUB5VY"/>
        <s v="ICE001277/45149/1.1.1./KMPUYF"/>
        <s v="ICE000002/-612401/1.1.1./LVRJGK"/>
        <s v="ICE000002/45057/1.1.1./6TE98O"/>
        <s v="ICE002206/45118/1.2.1./T56QVE"/>
        <s v="ICE002206/45119/1.2.1./T0DQ6F"/>
        <s v="ICE002207/45155/1.2.1./PH3XUA"/>
        <s v="ICE002206/45119/1.1.1./KXNPZ5"/>
        <s v="ICE000109/45163/1.2.1./1HDX0V"/>
        <s v="ICE001741/45167/1.1.3./Q2B3LK"/>
        <s v="ICE002206/45108/1.2.3./XRMUJI"/>
        <s v="ICE002215/45174/1.2.1./FZOGMV"/>
        <s v="ICE000014/45168/1.2.1./DVIRS2"/>
        <s v="ICE002221/45118/1.1.1./DR5MP9"/>
        <s v="ICE2222/45142/1.1.1./QQ58DM"/>
        <s v="ICE000012/45182/1.1.3./WYP47H"/>
        <s v="ICE001874/45170/1.1.3./OUAPCW"/>
        <s v="ICE000014/45187/1.1.3./PLE0DK"/>
        <s v="ICE1905/44908/1.2.1./WPUZO9"/>
        <s v="ICE1905/45064/1.2.1./OT2PEV"/>
        <s v="ICE001697/45196/1.2.3./OJFXLR"/>
        <s v="ICE000020/44882/1.2.1./R5SZSD"/>
        <s v="ICE002206/45170/1.2.1./4U2OSN"/>
        <s v="ICE002273/45139/1.1.2./6W3VMF"/>
        <s v="ICE002273/45181/1.1.3./VU4KOW"/>
        <s v="ICE000436/44866/1.3.1./I1UA2W"/>
        <s v="ICE000014/45085/1.2.1./TUXNWO"/>
        <s v="ICE1905/44986/1.1.1./7IKQP5"/>
        <s v="ICE1905/45210/1.2.1./OEIVTW"/>
        <s v="ICE001881/45200/1.2.3./05REW2"/>
        <s v="ICE000169/45200/1.1.1./WCOTVP"/>
        <s v="ICE000118/45225/1.1.1./X5PO9Y"/>
        <s v="ICE002282/45210/1.1.1./OXBYSN"/>
        <s v="ICE002130/45108/1.1.1./I0WWU9"/>
        <s v="ICE002283/45170/1.1.1./IERQ38"/>
        <s v="ICE1905/45243/1.2.1./Y0B5TC"/>
        <s v="ICE1905/45292/1.2.3./6RQAWP"/>
        <s v="ICE1905/45231/1.2.1./W0LVU8"/>
        <s v="ICE1905/45203/1.2.1./IVNXS4"/>
        <s v="ICE1905/45203/1.2.1./QSAOQ2"/>
        <s v="ICE000109/45231/1.2.3./UU51NH"/>
        <s v="ICE002291/45231/1.1.1./RQ1K3F"/>
        <s v="ICE002302/45200/1.1.3./P1NC7M"/>
        <s v="ICE001124/45203/1.1.4./CKPDS7"/>
        <s v="ICE002297/45200/1.2.3./1T2DOR"/>
        <s v="ICE000014/45231/1.2.1./F1TRXP"/>
        <s v="ICE002306/45264/1.1.1./4F2RPV"/>
        <s v="ICE1905/45203/1.2.1./N9QDTM"/>
        <s v="ICE1905/45203/1.2.1./I8QTVR"/>
        <s v="ICE1905/45261/1.2.1./L4SOSG"/>
        <s v="ICE1905/45261/1.2.1./MCZ3HW"/>
        <s v="ICE001881/45267/1.2.3./X31QRL"/>
        <s v="ICE000014/45261/1.2.2./WS3FQH"/>
        <s v="ICE002326/45200/1.1.1./SAHQBU"/>
        <s v="ICE002327/45104/1.2.1./JKTTAQ"/>
        <s v="ICE002327/45028/1.2.1./QW6XCY"/>
        <s v="ICE001258/45019/1.1.1./ULCNUQ"/>
        <s v="ICE001258/45259/1.1.2./XXE0VP"/>
        <s v="ICE001888/45093/1.1.2./BUXPEN"/>
        <s v="ICE001140/45200/1.1.2./GVX6OU"/>
        <s v="ICE002273/45139/1.1.2./QOJB1T"/>
        <s v="ICE001766/45170/1.1.2./JP6DS2"/>
        <s v="ICE000941/44531/1.1.2./XENYAU"/>
        <s v="ICE1927/45292/1.1.2./FHVBQU"/>
        <s v="ICE002330/44835/1.1.2./V5ME0W"/>
        <s v="ICE2331/45266/1.1.2./7JDV3W"/>
        <s v="ICE2332/45047/1.1.2./VAWCB0"/>
        <s v="ICE2333/45170/1.1.2./I6PT9J"/>
        <s v="ICE001903/45267/1.2.1./DGVFWL"/>
        <s v="ICE001903/45267/1.2.1./0UUTWX"/>
        <s v="ICE000618/45140/1.1.1./RYHVMN"/>
        <s v="ICE000118/45261/1.1.1./QIYL0B"/>
        <s v="ICE000033/45261/1.1.1./QCT6W2"/>
        <s v="ICE000014/45286/1.2.3./FBIQN9"/>
        <s v="ICE000143/45286/1.2.2./O7VWCO"/>
        <s v="ICE000125/45261/1.1.3./Z0U1TK"/>
        <s v="ICE000023/45261/1.1.3./630OTH"/>
        <s v="ICE000032/45286/1.2.1./XMHSOW"/>
        <s v="ICE1905/45309/1.2.1./NP9853"/>
        <s v="ICE1905/45309/1.2.1./TWELFT"/>
        <s v="ICE002292/45200/1.1.1./EC7QBP"/>
        <s v="ICE002358/45327/1.1.1./SNST9B"/>
        <s v="ICE002361/45334/1.2.1./ZASFLV"/>
        <s v="ICE000118/45323/1.1.1./EBRHZO"/>
        <s v="ICE000014/45323/1.1.1./Y3U7RQ"/>
        <s v="ICE000001/45625/1.1.1./WORTYV"/>
        <s v="ICE002206/45200/1.2.1./WWOTAK"/>
        <s v="ICE000014/45323/1.2.3./Q9CUPH"/>
        <s v="ICE002206/45327/1.1.2./G2V89Z"/>
        <s v="ICE002369/45343/1.1.1./CK1VLR"/>
        <s v="ICE002431/45358/1.1.1./PD6EVW"/>
        <s v="ICE000118/45352/1.1.1./VJ5G0U"/>
        <s v="ICE002437/45356/1.2.1./ISPE1D"/>
        <s v="ICE002440/45352/1.1.1./BWYWO4"/>
        <s v="ICE002441/45292/1.1.1./U7RAPB"/>
        <s v="ICE002443/45142/1.1.1./1Q8PYO"/>
        <s v="ICE002106/45210/1.2.1./DTVWFI"/>
        <s v="ICE002106/45352/1.2.1./TX5RM8"/>
        <s v="ICE002301/45236/1.2.1./SDVUIL"/>
        <s v="ICE002453/45380/1.1.1./2WQQX4"/>
        <s v="ICE002130/45323/1.1.1./1T6ZTS"/>
        <s v="ICE002460/45200/1.1.2./RSFLHW"/>
        <s v="ICE002461/45292/1.1.2./S9K5XP"/>
        <s v="ICE2462/45292/1.1.2./AI8N9V"/>
        <s v="ICE2463/45292/1.1.2./9RZKVI"/>
        <s v="ICE002464/45292/1.1.2./VWFAKX"/>
        <s v="ICE2465/45292/1.1.2./CITE5O"/>
        <s v="ICE002330/44835/1.1.2./S0YKP4"/>
        <s v="ICE002467/44774/1.1.2./VHA1WS"/>
        <s v="ICE002468/44805/1.1.2./OVQWU3"/>
        <s v="ICE001112/45105/1.1.1./RVF4BA"/>
        <s v="ICE001883/45200/1.1.2./S90IQR"/>
        <s v="ICE002069/45292/1.1.2./HXFOWP"/>
        <s v="ICE000014/45292/1.1.2./NUIB08"/>
        <s v="ICE001124/45292/1.1.2./I1J0P2"/>
        <s v="ICE001822/45292/1.1.2./TYV1WP"/>
        <s v="ICE002475/45375/1.2.3./4PT69C"/>
        <s v="ICE001882/45292/1.1.2./5WAKVZ"/>
        <s v="ICE001882/45292/1.1.2./P7SCEF"/>
        <s v="ICE001907/45292/1.1.2./XC65VP"/>
        <s v="ICE001880/45292/1.1.2./H3NRW0"/>
        <s v="ICE002070/45292/1.1.2./OUXMIU"/>
        <s v="ICE002074/45292/1.1.2./XTORLR"/>
        <s v="ICE001906/45292/1.1.2./0OYNBC"/>
        <s v="ICE001922/45292/1.1.2./XVS4GR"/>
        <s v="ICE002477/45292/1.1.2./6TMZDJ"/>
        <s v="ICE000088/45292/1.1.2./EL0HQD"/>
        <s v="ICE002075/45292/1.1.2./ONTQSQ"/>
        <s v="ICE2222/45292/1.1.2./Y1PJLX"/>
        <s v="ICE002443/45292/1.1.2./RVVQ1S"/>
        <s v="ICE002155/45292/1.1.2./WUY0QG"/>
        <s v="ICE001884/45292/1.1.2./OI5VUW"/>
        <s v="ICE002478/45292/1.1.2./MK6WZ7"/>
        <s v="ICE001741/45292/1.1.2./ZW5HXS"/>
        <s v="ICE000001/45292/1.1.2./48BWAY"/>
        <s v="ICE000001/45292/1.1.2./0SJP5U"/>
        <s v="ICE001874/45292/1.1.2./YLURXS"/>
        <s v="ICE002065/45292/1.1.2./F0TYOV"/>
        <s v="ICE002170/45292/1.1.2./QHXNI1"/>
        <s v="ICE002136/45292/1.1.2./RNQWWA"/>
        <s v="ICE002221/45292/1.1.2./I0C8QV"/>
        <s v="ICE002302/45292/1.1.2./DXUBTH"/>
        <s v="ICE001884/45292/1.1.2./WCBQUX"/>
        <s v="ICE002479/45292/1.1.2./EAKWHL"/>
        <s v="ICE002188/45292/1.1.2./O1GTRW"/>
        <s v="ICE000118/45292/1.1.1./ORFV3V"/>
        <s v="ICE000118/45292/1.1.2./3R2NVT"/>
        <s v="ICE1905/45413/1.2.3./FQQ2IE"/>
        <s v="ICE1905/45413/1.2.3./OUQ83B"/>
        <s v="ICE001923/45413/1.2.3./SQ1MWO"/>
        <s v="ICE1905/45413/1.2.3./6RBC0L"/>
        <s v="ICE1905/45426/1.2.3./HKDUF2"/>
        <s v="ICE2564/45432/1.2.1./3UIZ1K"/>
        <s v="ICE2564/45432/1.2.1./9B5ECD"/>
        <s v="ICE002358/45448/1.1.3./B74KQH"/>
        <s v="ICE000004/45383/1.1.3./578JUX"/>
        <s v="ICE002570/45456/1.2.1./3WKYOV"/>
        <s v="ICE002573/45383/1.1.1./QXCPT6"/>
        <s v="ICE002573/45383/1.2.1./IYXQRU"/>
        <s v="ICE002334/45292/1.1.2./2USYNC"/>
        <s v="ICE002577/45444/1.1.1./5XTCEO"/>
        <s v="ICE000118/45444/1.1.1./DZW8J4"/>
        <s v="ICE002580/45475/1.2.1./QF4XX7"/>
        <s v="ICE1905/45505/1.2.1./9QRQCN"/>
        <s v="ICE002588/45511/1.1.1./T1XLZ9"/>
        <s v="ICE002589/45505/1.1.1./8NI3CU"/>
        <s v="ICE000014/45505/1.1.1./L0GJ5P"/>
        <s v="ICE002606/45505/1.1.1./TPKXWE"/>
        <s v="ICE2537/45538/1.2.1./T13P4Q"/>
        <s v="ICE000014/45412/1.2.1./JHZYOG"/>
        <s v="ICE000118/45536/1.1.1./TX1N2W"/>
        <s v="ICE002617/45536/1.1.1./L0U4SC"/>
        <s v="ICE1905/45555/1.2.1./OKD68Q"/>
        <s v="ICE000014/45536/1.1.3./WMRJ1R"/>
        <s v="ICE002619/45553/1.2.3./5AWU7L"/>
        <s v="ICE002621/45536/1.1.1./J52B8H"/>
        <s v="ICE002580/45505/1.2.1./WX0NMK"/>
        <s v="ICE000043/45474/1.2.1./ZUM91N"/>
        <s v="ICE002573/45383/1.2.1./WUTB3L"/>
        <s v="ICE000112/45560/1.1.1./S874Y3"/>
        <s v="ICE002629/45429/1.1.1./H6ZWQ4"/>
        <s v="ICE002630/45601/1.2.1./APL6PZ"/>
        <s v="ICE002631/45582/1.1.1./2O3U85"/>
        <s v="ICE002637/45597/1.1.1./THWC3V"/>
        <s v="ICE000038/45469/1.2.1./40VB1R"/>
        <s v="ICE002640/45607/1.1.1./HL6OR5"/>
        <s v="ICE2537/45628/1.2.1./BIWGS9"/>
        <s v="ICE002696/45627/1.1.1./URLTEW"/>
        <s v="ICE002297/45983/1.2.1./OVDXXS"/>
        <s v="ICE000043/45658/1.2.1./SUA8V9"/>
        <s v="ICE002701/45658/1.1.1./L1SURS"/>
        <s v="ICE000118/45519/1.3.2./ODTARV"/>
        <s v="ICE001112/45519/1.3.2./PAMOQ2"/>
        <s v="ICE002704/45674/1.1.1./QU5T6J"/>
        <s v="ICE2706/45658/1.1.3./PN65R3"/>
        <s v="ICE002705/45627/1.1.2./DKNPHY"/>
        <s v="ICE000118/45658/1.1.3./Q5TOLR"/>
        <s v="ICE000118/45658/1.1.1./7WVRS2"/>
        <s v="ICE002606/45658/1.1.1./8HZC2P"/>
        <s v="ICE002606/45658/1.1.1./QIDBR4"/>
        <s v="ICE2711/45638/1.2.1./X2TNO3"/>
        <s v="ICE2719/45602/1.1.1./4TWUSE"/>
        <s v="ICE2715/45545/1.1.1./8419SP"/>
        <s v="ICE2734/45601/1.2.1./X9WTXQ"/>
        <s v="ICE2714/45463/1.1.1./1QPQEZ"/>
        <s v="ICE000038/45489/1.2.1./HX9UTL"/>
        <s v="ICE2713/45597/1.1.2./S615YW"/>
        <s v="ICE000009/45590/1.1.3./ZO05ES"/>
        <s v="ICE2723/45474/1.1.2./DR0PGA"/>
        <s v="ICE2733/45625/1.1.3./2ARSG4"/>
        <s v="ICE2735/45621/1.2.1./KMBIHA"/>
        <s v="ICE000013/45047/1.1.2./7IBPTW"/>
        <s v="ICE2737/45581/1.2.1./P8T97V"/>
        <s v="ICE2738/45559/1.2.1./H6K9QN"/>
        <s v="ICE2742/45489/1.2.1./Q0KWOL"/>
        <s v="ICE2743/45485/1.2.1./TUTXZC"/>
        <s v="ICE2744/45444/1.2.1./T7QS54"/>
        <s v="ICE2746/45460/1.2.1./G5XHOM"/>
        <s v="ICE2747/45456/1.2.1./26F74Z"/>
        <s v="ICE2748/45436/1.2.1./HG0WPI"/>
        <s v="ICE2749/45427/1.2.1./RF1P2T"/>
        <s v="ICE2751/45292/1.1.2./KRIGMC"/>
        <s v="ICE2736/45597/1.2.1./O8UT0P"/>
        <s v="ICE002152/45272/1.2.1./P1UJVO"/>
        <s v="ICE2753/45084/1.2.1./RQVHTV"/>
        <s v="ICE2226/45159/1.2.1./MUPWTE"/>
        <s v="ICE2228/45048/1.2.1./SYMCZI"/>
        <s v="ICE2739/45537/1.2.1./H38BCG"/>
        <s v="ICE2741/45495/1.2.1./PUXXKF"/>
        <s v="ICE000121/44937/1.1.2./JX3EOD"/>
        <s v="ICE000121/44937/1.1.2./3NVQ1P"/>
        <s v="ICE000121/44937/1.1.2./5O97M8"/>
        <s v="ICE000121/44937/1.1.2./13WQZ8"/>
        <s v="ICE000121/44937/1.1.2./UGY40W"/>
        <s v="ICE2716/45536/1.1.2./TP8GNP"/>
        <s v="ICE002475/45201/1.1.2./RSCQN6"/>
        <s v="ICE001853/45428/1.1.3./IR9A62"/>
        <s v="ICE2732/45650/1.1.3./T4Q3WG"/>
        <s v="ICE2020/45446/1.1.3./QPB0O8"/>
        <s v="ICE002619/45559/1.2.3./6TUMXS"/>
        <s v="ICE2731/45444/1.1.2./U41HKW"/>
        <s v="ICE2724/45170/1.1.2./GATWPF"/>
        <s v="ICE000088/45383/1.2.3./VYPVNQ"/>
        <s v="ICE2729/45505/1.1.2./SY150G"/>
        <s v="ICE2754/45200/1.3.1./S5ODIQ"/>
        <s v="ICE2248/45499/1.3.1./PBXUN0"/>
        <s v="ICE2723/45452/1.1.3./U2MESH"/>
        <s v="ICE2740/45513/1.1.1./YTHI1A"/>
        <s v="ICE000151/45790/1.3.1./HBCLQT"/>
        <s v="ICE2726/45281/1.2.3./WR6FGL"/>
        <s v="ICE2718/45423/1.1.1./UE8IUB"/>
        <s v="ICE001880/45225/1.2.1./0O95VP"/>
        <s v="ICE001880/45393/1.2.3./CRWZL4"/>
        <s v="ICE002155/45548/1.1.3./VWO1F7"/>
        <s v="ICE2725/45320/1.2.1./TYSJ6R"/>
        <s v="ICE2727/45275/1.2.1./ZDX1FG"/>
        <s v="ICE2728/45259/1.2.1./DRXOST"/>
        <s v="ICE001887/45461/1.2.1./3A9GFE"/>
        <s v="ICE001887/45412/1.1.2./JRGQNP"/>
        <s v="ICE001753/45160/1.2.1./P5GMST"/>
        <s v="ICE000010/45443/1.1.3./U3WI7Q"/>
        <s v="ICE000033/45624/1.1.1./PW6ER1"/>
        <s v="ICE000118/45658/1.1.1./UISG96"/>
        <s v="ICE000118/45658/1.1.1./SWXT9O"/>
        <s v="ICE000118/45658/1.1.1./4HNTED"/>
        <s v="ICE000118/45658/1.1.1./R2ERVJ"/>
        <s v="ICE000118/45658/1.1.1./VN6BWP"/>
        <s v="ICE000118/45658/1.1.1./HQ0QNV"/>
        <s v="ICE000118/45658/1.1.1./PS04YV"/>
        <s v="ICE000118/45658/1.1.1./4XLQBO"/>
        <s v="ICE000118/45658/1.1.1./LTP280"/>
        <s v="ICE000118/45658/1.1.1./Y7O5RX"/>
        <s v="ICE000118/45658/1.1.1./IHWFQV"/>
        <s v="ICE000118/45658/1.1.1./AV0TR9"/>
        <s v="ICE000118/45658/1.1.1./SMT527"/>
        <s v="ICE000118/45658/1.1.1./PHJNG1"/>
        <s v="ICE000118/45658/1.1.1./STBUPW"/>
        <s v="ICE2722/45485/1.2.1./GSVB9X"/>
        <s v="ICE2726/45691/1.2.3./SRJRQ4"/>
        <s v="ICE000027/45336/1.1.3./VJ5D2Z"/>
        <s v="ICE000054/45583/1.1.3./NZTP58"/>
        <s v="ICE002770/45698/1.1.3./QUTKV2"/>
        <s v="ICE002461/45672/1.1.3./WVSRLW"/>
        <s v="ICE001258/45344/1.1.3./216U3W"/>
        <s v="ICE002330/45290/1.1.3./5XO9MK"/>
        <s v="ICE000024/45170/1.1.3./P0KSXY"/>
        <s v="ICE002282/45404/1.1.3./X1TODV"/>
        <s v="ICE001140/45619/1.1.3./9T15PV"/>
        <s v="ICE002453/45623/1.1.3./J3X5AI"/>
        <s v="ICE002730/45632/1.1.1./WMJICX"/>
        <s v="ICE2721/45468/1.1.1./OHJSVM"/>
        <s v="ICE002773/45699/1.1.1./DWIP0T"/>
        <s v="ICE002820/45625/1.1.1./KLS4HQ"/>
        <s v="ICE2822/45075/1.2.1./NOJZFP"/>
        <s v="ICE000112/45626/1.1.2./BU1P8X"/>
        <s v="ICE000012/45365/1.1.3./RKLZIX"/>
        <s v="ICE002833/45545/1.1.1./XOWM8D"/>
        <s v="ICE1904/45383/1.2.1./B9LPFY"/>
        <s v="ICE002834/45558/1.1.1./Y9F18Q"/>
        <s v="ICE002454/45413/1.2.1./TGV7U2"/>
        <s v="ICE002841/45566/1.1.2./P3QE4B"/>
        <s v="ICE2227/45581/1.2.1./9IQASW"/>
        <s v="ICE002843/45698/1.1.1./2DVQZG"/>
        <s v="ICE002844/45635/1.2.1./7XP48Z"/>
        <s v="ICE2845/45491/1.2.1./ZNPRL4"/>
        <s v="ICE2846/45457/1.2.1./16EKT7"/>
        <s v="ICE2847/45457/1.2.1./EUTP4U"/>
        <s v="ICE2848/45324/1.2.1./7WD5WT"/>
        <s v="ICE2849/45679/1.2.1./HX8OB0"/>
        <s v="ICE2850/45616/1.2.1./XIGWK0"/>
        <s v="ICE2851/45568/1.2.1./FBO3RA"/>
        <s v="ICE002852/45422/1.2.1./ISA8PN"/>
        <s v="ICE002853/45714/1.1.1./MSP9OU"/>
        <s v="ICE002861/45707/1.2.1./VZFE8A"/>
        <s v="ICE2863/45699/1.2.1./7M1YSW"/>
        <s v="ICE2862/45689/1.1.2./EBT0PY"/>
        <s v="ICE002130/45717/1.1.3./VTP07W"/>
        <s v="ICE000043/45689/1.2.1./P8UQG9"/>
        <s v="ICE2869/45716/1.2.1./0V15HJ"/>
        <s v="ICE2862/45689/1.1.2./FX486U"/>
        <s v="ICE2862/45689/1.1.2./UFCBL3"/>
        <s v="ICE2862/45689/1.1.2./178ZOR"/>
        <s v="ICE002872/45658/1.1.2./Z5VR2U"/>
        <s v="ICE2720/45658/1.1.2./8DRN7A"/>
        <s v="ICE2864/45699/1.2.1./WURXQT"/>
        <s v="ICE001769/45716/1.2.1./XRWYTM"/>
        <s v="ICE000088/45688/1.1.1./MS5RJ4"/>
        <s v="ICE000007/45705/1.1.3./WUQBIV"/>
        <s v="ICE001903/45191/1.2.1./PPND8L"/>
        <s v="ICE001903/45378/1.2.1./IBCSE4"/>
        <s v="ICE000033/45716/1.1.1./PCJFQ2"/>
        <s v="ICE2332/45737/1.1.3./4RBU58"/>
        <s v="ICE002893/45726/1.1.1./08QWMP"/>
        <s v="ICE2718/45461/1.1.1./AQCOTY"/>
        <s v="ICE001853/45738/1.1.3./XNFP0W"/>
        <s v="ICE002292/45689/1.1.2./FQSH7O"/>
        <s v="ICE2862/45689/1.1.2./7QJ2MU"/>
        <s v="ICE2862/45689/1.1.2./K1XRCU"/>
        <s v="ICE2862/45689/1.1.2./IPSU8Q"/>
        <s v="ICE000032/45751/1.2.1./PUSRT9"/>
        <s v="ICE002617/45750/1.1.1./N2QR6J"/>
        <s v="ICE002759/45748/1.2.1./VTEPIR"/>
        <s v="ICE2953/45748/1.2.1./ZKXTOB"/>
        <s v="ICE2954/45748/1.2.1./ARRPCH"/>
        <s v="ICE002948/45743/1.1.1./IBWZTR"/>
        <s v="ICE002957/45763/1.1.1./XH38S9"/>
        <s v="ICE002297/45441/1.2.2./SAYRBF"/>
        <s v="ICE001859/45748/1.1.3./RSZORQ"/>
        <s v="ICE002833/45748/1.1.1./BGM46R"/>
        <s v="ICE002963/45689/1.1.2./LRBPNZ"/>
        <s v="ICE002573/45748/1.2.1./R7S3QX"/>
        <s v="ICE000038/45769/1.2.3./ZI6VQ2"/>
        <s v="ICE000032/45771/1.2.3./A7WERD"/>
        <s v="ICE000118/45748/1.1.1./7UDCRT"/>
        <s v="ICE002330/45778/1.1.3./HV0M3Q"/>
        <s v="ICE000043/45778/1.2.1./TVW6TV"/>
        <s v="ICE000014/45715/1.2.1./TYZRXI"/>
        <s v="ICE001859/45778/1.1.1./NOM69T"/>
        <s v="ICE002441/45790/1.1.1./UL7VPV"/>
        <s v="ICE002983/45799/1.1.1./5SMQC4"/>
        <s v="ICE1904/45791/1.2.1./QEL8OV"/>
        <s v="ICE000043/45798/1.2.1./7N6X4Z"/>
        <s v="ICE003004/45727/1.1.3./V0NO3I"/>
        <s v="ICE000014/45778/1.2.3./B9QJSV"/>
        <s v="ICE003006/45806/1.1.1./DORURB"/>
        <s v="ICE003010/45778/1.1.1./QDMAXH"/>
        <s v="ICE2862/45784/1.1.3./HMGRLK"/>
        <s v="ICE000112/45757/1.1.3./DKXLRW"/>
        <s v="ICE003011/45798/1.1.1./SECP7I"/>
        <s v="ICE000125/43634/1.2.1./6WRBYF"/>
        <s v="ICE000118/45809/1.1.1./P7ELTO"/>
        <s v="ICE000118/45292/1.1.1./MXZXFV"/>
        <s v="ICE002297/45804/1.2.1./QOHFLD"/>
        <s v="ICE002977/45804/1.2.1./SSE432"/>
        <s v="ICE002963/45807/1.1.3./5KSNCZ"/>
        <s v="ICE000012/45096/1.1.3./928GC4"/>
        <s v="ICE001643/45809/1.1.1./L8U2AS"/>
        <s v="ICE002297/45809/1.2.1./M6UQN4"/>
        <s v="ICE002577/45620/1.1.1./X3U0R1"/>
        <s v="ICE000014/45671/1.2.1./6FEM9P"/>
        <s v="ICE002573/45813/1.2.1./5RKC1N"/>
        <s v="ICE001741/45806/1.1.3./42H5Z1"/>
        <s v="ICE000027/45809/1.1.3./SM42AK"/>
        <s v="ICE000001/45824/1.1.3./SBV25Q"/>
        <s v="ICE002369/45505/1.1.1./1BURKV"/>
        <s v="ICE2732/45627/1.1.2./ZUXFOV"/>
        <s v="ICE003004/45790/1.1.2./93CTVA"/>
        <s v="ICE003038/45817/1.2.1./1OGPKR"/>
        <s v="ICE1905/45597/1.2.1./EKB4TG"/>
        <s v="ICE1905/45566/1.2.1./CKNF6P"/>
        <s v="ICE000043/45778/1.1.1./Q2TNVC"/>
        <s v="ICE001643/45846/1.1.1./OWU2R5"/>
        <s v="ICE001643/45846/1.1.1./WX6JC2"/>
        <s v="ICE003169/45787/1.2.2./1PX4HG"/>
        <s v="ICE000014/45792/1.2.1./UHN9UT"/>
        <s v="ICE002291/45840/1.1.1./LBMPW2"/>
        <s v="ICE002573/45806/1.2.3./PT5JP4"/>
        <s v="ICE000033/45852/1.1.1./YGRBAU"/>
        <s v="ICE003173/45853/1.2.1./80ZRP1"/>
        <s v="ICE000027/45846/1.1.3./7IDMWQ"/>
        <s v="ICE3142/44316/1.1.2./JVYHGC"/>
        <s v="ICE000024/45831/1.1.1./VCYP5W"/>
        <s v="ICE001277/45809/1.1.2./23KPSO"/>
        <s v="ICE003182/45863/1.1.1./OQVTYZ"/>
        <s v="ICE002323/45860/1.2.1./RJ3TVH"/>
        <s v="ICE000133/45866/1.1.1./2QE7SK"/>
        <s v="ICE000133/45866/1.1.1./IH0S9P"/>
        <s v="ICE000133/45866/1.1.1./Q6RHWV"/>
        <s v="ICE001884/45868/1.2.3./FORNT7"/>
        <s v="ICE000118/44482/1.2.1./OQU18S"/>
        <s v="ICE000118/44725/1.2.1./8CPSVZ"/>
        <s v="ICE000118/44256/1.2.1./UE7KVC"/>
        <s v="ICE000118/45422/1.2.1./42HVWB"/>
        <s v="ICE000118/45679/1.3.2./FO74S1"/>
        <s v="ICE000088/45839/1.2.3./ZJO0AX"/>
        <s v="ICE000118/45386/1.2.1./9JFOGU"/>
        <s v="ICE000118/44166/1.2.1./YUS6VO"/>
        <s v="ICE001884/45798/1.2.3./WRM27U"/>
        <s v="ICE003198/45880/1.1.1./3QWUYX"/>
        <s v="ICE002573/45881/1.2.1./FA06E2"/>
        <s v="ICE1904/45839/1.2.1./TQRSX2"/>
        <s v="ICE002123/45839/1.1.2./OONGCY"/>
        <s v="ICE000048/45883/1.1.3./5XMIXP"/>
        <s v="ICE003200/45870/1.1.1./2RFOK4"/>
        <s v="ICE1905/45875/1.2.1./QWCGS4"/>
        <s v="ICE2862/45736/1.1.3./XQK483"/>
        <s v="ICE003205/45896/1.2.1./FRWDMU"/>
        <s v="ICE002977/45804/1.2.1./T19PXT"/>
        <s v="ICE001883/45895/1.1.3./HRS136"/>
        <s v="ICE001859/45831/1.1.3./SR0VWS"/>
        <s v="ICE003213/45882/1.1.1./JTXV0F"/>
        <s v="ICE003214/45818/1.1.2./87XWP5"/>
        <s v="ICE000118/45870/1.2.3./52KZT1"/>
        <s v="ICE002291/45901/1.1.1./UD9HAW"/>
        <s v="ICE003006/45901/1.2.1./UEWTKP"/>
        <s v="ICE2721/45870/1.1.2./LIDSOA"/>
        <s v="ICE003232/45870/1.1.2./CQI6OF"/>
        <s v="ICE000118/45920/1.1.1./QNCVOD"/>
        <s v="ICE002323/45910/1.2.1./IU4XT8"/>
        <s v="ICE000112/45910/1.1.3./W2SWD5"/>
        <s v="ICE003243/45901/1.1.1./VXAT3J"/>
        <s v="ICE003245/45902/1.2.3./OJKGHR"/>
        <s v="ICE1905/45901/1.2.1./CWXWRU"/>
        <s v="ICE1904/45834/1.2.1./U26O48"/>
        <s v="ICE003246/45909/1.2.1./UE5VTW"/>
        <s v="ICE1905/45901/1.2.1./XV0XUQ"/>
        <s v="ICE003252/45901/1.1.1./V4K7TA"/>
        <s v="ICE003270/45935/1.1.1./KU3CW1"/>
        <s v="ICE2731/45905/1.1.3./TE91P5"/>
        <s v="ICE1904/45917/1.2.3./TQPVEP"/>
        <s v="ICE001874/45931/1.1.3./8PBNP9"/>
        <s v="ICE001822/45933/1.1.1./RENSUC"/>
        <s v="ICE001742/45940/1.1.1./O3IDAT"/>
        <s v="ICE3289/45931/1.1.3./V3U2V4"/>
        <s v="ICE2719/45950/1.1.1./VT9O48"/>
        <s v="ICE000118/45950/1.2.1./M5KPR9"/>
        <s v="ICE2537/45860/1.2.1./OH7VCQ"/>
        <s v="ICE3304/45962/1.1.2./XIZPPG"/>
        <s v="ICE003305/45953/1.1.1./W7WX3L"/>
        <m/>
      </sharedItems>
    </cacheField>
    <cacheField name="პროექტი_GUID/" numFmtId="0">
      <sharedItems containsBlank="1">
        <s v="26A47FBE-6B71-4D89-B27B-4629DEEA1D34"/>
        <s v="BFCA9047-3C75-4EEB-9FE8-82617FFD3965"/>
        <s v="00664103-FB2D-4EA7-A2B7-28064D745999"/>
        <s v="80851DA9-84C4-4C2C-95FE-D6A0282F7B22"/>
        <s v="2E1DDD27-332A-4E4A-B571-52B4DE3B8E04"/>
        <s v="83FEC832-A4EA-4380-B5E9-85BEEECE8FA4"/>
        <s v="ABDEF9CC-F0E1-4950-B30C-D46A8A8A912C"/>
        <s v="230FCB1B-1310-4C49-9D2C-9CD5F9A792A3"/>
        <s v="4E89F135-A0AD-4622-97BD-7B68EF6062F8"/>
        <s v="CFFC1C06-B78B-45A0-8A02-37A23706EAFC"/>
        <s v="125722B7-4DB0-4817-B1A4-DBA0B1B893D4"/>
        <s v="255604D7-5424-4548-9CAA-ECFF960BB6AE"/>
        <s v="A4EE54E2-C9BC-44F8-8554-44B9037B38D2"/>
        <s v="A7AFCD4C-CA26-464C-8F1B-E9A5240DCB0F"/>
        <s v="E95274D6-921C-43D1-B7C4-4F99A71C4005"/>
        <s v="C897938C-00C4-4220-BAF1-CA29F3237D16"/>
        <s v="196F7BB2-781C-4FF2-BAEE-C30045DA8E1E"/>
        <s v="42197EB0-C73A-4679-8D11-1DD3BAC96135"/>
        <s v="7A83BC1F-C807-436E-9390-775B1D423BFD"/>
        <s v="D9285AF5-11A4-4764-B11B-745E9DAF1D34"/>
        <s v="C5E1547A-8529-495B-974D-92544D0F1C66"/>
        <s v="D421D947-C097-4870-8EF1-C7F724377248"/>
        <s v="2496A0E0-1118-49DC-8A82-539003DC1B23"/>
        <s v="1C2CAB23-3967-41F9-AC61-62415AE0373C"/>
        <s v="202843CA-C5C3-4057-8040-234B6C369B5E"/>
        <s v="8C8C52A5-1A7C-485F-9AC8-043862EF3D55"/>
        <s v="BFD4409A-7F01-4C7C-9F40-73A80C2E63A6"/>
        <s v="A53105CE-1BDB-4625-B775-A01DA1F6C8AD"/>
        <s v="F154242F-E028-49D8-B7BE-42EB31281CD5"/>
        <s v="6D999F5B-2199-4578-A47D-FDC2DF179273"/>
        <s v="5E543EA8-4A6A-4F8C-9F72-071B61F85EEB"/>
        <s v="C35D9FF1-3A09-4634-9BFA-87C709266063"/>
        <s v="EA15EDA6-F906-4932-87BA-DDB8898D4EBC"/>
        <s v="55F53FA9-CDDE-4FBA-91A1-FEAFA51B29A0"/>
        <s v="44F2F4A0-908E-42D1-B73F-04859CACCB08"/>
        <s v="2F958FC8-AC98-416D-BEAC-E4C6006FCCB3"/>
        <s v="4DB7E760-9ECD-4426-BB50-E293E58D2B02"/>
        <s v="E136ACFA-DBED-49EE-B224-24513754542C"/>
        <s v="5B0BA252-1105-4374-8654-430AE04E8A64"/>
        <s v="3619FEF3-250F-43C1-93C3-B77FEADECC84"/>
        <s v="0159D5F2-86A6-4D6F-87C4-D563AB9AA860"/>
        <s v="B9668B49-46F2-4E2F-B183-F802279CAA6C"/>
        <s v="7BF69DE1-9EA3-4EAE-9713-910380F15356"/>
        <s v="56B157A4-78FF-42DD-B032-B267792BBED8"/>
        <s v="8A712C8E-EE09-4385-8E22-3C7E70676923"/>
        <s v="F487D937-85D8-43B1-8D4D-27757BC0BE36"/>
        <s v="554B8399-3687-4503-A8C9-12E3BBDE60E9"/>
        <s v="165277AE-3A0C-494C-8C92-CC3A68C15375"/>
        <s v="C78D3D45-B3FB-4533-AE2E-53D8A5FA6C34"/>
        <s v="59251EDF-2EEC-4871-ADAA-D7901FD7C84E"/>
        <s v="BCE7664A-F047-41AD-8D93-756E595D21F6"/>
        <s v="6E5F6760-7CEF-41CD-B373-B0F3B4EABCCA"/>
        <s v="A4E19F43-E4DA-4585-8CAE-4CC3E97F5AF8"/>
        <s v="A9B6FEBD-3A47-4DFB-ACC0-BE284A1FE961"/>
        <s v="FD1EDF0D-38F3-4DAD-BD01-A54531CAD071"/>
        <s v="9A0748F1-7447-4E99-B52A-C299B2BE2267"/>
        <s v="300E878A-B016-48B5-A930-E3EDEEFB0FED"/>
        <s v="B866CCA1-4F5C-4C49-9517-CD64763AD8CC"/>
        <s v="3A44DBA7-152B-4C3D-8A70-C51193549F07"/>
        <s v="89441EC7-27A5-4210-91F3-96BB35383900"/>
        <s v="F4A2EDEE-7E84-4F30-91BA-5752286BD0A1"/>
        <s v="740B928C-4173-4A00-8523-A29D1C596ECC"/>
        <s v="68E42D82-BE50-4F66-82A4-CDC4DEB322C3"/>
        <s v="4723017E-EF0C-427F-BE8D-95A49C03170F"/>
        <s v="E3FEF6DB-0C48-4832-A5CF-868EF7B591A4"/>
        <s v="A68BEF97-923B-4D3C-8A08-9CF9311578B7"/>
        <s v="5D93EA98-C1B5-460B-B2FB-C526651B3F64"/>
        <s v="7A62FB55-149C-4A13-B506-1117D0761263"/>
        <s v="75411B5D-3913-49E0-B5A6-48ED0D4EEBB6"/>
        <s v="9D27243C-D81D-4430-90C4-5F8CCBF5809F"/>
        <s v="4C7A7F0C-187C-4D2B-857D-A522EE632F24"/>
        <s v="5485535C-2F61-456A-9548-E6F7EE885A7B"/>
        <s v="1937421D-0C5D-47B3-84E7-F06B2CECE212"/>
        <s v="0ABCF801-1738-4393-BF70-87C1FA8C9F0D"/>
        <s v="F2EB27A3-4AED-4096-AF24-4B7A9C4512A7"/>
        <s v="7D93AE81-A3AA-4EF2-A79C-0DE309E1B402"/>
        <s v="DCE1FBA2-AC1D-4481-B551-0D2215188884"/>
        <s v="DA0DFA6D-FB59-42CC-A78F-D211EFD8F169"/>
        <s v="BF531404-15D2-4F83-B5B6-88709B6ADBF6"/>
        <s v="96631073-7C4A-4C6C-B52A-4318B544C05B"/>
        <s v="46C2E29A-C8A7-4F32-BAC6-1FA5D9731A7D"/>
        <s v="4DE1AF55-BD4D-49EA-9CC2-7254972C4832"/>
        <s v="7F8895E0-BD86-4959-A763-AD1CD0F7FC77"/>
        <s v="798DCBA8-C0CF-4CAA-83E5-397FD911AAF0"/>
        <s v="1BF0C1A7-EC4F-48F6-B5F1-6257BAB8D882"/>
        <s v="4E9E5103-4BE9-4B72-838F-7CCF0A771578"/>
        <s v="97C6ECBA-DA0F-4E2C-B8DB-26993DFCE122"/>
        <s v="8BDDF5BD-4A6B-4C8E-942A-C62E20BCD667"/>
        <s v="ED933289-CEA4-446C-99AC-B1B310C1ECB5"/>
        <s v="3D3A6BA2-FC37-4C7B-9979-9C6C932BA9BF"/>
        <s v="07BBF564-E19D-46EA-8A32-44F28241B4B1"/>
        <s v="AFEF3A3A-0240-4773-9C5F-B7AC3C14711D"/>
        <s v="F132898D-4C52-4676-8689-21E7C2709157"/>
        <s v="6F71BE16-57C6-4634-B19B-DAD451C7CB11"/>
        <s v="53D78126-348D-47EC-8E18-ACA366D918B3"/>
        <s v="065B3CAD-864E-4949-AE0A-9170B8973736"/>
        <s v="67800432-96FF-489A-983A-99BD3F4C4954"/>
        <s v="AB270374-C6A2-4223-A667-ED4DD185CC7F"/>
        <s v="D1923AD8-5716-4970-9AD0-37642D2C4B69"/>
        <s v="36DA9AC9-FD85-4E9B-B6AF-0CFCDD8E7D93"/>
        <s v="576EC610-01F5-4D9B-9A18-3AE87057BAE9"/>
        <s v="91EE07CF-9713-420D-A132-7AEFD9A5F054"/>
        <s v="C01D4ADB-B292-4EAB-9036-EE74F4FB870D"/>
        <s v="2A0A1CC3-2FD5-4F5A-BF97-52EE5BDDE144"/>
        <s v="D3F209CC-BD48-4729-87EA-24F29DD15FF4"/>
        <s v="0172DB76-BF07-40C8-8007-921476501A04"/>
        <s v="1322892A-5957-4D09-88EC-FC474E90B292"/>
        <s v="7F33E521-91AC-45E6-BEDC-038FF8B6F75A"/>
        <s v="7E7F4F08-6722-4720-ADA7-30669A9837B9"/>
        <s v="5564FE9D-DA57-4C23-B925-E2D095D97D24"/>
        <s v="A7C8AABE-B230-4454-A8DA-93EE74161089"/>
        <s v="991C9FFA-E5D2-4508-9686-89EF7630FD0F"/>
        <s v="31548D1C-A62E-4FFA-A6F0-2D3E0834752A"/>
        <s v="85E695E4-28FF-4C98-A0E2-59689D6E4CA6"/>
        <s v="EEFB7378-5E83-4D5D-91D0-794D1D10F07F"/>
        <s v="5CD4B412-58AC-4380-AE6A-747C3CC488A5"/>
        <s v="FC82605A-4030-4C2A-8EFE-6F9BC6842F61"/>
        <s v="5D7F9683-902A-436B-86B8-F3CF981F6C85"/>
        <s v="57F7E542-EE11-48FB-96F9-15131F005D4D"/>
        <s v="FD8D72C0-37E0-47E4-A595-CE2288AB374D"/>
        <s v="E0BA3C10-5FB6-4816-81CE-B5BAE20C122D"/>
        <s v="4194F937-E12F-4BEE-AE41-ED29E3542132"/>
        <s v="061C70BF-3363-4CE1-97EC-3F704E1FCECF"/>
        <s v="70724719-A960-437A-A800-B2F21E235FD7"/>
        <s v="F2E099BD-FBF9-4E4F-9F49-B23293EC0CD8"/>
        <s v="4863E815-E96B-40A3-B8D2-9A507B9FBE95"/>
        <s v="9CFD239A-4BD2-402C-BC14-2C95514DD913"/>
        <s v="6385E6FA-04D7-4EBF-854D-9B43C797C09B"/>
        <s v="D36328AA-95D4-49C8-911A-C573267803D5"/>
        <s v="9780EFF7-0DFF-48D3-A489-92594CFB595A"/>
        <s v="2DBBDB2A-AE3C-4D2E-9732-25F75C16DC1A"/>
        <s v="D28381C0-B27A-4E4C-B54B-186420AB3048"/>
        <s v="A452FED2-BCEF-45B4-A40A-B18CD1747F27"/>
        <s v="45DB2F98-7677-4764-9578-FE28296376AF"/>
        <s v="90A47262-D355-4249-8FB7-FB5501E3B465"/>
        <s v="94C3F1ED-B241-4AC2-8709-FDC471284D94"/>
        <s v="E942C8AD-0FFF-46B9-958C-5332E0F75B89"/>
        <s v="3C438861-094F-4792-ADC9-29FC48D9BB12"/>
        <s v="B60CF255-4AA3-4F6B-AFB7-5681954C6A79"/>
        <s v="7F26EB7B-2E7C-4A75-8728-31AC9AD52FEE"/>
        <s v="FBE8F7D7-AB34-4D32-8646-AB0CB9EC7987"/>
        <s v="CF77CD66-BD5F-4839-897D-B40775CA9C74"/>
        <s v="B979C2B2-4F18-41FA-9937-5CEDC68EE335"/>
        <s v="F5002C98-BCD3-4F89-BA3F-A0705D2B1681"/>
        <s v="0085F59A-37C7-4424-9251-C2428F3E6E7D"/>
        <s v="0EB1F4BD-032C-4A62-8299-F30448D70FF4"/>
        <s v="C205D89E-2E55-44C0-A690-4A0274298F9A"/>
        <s v="0308AEC3-30A9-411F-9805-0D2F71F2198B"/>
        <s v="850E50A8-0FAD-4499-9FF4-3555DAA33336"/>
        <s v="01BB45F4-491B-4BCC-B27D-6FDA17023B88"/>
        <s v="FB0EE8E6-158C-4DA7-8FAE-ED32E09A1D20"/>
        <s v="5F53D4EF-21DF-4A59-8401-BB1245C0D8B9"/>
        <s v="3618EDEB-286D-491B-8594-7033EC0CD557"/>
        <s v="51838B0D-DD89-4A12-B525-8D367543250C"/>
        <s v="30259522-170B-46DB-BCEA-36D4C04025B4"/>
        <s v="E9489C29-8AFF-4DD7-9089-2A094F602BF0"/>
        <s v="549138A5-B81C-40F1-B7A5-E69622BE26E5"/>
        <s v="163C4119-B1C7-4F27-830E-B834747A6363"/>
        <s v="D7419E4C-7B69-450C-8038-3EBFD263DECD"/>
        <s v="D72D52DD-C778-46D7-BF4A-D3A3A3036DA6"/>
        <s v="849ECBD3-21CC-405B-A8C4-621B4912D3CB"/>
        <s v="943A12D2-B154-408B-BD71-6FB3F860CAC8"/>
        <s v="C5F7C66D-C0F5-4BD7-868A-BD0BF8CBCCB4"/>
        <s v="6A60261F-4D2E-4156-8E79-882BCEC12952"/>
        <s v="62A84425-2431-42DB-8A77-4BCD9B8F13EC"/>
        <s v="7ECC8BC0-1DD0-48FB-A138-1AB2CF5C27E8"/>
        <s v="80817F8D-6F07-4AD5-9A74-C277FDF4687E"/>
        <s v="4AED96E0-DB8E-4BF0-A866-B7492408CD65"/>
        <s v="277C4480-EA4D-4C16-A668-709C6572DBCC"/>
        <s v="C226202D-D865-4E63-9FE3-33CA85B0E1BB"/>
        <s v="DC08644F-DC8A-4F5C-ADDE-5987253058B1"/>
        <s v="D5F86A85-FBA6-4AF8-8441-B10F49E9FD59"/>
        <s v="219F1651-BC31-4FFE-9F29-616243FFA049"/>
        <s v="3D160DBA-BCB2-4A49-833B-E00DCC93BDBB"/>
        <s v="ADDF5F3A-4117-410E-8C74-7B4CA5FF0D04"/>
        <s v="021FDEF2-6CB7-4CA2-BB7A-C2591856FA4B"/>
        <s v="8852C85C-3176-4651-BCBB-8585B2842C8C"/>
        <s v="69A7700F-3EF5-4F71-A2F8-6FB637C08F41"/>
        <s v="62201211-2503-4F94-B46A-D434C1788449"/>
        <s v="BF9B0807-4D4F-4465-85FF-3ACBB87B2A78"/>
        <s v="366DF48D-B7A6-4A58-AE2E-49272461E869"/>
        <s v="9B64AD53-7BFE-490F-8DA4-BF87DF5FA6AE"/>
        <s v="A00BF232-E4D4-40B5-88AD-806BDD7C6014"/>
        <s v="49335194-4507-4C89-82FE-FAE37CAA6EE3"/>
        <s v="080B0609-8AC5-4A35-8F67-C1E8D392E2F5"/>
        <s v="3BE4829E-44A4-47CD-BE63-C250C40D1B55"/>
        <s v="13EE18BD-CCE4-4A46-9493-F970255E5A5C"/>
        <s v="A7467957-6D0F-46F0-9188-0491DD97F3F8"/>
        <s v="F0412171-41C0-4B65-A228-D0B169A59F36"/>
        <s v="53F2A0EF-69DE-4231-8647-BE271EAFF618"/>
        <s v="B57F44DA-173F-4982-82AE-21A306C2B22E"/>
        <s v="7370930E-DC0D-46C9-B0E3-571BCB140D9A"/>
        <s v="3DA92B0D-9FFF-4B92-AA85-26D103A4E032"/>
        <s v="6EB56C6C-4342-4259-AAE1-743464C025C5"/>
        <s v="E102A3D1-524E-4AAD-BC96-81D60D75A4A3"/>
        <s v="794560D8-FD88-4918-80C7-C550FDC68ABF"/>
        <s v="A7E6C5F8-C8AF-4F4A-8BFD-0891F6EB6546"/>
        <s v="D2404F8C-8F50-4DAC-8C2E-26552253D955"/>
        <s v="8E720888-0071-44CA-8FB6-008DB71626F0"/>
        <s v="B4B4F708-0972-42BD-817C-C52BAA10AEF0"/>
        <s v="2B68759A-5E01-4B6C-B9D8-86B509BD73AF"/>
        <s v="C5AC07F9-352A-4364-B700-7E1101AC0852"/>
        <s v="7BF44D02-B0DC-4C8A-B073-3AF38B2CF72C"/>
        <s v="EDF87557-DF6E-4E04-9A90-23496F0293C8"/>
        <s v="C18AD321-297A-4CCD-A5E3-8012938B4B82"/>
        <s v="730C476F-BFEA-4580-8081-A195DF6C17EE"/>
        <s v="66DA52BA-5CC9-4DB2-AB2F-E5D503A67FD1"/>
        <s v="A571A00D-DA60-4571-8053-F614F87192AE"/>
        <s v="49FCFC77-A25C-4798-A811-A11D7B44CCA4"/>
        <s v="08B11B3D-796F-4D80-82F9-149FC940360A"/>
        <s v="139CD247-57C9-4CC8-9B29-25F6F755ED38"/>
        <s v="DA744D3C-6591-4CC4-9519-A01B5D7ADCF7"/>
        <s v="1DA13BC6-9AA2-4D33-8B24-E5D5205BF210"/>
        <s v="788E0111-02A0-4084-922B-9B4B18D3B711"/>
        <s v="78DA1CFE-30D2-400B-93E4-D6C878C932C8"/>
        <s v="A772FB72-306F-40C9-B55C-7AE7407E466C"/>
        <s v="90F593D7-5C95-4BDB-84A7-8BBD126DF038"/>
        <s v="CB33EDC0-148D-4378-97A5-6633BF7E40FF"/>
        <s v="43BD641D-3C9F-40D5-9E8C-49D404A896DA"/>
        <s v="10C38DC7-E96A-4B59-AEDE-84EBBAF6195E"/>
        <s v="ADB80FD6-75D2-4715-BE23-7F79E37F6729"/>
        <s v="24A23BDE-5684-4C88-A38B-F76DB3E9B273"/>
        <s v="AD817A46-E3D6-48A4-9448-7FD84B6A1869"/>
        <s v="110B99BC-95C3-4ADE-8956-292EF046889B"/>
        <s v="332C83A8-D0E9-486D-AFAE-FDC74DF9119E"/>
        <s v="AB99535B-7282-4C49-99AD-B7B5C4BFC7B2"/>
        <s v="AA3BF3FC-6268-4E8F-BEC3-0779A283897E"/>
        <s v="4BBB6753-0B4E-4F5B-BB68-E06FF36148A2"/>
        <s v="6D18EA0C-07C4-4974-90C9-67B1BC0AB3B7"/>
        <s v="DA66F037-6E74-4365-89EC-71C75E6A827F"/>
        <s v="9872B8EF-9C0D-4988-B318-D5961B54D631"/>
        <s v="0DF15D30-571F-43AD-B36A-19DC2909B6D3"/>
        <s v="2C44B5D3-D4BB-4666-8EB0-1B61108ABEF7"/>
        <s v="F914EFFA-DF0F-4FE1-BC99-203DBBE71CB4"/>
        <s v="902CD182-EFD6-4535-879A-2D22B2BBAB54"/>
        <s v="8C71BC64-77CD-48AE-A719-3B4155A180C5"/>
        <s v="5BA4654C-95A6-41A4-ACF8-2E9CF225D016"/>
        <s v="D64B1AC6-1FE9-4DB9-B819-CF76F184770C"/>
        <s v="4EC23D40-5EE5-458C-B5BC-525DD6FC2BA9"/>
        <s v="FD53DEC2-1DDE-4467-9E7C-82320A263903"/>
        <s v="83C02AB9-664A-431A-B644-AC026D7A5846"/>
        <s v="E6202743-B0E9-49F5-9608-2EC295FA7172"/>
        <s v="E8D5552E-313D-4FCF-9D30-B98B197B6ACC"/>
        <s v="C586AC0E-3B96-40DA-ABB7-0B19B8064172"/>
        <s v="54304F4D-DFE3-4BF3-8802-5BEFB5793B76"/>
        <s v="245040BF-9857-4BA8-A6E0-CC4D6BF1C0DA"/>
        <s v="0DC6CA59-634F-462E-989C-FBD7AB27545C"/>
        <s v="8C35AE1C-A6AB-42B6-9EE6-4FA33CE10E1E"/>
        <s v="B2A08978-D922-469E-8E22-8010DCEBC223"/>
        <s v="CD0D21E5-A18E-4593-A72D-8C014E2BE149"/>
        <s v="B8DF279B-A563-4A9E-A572-71092D60DFDC"/>
        <s v="9BC9B19C-886C-4EF5-A43C-8D1A0AB616F3"/>
        <s v="1FBCCD92-F5A8-4225-91DD-DCD8DF379BAE"/>
        <s v="5699445E-FB58-4ECB-BE76-17B8232DBF8B"/>
        <s v="CCC27BA8-7504-4433-935B-C84F0425246D"/>
        <s v="4B566549-74E9-41C8-8391-72C2AD451C7B"/>
        <s v="295BB4D6-362D-4F8D-8F3C-5C31FE2D84D5"/>
        <s v="B6E0A204-58B5-494C-916D-CF90B1FC158B"/>
        <s v="67037D5C-5BCA-4FC1-A900-E85128C5635F"/>
        <s v="B9FD8DFD-ACCC-4897-A244-E0780733CEA0"/>
        <s v="D953DB46-2A80-436C-958A-A42BC2C32408"/>
        <s v="6DBEF53F-401E-44E0-9814-80DDDCB72384"/>
        <s v="253BD701-F3DE-4528-A4AE-AD150CF28316"/>
        <s v="11037C10-1318-4614-A60F-754E1147CE9E"/>
        <s v="C1390D34-BF59-475B-A80E-0AE757B25D27"/>
        <s v="F54A67D3-6554-4E60-A206-69BC6652A169"/>
        <s v="F9565BE8-F96B-4443-9495-DF9FF7F2DE6D"/>
        <s v="17AA883E-0952-423F-92AB-AB644127C587"/>
        <s v="B2C29FA7-FAAB-409D-9C60-153629AF1011"/>
        <s v="2C9BC2B2-3114-464D-BFAB-15A69088E204"/>
        <s v="5095A22C-341E-47B7-883D-118C3212BEB6"/>
        <s v="0BFA7858-C205-453E-8FB3-CFD81D7F14AE"/>
        <s v="BFF752D7-1527-48D2-A677-69843D831669"/>
        <s v="25DE0BBA-BB92-433B-9EF1-8A99D709779B"/>
        <s v="F1BF095E-8231-4CE2-896C-292CD8300A73"/>
        <s v="B4CE2B7E-624E-4F3B-9471-0B062C85E8F8"/>
        <s v="F3E5ACC9-4FD1-4256-BED3-5A4B95F48BD1"/>
        <s v="FE67AE9A-A8DD-4AC1-9804-5B2EB570F00B"/>
        <s v="2BA776E5-9B1A-453D-9B11-10AA2601C462"/>
        <s v="0477E04F-A631-4E98-A274-BD38F2269178"/>
        <s v="1C4D425B-1862-4B65-9A50-F0827C6BBDB2"/>
        <s v="388D50BC-735A-4D45-A8E5-0CCCD4A0941A"/>
        <s v="B4D90CA1-AB04-40A7-93BE-F9B4F171032D"/>
        <s v="EE11BA1E-7E0C-45E3-BD16-704D5062A778"/>
        <s v="00E49759-7F95-4756-93D9-AFBBC1721877"/>
        <s v="FD995793-412F-44A2-828A-97643944E79E"/>
        <s v="68E60BFC-794B-4930-8623-83A6EAEC4EEB"/>
        <s v="72A4E017-677E-4C04-8946-3A941DA81F07"/>
        <s v="EB0EFE21-F26B-4E3C-A378-8C460BEC7D38"/>
        <s v="05075E08-C469-4344-970E-4AF1BE573411"/>
        <s v="46E338E4-B5D7-4F56-8DAF-10D23A299F44"/>
        <s v="FBF5D449-C6D6-4821-99A4-5050C11AE20B"/>
        <s v="DD87F96F-2DDE-46CD-8140-86CA6D815A40"/>
        <s v="6E0930C6-BD7B-47D3-8C6D-2C31634A01E6"/>
        <s v="A0F5E8C8-F574-497B-8136-430475789711"/>
        <s v="7F14CD1F-83C7-47D4-A33E-ED0751BF2CB8"/>
        <s v="B9DA0AD3-690A-4CA3-8981-98AFCBCC6791"/>
        <s v="E33988DD-3F3B-4397-B736-73C95D7557AE"/>
        <s v="A5B0D7A8-41BF-419C-BEFF-6C24D5E3B233"/>
        <s v="F3E662E0-2276-4959-AEF7-FAA08D2B5257"/>
        <s v="4932E4A3-203D-47F8-9146-F2227B6DD2BB"/>
        <s v="F8FE7D90-F5DA-49F4-9668-66C44E339AB9"/>
        <s v="3455D38B-7359-49D2-8DA9-D57E251D22BC"/>
        <s v="C33BDAEB-0F9D-45DA-8F8A-D080739C67CA"/>
        <s v="48BDFDAC-9334-451B-99C2-00839670B7C6"/>
        <s v="BDC6A343-35DF-4438-B271-A93AA6CB9752"/>
        <s v="150F2BB6-D108-42DA-B719-736A38723D4D"/>
        <s v="3D5D929F-3463-45E5-9F02-79F8C75DB4C4"/>
        <s v="4799E7CE-CC53-4FAF-B671-8E593922F7CD"/>
        <s v="FA3D0A89-18D5-47BB-8E21-ACD82DCED4FD"/>
        <s v="CA21A428-93AA-4FDF-980E-486EC36530FC"/>
        <s v="B669FD06-8B10-470B-BE04-D96A1E457018"/>
        <s v="FDCA881B-9BEC-41C6-80D0-19AC10CDCC8D"/>
        <s v="50B022E8-0E8D-406F-A6CA-C79BEF92A6C7"/>
        <s v="ABFCDA07-6250-4B68-AFFB-B896A63BE1B6"/>
        <s v="341D1EA2-1897-42FA-B1C6-AF74C2B745F7"/>
        <s v="A19E9D26-09AD-4255-819B-9373E4343D2E"/>
        <s v="A98AEB61-0717-49C6-8E93-F00DDBD6A8DC"/>
        <s v="272DE8FC-2CD2-4C41-BEDE-30C53C15D314"/>
        <s v="A14A73A4-6449-4ED8-96BB-94AE30C5A311"/>
        <s v="07AEFB68-2673-4B70-A963-413918AF6741"/>
        <s v="C2805E58-E921-469C-A01A-9E824ED82099"/>
        <s v="2A5E8033-FAF4-4FFF-9566-79E0DAFF5DAC"/>
        <s v="D9C7317F-1A7E-41E4-A66E-C50365E0034B"/>
        <s v="02CDC31F-D22B-4866-AFAE-513BA7A86530"/>
        <s v="DC975886-9BF9-42C8-AFBE-87695AA01262"/>
        <s v="A3CC070F-345E-4516-B64B-60DBC450A8EE"/>
        <s v="411B72AF-F983-4A0D-8BBE-C8E1C5E1DA28"/>
        <s v="E8B09C68-F084-4AC0-9095-D107A7A5B682"/>
        <s v="5872F0BB-AB6A-4A31-BD17-24A33D9981B4"/>
        <s v="DC29629E-9A02-4442-B53F-71350CFB5A8F"/>
        <s v="390E884C-8C3A-41AE-B092-DC7B92CAFE7E"/>
        <s v="4E4AC57D-6605-4F1D-B999-7E2F5BEC4CD4"/>
        <s v="6A882251-3DE5-47F0-8EA4-3CB46367B476"/>
        <s v="71525840-B5A6-4072-8CED-599FA5A57798"/>
        <s v="CAB7A927-2DEC-4953-8315-C062AF6048CD"/>
        <s v="00AF6EDA-0A83-4781-948C-6128CE9B212F"/>
        <s v="EC8ACDF0-B918-46AE-B853-6B9B147F81EC"/>
        <s v="13B83657-2E92-45D5-AA6D-20D15037A1D6"/>
        <s v="4FCA824F-7FDE-4D6D-9442-C6451402B4B7"/>
        <s v="7A07961A-9E7E-4222-BB76-1A367BEB3AB1"/>
        <s v="C41B98D5-4119-4CB3-8D99-98517A940254"/>
        <s v="0C1F69B1-A479-4D6A-93F1-EAC12C4730CE"/>
        <s v="5AB8BC71-BBF1-4D83-AE22-5A15F7AD6EA9"/>
        <s v="4C70090C-46DF-496C-AA6E-73B4DB1D3B17"/>
        <s v="52027283-5C5B-4FB8-86C1-ACAC8033D7BB"/>
        <s v="6739192B-BE6E-486B-9E6B-5B138112743F"/>
        <s v="4EFF1D30-E9A2-4B2E-8E29-8E87933F3AC3"/>
        <s v="8E1C3019-5E66-470C-82E0-D83E9881E246"/>
        <s v="3CEDF6A3-8AD9-4CF7-BD9B-FA7B624E1742"/>
        <s v="73CF56BA-474C-4F53-BBB3-D472BF9C9ECF"/>
        <s v="E92822A0-3507-4608-9999-28DEEFF5237D"/>
        <s v="582158FB-E56A-449E-9DEC-3B02E99690A7"/>
        <s v="2702712B-A1E7-43FA-8C75-F84D4BD6D43F"/>
        <s v="016A3ACC-14B7-48A0-A8C1-C5485BD40EDD"/>
        <s v="FF479744-33DF-4D30-8471-BC78F6E40577"/>
        <s v="9E0D99F4-EDD9-4413-8BF9-FF5A090BFC4C"/>
        <s v="94F792A8-0A79-4BFE-AA88-7289C35686CA"/>
        <s v="7fdd6160-db67-4d95-a4fc-7ae6ccc0c50a"/>
        <s v="b00cd68e-053a-4994-80e0-dad77e2461da"/>
        <s v="a01720ab-7170-466b-916a-85a0ee7dfb6a"/>
        <s v="083ac5c9-6da9-4bdc-b93b-dd60b42c8cc9"/>
        <s v="beb3b0ee-c827-42c0-a283-0b86f554af6e"/>
        <s v="d276735d-4cd8-453e-98e3-1bb5ace1a265"/>
        <s v="d3ba7e7c-b0d0-4092-84cc-fa3bd4ad9f85"/>
        <s v="4631583d-647c-4d35-b27c-0f6c2495469b"/>
        <s v="87c718f1-2605-4905-ab2d-949bc6ed80d9"/>
        <s v="5bd4920c-8403-4ba4-b865-a271c999b332"/>
        <s v="3cf4f1d8-3744-4502-bd65-87ce6f34e66c"/>
        <s v="1b32c213-6c67-4c1a-a767-a06e197a43ae"/>
        <s v="9518b3a0-051a-4732-b24d-e59f121af873"/>
        <s v="a22792ae-98f7-4990-a17d-8080e8e8bca5"/>
        <s v="70a35471-a9c1-45d1-bfaf-a8c98abeaed7"/>
        <s v="6f2dbefb-3202-4b51-bd70-ea1bd9534729"/>
        <s v="62a037bd-1204-4a28-996f-855d80be40c5"/>
        <s v="d91c249a-2c4d-4283-9a90-f48d3ffadf6c"/>
        <s v="e74c8db3-ddb3-4186-ae37-00a9984b2262"/>
        <s v="c5a02d60-3c42-41be-b64a-371c3fd08fda"/>
        <s v="3d1dc457-9f05-41a4-ae86-f443e9936353"/>
        <s v="ac2abdf7-c970-467c-af5b-35cf909642f4"/>
        <s v="ec909037-e405-41bf-9bc1-c961967df04e"/>
        <s v="24f7bfb6-e62e-4ac7-ae2c-6cae7b9628f2"/>
        <s v="42af9194-e383-4f14-92d7-e3ab5d060023"/>
        <s v="d126262c-dbc0-459a-9ecf-e2cee027e985"/>
        <s v="dbd32fa4-83cc-4ef2-aeaa-8eef98900c56"/>
        <s v="88447f3e-4227-4c99-8cf8-67037c5ffac5"/>
        <s v="6213f7c7-afe1-4e2d-996f-36da99526997"/>
        <s v="769a66f7-239b-4b07-9247-181ba26f119d"/>
        <s v="609c623f-d3a4-469e-91c7-a7c5ffacb0fc"/>
        <s v="b1e1d0d3-3078-495e-8667-dc50cc397b43"/>
        <s v="8bc6c19b-97f2-4132-8098-d17b7934309a"/>
        <s v="5d79a202-227f-46ed-ac97-9b5c8899aaa3"/>
        <s v="86ef1332-8bc1-4ccc-8a9c-e79bc84c69cc"/>
        <s v="d6f67cb9-fc9f-480c-8810-a925042a1330"/>
        <s v="ba6961cc-1c74-41c9-b229-82eff87cfbdd"/>
        <s v="d0dfb7e1-9ca2-4e35-9f4f-7db378cc7b8b"/>
        <s v="34ddb99b-0555-4a3e-9e84-ce906d1e5f4d"/>
        <s v="1ee8831c-7b71-4b83-b948-f43843a68b54"/>
        <s v="df3bc660-2d88-4c2e-919b-a5268936542c"/>
        <s v="7213db89-283a-482f-a6cc-6b9783c8b947"/>
        <s v="97467425-3024-4e47-a9e4-7fae80ccd880"/>
        <s v="66d9df28-01b5-4f93-88bb-2b5fac652ad7"/>
        <s v="2a0fd654-9360-49d7-a8a9-4b107127951e"/>
        <s v="96eaf1a3-2f7c-4af8-bc23-29814db64545"/>
        <s v="42a65f49-f18f-4bda-9070-13bd45302953"/>
        <s v="e4210bd2-fb2b-41af-8034-a705ff42d187"/>
        <s v="07bb9243-11c7-4752-b253-97344fa40f3a"/>
        <s v="38fa946e-78aa-4ed9-9d8e-db82dcf798e7"/>
        <s v="d091a2f6-d42c-4480-8c8d-5f4364dda501"/>
        <s v="1279700f-a7de-4cea-b2d1-44c49af62fd9"/>
        <s v="bc3f57bb-8758-4550-9a02-e814eb170c54"/>
        <s v="5e3ae24f-6052-49c6-9539-798920a861ae"/>
        <s v="0373d326-7feb-42eb-990c-3af94f0089e3"/>
        <s v="2b337b80-f35d-4ea5-b222-e0e8c000067a"/>
        <s v="3256f792-aa75-43f9-9aa9-e5d2abc77792"/>
        <s v="e27d0114-30c4-4a29-8271-7cf903b942ab"/>
        <s v="1599bf02-997e-469d-9096-8557eb953dad"/>
        <s v="36f78c14-fe6c-4a5c-b47b-0eec5a6d2774"/>
        <s v="7af9a2cf-efaa-4068-b9e5-776d77265019"/>
        <s v="241bb860-e2e9-420d-86c8-20fe3416d93c"/>
        <s v="b455a95f-37f3-47d3-8efb-ca7b7017f3d6"/>
        <s v="64e9d62c-acb0-491a-a10e-5ad9141e78b8"/>
        <s v="9fa80c94-64fb-4b66-bb90-3765753e1e44"/>
        <s v="cc3aaef9-fd5b-45c6-b416-96cf78ba30df"/>
        <s v="507e8d73-197b-4278-8461-30cea6a9a1cb"/>
        <s v="52cfbe12-fb35-4a80-9461-1a3148bbb342"/>
        <s v="4a5004d6-b85b-41e0-99b0-a33785e10645"/>
        <s v="d2ae423a-fa4e-4277-93aa-a9cd216811e7"/>
        <s v="17033b8c-e298-498e-9d1d-bfa663214fdd"/>
        <s v="43c78800-d4d2-4a51-a033-a3b62e7b15b8"/>
        <s v="484d112b-6487-49f4-892c-432a18ce641b"/>
        <s v="f272a413-c9c6-408a-a62e-ef675c0d05e0"/>
        <s v="c69dece7-f496-4235-be0f-9da29321c89e"/>
        <s v="399d704a-ce6a-4c42-9993-99e7abaf419b"/>
        <s v="d65dc67a-c91e-4710-979f-0d94f5ddb5f9"/>
        <s v="9f8ed6b9-f51b-4974-a77f-2e33583fd63d"/>
        <s v="e6b9189e-4afa-4970-a1e8-f74811ed5594"/>
        <s v="c4991b70-92fa-4d49-afa6-fbe17d3f7d5f"/>
        <s v="85114460-e291-4477-bab4-57c1a7da9ba1"/>
        <s v="d7d18138-abc2-4a48-83bf-11f655f787ee"/>
        <s v="45603235-6762-4618-a162-e5185e62d463"/>
        <s v="114ab34b-069e-41d2-8980-e9ab37f708c2"/>
        <s v="291d1023-6d7d-4e76-9d5c-bafd22b2d1df"/>
        <s v="5b9bbcea-65ad-447e-b953-72656ef4dfed"/>
        <s v="e9c2f796-1747-4be3-b301-c28cfc381dec"/>
        <s v="d64e89d4-5e06-419d-853e-cdc9fc33f100"/>
        <s v="1d49edfe-7b52-4f74-8d55-94ba2f180fae"/>
        <s v="52008f18-ba5b-4a6c-a3c2-11b3b04a12ec"/>
        <s v="89b62d34-69c6-4d75-9082-21ae2a575cd2"/>
        <s v="ff726ffe-984d-4c8e-93d1-0cde30c09915"/>
        <s v="c3a3712d-535f-4bbb-960a-7b3bbf0ceb61"/>
        <s v="4786fd1f-1178-455d-8319-f9da57fd8b64"/>
        <s v="8f2f7aed-4d82-4397-a4ea-323e61adbb46"/>
        <s v="941e1441-95a1-4cee-b83b-2c61c507985c"/>
        <s v="5b5344f4-07bf-4d7c-917c-b1b40647365c"/>
        <s v="5c4ac886-3367-47a8-8a0f-c90fcbf09056"/>
        <s v="a0dc3a44-ff44-406c-9a35-625b0c375406"/>
        <s v="07e39a1b-b47b-4ba4-aedb-422b32920f28"/>
        <s v="3fb97ee9-631f-42c6-bdca-dbfd70394b1e"/>
        <s v="62e37f16-7154-4a43-8ffe-0e513bd9a0b3"/>
        <s v="ca9deb3d-d5ee-4c04-895a-eb76a052daa7"/>
        <s v="4246f582-09d7-4be3-b051-3545dd92b417"/>
        <s v="d2bbf476-3a4e-41dc-8ab6-f79660138b81"/>
        <s v="08936dc9-0304-4142-beba-61315bee23b5"/>
        <s v="e6fe1cf0-a4b8-4e34-9a39-525f707c342c"/>
        <s v="5e8c28b6-119f-4764-bd50-805b7118009e"/>
        <s v="55787cc8-c7dd-4a23-9669-c83c2863fb2e"/>
        <s v="cc20c9d4-7dd6-4aca-8fee-67c931041e9b"/>
        <s v="2ae6b16b-be5c-48a1-a8d9-51e053f4f122"/>
        <s v="a97997c1-bee4-4370-b013-a11ccec9cc2f"/>
        <s v="4a7dc853-4112-4372-9421-aae9cd83adec"/>
        <s v="9f39081e-da54-4b36-8e76-a61025d8a505"/>
        <s v="edcc23a1-daf5-47c1-b7f2-46b6b93c967c"/>
        <s v="0c670545-0080-494a-9715-866f00f3f6d6"/>
        <s v="ec15a6bf-2cbf-422c-bdc7-02fd532342a3"/>
        <s v="22059889-dd7b-4edd-b729-9115c05b7e37"/>
        <s v="b0be5274-ae97-423e-8f09-7f2271128fc0"/>
        <s v="6a96f913-7fc9-420f-9a28-f08c0966d903"/>
        <s v="1201270d-7b5c-49b7-b018-4a907af6c80a"/>
        <s v="d43b879c-f195-4d3e-9993-6904d02fe92e"/>
        <s v="40cbbbc9-6d45-44b5-b444-aad5b7898901"/>
        <s v="8633f9a0-0740-4210-ad2c-2c07d58023c9"/>
        <s v="baf8c1ad-ba54-4470-8429-9ea13b05d403"/>
        <s v="487d50cd-4c0b-492a-a348-7ffb8cc84fa6"/>
        <s v="01fd2a41-941d-4242-aead-a59939c0a310"/>
        <s v="c805db3b-b5a0-423a-a595-2f8747197154"/>
        <s v="36ae3a96-77d4-4b3e-af11-1190de1c9e62"/>
        <s v="1968d0be-3775-4213-a43c-a1eb2b4463c5"/>
        <s v="09f3b0fe-b189-4d75-a0ce-6bbab4a07918"/>
        <s v="a389eb6f-dbb0-48a5-a16c-463ff453a49e"/>
        <s v="bb5aa003-4709-4b84-b34a-e5972a2aeba6"/>
        <s v="38a77239-0fb4-46cc-8d7d-24b496b6edb3"/>
        <s v="f212a910-48b7-498f-aaf6-f4db782fabd0"/>
        <s v="6437eb9d-d258-4248-aea1-ce4eaaa7aa9b"/>
        <s v="3b997bb5-00c5-4577-87b9-e8f1edd0138a"/>
        <s v="aac70fb5-413e-4415-a4c2-43209ede6023"/>
        <s v="bb2e558a-fce9-44a5-b1a9-f99f461a92ef"/>
        <s v="1aa67a2e-97fc-4acc-a9f4-34c63f8f808a"/>
        <s v="4564c27e-98e4-48cb-bfd4-6fce8ab3be17"/>
        <s v="8f037e09-90e9-4c9b-a993-afd83ccc0168"/>
        <s v="6f2e0f98-f2a0-4f33-b359-d639c5918972"/>
        <s v="2189eac4-47d5-4cb9-aa64-9e984ff0a0db"/>
        <s v="89e63c65-0c75-4997-9a1b-929d9804c011"/>
        <s v="95e2ef5c-9438-42f4-824b-80841e2868f7"/>
        <s v="f1fdd175-3a75-4da2-8bfd-8ab11ac03bd4"/>
        <s v="7ddad25f-27c2-44d5-9764-7a8dcd599a6f"/>
        <s v="46ced0cf-f8e8-40db-8161-4be66840d7fb"/>
        <s v="58e66a51-4df4-45a2-8ce1-b070b0fadf53"/>
        <s v="44ee63f2-ba08-4974-a1bb-5e7685edc6bc"/>
        <s v="34b8252a-b352-4b53-8829-831191f45f9d"/>
        <s v="382737af-5914-449b-afca-4ffcd5b1eff8"/>
        <s v="1c74e4d0-0cbe-4773-80d1-3a4d5f1ae5df"/>
        <s v="aa0b9453-b8ba-4dbc-8979-c1022c5aeac2"/>
        <s v="b92c6fb2-c824-4dd4-b4f8-0ba598efd62d"/>
        <s v="a0f00f4d-4bb0-4b09-9f9c-ed7cbb850265"/>
        <s v="26da9e97-399d-469c-aa11-e061edd24207"/>
        <s v="51c4f399-7516-49f6-8866-15dfa81b0dfa"/>
        <s v="42a33c36-9ecc-4af0-9c4d-51b064a5f4be"/>
        <s v="7a8b7cb9-8b2a-4f36-8266-3229fc6cdc10"/>
        <s v="85619090-cfc9-414d-b63c-31f431322e8b"/>
        <s v="c7bf5a1d-f3dc-4d45-a4b3-ae3a08abb27e"/>
        <s v="93834e5b-2fd1-4660-a4ca-d1f781b03d90"/>
        <s v="1db66f5a-cd02-4227-8346-8d530e7ddd6b"/>
        <s v="480e736d-51e2-4a6d-86f4-8a71c80dd24d"/>
        <s v="cc9b4fb4-2fc0-446f-b08e-95be3e015a3a"/>
        <s v="296398f5-32da-48d7-8649-3400d7102186"/>
        <s v="2f9e7948-8da7-4630-8e1f-2164cb9dc44f"/>
        <s v="0fd47e4e-273e-460f-8104-df710082a6e3"/>
        <s v="84775209-02e2-47b7-ab93-434105e43323"/>
        <s v="39868c8f-40b2-4d1a-9d7b-5c9aa3a74a08"/>
        <s v="7b52b8fb-689a-4d49-8d34-bc72a92f96e7"/>
        <s v="983d4226-1568-4120-9a00-7ada71216d53"/>
        <s v="cbb5c2d7-c64b-42c9-af69-16b45493c0dd"/>
        <s v="9caa02e5-e5ab-4d2d-8e44-d3cafa253c14"/>
        <s v="79ec2226-b764-414f-a89b-8b373172eccd"/>
        <s v="f438b982-9914-413c-b500-5c67e2c42ff2"/>
        <s v="e2eee0d4-7f27-4681-b208-ed6998ade489"/>
        <s v="b56a9f5c-9602-4b8f-81a8-9d7a45cfd0bc"/>
        <s v="e8a6e825-a7af-4503-ab81-fa285d3ac8d3"/>
        <s v="40514d95-7eb9-485c-8d7b-66063e9fa051"/>
        <s v="96ea85b6-ed1c-4a7f-9207-0f2adca47803"/>
        <s v="dbacb19b-c9f3-43d5-b317-3aacc1ccaeac"/>
        <s v="a9f12776-d4df-490f-9568-76a563f60b71"/>
        <s v="2421757e-72bb-4e3c-91e5-45543eb1955e"/>
        <s v="0381a5c5-6a6d-4390-ab1e-6cebc3fa3a63"/>
        <s v="66f718a2-359b-4815-a3ab-19c0ca474a03"/>
        <s v="43511dc2-5ae3-4d82-8fd5-5e36b2761788"/>
        <s v="5c0ef5f8-b269-4f4d-a28a-7b7ffe944582"/>
        <s v="164ed54b-7598-4abe-879d-57ca8606f224"/>
        <s v="49250249-68fa-4a57-8966-c7f64e1e13a2"/>
        <s v="d7b3b888-3dc2-4f3e-b476-628c01fbddc2"/>
        <s v="3b17cc5c-76ef-4e87-af6f-ea83aed78933"/>
        <s v="d0612a34-384f-4c73-92eb-c87f1c9ec412"/>
        <s v="f38187c6-ded0-4c0b-a01c-7b024ab809fb"/>
        <s v="a959679b-542c-4b5b-abc6-9363ae3ca772"/>
        <s v="fa5c2cb3-0a40-41c0-b49f-1d53a4e467f8"/>
        <s v="8ef98bb4-46de-465f-8e8d-0451b1364872"/>
        <s v="6b931bff-bc20-4d76-967e-e24a2efc8d28"/>
        <s v="604444b8-4c21-428f-944a-402d544fee8c"/>
        <s v="07066b48-2e48-40b9-954f-8c7b665da5bd"/>
        <s v="bb30cf11-f2b7-4538-b4ae-4e6b2d3e152f"/>
        <s v="49abdf1f-68e9-42f1-ab2d-8bc5c3a6fd07"/>
        <s v="a7380446-a51d-44c2-abf1-0d3a9899d3a2"/>
        <s v="28f6d5e5-fb67-45f8-b809-5cfd36f97a16"/>
        <s v="e8770a08-9484-4394-9de3-e3935258b642"/>
        <s v="6e5808e2-a29e-4464-81e9-2e3d666a15d3"/>
        <s v="4df01905-84ef-4091-8953-a22ae03f9ce6"/>
        <s v="7887aca3-740d-4e53-9411-ba8242f5967c"/>
        <s v="f177879d-9632-4101-a3b1-c6803f0916ca"/>
        <s v="ded3025d-334a-4727-976f-86da84c255b3"/>
        <s v="718513f9-2755-4018-830d-913ed00cc4ed"/>
        <s v="dface0a5-db2c-4fc9-93e6-ba7fc760d878"/>
        <s v="3cdf2630-031f-4a44-b14e-796215b8ab47"/>
        <s v="76cae4ca-14f9-4f0a-86e3-a9df2e66b7d2"/>
        <s v="943421a8-3197-42e0-8e9e-c06fcef579af"/>
        <s v="7c5fe502-ef1c-4e5a-a31e-4f338243d134"/>
        <s v="21bca106-f31b-4dea-a174-984a6618d488"/>
        <s v="9c11b7e9-5437-430b-a09a-41333f4f4f63"/>
        <s v="2cfbda54-f6d4-45b4-8be3-493e6826cd37"/>
        <s v="2eb3c870-011f-4e35-a69e-8e33a5606cac"/>
        <s v="d5d18a0f-96b4-4fd2-b0f3-8711fd2250fb"/>
        <s v="77940a07-673c-4724-a4aa-c946113a576a"/>
        <s v="8af91e8f-51c5-44e9-a98b-f8c3caddeab6"/>
        <s v="2e8821cd-745d-4085-ac69-4491b771d14e"/>
        <s v="6fbbd2ad-a245-4720-aac7-c133066457c4"/>
        <s v="ccf174ba-f7e4-4f35-9e32-47b8abfb9ecc"/>
        <s v="84e94800-fd73-4bf0-839c-0c8608bd5361"/>
        <s v="0de8f5a3-d87b-4649-a3cf-5e44f733f284"/>
        <s v="b79db27b-4270-4cc8-ac5b-9114377d676b"/>
        <s v="e5aa83c7-7336-42b3-adbe-bcd77589b951"/>
        <s v="1a4f7950-3ff2-4c27-a0f7-031f5d295a00"/>
        <s v="1aa74853-22c6-45d3-bcb4-8a6ad960c25d"/>
        <s v="8fb1444a-6705-42af-a10e-b74ac62e4876"/>
        <s v="b4545c67-a31a-4b01-b60e-895432bb9ece"/>
        <s v="9ca3527c-2e17-4d5e-b95f-f4f9af9c8f45"/>
        <s v="be52609c-9f8d-4a8f-9386-2ef0e7538f65"/>
        <s v="68eaa004-8e63-435c-99f5-01c79d60e3c6"/>
        <s v="6f68e719-7e41-4de7-9bd6-8f1f83113386"/>
        <s v="d22fc7c9-f775-46e7-8a80-5f8e01959689"/>
        <s v="076c347a-79b7-406c-a032-20726a4cdb01"/>
        <s v="f62f27ae-6686-47b4-87fc-e4f7c93382f4"/>
        <s v="c5b8c8ea-aab0-4b6f-9c81-cd5592911991"/>
        <s v="3adecafc-fdae-4cf5-9baa-2fa52abe03b2"/>
        <s v="1595d88e-76a9-441d-b45e-efda718c7eff"/>
        <s v="11686e76-5a10-4cc5-bf69-3c417086442b"/>
        <s v="ab3e19ec-199a-4403-835f-0f9d6640a135"/>
        <s v="ab6e18e5-59fb-4578-b3de-c59bff7b844c"/>
        <s v="fd27b728-cd75-4020-b91c-5b647e0711bb"/>
        <s v="1ac1335c-bb19-420b-8959-0b9b6d02d4df"/>
        <s v="71ffa1eb-3625-42a3-9385-070268670c56"/>
        <s v="6fc6ec1c-7fe8-4c59-b5b0-0099ea2e5ab8"/>
        <s v="037e51f5-47ea-48c4-9697-a202656500c5"/>
        <s v="055323fb-ac01-425f-ab71-fcd601f49e1c"/>
        <s v="0625089c-8b72-4209-8c39-8f3491579a80"/>
        <s v="11fca413-dadc-4a4c-89c0-b7b52150dba2"/>
        <s v="7835377d-23cd-4ca1-9a56-8610de5a7094"/>
        <s v="cae2d340-0823-4570-8401-f80babf5af47"/>
        <s v="9d7cf72e-7356-45a1-86b9-e96b3738f600"/>
        <s v="9bcd48ab-d336-44bf-a18f-40a488d486dc"/>
        <s v="26b0b776-c82e-4bf8-b851-6125c7d5a28f"/>
        <s v="546c5d60-9463-422a-a7cc-b2c425b16a6b"/>
        <s v="e8cfb672-add5-4faa-ad22-a302a1962bb4"/>
        <s v="ed40166c-65af-49d0-a0dd-a0491bb63a64"/>
        <s v="5b0e6f5e-7523-4d16-829d-a37fa54804c4"/>
        <s v="f8e71221-a379-4784-a3e3-e58c59b72586"/>
        <s v="ff70400c-3a99-4cc8-be63-f6bb24e0ec02"/>
        <s v="fb450f01-100d-42ab-8f6f-8cf875718dcd"/>
        <s v="44e3bc1e-c684-42ce-b79f-aee33b9b16fe"/>
        <s v="04882c6c-dd6b-4874-9e9a-ebe0e6e4391e"/>
        <s v="ae140623-8850-41b6-b1d8-976155c57113"/>
        <s v="fce7faf4-86f5-43ea-b502-9904fe8f81e6"/>
        <s v="dedde9b8-c981-4d49-9a64-321230018684"/>
        <s v="821ac8e7-29ff-417a-a4dd-2ec0b8afbd91"/>
        <s v="78c09c67-22dc-4729-b7b9-983dc8d1d2ea"/>
        <s v="c5eea265-199c-42af-afa3-007ddd6ee158"/>
        <s v="43e76f38-d974-496b-9f40-2786957b1a4a"/>
        <s v="11ec48ff-6b2e-4450-836e-09ce55085254"/>
        <s v="6cba4fac-3b4a-43e1-9b30-24ca5e490f83"/>
        <s v="be3b2e15-69c7-4585-8ba0-b2a9becf2a62"/>
        <s v="77a6b2c5-5cdf-471f-b550-be776a162e6b"/>
        <s v="656089ad-59f3-4aa8-85bd-4c98cb08ccfe"/>
        <s v="0f3d70dc-38b6-492f-8399-6ef5ea0c155a"/>
        <s v="4e488bc2-3912-46f1-991c-d248c6def61d"/>
        <s v="ad47b706-0eb9-46ee-964b-edf7002ac8a6"/>
        <s v="a18d5f90-5889-4d5a-b4f9-4d14f634d385"/>
        <s v="1e6586c3-730a-4da0-87b6-442e59ac3426"/>
        <s v="f67cc96b-365f-4a30-9819-a3ee7ad41b1f"/>
        <s v="20ccabde-8dfd-4f1c-9a8d-b33609cbd197"/>
        <s v="4efb8f89-6cef-4fa6-bab2-0d06a3924154"/>
        <s v="6c41ba45-8b1f-47a6-847a-88a0357f8a87"/>
        <s v="81188a2b-4db5-4878-8744-5a74e7daa243"/>
        <s v="eec3d256-1657-4bbd-b4f6-e7b43062d791"/>
        <s v="93c267f9-fe22-46ba-8ada-aa222b56264d"/>
        <s v="5bf9dba3-9371-4768-941c-56f076a346c8"/>
        <s v="56e9b94c-2722-40e9-ad02-c6b794e7bdc2"/>
        <s v="e0a48cf2-3e46-4fe0-b378-7068851486f0"/>
        <s v="336a8fdd-12e9-4666-b3e9-11bc693b4bee"/>
        <s v="589dbdba-b269-413c-aece-5d2c616c2e8a"/>
        <s v="684e42f3-7912-48db-b577-9d9d2834f4de"/>
        <s v="4edfbc43-de9a-40c4-a175-3a5160b26129"/>
        <s v="5d10339c-2bf9-4ed7-bb5d-af271377e5da"/>
        <s v="897118e9-0e13-4b0f-9ece-1019e4706477"/>
        <s v="49874021-2275-4952-b2ab-173fe2385788"/>
        <s v="93d2092b-4021-4df4-a3eb-3dba0b157eae"/>
        <s v="9ef4122a-07e1-41a6-9b9e-b496ab6bc865"/>
        <s v="a9639004-c58b-4243-bd5c-f81f8061e740"/>
        <s v="9caba3be-0508-4edb-bfbf-6ec2a5f33389"/>
        <s v="612db50b-afe9-4897-a0ee-10488cb1f6ee"/>
        <s v="b763ac1f-21a6-4815-ab20-f52e62b7c55c"/>
        <s v="adac254c-8de8-4cf6-aa2a-51205dfa9d4a"/>
        <s v="fa663957-1afd-4a7d-bf1e-18f0811873fc"/>
        <s v="bf8b7613-3fc4-44a9-80cf-70be3150709e"/>
        <s v="a156beb2-3cfe-4186-b196-18f13dbc52fb"/>
        <s v="55e48fbc-93f2-4b8e-819b-0e6675283ee0"/>
        <s v="06a814a3-da5b-4022-b934-2030a6344726"/>
        <s v="1f331018-ef65-4dbf-8121-94414670b98f"/>
        <s v="442d6392-f8f0-4503-b007-fc28df392923"/>
        <s v="c6134fba-9c49-4b8e-98f1-17ed5de5456b"/>
        <s v="a7180120-519b-4c0c-9eed-bf3eb90a8f85"/>
        <s v="1f5a566f-c927-4250-ac01-586c36f9d014"/>
        <s v="2a95e52d-a73e-43c7-af46-577e4425d9b9"/>
        <s v="ff4b548c-b47c-423b-96fc-755c9e0df9c1"/>
        <s v="5bbb243b-d772-41d9-ac5b-400c1e7b2673"/>
        <s v="4e3be3fc-fc98-490b-bb3a-cf4d1eb35df5"/>
        <s v="fd52dbce-dc49-4d84-94c3-3dcf9801ff1b"/>
        <s v="72df828f-338b-4a61-857e-41d75526cba4"/>
        <s v="d5fe337b-7c64-4cd2-b394-3fd25464e5e2"/>
        <s v="9f2640f3-ae0c-49f8-9061-1ced93783d1b"/>
        <s v="600f100b-fe10-471e-90a9-5bc7931d086f"/>
        <s v="25a7bb25-b2f6-4465-93ed-f0906f277c70"/>
        <s v="5ba10e73-ad9a-41dc-99a7-2d0d2442a590"/>
        <s v="a2e3f215-3821-413c-986a-762d210a2b0c"/>
        <s v="92925da9-ca4e-467c-996d-6feda3590026"/>
        <s v="667cb813-7b0b-44fb-b185-d5b8ae40dab8"/>
        <s v="4b812a0f-4a6a-4130-875a-66dedb91ad2a"/>
        <s v="3d1a5e81-49a0-4a46-a477-a230ab0cc121"/>
        <s v="81c84c3c-2de9-4ebb-b541-575d248507ae"/>
        <s v="d6364fde-a9a4-4772-bdbd-d788e5769c30"/>
        <s v="c9abade1-3a48-479d-b73f-dd6be570c0a0"/>
        <s v="e7fd2ddd-f62d-4635-9468-df10b5448af4"/>
        <s v="79500bdf-aec6-4255-8105-31d05c0ca9a4"/>
        <s v="f26f4e6a-f817-4b50-93e7-0f8c69aabd74"/>
        <s v="c7c47b8c-a05b-4f2f-89f5-5fcc2dca9f16"/>
        <s v="2658b30e-b80e-4dec-aeee-e91877237b23"/>
        <s v="a2c64723-d22e-4f0c-8840-a93aa06d97f3"/>
        <s v="65a40d34-cef1-44cd-a2af-fc14354579ea"/>
        <s v="d813cda0-13c5-499b-9e42-9b0f68330eb9"/>
        <s v="ae760261-16e0-44ad-b507-8d2f4e6f036a"/>
        <s v="fa5ac42a-39b7-43c8-ad78-3b4862ec91b4"/>
        <s v="898f9815-9aec-455c-8778-12cd91a6e27e"/>
        <s v="cf7634e5-aa91-43b9-bc60-046ca6e64b12"/>
        <s v="492a4428-a288-414a-aeb2-432c7bb64951"/>
        <s v="0d3a7855-e6e2-4b63-a939-7c06598e9544"/>
        <s v="91afec52-e723-43dc-ab36-e7776f8c4384"/>
        <s v="44307406-1e99-47c1-b822-6d80ebfb18b6"/>
        <s v="58dcec7b-b282-43c1-8c03-b8061dd5f405"/>
        <s v="9eb94c52-f2b4-4435-b1fd-cea10385a573"/>
        <s v="3b80beb6-c20b-4ecb-81a6-0527b796a706"/>
        <s v="9ee462fd-bce8-4e65-b80f-6597aac0a198"/>
        <s v="263b24b6-e48a-46b4-8419-bb559f37bdb5"/>
        <s v="d68a9652-dc80-4115-b65c-6952cf3030df"/>
        <s v="6cdfec35-a686-4791-ad3c-1b5006bf2e17"/>
        <s v="b215c1b4-e250-405b-ac3b-1d5cd2df1eb7"/>
        <s v="7eb44f77-a800-435f-ab32-702491846076"/>
        <s v="18429754-51b7-4e46-a250-cab45c132b7b"/>
        <s v="9c110e19-ca3e-4aa2-876e-13dc3ad8b746"/>
        <s v="2a366a59-81bc-43f7-abdb-194c81dcaa00"/>
        <s v="de73aba7-f006-499e-b8ca-825c89e8bdbe"/>
        <s v="22726c64-b6f5-4a4f-bfe2-d0dc0ca3d0e5"/>
        <s v="95cf5afa-5f39-4ca1-9ce6-6728e96ccf6a"/>
        <s v="39f85d24-b9fe-4ee2-862a-a1705eb0d659"/>
        <s v="3655c52a-d5cf-463b-9048-b80f859c6f59"/>
        <s v="8c5a66e1-83c1-4c69-8753-00a868f8278b"/>
        <s v="5e9f8dfd-1b74-413f-bfbf-3f573e2a2935"/>
        <s v="db0b0f04-8cc8-4554-a3e4-94629f921b7b"/>
        <s v="63ddf218-4647-4e1b-969f-6b4f83d1e514"/>
        <s v="838b4e65-9a61-4673-a9df-1fd36bf906ac"/>
        <s v="2fc0f7a8-ad08-469d-8951-4f1e36984883"/>
        <s v="61bdad7e-951a-49e1-ad20-effc58d831c0"/>
        <s v="3c79a727-6664-46b5-934e-e441dd6e8b15"/>
        <s v="8328e43a-5a22-4272-94bf-82dfce48267a"/>
        <s v="801d2f71-6bad-4428-8e22-38a2b8dac0e4"/>
        <s v="695ecef4-e21a-4d46-8c6b-39425ab02dea"/>
        <s v="1f4cd44c-c42a-419a-8ca7-2659815044c3"/>
        <s v="b0baf9a6-7964-4fe8-a3e6-5e2f13aa212a"/>
        <s v="82d93de8-f0e9-4b9b-a47b-373b2fbe34df"/>
        <s v="fb76ebea-5aa9-4dc6-9b29-b2601b1e788c"/>
        <s v="3d3f5a94-fbd9-4195-be75-90ae934a0684"/>
        <s v="6a74b143-d124-4946-b05b-07d771f1e88f"/>
        <s v="244e865d-dbf7-40a4-a6c9-e552473f8466"/>
        <s v="c806568f-753b-4011-877c-d783da192c77"/>
        <s v="73523618-800c-4317-b168-167a0d0fb74e"/>
        <s v="7655eacd-6ce8-4903-b530-42f8f610ebea"/>
        <s v="5a84a3c0-0237-492b-ab84-dc0272cde639"/>
        <s v="31587545-8f9c-4e83-9b84-9143331c1434"/>
        <s v="bd24921a-385f-44cc-918f-cf52e3cef954"/>
        <s v="fb19f05a-c2bc-432c-8aee-cae452bf0bfd"/>
        <s v="a868e0c4-ca3e-4349-adad-a4fdb8f562a9"/>
        <s v="dc11d4a7-8e3c-4a57-8c03-b9ca0d608766"/>
        <s v="74dc0120-1830-4231-8474-81150ce99a12"/>
        <s v="57750850-228d-4061-97f3-70fd758f51c7"/>
        <s v="a17d631b-d5a2-41ea-ad41-46dfd5b1d2da"/>
        <s v="4e611ac4-a2f9-493d-a69a-2caebb0ee090"/>
        <s v="c7dcea7b-68aa-4429-b33f-d3a7c73a50a7"/>
        <s v="fb3a8551-b20d-4a9e-9678-57d0737358ac"/>
        <s v="8fc96a51-c0e1-4cd2-a65c-9097a4d3a10d"/>
        <s v="7bc35f3e-94db-44b7-88fd-d23a90501f4d"/>
        <s v="37ad22da-f121-422b-a453-f6e17397401c"/>
        <s v="174e78c9-d1af-4a01-9090-699e21e482fa"/>
        <s v="e0320f62-e537-44f1-a7ba-4e5e09fd3397"/>
        <s v="77870b21-c14a-45d4-aa7d-232c06258f78"/>
        <s v="ac083c0a-9561-4cd2-88ca-726ff7544bbc"/>
        <s v="2e3e7724-eba0-45cd-a78f-283385eb780c"/>
        <s v="d1d7ae1c-04a3-4029-b082-195acb8392cf"/>
        <s v="8ee463a9-91d9-4e21-882d-b96d46bc95bb"/>
        <s v="837fc472-bab7-4e82-b690-e9d5137b3d92"/>
        <s v="823a0ad3-5d4c-4917-9ece-a1316ec88f7f"/>
        <s v="c762633f-b0e3-47f6-a2e8-5806a4e23810"/>
        <s v="64b3e7cb-aedc-4b4e-a83d-7722f86b213e"/>
        <s v="3a82c4d9-e386-4411-b9dc-1c8586122d01"/>
        <s v="c5f126a1-627e-4059-8db9-8ef3184c3cdc"/>
        <s v="4ac17086-b1e2-4610-b00a-6eba68ecf3dc"/>
        <s v="01d0c2ca-cf5c-4bfa-a2f5-7db118722143"/>
        <s v="dce0c25d-2328-47eb-b618-e79816e83ab5"/>
        <s v="c1b197a0-15a4-4e4f-8422-ef40466e43c2"/>
        <s v="26782850-65da-4cc4-ae35-87f207e0be38"/>
        <s v="d9145bd4-38e3-44e6-bff0-c0163b0a77b4"/>
        <s v="66aa2bdf-5ac1-43bb-973e-d219058d2fcf"/>
        <s v="b56eb55f-d8ca-497f-a212-344799d996bc"/>
        <s v="d6ed50c7-8195-4769-9f15-84c78c314f63"/>
        <s v="82cd5401-3c9e-4b0c-b1ce-e28b66d0d465"/>
        <s v="4896ffcf-11a4-4a58-a48d-2aed650ee58d"/>
        <s v="40c14abc-bd4d-4bf5-8c03-025945ed5589"/>
        <s v="7123cc09-b640-437a-8798-45251e0da490"/>
        <s v="7f82d3e4-bdba-4abe-b584-fbb136b6231f"/>
        <s v="1e97a333-c3be-47e6-a2c4-fb3909837ddc"/>
        <s v="38fa4d48-0354-4e37-96f4-bbff2528d194"/>
        <s v="78711cce-5f5c-43df-bbd5-690b6421863d"/>
        <s v="64c5e4d7-bba6-4a45-ba66-fa1e66b0e138"/>
        <s v="bef3d37a-b2b0-4cd3-962a-656b79692471"/>
        <s v="cc102bf8-47ad-42ee-99e1-56f4b79c9244"/>
        <s v="ce7eb35f-7074-41b1-a5fc-6111bc6e3216"/>
        <s v="699eacfe-5082-495c-b0f3-1e3fd3e7c070"/>
        <s v="124ab778-7a93-4783-9601-298e88ec1202"/>
        <s v="1ed13be5-b31a-47e7-a4c5-56363878affe"/>
        <s v="b1946c84-d9e0-40d3-87a7-af3ef7ed9984"/>
        <s v="eef81c65-a18f-4c07-aeda-19277f8b204d"/>
        <s v="792b7367-dfea-4aa0-9adc-58e434fc8c98"/>
        <s v="01a66ea9-0f19-41d9-ad5b-bb031c578257"/>
        <s v="d522af64-5434-40b5-ab55-2e7d15d39ac9"/>
        <s v="91658558-ce51-4156-bea8-3b5d6362dad3"/>
        <s v="b4621c77-116d-4d76-85d0-dde781f8eb29"/>
        <s v="a030a2ee-1901-4a6a-b95f-b2f87e66e0bf"/>
        <s v="2bb06da1-5bb5-4934-af0a-751848294cfe"/>
        <s v="9b9f319f-c87a-47c6-aa79-6c8897d0a6c8"/>
        <s v="02ef95a4-c79c-4315-b6ae-ab33e88512fd"/>
        <s v="a2e40750-f18a-4d9e-8262-ff34e06eb53e"/>
        <s v="c43148de-49f1-440e-b526-89c6f778bc49"/>
        <s v="4f58ef53-d455-47ad-971a-9bce278d33aa"/>
        <s v="bc912060-bca0-4072-b760-a3d8143125d5"/>
        <s v="b95df8a1-ba8d-42ed-babd-0c9fdf95d181"/>
        <s v="e7652f49-24a4-448a-8453-427e243de287"/>
        <s v="d51e9c7e-8b2f-4387-b61b-993c93b9eda4"/>
        <s v="50127fe7-f116-400d-b859-9225eebb5469"/>
        <s v="3c364f09-534c-4d14-9a75-0854444da485"/>
        <s v="5719fce6-3e16-4a89-9ca2-bfb81be37f0f"/>
        <s v="2e71ede0-f32d-4630-952d-aed7f9c504b0"/>
        <s v="84b34789-f7e6-4723-9a0d-20fbb0501af4"/>
        <s v="6489cc6b-71ea-46f0-8165-5a6db0bdca47"/>
        <s v="809651f2-bf8c-4b6c-9f33-4a87a71f2d90"/>
        <s v="822dcb84-1cc8-4d87-97a8-c7a7be201ede"/>
        <s v="f3244c53-709e-4b57-be43-41f06e2358c6"/>
        <s v="ea8c475c-caa4-4bf8-ab80-24d6d1a9fb53"/>
        <s v="2c4d2a44-9e47-4cf0-bd0c-536199fc68bd"/>
        <s v="1f12a81b-7b38-4373-9cd3-33d000f982e9"/>
        <s v="0ce9ff5a-43b3-4ee5-b98b-1047e260c7f5"/>
        <s v="13b6b238-e95d-4330-9167-b02a26df224c"/>
        <s v="fc3de2c0-06c6-4d7e-b377-6c7575be9502"/>
        <s v="edcb4fbb-6a57-4308-93aa-8a98f148a069"/>
        <s v="5a1f5ff1-c9b1-4456-b679-7b227f5802e6"/>
        <s v="97ca0a05-717f-46ad-8273-5c62d7b7e773"/>
        <s v="426e8878-2ce5-4f00-bb0d-8b61642149ba"/>
        <s v="e1fb87bb-f940-42bf-ac21-f89590d25883"/>
        <s v="bd751071-e10c-4441-9f9a-ce1b322e8e89"/>
        <s v="5dab5fd3-0954-44a3-a1a4-36720357b97f"/>
        <s v="8b348159-e655-4c98-ae2b-fd9ac86087e2"/>
        <s v="d2428b0b-1a3c-4735-83cb-3477157e2b34"/>
        <s v="528e9372-befa-4bc5-a9cd-faf9cf0769f2"/>
        <s v="1f21b7e8-36ed-4e80-b5cd-cca7c329a9d0"/>
        <s v="b6f7a772-8266-46a4-9bc5-a49779c32dd1"/>
        <s v="78e4cc00-618f-4336-9fd8-61a70993a023"/>
        <s v="49fdcdd0-d6e8-4a1e-9564-b877be4811d5"/>
        <s v="78e2519d-639e-4fac-a031-076054f82ed3"/>
        <s v="64b6aef8-95fe-4557-b2e4-3400a8fc493a"/>
        <s v="9c486204-9f82-46a5-8c27-9862f79429a5"/>
        <s v="bb17a965-20c8-4bf0-bca0-1bf4793cda23"/>
        <s v="04f89f95-038a-4435-93b8-56e9be467bf6"/>
        <s v="dc70c78a-2632-4024-98d8-5b80adbbeb03"/>
        <s v="8fc23987-6f38-4c47-a180-3a48f70ab235"/>
        <s v="05b2ec77-b65e-4258-85c0-156f0da91d0e"/>
        <s v="27edf627-a39e-4024-b633-27bd5cd6a3c7"/>
        <s v="7a8385f2-21c7-4112-9621-2ad305be205e"/>
        <s v="a88d27c3-4f8a-4edd-b19b-041153242af3"/>
        <s v="c2cb9c5e-2c83-4f37-9827-932c22d33b77"/>
        <s v="2c7e2f76-70f7-4ef2-8d8f-cb9058a5b512"/>
        <s v="818aa80e-c6bc-41f8-bb23-b903e6967088"/>
        <s v="a3bea6c5-a05a-47a7-89c9-509c7930d92b"/>
        <s v="7e57e3cf-b8ac-4e16-882d-374e7692b3c2"/>
        <s v="8380cc2c-30e5-4ac7-a1a4-85bc1ee0bdff"/>
        <s v="6ed7254f-9cb4-4319-9b92-05f707838d07"/>
        <s v="b62a9a1e-f268-4c63-8f98-547fac6ebcea"/>
        <s v="fa29fbbe-3029-4837-adde-793c2ca8395d"/>
        <s v="808bf640-8295-46a9-a083-c43472345717"/>
        <s v="61cf565e-ba4c-40d0-9bba-77ace1f5ae83"/>
        <s v="a87c9332-a4ab-4fb3-b4dd-34e3c522dd56"/>
        <s v="4c42287e-5602-4073-ab4e-ac2dc3bce4e2"/>
        <s v="34dde880-2eea-4654-919e-454a6ba8c693"/>
        <s v="780da0cb-91c2-4d8d-9a18-d99b8132c339"/>
        <s v="f8554cb4-f969-4d12-bd11-ddf5b8190331"/>
        <s v="913dcc58-9eb3-4d5f-824f-538c2e0909e4"/>
        <s v="2b109f1a-7ce1-4af8-a2e7-e0b90d88d0ed"/>
        <s v="651ad887-b4f3-46fa-8f0e-f4cf9356e703"/>
        <s v="bdb15239-50fc-466c-8a9a-6f1a1133b180"/>
        <s v="6d09a2ab-a864-46af-bcff-099fd7a7ea00"/>
        <s v="14b74ce2-176f-45a2-a7dc-b2147861533c"/>
        <s v="20772c20-2969-4621-a1da-86f9844eead3"/>
        <s v="f44869d1-5867-4565-981d-a314e29ff356"/>
        <s v="d2efdf13-e345-4068-b330-cc3363d7620e"/>
        <s v="1303872a-1e47-4ede-ba36-dae02084c0e2"/>
        <s v="176e1484-cd37-4c5a-904c-db1ae4ba7157"/>
        <s v="fff21f65-9095-4104-bf7e-6153cfe24096"/>
        <s v="4d458a60-ecf8-40ed-8900-b45b09123050"/>
        <s v="d78a50df-8538-48a5-a164-2caf2ee08edd"/>
        <s v="75ec5898-1b86-4e14-a694-5fa0da9f55ef"/>
        <s v="ccd89e5c-8a53-490c-9b49-ebb1d99952b7"/>
        <s v="81ef4041-063e-4b84-99e3-f04164edc3d9"/>
        <s v="e44aebac-eeb1-42f7-9c90-43fddae3a935"/>
        <s v="60e39328-36da-44a9-93a6-12c7ab19714b"/>
        <s v="53708f68-c1b6-4922-b4bb-4e232f4762b6"/>
        <s v="3d1f684e-53e5-43bc-a55b-dc2226668e7b"/>
        <s v="b2f6af17-1bef-4188-9ee8-3b679aaca2a1"/>
        <s v="76dff0ea-9a54-4593-bd6e-27bb5653af7c"/>
        <s v="1236cdd5-0ca2-4cc7-8537-9265b5813a46"/>
        <s v="76c81ead-4186-4cc5-b1cb-8d0bd724c936"/>
        <s v="d9f7ad7e-ede5-4474-9f53-2e7dd3f53599"/>
        <s v="e68ef0e0-13b9-4e5b-9b7b-4346ae24e7a6"/>
        <s v="96622052-3fa7-4a40-ae75-9bbc080c5d5b"/>
        <s v="896a4b80-4b57-4a1b-894a-1dcb6dfebf9f"/>
        <s v="52d886f8-9173-4e2d-9d73-fd44e28b55ca"/>
        <s v="3221a7e6-6cd7-4a0c-b402-bf79bdb96de4"/>
        <s v="b56a8f1d-3a8b-478e-aed9-78922b71241a"/>
        <s v="317f801f-bf5e-43fc-91d4-d5978e6673a3"/>
        <s v="178203ce-ad2d-4fb5-a269-4dabad09977b"/>
        <s v="a08f2e92-ddcd-44b8-8515-27faf5f4eb63"/>
        <s v="d72d257b-3784-4939-8e28-7b69968edcc2"/>
        <s v="975f3203-d3ec-4f9c-a396-1a68ae4b7e30"/>
        <s v="20804530-adcf-44cb-a337-d21f165a052b"/>
        <s v="d397440b-a8a7-459f-b315-825fec814c2a"/>
        <s v="9f6e78a8-ae91-479c-9830-072976842e2c"/>
        <s v="1f1e7627-ce2b-4a95-a892-ca73802c5e21"/>
        <s v="1f62ee8c-6a02-4dac-a8d0-808c5f9255fa"/>
        <s v="87a6c003-48f9-4043-950f-a4d02aa7ac6d"/>
        <s v="ad72b3df-067c-44c4-9e00-f5b8d2b67b3e"/>
        <s v="3f76bba1-4514-4dc6-a906-a059e00c5bec"/>
        <s v="c2527c31-fc87-4dac-990a-f13afa377510"/>
        <s v="cd067e66-6a27-47e4-ada8-f0ee19acf89a"/>
        <s v="d786f320-a2c9-412c-b4be-a05de4861762"/>
        <s v="9ca00d2c-d824-4172-9b01-11b5ea395289"/>
        <s v="6358745f-1325-43fb-9b00-bbae70713918"/>
        <s v="fbdf88c7-0845-4203-8edb-7e146ca94ca0"/>
        <s v="85616cb7-40e7-478f-a16e-ab1942aaf326"/>
        <s v="31b7837f-f301-4466-a759-1a2ca0425352"/>
        <s v="f1b23a87-5964-4ef4-8ee6-80f65503f752"/>
        <s v="42374ee0-580e-4d4a-9a57-2d149735326b"/>
        <s v="4bb82ea0-b8e9-46e3-a328-811454f6cb93"/>
        <s v="820131c7-c259-4d58-af46-ec403eb2b9b3"/>
        <s v="2f96e9b9-7b51-42d3-a865-e719e873a3ab"/>
        <s v="7cb7f4b5-368a-4ff8-b6a5-853d97da7b48"/>
        <s v="d643d96f-c78d-4ee8-aedb-6e88e2e3706b"/>
        <s v="8e8e9e93-1570-45dc-beb8-75f5d202158f"/>
        <m/>
      </sharedItems>
    </cacheField>
    <cacheField name="პროექტი//" numFmtId="0">
      <sharedItems containsBlank="1">
        <s v="Biota Park | 1.1.1. (+) შემოსავალი ლიფტების რეალიზაციიდან | ოლიმპ ჯორჯია (ს.კ. 405231011) - შპს"/>
        <s v="Chakhrukhadze | 1.1.1. (+) შემოსავალი ლიფტების რეალიზაციიდან | ინდეკო (ს.კ. 202376133) - შპს"/>
        <s v="Med. University | 1.1.1. (+) შემოსავალი ლიფტების რეალიზაციიდან | ბეტა ჯგუფი (ს.კ. 405171996) - შპს"/>
        <s v="Varketili | 1.1.1. (+) შემოსავალი ლიფტების რეალიზაციიდან | გიოკაპიტალი (ს.კ. 406155841) - შპს"/>
        <s v="Gudauri Redco Parking | 1.1.1. (+) შემოსავალი ლიფტების რეალიზაციიდან | რედ-კო (ს.კ. 405148415) - შპს"/>
        <s v="Ortachala | 1.1.1. (+) შემოსავალი ლიფტების რეალიზაციიდან | მაია კვიჭიძე (ს.კ. 01008011243) - ფიზ. პირი"/>
        <s v="Modus Agladze | 1.1.1. (+) შემოსავალი ლიფტების რეალიზაციიდან | მოდუსი (ს.კ. 245565669) - შპს"/>
        <s v="Crystal Bakuriani | 1.1.1. (+) შემოსავალი ლიფტების რეალიზაციიდან | ჰომბეი (ს.კ. 405255815) - შპს"/>
        <s v="Abuseridze - Batumi | 1.1.1. (+) შემოსავალი ლიფტების რეალიზაციიდან | ანა აბუსერიძე (ს.კ. 61001051501) - ფიზ. პირი"/>
        <s v="UNIX Marselle | 1.1.1. (+) შემოსავალი ლიფტების რეალიზაციიდან | იუნიქს ქონსთრაქშენ კომპანი (ს.კ. 405133822) - შპს"/>
        <s v="Tbilisi Palace | 1.1.1. (+) შემოსავალი ლიფტების რეალიზაციიდან | თბილისი პალასი (ს.კ. 405253381) - შპს"/>
        <s v="Tegeta Batumi | 1.1.1. (+) შემოსავალი ლიფტების რეალიზაციიდან | თეგეტა მოტორსი (ს.კ. 202177205) - შპს"/>
        <s v="DAR TOWER | 1.1.1. (+) შემოსავალი ლიფტების რეალიზაციიდან | Dar Building (ს.კ. 445420875) - შპს"/>
        <s v="BAT Tower | 1.1.1. (+) შემოსავალი ლიფტების რეალიზაციიდან | ბათბილდინგი (ს.კ. 445509334) - შპს"/>
        <s v="Rumi - batumi | 1.1.1. (+) შემოსავალი ლიფტების რეალიზაციიდან | რუმი (ს.კ. 445481853) - შპს"/>
        <s v="Domus Paliashviliს 63 | 1.1.1. (+) შემოსავალი ლიფტების რეალიზაციიდან | ფალიაშვილის 63 (ს.კ. ICE000034) - ამხანაგობა"/>
        <s v="Gelovani 52 | 1.1.1. (+) შემოსავალი ლიფტების რეალიზაციიდან | ეკომეტრი (ს.კ. 404464030) - შპს"/>
        <s v="Chempioni | 1.1.1. (+) შემოსავალი ლიფტების რეალიზაციიდან | ჩემპიონი 2 (ს.კ. 248416432) - შპს"/>
        <s v="New Time | 1.1.1. (+) შემოსავალი ლიფტების რეალიზაციიდან | ნიუ თაიმ (ს.კ. 445440577) - შპს"/>
        <s v="Green Cape | 1.1.1. (+) შემოსავალი ლიფტების რეალიზაციიდან | ელტური-2008 (ს.კ. 248434038) - შპს"/>
        <s v="Indeko - shartava 39 | 1.1.1. (+) შემოსავალი ლიფტების რეალიზაციიდან | ინდეკო (ს.კ. 202376133) - შპს"/>
        <s v="Redco 1 | 1.1.1. (+) შემოსავალი ლიფტების რეალიზაციიდან | რედ-კო (ს.კ. 405148415) - შპს"/>
        <s v="Delisi | 1.1.1. (+) შემოსავალი ლიფტების რეალიზაციიდან | ბიზნეს ცენტრი დელისი (ს.კ. 204854014) - სს"/>
        <s v="Shvela | 1.1.1. (+) შემოსავალი ლიფტების რეალიზაციიდან | შველა (ს.კ. 448396021) - შპს"/>
        <s v="Moxy Zaabruken Hotel | 1.1.1. (+) შემოსავალი ლიფტების რეალიზაციიდან | ბკ კაპიტალი (ს.კ. 205057123) - შპს"/>
        <s v="Tbilisi Gardens | 1.1.1. (+) შემოსავალი ლიფტების რეალიზაციიდან | ინჟინერთა ჯგუფი (ს.კ. 400101457) - შპს"/>
        <s v="Modus Kakhety HW | 1.1.1. (+) შემოსავალი ლიფტების რეალიზაციიდან | მოდუსი (ს.კ. 245565669) - შპს"/>
        <s v="Kbuleti Str. - Khomeriki | 1.1.1. (+) შემოსავალი ლიფტების რეალიზაციიდან | სითი დეველოპმენტ (ს.კ. 404481324) - შპს"/>
        <s v="Domus | 1.1.1. (+) შემოსავალი ლიფტების რეალიზაციიდან | დომუს დეველოპმენტ (ს.კ. 205210261) - შპს"/>
        <s v="Paliashvili 23 | 1.1.2. (+) შემოსავალი ლიფტების სერვისიდან - გეგმიური | ირაკლი კაციტაძე (ს.კ. 01008004604) - ფიზ. პირი"/>
        <s v="Moxy Zabruken Restaurant | 1.1.1. (+) შემოსავალი ლიფტების რეალიზაციიდან | ბკ კაპიტალი (ს.კ. 205057123) - შპს"/>
        <s v="TWIN TOWER | 1.1.1. (+) შემოსავალი ლიფტების რეალიზაციიდან | ორბი ჯგუფი ბათუმი (ს.კ. 445468798) - შპს"/>
        <s v="City Mall | 1.1.1. (+) შემოსავალი ლიფტების რეალიზაციიდან | აი ჯი დეველოფმენტ ჯორჯია (ს.კ. 404851503) - შპს"/>
        <s v="Renting BNB | 1.1.1. (+) შემოსავალი ლიფტების რეალიზაციიდან | რენთინგ ბიენბი (ს.კ. 404564244) - სს"/>
        <s v="Aeroporti | 1.1.1. (+) შემოსავალი ლიფტების რეალიზაციიდან | ტრანსმშენი (ს.კ. 212274812) - სს"/>
        <s v="Dividers Med Uni | 1.1.1. (+) შემოსავალი ლიფტების რეალიზაციიდან | ბეტა ჯგუფი (ს.კ. 405171996) - შპს"/>
        <s v="Brewery 1 (300KG) | 1.1.1. (+) შემოსავალი ლიფტების რეალიზაციიდან | ლუდსახარში ორი კათხა (ს.კ. 406283338) - შპს"/>
        <s v="Khiliani | 1.1.1. (+) შემოსავალი ლიფტების რეალიზაციიდან | ახალშენი 2016 (ს.კ. 405136758) - შპს"/>
        <s v="ORBI Office Lift | 1.1.1. (+) შემოსავალი ლიფტების რეალიზაციიდან | ორბი ჯგუფი ბათუმი (ს.კ. 445468798) - შპს"/>
        <s v="IBIS Perovi | 1.1.1. (+) შემოსავალი ლიფტების რეალიზაციიდან | ბეტა ჯგუფი (ს.კ. 405171996) - შპს"/>
        <s v="Sololaki | 1.1.1. (+) შემოსავალი ლიფტების რეალიზაციიდან | კანოპუსი (ს.კ. 405229881) - შპს"/>
        <s v="IBIS Perov Dumbwaiter | 1.1.1. (+) შემოსავალი ლიფტების რეალიზაციიდან | ბეტა ჯგუფი (ს.კ. 405171996) - შპს"/>
        <s v="Kleemann Pekini | 1.1.1. (+) შემოსავალი ლიფტების რეალიზაციიდან | სითი რეალ ისთეით (ს.კ. 406067410) - შპს"/>
        <s v="Gudauri Alpic | 1.1.1. (+) შემოსავალი ლიფტების რეალიზაციიდან | ანაგი (ს.კ. 245416401) - შპს"/>
        <s v="Batumi Stadium | 1.1.1. (+) შემოსავალი ლიფტების რეალიზაციიდან | ანაგი (ს.კ. 245416401) - შპს"/>
        <s v="Gazapkhuli | 1.1.2. (+) შემოსავალი ლიფტების სერვისიდან - გეგმიური | დეველოპერული კომპანია მც კვადრატი (ს.კ. 404474403) - შპს"/>
        <s v="Thermoroom | 1.1.1. (+) შემოსავალი ლიფტების რეალიზაციიდან | თერმორუმი (ს.კ. 405134448) - შპს"/>
        <s v="ENCORE Gudauri | 1.1.1. (+) შემოსავალი ლიფტების რეალიზაციიდან | ტექნოკლიმა (ს.კ. 402009857) - შპს"/>
        <s v="MOXY HVAC | 1.2.1. (+) შემოსავალი MEP დანადგარების რეალიზაციიდან | ჯი-ემ-თი სასტუმროები (ს.კ. 203842333) - შპს"/>
        <s v="Paster Hostel | 1.1.1. (+) შემოსავალი ლიფტების რეალიზაციიდან | 1920 (ს.კ. 400247899) - შპს"/>
        <s v="Kaklebi | 1.1.1. (+) შემოსავალი ლიფტების რეალიზაციიდან | გოჩა ჩხაიძე (ს.კ. 65002012107) - ფიზ. პირი"/>
        <s v="156-ე საჯარო სკოლა | 1.1.1. (+) შემოსავალი ლიფტების რეალიზაციიდან | სვირი + (ს.კ. 212916932) - შპს"/>
        <s v="Beach Tower | 1.1.1. (+) შემოსავალი ლიფტების რეალიზაციიდან | ორბი ჯგუფი (ს.კ. 245621849) - შპს"/>
        <s v="Modus PU Duct | 1.2.1. (+) შემოსავალი MEP დანადგარების რეალიზაციიდან | მეპერსი (ს.კ. 402121887) - შპს"/>
        <s v="Modus VRV | 1.2.1. (+) შემოსავალი MEP დანადგარების რეალიზაციიდან | მეპერსი (ს.კ. 402121887) - შპს"/>
        <s v="Ramada Melikishvili | 1.2.1. (+) შემოსავალი MEP დანადგარების რეალიზაციიდან | მეპერსი (ს.კ. 402121887) - შპს"/>
        <s v="Ramada Melikishvili Additional | 1.2.1. (+) შემოსავალი MEP დანადგარების რეალიზაციიდან | მეპერსი (ს.კ. 402121887) - შპს"/>
        <s v="Hilton Garden Mockup | 1.2.1. (+) შემოსავალი MEP დანადგარების რეალიზაციიდან | მეპერსი (ს.კ. 402121887) - შპს"/>
        <s v="Kempinski Mockup | 1.2.1. (+) შემოსავალი MEP დანადგარების რეალიზაციიდან | მეპერსი (ს.კ. 402121887) - შპს"/>
        <s v="Copper Pipes Stock | 1.2.1. (+) შემოსავალი MEP დანადგარების რეალიზაციიდან | მეპერსი (ს.კ. 402121887) - შპს"/>
        <s v="Valves Med. University | 1.2.1. (+) შემოსავალი MEP დანადგარების რეალიზაციიდან | მეპერსი (ს.კ. 402121887) - შპს"/>
        <s v="Orbi Bakuriani VRV | 1.2.1. (+) შემოსავალი MEP დანადგარების რეალიზაციიდან | მეპერსი (ს.კ. 402121887) - შპს"/>
        <s v="Hilton Garden Inn VRV 1 | 1.2.1. (+) შემოსავალი MEP დანადგარების რეალიზაციიდან | მეპერსი (ს.კ. 402121887) - შპს"/>
        <s v="Hilton Garden Inn PIPES | 1.2.1. (+) შემოსავალი MEP დანადგარების რეალიზაციიდან | მეპერსი (ს.კ. 402121887) - შპს"/>
        <s v="OFFICE Dar Building | 1.1.1. (+) შემოსავალი ლიფტების რეალიზაციიდან | Dar Building (ს.კ. 445420875) - შპს"/>
        <s v="Archi Digomi | 1.1.1. (+) შემოსავალი ლიფტების რეალიზაციიდან | ანაგი (ს.კ. 245416401) - შპს"/>
        <s v="Zara City Mall | 1.1.2. (+) შემოსავალი ლიფტების სერვისიდან - გეგმიური | Spanish Retail Georgia (ს.კ. 404404774) - შპს"/>
        <s v="Galleria Hotel | 1.1.2. (+) შემოსავალი ლიფტების სერვისიდან - გეგმიური | გალერია ჰოტელ მენეჯმენტი (ს.კ. 404567508) - შპს"/>
        <s v="Era Palace | 1.1.2. (+) შემოსავალი ლიფტების სერვისიდან - გეგმიური | ერა პალასი (ს.კ. 245619807) - შპს"/>
        <s v="Muzeums | 1.1.2. (+) შემოსავალი ლიფტების სერვისიდან - გეგმიური | თბილი სახლი (ს.კ. 204976179) - შპს"/>
        <s v="UNIX Ipolit Ivanov | 1.1.2. (+) შემოსავალი ლიფტების სერვისიდან - გეგმიური | იუნიქს ქონსთრაქშენ კომპანი (ს.კ. 405133822) - შპს"/>
        <s v="PIXEL | 1.1.2. (+) შემოსავალი ლიფტების სერვისიდან - გეგმიური | პიქსელ მენეჯმენტი (ს.კ. 404862314) - შპს"/>
        <s v="Khetagurov Office | 1.1.2. (+) შემოსავალი ლიფტების სერვისიდან - გეგმიური | დავუდ (ს.კ. 404438417) - სს"/>
        <s v="Galleria Tbilisi | 1.1.2. (+) შემოსავალი ლიფტების სერვისიდან - გეგმიური | თბილი სახლი (ს.კ. 204976179) - შპს"/>
        <s v="Tbilisi Central HVAC Service | 1.2.2. (+) შემოსავალი MEP დანადგარების სერვისიდან - გეგმიური | თბილისი ცენტრალი (ს.კ. 205129653) - სს"/>
        <s v="Mziuri | 1.1.2. (+) შემოსავალი ლიფტების სერვისიდან - გეგმიური | ნინო კირცხალია (ს.კ. 01031005362) - ფიზ. პირი"/>
        <s v="Orbi Other | 1.1.2. (+) შემოსავალი ლიფტების სერვისიდან - გეგმიური | ორბი ჯგუფი ბათუმი (ს.კ. 445468798) - შპს"/>
        <s v="Bagebi | 1.1.1. (+) შემოსავალი ლიფტების რეალიზაციიდან | ნირან პროპერტის დეველოპმენტი (ს.კ. 204564729) - შპს"/>
        <s v="H&amp;M | 1.1.2. (+) შემოსავალი ლიფტების სერვისიდან - გეგმიური | ეიჩ ენდ ემ ჰენეს ენდ მაურიც ჯორჯია (ს.კ. 405164192) - შპს"/>
        <s v="Marshal Gelovanis 52 | 1.1.2. (+) შემოსავალი ლიფტების სერვისიდან - გეგმიური | ჯი ემ ემ (ს.კ. 405115174) - შპს"/>
        <s v="Marshal Gelovani 52 | 1.1.2. (+) შემოსავალი ლიფტების სერვისიდან - გეგმიური | ოლსერვისგრუპ (ს.კ. 406233552) - შპს"/>
        <s v="Marshal Gelovani 52 | 1.1.2. (+) შემოსავალი ლიფტების სერვისიდან - გეგმიური | ოლსერვისჯგუფი (ს.კ. 406269041) - შპს"/>
        <s v="Archi Jikia Block C | 1.1.1. (+) შემოსავალი ლიფტების რეალიზაციიდან | არქი საბურთალო (ს.კ. 405176982) - შპს"/>
        <s v="Shato Mukhrani Gen-Set 2020 | 1.2.1. (+) შემოსავალი MEP დანადგარების რეალიზაციიდან | შატო მუხრანი (ს.კ. 205000381) - სს"/>
        <s v="Galleria Tbilisi | 1.1.2. (+) შემოსავალი ლიფტების სერვისიდან - გეგმიური | ენსოლი (ს.კ. 205236190) - შპს"/>
        <s v="Domus | 1.1.2. (+) შემოსავალი ლიფტების სერვისიდან - გეგმიური | დომუსი (ს.კ. 404908864) - შპს"/>
        <s v="Rovshan Mamadovi | 1.2.1. (+) შემოსავალი MEP დანადგარების რეალიზაციიდან | როვშან მამადოვი (ს.კ. 67008001418) - ფიზ. პირი"/>
        <s v="Sapatrulo | 1.1.2. (+) შემოსავალი ლიფტების სერვისიდან - გეგმიური | თბილი სახლი (ს.კ. 204976179) - შპს"/>
        <s v="Erovnuli | 1.1.2. (+) შემოსავალი ლიფტების სერვისიდან - გეგმიური | თბილი სახლი (ს.კ. 204976179) - შპს"/>
        <s v="Gonio | 1.1.2. (+) შემოსავალი ლიფტების სერვისიდან - გეგმიური | ერა პალასი (ს.კ. 245619807) - შპს"/>
        <s v="Modus batumi | 1.1.2. (+) შემოსავალი ლიფტების სერვისიდან - გეგმიური | მოდუსი (ს.კ. 245565669) - შპს"/>
        <s v="Abashidze 70 | 1.1.2. (+) შემოსავალი ლიფტების სერვისიდან - გეგმიური | ი. აბაშიძე 70 (ს.კ. ICE001082) - ამხანაგობა"/>
        <s v="Epic gazapkhuli | 1.1.2. (+) შემოსავალი ლიფტების სერვისიდან - გეგმიური | დელისი 2020 (ს.კ. ICE001083) - ამხანაგობა"/>
        <s v="Epic Bagebi | 1.1.1. (+) შემოსავალი ლიფტების რეალიზაციიდან | ბაგები (ს.კ. 405330262) - შპს"/>
        <s v="Hilton Garden Inn Pipes 2 | 1.2.1. (+) შემოსავალი MEP დანადგარების რეალიზაციიდან | მეპერსი (ს.კ. 402121887) - შპს"/>
        <s v="Tegeta Batumi | 1.1.2. (+) შემოსავალი ლიფტების სერვისიდან - გეგმიური | თეგეტა მოტორსი (ს.კ. 202177205) - შპს"/>
        <s v="Grena MEP 1 | 1.2.1. (+) შემოსავალი MEP დანადგარების რეალიზაციიდან | საქ სამეცნიერო-საგანმანათ. კომპ ქსელების ასოციაცია გრენა (ს.კ. 204931654) - ასოციაცია"/>
        <s v="Khiliani | 1.1.2. (+) შემოსავალი ლიფტების სერვისიდან - გეგმიური | ახალშენი 2016 (ს.კ. 405136758) - შპს"/>
        <s v="Domus Paliashvilis 63 | 1.1.2. (+) შემოსავალი ლიფტების სერვისიდან - გეგმიური | ფალიაშვილის 63 (ს.კ. ICE000034) - ამხანაგობა"/>
        <s v="Indeko - shartava 39 | 1.1.2. (+) შემოსავალი ლიფტების სერვისიდან - გეგმიური | ინდეკო (ს.კ. 202376133) - შპს"/>
        <s v="Domus | 1.1.2. (+) შემოსავალი ლიფტების სერვისიდან - გეგმიური | დომუს სერვისი (ს.კ. 405311336) - შპს"/>
        <s v="UNIX Marselle 1 | 1.1.2. (+) შემოსავალი ლიფტების სერვისიდან - გეგმიური | იუნიქს ქონსთრაქშენ კომპანი (ს.კ. 405133822) - შპს"/>
        <s v="Delisi | 1.1.2. (+) შემოსავალი ლიფტების სერვისიდან - გეგმიური | ბიზნეს ცენტრი დელისი (ს.კ. 204854014) - სს"/>
        <s v="Modus Kakhety HW | 1.1.2. (+) შემოსავალი ლიფტების სერვისიდან - გეგმიური | მოდუსი (ს.კ. 245565669) - შპს"/>
        <s v="Tbilisi Gardens | 1.1.2. (+) შემოსავალი ლიფტების სერვისიდან - გეგმიური | BD Property (ს.კ. 404390967) - შპს"/>
        <s v="Kbuleti Str. - Khomeriki | 1.1.2. (+) შემოსავალი ლიფტების სერვისიდან - გეგმიური | გელა ხომერიკი (ს.კ. 33001011813) - ფიზ. პირი"/>
        <s v="Tbilisi Palace | 1.1.2. (+) შემოსავალი ლიფტების სერვისიდან - გეგმიური | თბილისი პალასი (ს.კ. 405253381) - შპს"/>
        <s v="Modus Agladze | 1.1.2. (+) შემოსავალი ლიფტების სერვისიდან - გეგმიური | მოდუსი (ს.კ. 245565669) - შპს"/>
        <s v="New Time | 1.1.2. (+) შემოსავალი ლიფტების სერვისიდან - გეგმიური | ნიუ თაიმ (ს.კ. 445440577) - შპს"/>
        <s v="ORBI Office Lift | 1.1.2. (+) შემოსავალი ლიფტების სერვისიდან - გეგმიური | ორბი ჯგუფი ბათუმი (ს.კ. 445468798) - შპს"/>
        <s v="Redco 1 | 1.1.2. (+) შემოსავალი ლიფტების სერვისიდან - გეგმიური | რედ-კო მენეჯმენტ გრუპი (ს.კ. 405198986) - შპს"/>
        <s v="Moxy Zabruken Restaurant | 1.1.2. (+) შემოსავალი ლიფტების სერვისიდან - გეგმიური | ჯი-ემ-თი მთაწმინდა (ს.კ. 203843396) - შპს"/>
        <s v="MOXY OFFICE | 1.1.2. (+) შემოსავალი ლიფტების სერვისიდან - გეგმიური | ჯი-ემ-თი სასტუმროები (ს.კ. 203842333) - შპს"/>
        <s v="Paster Hostel | 1.1.2. (+) შემოსავალი ლიფტების სერვისიდან - გეგმიური | 1920 (ს.კ. 400247899) - შპს"/>
        <s v="Gelovani 52 | 1.1.2. (+) შემოსავალი ლიფტების სერვისიდან - გეგმიური | ეკომეტრი (ს.კ. 404464030) - შპს"/>
        <s v="DAR TOWER | 1.1.2. (+) შემოსავალი ლიფტების სერვისიდან - გეგმიური | Dar Building (ს.კ. 445420875) - შპს"/>
        <s v="Encoder | 1.1.3. (+) შემოსავალი ლიფტების სერვისიდან - არაგეგმიური | ეკომეტრი (ს.კ. 404464030) - შპს"/>
        <s v="OFFICE Dar Building | 1.1.2. (+) შემოსავალი ლიფტების სერვისიდან - გეგმიური | Dar Building (ს.კ. 445420875) - შპს"/>
        <s v="Abuseridze - Batumi | 1.1.2. (+) შემოსავალი ლიფტების სერვისიდან - გეგმიური | ანა აბუსერიძე (ს.კ. 61001051501) - ფიზ. პირი"/>
        <s v="Batumi Stadium | 1.1.2. (+) შემოსავალი ლიფტების სერვისიდან - გეგმიური | ანაგი (ს.კ. 245416401) - შპს"/>
        <s v="Archi Digomi | 1.1.2. (+) შემოსავალი ლიფტების სერვისიდან - გეგმიური | არქი დიღომი (ს.კ. 405225037) - შპს"/>
        <s v="BAT Tower | 1.1.2. (+) შემოსავალი ლიფტების სერვისიდან - გეგმიური | ბათბილდინგი (ს.კ. 445509334) - შპს"/>
        <s v="Crystal Bakuriani | 1.1.2. (+) შემოსავალი ლიფტების სერვისიდან - გეგმიური | ბაკურიანი ბიზნეს ჯგუფი (ს.კ. 226166163) - შპს"/>
        <s v="Med. University | 1.1.2. (+) შემოსავალი ლიფტების სერვისიდან - გეგმიური | ბეტა ჯგუფი (ს.კ. 405171996) - შპს"/>
        <s v="IBIS Perovi | 1.1.2. (+) შემოსავალი ლიფტების სერვისიდან - გეგმიური | ბეტა ჯგუფი (ს.კ. 405171996) - შპს"/>
        <s v="IBIS Perov Dumbwaiter | 1.1.2. (+) შემოსავალი ლიფტების სერვისიდან - გეგმიური | ბეტა ჯგუფი (ს.კ. 405171996) - შპს"/>
        <s v="Varketili | 1.1.2. (+) შემოსავალი ლიფტების სერვისიდან - გეგმიური | გიოკაპიტალი (ს.კ. 406155841) - შპს"/>
        <s v="Kaklebi | 1.1.2. (+) შემოსავალი ლიფტების სერვისიდან - გეგმიური | გოჩა ჩხაიძე (ს.კ. 65002012107) - ფიზ. პირი"/>
        <s v="Green Cape | 1.1.2. (+) შემოსავალი ლიფტების სერვისიდან - გეგმიური | ელტური-2008 (ს.კ. 248434038) - შპს"/>
        <s v="Thermoroom | 1.1.2. (+) შემოსავალი ლიფტების სერვისიდან - გეგმიური | თერმორუმი (ს.კ. 405134448) - შპს"/>
        <s v="Chakhrukhadze | 1.1.2. (+) შემოსავალი ლიფტების სერვისიდან - გეგმიური | ინდეკო (ს.კ. 202376133) - შპს"/>
        <s v="Kobuleti Garden Inn | 1.1.2. (+) შემოსავალი ლიფტების სერვისიდან - გეგმიური | იოსებ გუნთაიშვილი (ს.კ. 61001008820) - ფიზ. პირი"/>
        <s v="Aparthotel Vake | 1.1.2. (+) შემოსავალი ლიფტების სერვისიდან - გეგმიური | კანალესა (ს.კ. 405021925) - შპს"/>
        <s v="Sololaki | 1.1.2. (+) შემოსავალი ლიფტების სერვისიდან - გეგმიური | კანოპუსი (ს.კ. 405229881) - შპს"/>
        <s v="Ortachala | 1.1.2. (+) შემოსავალი ლიფტების სერვისიდან - გეგმიური | მაია კვიჭიძე (ს.კ. 01008011243) - ფიზ. პირი"/>
        <s v="Bagebi | 1.1.2. (+) შემოსავალი ლიფტების სერვისიდან - გეგმიური | ნირან პროპერტის დეველოპმენტი (ს.კ. 204564729) - შპს"/>
        <s v="Biota Park | 1.1.2. (+) შემოსავალი ლიფტების სერვისიდან - გეგმიური | ოლიმპ ჯორჯია (ს.კ. 405231011) - შპს"/>
        <s v="Beach Tower | 1.1.2. (+) შემოსავალი ლიფტების სერვისიდან - გეგმიური | ორბი ჯგუფი (ს.კ. 245621849) - შპს"/>
        <s v="ORBI CITY A | 1.1.2. (+) შემოსავალი ლიფტების სერვისიდან - გეგმიური | ორბი ჯგუფი ბათუმი (ს.კ. 445468798) - შპს"/>
        <s v="Gudauri Alpic | 1.1.2. (+) შემოსავალი ლიფტების სერვისიდან - გეგმიური | რედ-კო მენეჯმენტ გრუპი (ს.კ. 405198986) - შპს"/>
        <s v="Renting BNB | 1.1.2. (+) შემოსავალი ლიფტების სერვისიდან - გეგმიური | რენთინგ ბიენბი (ს.კ. 404564244) - სს"/>
        <s v="Rumi - batumi | 1.1.2. (+) შემოსავალი ლიფტების სერვისიდან - გეგმიური | რუმი (ს.კ. 445481853) - შპს"/>
        <s v="Aeroporti | 1.1.2. (+) შემოსავალი ლიფტების სერვისიდან - გეგმიური | ტრანსმშენი (ს.კ. 212274812) - სს"/>
        <s v="Archi Jikia Block C | 1.1.2. (+) შემოსავალი ლიფტების სერვისიდან - გეგმიური | არქი საბურთალო (ს.კ. 405176982) - შპს"/>
        <s v="Gudauri Redco Parking | 1.1.2. (+) შემოსავალი ლიფტების სერვისიდან - გეგმიური | რედ-კო მენეჯმენტ გრუპი (ს.კ. 405198986) - შპს"/>
        <s v="City Mall | 1.1.2. (+) შემოსავალი ლიფტების სერვისიდან - გეგმიური | აი ჯი დეველოფმენტ ჯორჯია (ს.კ. 404851503) - შპს"/>
        <s v="ENCORE Gudauri | 1.1.2. (+) შემოსავალი ლიფტების სერვისიდან - გეგმიური | გუდაური ლოჯი (ს.კ. 402084221) - შპს"/>
        <s v="Shvela | 1.1.2. (+) შემოსავალი ლიფტების სერვისიდან - გეგმიური | შველა (ს.კ. 448396021) - შპს"/>
        <s v="Chempioni | 1.1.2. (+) შემოსავალი ლიფტების სერვისიდან - გეგმიური | ჩემპიონი 2 (ს.კ. 248416432) - შპს"/>
        <s v="Kbuleti Str. - Khomeriki | 1.1.2. (+) შემოსავალი ლიფტების სერვისიდან - გეგმიური | სითი დეველოპმენტ (ს.კ. 404481324) - შპს"/>
        <s v="Hospital Generator | 1.2.1. (+) შემოსავალი MEP დანადგარების რეალიზაციიდან | თბილი სახლი (ს.კ. 204976179) - შპს"/>
        <s v="Tskhneti House Valves | 1.2.1. (+) შემოსავალი MEP დანადგარების რეალიზაციიდან | მეპერსი (ს.კ. 402121887) - შპს"/>
        <s v="Epic Bagebi | 1.1.2. (+) შემოსავალი ლიფტების სერვისიდან - გეგმიური | ბაგები (ს.კ. 405330262) - შპს"/>
        <s v="Hilton Garden VRV2 | 1.2.1. (+) შემოსავალი MEP დანადგარების რეალიზაციიდან | მეპერსი (ს.კ. 402121887) - შპს"/>
        <s v="Paata House | 1.2.1. (+) შემოსავალი MEP დანადგარების რეალიზაციიდან | პაატა დვალიშვილი (ს.კ. 01001011731) - ფიზ. პირი"/>
        <s v="MHI Splits | 1.2.1. (+) შემოსავალი MEP დანადგარების რეალიზაციიდან | თბილი სახლი (ს.კ. 204976179) - შპს"/>
        <s v="P1 P2 Ceilings | 1.1.1. (+) შემოსავალი ლიფტების რეალიზაციიდან | აი ჯი დეველოფმენტ ჯორჯია (ს.კ. 404851503) - შპს"/>
        <s v="Chonkadze Home | 1.2.1. (+) შემოსავალი MEP დანადგარების რეალიზაციიდან | ქეთევანი ავალიანი (ს.კ. 60001034749) - ფიზ. პირი"/>
        <s v="Chonkadze Home Split | 1.2.1. (+) შემოსავალი MEP დანადგარების რეალიზაციიდან | ქეთევანი ავალიანი (ს.კ. 60001034749) - ფიზ. პირი"/>
        <s v="Uninstall|Install 2 | 1.1.1. (+) შემოსავალი ლიფტების რეალიზაციიდან | ორბი ჯგუფი ბათუმი (ს.კ. 445468798) - შპს"/>
        <s v="Uninstall|Install 1 | 1.1.1. (+) შემოსავალი ლიფტების რეალიზაციიდან | ორბი ჯგუფი ბათუმი (ს.კ. 445468798) - შპს"/>
        <s v="Modus Wedding Hall | 1.1.1. (+) შემოსავალი ლიფტების რეალიზაციიდან | მოდუსი (ს.კ. 245565669) - შპს"/>
        <s v="Norway Embassy MEP1 | 1.2.1. (+) შემოსავალი MEP დანადგარების რეალიზაციიდან | ნორვეგიის სამეფოს საელჩო ქ. თბილისში (ს.კ. 205376608) - დიპლომატი"/>
        <s v="Turkish Repair | 1.1.1. (+) შემოსავალი ლიფტების რეალიზაციიდან | ორბი ჯგუფი ბათუმი (ს.კ. 445468798) - შპს"/>
        <s v="ATU Duck Type 2020 | 1.2.1. (+) შემოსავალი MEP დანადგარების რეალიზაციიდან | ასოციაცია ატუ (ს.კ. 239402491) - არასამეწარმეო (არაკომერციული) იურიდიული პირი"/>
        <s v="Compressors 1 | 1.2.1. (+) შემოსავალი MEP დანადგარების რეალიზაციიდან | თბილისი ცენტრალი (ს.კ. 205129653) - სს"/>
        <s v="Compressor Instalation | 1.2.1. (+) შემოსავალი MEP დანადგარების რეალიზაციიდან | თბილისი ცენტრალი (ს.კ. 205129653) - სს"/>
        <s v="Mitsubishi Splits | 1.2.1. (+) შემოსავალი MEP დანადგარების რეალიზაციიდან | მონუმენტი 1880 (ს.კ. 402159980) - შპს"/>
        <s v="Hilton Service Parts | 1.2.1. (+) შემოსავალი MEP დანადგარების რეალიზაციიდან | ტურინვესტი (ს.კ. 245555554) - შპს"/>
        <s v="Filter supply and compresor change service | 1.2.1. (+) შემოსავალი MEP დანადგარების რეალიზაციიდან | თბილისი ცენტრალი (ს.კ. 205129653) - სს"/>
        <s v="Conditioners | 1.2.1. (+) შემოსავალი MEP დანადგარების რეალიზაციიდან | აკაკი მგელაძე (ს.კ. 61001034433) - ფიზ. პირი"/>
        <s v="INVERTER COOLING FAN | 1.2.1. (+) შემოსავალი MEP დანადგარების რეალიზაციიდან | მ2 (ს.კ. 404465529) - შპს"/>
        <s v="7Sky VRV Mockup | 1.2.1. (+) შემოსავალი MEP დანადგარების რეალიზაციიდან | მეპერსი (ს.კ. 402121887) - შპს"/>
        <s v="Compressors 2 | 1.2.1. (+) შემოსავალი MEP დანადგარების რეალიზაციიდან | თბილისი ცენტრალი (ს.კ. 205129653) - სს"/>
        <s v="Hilton Batumi VRF | 1.2.3. (+) შემოსავალი MEP დანადგარების სერვისიდან - არაგეგმიური | ტურინვესტი (ს.კ. 245555554) - შპს"/>
        <s v="Rustavi MIA | 1.1.1. (+) შემოსავალი ლიფტების რეალიზაციიდან | ტრანსმშენი (ს.კ. 212274812) - სს"/>
        <s v="Unix Marselle 2 | 1.1.2. (+) შემოსავალი ლიფტების სერვისიდან - გეგმიური | იუნიქს ქონსთრაქშენ კომპანი (ს.კ. 405133822) - შპს"/>
        <s v="Meppers Hilton Garden Inn Carrier | 1.2.1. (+) შემოსავალი MEP დანადგარების რეალიზაციიდან | მეპერსი (ს.კ. 402121887) - შპს"/>
        <s v="Jemali House | 1.2.1. (+) შემოსავალი MEP დანადგარების რეალიზაციიდან | ჯემალ ინაიშვილი (ს.კ. 61001000802) - ფიზ. პირი"/>
        <s v="Inspection | 1.1.2. (+) შემოსავალი ლიფტების სერვისიდან - გეგმიური | ტურინვესტი (ს.კ. 245555554) - შპს"/>
        <s v="Gazapkhuli | 1.1.1. (+) შემოსავალი ლიფტების რეალიზაციიდან | სტრაქტიფორმი (ს.კ. 405313940) - შპს"/>
        <s v="Stela | 1.2.1. (+) შემოსავალი MEP დანადგარების რეალიზაციიდან | შპს სტელა + (ს.კ. 418475974) - შპს"/>
        <s v="SRK45ZSP-S|SRC45ZSP-S | 1.2.1. (+) შემოსავალი MEP დანადგარების რეალიზაციიდან | აკაკი მგელაძე (ს.კ. 61001034433) - ფიზ. პირი"/>
        <s v="Thermoroom 2 units | 1.2.1. (+) შემოსავალი MEP დანადგარების რეალიზაციიდან | თერმორუმი (ს.კ. 405134448) - შპს"/>
        <s v="Conditioners | 1.2.1. (+) შემოსავალი MEP დანადგარების რეალიზაციიდან | გიორგი გულაშვილი (ს.კ. 01026006745) - ფიზ. პირი"/>
        <s v="Sunrise Batumi | 1.1.1. (+) შემოსავალი ლიფტების რეალიზაციიდან | სანრაიზ დეველოპმენტი (ს.კ. 405285221) - შპს"/>
        <s v="Jikia house | 1.2.1. (+) შემოსავალი MEP დანადგარების რეალიზაციიდან | გიორგი ბახტაძე (ს.კ. 01024067298) - ფიზ. პირი"/>
        <s v="Paata House Splits | 1.2.1. (+) შემოსავალი MEP დანადგარების რეალიზაციიდან | პაატა დვალიშვილი (ს.კ. 01001011731) - ფიზ. პირი"/>
        <s v="Mitsubishi Split Conditioners | 1.2.1. (+) შემოსავალი MEP დანადგარების რეალიზაციიდან | თბილი სახლი (ს.კ. 204976179) - შპს"/>
        <s v="Poti Port Service | 1.2.3. (+) შემოსავალი MEP დანადგარების სერვისიდან - არაგეგმიური | AHI Carrier Fzc (ს.კ. ICE001144) - უცხოური საწარმო"/>
        <s v="MHI Conditioner | 1.2.1. (+) შემოსავალი MEP დანადგარების რეალიზაციიდან | ინსტალი (ს.კ. 404436570) - შპს"/>
        <s v="Split Mitsubishi Conditioners (R410A) | 1.2.1. (+) შემოსავალი MEP დანადგარების რეალიზაციიდან | გიორგი გულაშვილი (ს.კ. 01026006745) - ფიზ. პირი"/>
        <s v="N2 lift service | 1.1.3. (+) შემოსავალი ლიფტების სერვისიდან - არაგეგმიური | გალერია თბილისი (ს.კ. 204558497) - შპს"/>
        <s v="Beach Tower Trouble | 1.2.1. (+) შემოსავალი MEP დანადგარების რეალიზაციიდან | ტექნოკლიმა (ს.კ. 402009857) - შპს"/>
        <s v="Kafelis Saxli | 1.1.1. (+) შემოსავალი ლიფტების რეალიზაციიდან | მოდუსი (ს.კ. 245565669) - შპს"/>
        <s v="Fan Propeller | 1.2.1. (+) შემოსავალი MEP დანადგარების რეალიზაციიდან | თბილი სახლი (ს.კ. 204976179) - შპს"/>
        <s v="4 Units RC-EX3 | 1.2.1. (+) შემოსავალი MEP დანადგარების რეალიზაციიდან | თერმორუმი (ს.კ. 405134448) - შპს"/>
        <s v="3 MHI SPLITS | 1.2.1. (+) შემოსავალი MEP დანადგარების რეალიზაციიდან | თერმორუმი (ს.კ. 405134448) - შპს"/>
        <s v="Compressor | 1.2.1. (+) შემოსავალი MEP დანადგარების რეალიზაციიდან | აკაკი ახვლედიანი (ს.კ. 01024008652) - ფიზ. პირი"/>
        <s v="PU Ducts | 1.2.1. (+) შემოსავალი MEP დანადგარების რეალიზაციიდან | თერმორუმი (ს.კ. 405134448) - შპს"/>
        <s v="Orbi Spa | 1.1.1. (+) შემოსავალი ლიფტების რეალიზაციიდან | ორბი ჯგუფი (ს.კ. 245621849) - შპს"/>
        <s v="ICE - Gazapkhuli Stock | 1.1.1. (+) შემოსავალი ლიფტების რეალიზაციიდან | აი-სი-ი (ს.კ. 400017245) - შპს"/>
        <s v="Paata House Thermostats  | 1.2.1. (+) შემოსავალი MEP დანადგარების რეალიზაციიდან | პაატა დვალიშვილი (ს.კ. 01001011731) - ფიზ. პირი"/>
        <s v="Ford Center Propeler Motor | 1.2.1. (+) შემოსავალი MEP დანადგარების რეალიზაციიდან | თბილი სახლი (ს.კ. 204976179) - შპს"/>
        <s v="N13 Elevator board | 1.1.3. (+) შემოსავალი ლიფტების სერვისიდან - არაგეგმიური | გალერია თბილისი (ს.კ. 204558497) - შპს"/>
        <s v="Display &amp; Board | 1.1.3. (+) შემოსავალი ლიფტების სერვისიდან - არაგეგმიური | იუნიქს ქონსთრაქშენ კომპანი (ს.კ. 405133822) - შპს"/>
        <s v="Meboengineering | 1.2.1. (+) შემოსავალი MEP დანადგარების რეალიზაციიდან | მებოენჯინიერინგ (ს.კ. 405353399) - შპს"/>
        <s v="Havana club | 1.2.1. (+) შემოსავალი MEP დანადგარების რეალიზაციიდან | არგო გრუპ ჯორჯია (ს.კ. 400113532) - შპს"/>
        <s v="Carrier Unit | 1.2.1. (+) შემოსავალი MEP დანადგარების რეალიზაციიდან | ლენოქსი (ს.კ. 418476893) - შპს"/>
        <s v="Dumpers | 1.2.1. (+) შემოსავალი MEP დანადგარების რეალიზაციიდან | ლენოქსი (ს.კ. 418476893) - შპს"/>
        <s v="ICE - Lilo Open Stock | 1.1.1. (+) შემოსავალი ლიფტების რეალიზაციიდან | აი-სი-ი (ს.კ. 400017245) - შპს"/>
        <s v="ICE - Lilo Closed Stock | 1.1.1. (+) შემოსავალი ლიფტების რეალიზაციიდან | აი-სი-ი (ს.კ. 400017245) - შპს"/>
        <s v="Bagebi | 1.1.2. (+) შემოსავალი ლიფტების სერვისიდან - გეგმიური | სფერა (ს.კ. 405412361 ) - შპს"/>
        <s v="Axis office | 1.2.1. (+) შემოსავალი MEP დანადგარების რეალიზაციიდან | თბილი სახლი (ს.კ. 204976179) - შპს"/>
        <s v="Jemali house Elevator | 1.1.1. (+) შემოსავალი ლიფტების რეალიზაციიდან | ჯემალ ინაიშვილი (ს.კ. 61001000802) - ფიზ. პირი"/>
        <s v="Galleria Tbilisi | 1.1.3. (+) შემოსავალი ლიფტების სერვისიდან - არაგეგმიური | თბილი სახლი (ს.კ. 204976179) - შპს"/>
        <s v="Asatiani - Kvariati | 1.2.1. (+) შემოსავალი MEP დანადგარების რეალიზაციიდან | თინათინ ასათიანი (ს.კ. 01009008545) - ფიზ. პირი"/>
        <s v="Mitsubishi Compressor | 1.2.1. (+) შემოსავალი MEP დანადგარების რეალიზაციიდან | თბილი სახლი (ს.კ. 204976179) - შპს"/>
        <s v="Galleria Elevator Spare Parts  | 1.1.3. (+) შემოსავალი ლიფტების სერვისიდან - არაგეგმიური | გალერია თბილისი (ს.კ. 204558497) - შპს"/>
        <s v="Galleria Escalator Spare Part  | 1.1.3. (+) შემოსავალი ლიფტების სერვისიდან - არაგეგმიური | გალერია თბილისი (ს.კ. 204558497) - შპს"/>
        <s v="Archi Isani 2 | 1.1.1. (+) შემოსავალი ლიფტების რეალიზაციიდან | ბკ ქონსთრაქშენი (ს.კ. 404537809) - შპს"/>
        <s v="House Elevator | 1.1.1. (+) შემოსავალი ლიფტების რეალიზაციიდან | ჯემალ ინაიშვილი (ს.კ. 61001000802) - ფიზ. პირი"/>
        <s v="Rustavi Moll and Poti | 1.1.1. (+) შემოსავალი ლიფტების რეალიზაციიდან | რუსთავი მოლი (ს.კ. 405271450) - შპს"/>
        <s v="Zugdidi | 1.1.1. (+) შემოსავალი ლიფტების რეალიზაციიდან | ზუგდიდი პალასი (ს.კ. 404583492) - შპს"/>
        <s v="Digomi elevators | 1.1.1. (+) შემოსავალი ლიფტების რეალიზაციიდან | თბილი სახლი (ს.კ. 204976179) - შპს"/>
        <s v="VRF Sensor &amp; Fan motor | 1.2.1. (+) შემოსავალი MEP დანადგარების რეალიზაციიდან | თბილისი ცენტრალი (ს.კ. 205129653) - სს"/>
        <s v="Living Container | 1.3.1. (+) სხვადასხვა ინვენტარის რეალიზაცია | მეპერსი (ს.კ. 402121887) - შპს"/>
        <s v="MHI Split | 1.2.1. (+) შემოსავალი MEP დანადგარების რეალიზაციიდან | ელიტ ელექტრონიქსი (ს.კ. 202268928) - შპს"/>
        <s v="Sveti | 1.1.1. (+) შემოსავალი ლიფტების რეალიზაციიდან | ოპტიმა (ს.კ. 405160819) - შპს"/>
        <s v="Moxy Zaabruken Hotel 1 | 1.1.3. (+) შემოსავალი ლიფტების სერვისიდან - არაგეგმიური | ჯი-ემ-თი სასტუმროები (ს.კ. 203842333) - შპს"/>
        <s v="Moxy Zaabruken Hotel 2 | 1.1.3. (+) შემოსავალი ლიფტების სერვისიდან - არაგეგმიური | ჯი-ემ-თი სასტუმროები (ს.კ. 203842333) - შპს"/>
        <s v="Mitsubishi Split Conditioners | 1.2.1. (+) შემოსავალი MEP დანადგარების რეალიზაციიდან | დავით დავითაშვილი (ს.კ. 24001002261) - ფიზ. პირი"/>
        <s v="Zara Brush | 1.1.3. (+) შემოსავალი ლიფტების სერვისიდან - არაგეგმიური | Spanish Retail Georgia (ს.კ. 404404774) - შპს"/>
        <s v="Zara City Mall | 1.1.3. (+) შემოსავალი ლიფტების სერვისიდან - არაგეგმიური | Spanish Retail Georgia (ს.კ. 404404774) - შპს"/>
        <s v="IBIS Perovi | 1.1.3. (+) შემოსავალი ლიფტების სერვისიდან - არაგეგმიური | ბეტა ჯგუფი (ს.კ. 405171996) - შპს"/>
        <s v="DAR TOWER | 1.1.3. (+) შემოსავალი ლიფტების სერვისიდან - არაგეგმიური | Dar Building (ს.კ. 445420875) - შპს"/>
        <s v="UNIX Ipolit Ivanov | 1.1.3. (+) შემოსავალი ლიფტების სერვისიდან - არაგეგმიური | იუნიქს ქონსთრაქშენ კომპანი (ს.კ. 405133822) - შპს"/>
        <s v="TWIN TOWER | 1.1.3. (+) შემოსავალი ლიფტების სერვისიდან - არაგეგმიური | ორბი ჯგუფი ბათუმი (ს.კ. 445468798) - შპს"/>
        <s v="Beach Tower | 1.1.3. (+) შემოსავალი ლიფტების სერვისიდან - არაგეგმიური | ორბი ჯგუფი (ს.კ. 245621849) - შპს"/>
        <s v="Aparthotel Vake | 1.1.1. (+) შემოსავალი ლიფტების რეალიზაციიდან | კანალესა (ს.კ. 405021925) - შპს"/>
        <s v="Archi Isani | 1.1.1. (+) შემოსავალი ლიფტების რეალიზაციიდან | ანაგი (ს.კ. 245416401) - შპს"/>
        <s v="Kobuleti Garden Inn | 1.1.1. (+) შემოსავალი ლიფტების რეალიზაციიდან | იოსებ გუნთაიშვილი (ს.კ. 61001008820) - ფიზ. პირი"/>
        <s v="Thermostats and joints | 1.2.1. (+) შემოსავალი MEP დანადგარების რეალიზაციიდან | ბალტიის ბიზნეს განვითარება (ს.კ. 400098078 ) - შპს"/>
        <s v="Mitsubishi Conditioner | 1.2.1. (+) შემოსავალი MEP დანადგარების რეალიზაციიდან | თერმორუმი (ს.კ. 405134448) - შპს"/>
        <s v="Mitsubishi Split Condicioner | 1.2.1. (+) შემოსავალი MEP დანადგარების რეალიზაციიდან | ირინა ბაგრატიონი (ს.კ. 62001000738) - ფიზ. პირი"/>
        <s v="Rent-Tamarashvili | 1.3.2. (+) იჯარიდან მიღებული შემოსავალი | ემ-ეს-სი ჯორჯია (ს.კ. 205276681) - შპს"/>
        <s v="M2 conditioner instalatio | 1.2.3. (+) შემოსავალი MEP დანადგარების სერვისიდან - არაგეგმიური | ბკ ქონსთრაქშენი (ს.კ. 404537809) - შპს"/>
        <s v="Redisson Red VRV | 1.2.1. (+) შემოსავალი MEP დანადგარების რეალიზაციიდან | ბალტიის ბიზნეს განვითარება (ს.კ. 400098078 ) - შპს"/>
        <s v="SAUDI | 1.2.1. (+) შემოსავალი MEP დანადგარების რეალიზაციიდან | CENTER OF ELECTRICAT GOODS (ს.კ. ICE001696) - უცხოური საწარმო"/>
        <s v="Abashidze 70  | 1.1.3. (+) შემოსავალი ლიფტების სერვისიდან - არაგეგმიური | ი. აბაშიძე 70 (ს.კ. ICE001082) - ამხანაგობა"/>
        <s v="Ford Center | 1.2.1. (+) შემოსავალი MEP დანადგარების რეალიზაციიდან | თბილი სახლი (ს.კ. 204976179) - შპს"/>
        <s v="Hotel Radius | 1.2.1. (+) შემოსავალი MEP დანადგარების რეალიზაციიდან | თბილი სახლი (ს.კ. 204976179) - შპს"/>
        <s v="SOLOLAKI VRF  | 1.2.1. (+) შემოსავალი MEP დანადგარების რეალიზაციიდან | სტუდიო  (ს.კ. 405429987 ) - შპს"/>
        <s v="2 Units Mitsubishi Split Conditioner | 1.2.1. (+) შემოსავალი MEP დანადგარების რეალიზაციიდან | გიორგი მარგებაძე (ს.კ. 01025019447) - ფიზ. პირი"/>
        <s v="SARJVELADZE - VRF | 1.2.1. (+) შემოსავალი MEP დანადგარების რეალიზაციიდან | თენგიზ სარჯველაძე (ს.კ. 61001018248) - ფიზ. პირი"/>
        <s v="Samkharauli SOS | 1.2.1. (+) შემოსავალი MEP დანადგარების რეალიზაციიდან | პალადა (ს.კ. 205180472) - შპს"/>
        <s v="ATU Conditioners | 1.2.1. (+) შემოსავალი MEP დანადგარების რეალიზაციიდან | ასოციაცია ატუ (ს.კ. 239402491) - არასამეწარმეო (არაკომერციული) იურიდიული პირი"/>
        <s v="HIEX | 1.2.1. (+) შემოსავალი MEP დანადგარების რეალიზაციიდან | მეპერსი (ს.კ. 402121887) - შპს"/>
        <s v="Germany Embassy  | 1.2.1. (+) შემოსავალი MEP დანადგარების რეალიზაციიდან | ბეთბი (ს.კ. 204882190 ) - შპს"/>
        <s v="Germany Embassy  | 1.2.2. (+) შემოსავალი MEP დანადგარების სერვისიდან - გეგმიური | ბეთბი (ს.კ. 204882190 ) - შპს"/>
        <s v="Germany Embassy  | 1.2.3. (+) შემოსავალი MEP დანადგარების სერვისიდან - არაგეგმიური | ბეთბი (ს.კ. 204882190 ) - შპს"/>
        <s v="Tabori Resorts | 1.2.1. (+) შემოსავალი MEP დანადგარების რეალიზაციიდან | თაბორი რიზორთსი (ს.კ. 405147755 ) - შპს"/>
        <s v="Tbili Sakhli Digomi | 1.1.1. (+) შემოსავალი ლიფტების რეალიზაციიდან | თბილი სახლი (ს.კ. 204976179) - შპს"/>
        <s v="Tsirekidze - Mitsubishi Split Conditioner | 1.2.1. (+) შემოსავალი MEP დანადგარების რეალიზაციიდან | გრიგოლ ცირეკიძე (ს.კ. 01007008822) - ფიზ. პირი"/>
        <s v="Norwegian Embassy | 1.2.1. (+) შემოსავალი MEP დანადგარების რეალიზაციიდან | ნორვეგიის სამეფოს საელჩო ქ. თბილისში (ს.კ. 205376608) - დიპლომატი"/>
        <s v="Krtsanisi Residence | 1.2.1. (+) შემოსავალი MEP დანადგარების რეალიზაციიდან | კრწანისი როიალ რეზიდენსი (ს.კ. 404569837) - შპს"/>
        <s v="Okrokana | 1.1.1. (+) შემოსავალი ლიფტების რეალიზაციიდან | გრინ ლაიფ (ს.კ. 404477730) - შპს"/>
        <s v="Okrokana  MEP | 1.2.1. (+) შემოსავალი MEP დანადგარების რეალიზაციიდან | გრინ ლაიფ (ს.კ. 404477730) - შპს"/>
        <s v="Krtsanisi Residence 1 | 1.2.1. (+) შემოსავალი MEP დანადგარების რეალიზაციიდან | კრწანისი როიალ რეზიდენსი (ს.კ. 404569837) - შპს"/>
        <s v="Lezhava - Mitsubishi Split Conditioner | 1.2.1. (+) შემოსავალი MEP დანადგარების რეალიზაციიდან | ბექა ლეჟავა (ს.კ. 01009014629) - ფიზ. პირი"/>
        <s v="Gagnidze - Mitsubishi Split Conditioner | 1.2.1. (+) შემოსავალი MEP დანადგარების რეალიზაციიდან | გიორგი გაგნიძე (ს.კ. 01027023991) - ფიზ. პირი"/>
        <s v="Gagnidze - Mitsubishi Split Conditioner Instalation | 1.2.1. (+) შემოსავალი MEP დანადგარების რეალიზაციიდან | გიორგი გაგნიძე (ს.კ. 01027023991) - ფიზ. პირი"/>
        <s v="Hilton Batumi VRF Service | 1.2.2. (+) შემოსავალი MEP დანადგარების სერვისიდან - გეგმიური | ტურინვესტი (ს.კ. 245555554) - შპს"/>
        <s v="10 Units Mitsubishi Split Conditioner | 1.2.1. (+) შემოსავალი MEP დანადგარების რეალიზაციიდან | სოკარ ჯორჯია პეტროლეუმი (ს.კ. 202352514) - შპს"/>
        <s v="Talakvadze - Mitsubishi Split Conditioner | 1.2.1. (+) შემოსავალი MEP დანადგარების რეალიზაციიდან | ანა თალაკვაძე (ს.კ. 01001003747) - ფიზ. პირი"/>
        <s v="Bragvadze - Mitsubishi Split Conditioner | 1.2.1. (+) შემოსავალი MEP დანადგარების რეალიზაციიდან | რუსუდან ბრაგვაძე (ს.კ. 01024067897) - ფიზ. პირი"/>
        <s v="Ioseliani - Mitsubishi Split Conditioner | 1.2.1. (+) შემოსავალი MEP დანადგარების რეალიზაციიდან | ონისე იოსელიანი (ს.კ. 01009020969) - ფიზ. პირი"/>
        <s v="Machavariani - 3 Units Mitsubishi Split Conditioner | 1.2.1. (+) შემოსავალი MEP დანადგარების რეალიზაციიდან | დავით მაჭავარიანი (ს.კ. 01031006443) - ფიზ. პირი"/>
        <s v="Green life - 2 Units Mitsubishi Split Conditioner | 1.2.1. (+) შემოსავალი MEP დანადგარების რეალიზაციიდან | გრინ ლაიფ (ს.კ. 404477730) - შპს"/>
        <s v="Tavartkiladze - Mitsubishi Split Conditioner | 1.2.1. (+) შემოსავალი MEP დანადგარების რეალიზაციიდან | ირაკლი თავართქილაძე (ს.კ. 61001014004) - ფიზ. პირი"/>
        <s v="Wendys Compressors | 1.2.1. (+) შემოსავალი MEP დანადგარების რეალიზაციიდან | ვენჯორჯია (ს.კ. 404885335) - შპს"/>
        <s v="IBIS ORTACHALA MEP + VRF Washing | 1.2.1. (+) შემოსავალი MEP დანადგარების რეალიზაციიდან | მაქრო ტურიზმ (ს.კ. 404492759) - შპს"/>
        <s v="Tbilisi Central MHI Compressor | 1.2.1. (+) შემოსავალი MEP დანადგარების რეალიზაციიდან | თბილისი ცენტრალი (ს.კ. 205129653) - სს"/>
        <s v="ICEBERG | 1.1.1. (+) შემოსავალი ლიფტების რეალიზაციიდან | აისბერგი 2 (ს.კ. 215127725) - შპს"/>
        <s v="7th Heaven Mockup 2 | 1.2.1. (+) შემოსავალი MEP დანადგარების რეალიზაციიდან | ეიჩ გრუპ კონსტრაქშენ (ს.კ. 445510411) - შპს"/>
        <s v="Inverter Board and Buttons | 1.1.3. (+) შემოსავალი ლიფტების სერვისიდან - არაგეგმიური | იუნიქს ქონსთრაქშენ კომპანი (ს.კ. 405133822) - შპს"/>
        <s v="Mziuri Office | 1.1.1. (+) შემოსავალი ლიფტების რეალიზაციიდან | ანაგი (ს.კ. 245416401) - შპს"/>
        <s v="Mziuri Garden | 1.1.1. (+) შემოსავალი ლიფტების რეალიზაციიდან | მზიური რეზორტ (ს.კ. 404462256) - შპს"/>
        <s v="Tbilisi Central Conditioners system | 1.2.1. (+) შემოსავალი MEP დანადგარების რეალიზაციიდან | თბილისი ცენტრალი (ს.კ. 205129653) - სს"/>
        <s v="Lisi Green | 1.1.1. (+) შემოსავალი ლიფტების რეალიზაციიდან | გრინ დეველოპმენტი (ს.კ. 204452412) - შპს"/>
        <s v="Disabled Platform | 1.1.1. (+) შემოსავალი ლიფტების რეალიზაციიდან | ჯი თი ჯი კაპიტალი (ს.კ. 405307350) - შპს"/>
        <s v="Carrier AC | 1.2.1. (+) შემოსავალი MEP დანადგარების რეალიზაციიდან | თბილი სახლი (ს.კ. 204976179) - შპს"/>
        <s v="Akhaltsikhe Compressor | 1.2.1. (+) შემოსავალი MEP დანადგარების რეალიზაციიდან | თბილი სახლი (ს.კ. 204976179) - შპს"/>
        <s v="Toshiba Outdoor Unit | 1.2.1. (+) შემოსავალი MEP დანადგარების რეალიზაციიდან | პენსილვანიის (აშშ) საგუშაგო კოშკის, ბიბლიისა და&#10;ტრაქტატების საზოგადოების ფილიალი საქართველოში (ს.კ. 206093494) - უცხოური არასამეწარმეო იურიდიული პირის ფილიალი"/>
        <s v="Hilton 1703 | 1.2.1. (+) შემოსავალი MEP დანადგარების რეალიზაციიდან | ეკატერინა ბერდიშევა (ს.კ. 762917460) - ფიზ. პირი"/>
        <s v="Gogotishvili kaklebi | 1.2.1. (+) შემოსავალი MEP დანადგარების რეალიზაციიდან | თბილი სახლი (ს.კ. 204976179) - შპს"/>
        <s v="Armenia Project | 1.2.1. (+) შემოსავალი MEP დანადგარების რეალიზაციიდან | SIGRAM (ს.კ. ICE001752) - უცხოური საწარმო"/>
        <s v="Supreme Solutions | 1.2.1. (+) შემოსავალი MEP დანადგარების რეალიზაციიდან | სუპრემე სოლუთიონს (ს.კ. 445587320) - შპს"/>
        <s v="HOTEL IBIS VRV Service | 1.2.3. (+) შემოსავალი MEP დანადგარების სერვისიდან - არაგეგმიური | მაქრო ტურიზმ (ს.კ. 404492759) - შპს"/>
        <s v="Makhata | 1.1.1. (+) შემოსავალი ლიფტების რეალიზაციიდან | ანაგი (ს.კ. 245416401) - შპს"/>
        <s v="BLC VRF | 1.2.1. (+) შემოსავალი MEP დანადგარების რეალიზაციიდან | ბიელსი (ს.კ. 404507182) - შპს"/>
        <s v="Jgenti Warehouse | 1.1.1. (+) შემოსავალი ლიფტების რეალიზაციიდან | ემ ელ სი ლოჯისტიკს (ს.კ. 405380181) - შპს"/>
        <s v="Vake Apartment | 1.2.1. (+) შემოსავალი MEP დანადგარების რეალიზაციიდან | გიდანი (ს.კ. 205259780) - შპს"/>
        <s v="Anton Voronin -HILTON BATUMI  | 1.2.1. (+) შემოსავალი MEP დანადგარების რეალიზაციიდან | ანტონ ვორონინი (ს.კ. 03187803411) - ფიზ. პირი"/>
        <s v="Batumi Stadium | 1.1.2. (+) შემოსავალი ლიფტების სერვისიდან - გეგმიური | აჭარის პროექტების მართვის კომპანია (ს.კ. 445409415) - შპს"/>
        <s v="Mshvildosani - Mitsubishi Conditioner | 1.2.1. (+) შემოსავალი MEP დანადგარების რეალიზაციიდან | მშვილდოსანი (ს.კ. 404385401) - შპს"/>
        <s v="Shartava 39 | 1.1.2. (+) შემოსავალი ლიფტების სერვისიდან - გეგმიური | ნინო სირბილაძე (ს.კ. 01008033246) - ფიზ. პირი"/>
        <s v="Kitchen Fan | 1.2.1. (+) შემოსავალი MEP დანადგარების რეალიზაციიდან | ასოციაცია ატუ (ს.კ. 239402491) - არასამეწარმეო (არაკომერციული) იურიდიული პირი"/>
        <s v="Khachatrian - Mitsubishi Split Conditioner | 1.2.1. (+) შემოსავალი MEP დანადგარების რეალიზაციიდან | ტიგრან ხაჩატრიან (ს.კ. 65130000512) - ფიზ. პირი"/>
        <s v="Fans and Dumper | 1.2.1. (+) შემოსავალი MEP დანადგარების რეალიზაციიდან | ლენოქსი (ს.კ. 418476893) - შპს"/>
        <s v="Premium Group | 1.1.1. (+) შემოსავალი ლიფტების რეალიზაციიდან | პრემიუმ ჯგუფი (ს.კ. 445522907) - შპს"/>
        <s v="HAVANA CLUB KIFSHIDZE | 1.2.3. (+) შემოსავალი MEP დანადგარების სერვისიდან - არაგეგმიური | ჰავანა (ს.კ. 405022817) - შპს"/>
        <s v="Sea Tower | 1.1.1. (+) შემოსავალი ლიფტების რეალიზაციიდან | ორბი ჯგუფი (ს.კ. 245621849) - შპს"/>
        <s v="MESKHI - 4 Units Mitsubishi Conditioner | 1.2.1. (+) შემოსავალი MEP დანადგარების რეალიზაციიდან | მაია მესხი (ს.კ. 01024009520) - ფიზ. პირი"/>
        <s v="SARJVELADZE - Multisplit | 1.2.1. (+) შემოსავალი MEP დანადგარების რეალიზაციიდან | თენგიზ სარჯველაძე (ს.კ. 61001018248) - ფიზ. პირი"/>
        <s v="Batumi, Ninoshvilis 23 | 1.1.2. (+) შემოსავალი ლიფტების სერვისიდან - გეგმიური | ბმა ქ. ბათუმი, ნინოშვილის N23ა (ს.კ. ICE001801) - ამხანაგობა"/>
        <s v="SAKCABELI | 1.2.1. (+) შემოსავალი MEP დანადგარების რეალიზაციიდან | კაპიტალ გრუპი (ს.კ. 405296255) - შპს"/>
        <s v="Lisi Villa MEP &amp; Smart house | 1.2.1. (+) შემოსავალი MEP დანადგარების რეალიზაციიდან | ირაკლი ბუხიაშვილი (ს.კ. 01031007136) - ფიზ. პირი"/>
        <s v="Galleria Tbilisi - Escalator Handrail rollers | 1.1.3. (+) შემოსავალი ლიფტების სერვისიდან - არაგეგმიური | გალერია თბილისი (ს.კ. 204558497) - შპს"/>
        <s v="Orbi City D2 block | 1.1.1. (+) შემოსავალი ლიფტების რეალიზაციიდან | ორბი ჯგუფი ბათუმი (ს.კ. 445468798) - შპს"/>
        <s v="Orbi city D1 block | 1.1.1. (+) შემოსავალი ლიფტების რეალიზაციიდან | ორბი ჯგუფი ბათუმი (ს.კ. 445468798) - შპს"/>
        <s v="Sea Tower Additional | 1.1.1. (+) შემოსავალი ლიფტების რეალიზაციიდან | ორბი ჯგუფი (ს.კ. 245621849) - შპს"/>
        <s v="Shyposha - Hilton Batumi  Apartment | 1.2.1. (+) შემოსავალი MEP დანადგარების რეალიზაციიდან | ოლეკსანდრ შიპოშა (ს.კ. 19891103-00237) - ფიზ. პირი"/>
        <s v="Fan Motor | 1.2.1. (+) შემოსავალი MEP დანადგარების რეალიზაციიდან | კლიმატ ინჟინერინგი (ს.კ. 405164584) - შპს"/>
        <s v="Lortkipanidze - Mitsubishi Conditioner | 1.2.1. (+) შემოსავალი MEP დანადგარების რეალიზაციიდან | გიორგი ლორთქიფანიძე (ს.კ. 01009002617) - ფიზ. პირი"/>
        <s v="Alliance Highline | 1.1.1. (+) შემოსავალი ლიფტების რეალიზაციიდან | ალიანსი თბილისი (ს.კ. 405144703) - შპს"/>
        <s v="Kaklebi doors repears | 1.1.3. (+) შემოსავალი ლიფტების სერვისიდან - არაგეგმიური | გოჩა ჩხაიძე (ს.კ. 65002012107) - ფიზ. პირი"/>
        <s v="Iveshniakov - Conditioner | 1.2.1. (+) შემოსავალი MEP დანადგარების რეალიზაციიდან | იევგენ ოვეშნიაქოვ (ს.კ. 1982092803392) - ფიზ. პირი"/>
        <s v="Supreme Solutions VRV | 1.2.1. (+) შემოსავალი MEP დანადგარების რეალიზაციიდან | სუპრემე სოლუთიონს (ს.კ. 445587320) - შპს"/>
        <s v="Iakobidze - Mitsubishi Conditioner | 1.2.1. (+) შემოსავალი MEP დანადგარების რეალიზაციიდან | ილია იაკობიძე (ს.კ. 01008053571) - ფიზ. პირი"/>
        <s v="Samkharadze - 2 Units Mitsubishi Conditioner | 1.2.1. (+) შემოსავალი MEP დანადგარების რეალიზაციიდან | ბეჟან სამხარაძე (ს.კ. 01024029963) - ფიზ. პირი"/>
        <s v="Inaishvili - 2 Units Mitsubishi Conditioner | 1.2.1. (+) შემოსავალი MEP დანადგარების რეალიზაციიდან | ჯემალ ინაიშვილი (ს.კ. 61001000802) - ფიზ. პირი"/>
        <s v="MOXY HOTEL | 1.1.2. (+) შემოსავალი ლიფტების სერვისიდან - გეგმიური | ჯი-ემ-თი სასტუმროები (ს.კ. 203842333) - შპს"/>
        <s v="Baratashvili | 1.1.2. (+) შემოსავალი ლიფტების სერვისიდან - გეგმიური | Dar Building (ს.კ. 445420875) - შპს"/>
        <s v="Biota Park | 1.1.2. (+) შემოსავალი ლიფტების სერვისიდან - გეგმიური | ანა ფირცხალავა (ს.კ. 62003014448) - ინდ. მეწარმე"/>
        <s v="Rustavi and Poti Mall | 1.1.2. (+) შემოსავალი ლიფტების სერვისიდან - გეგმიური | რუსთავი მოლი (ს.კ. 405271450) - შპს"/>
        <s v="Poti | 1.1.2. (+) შემოსავალი ლიფტების სერვისიდან - გეგმიური | რუსთავი მოლი (ს.კ. 405271450) - შპს"/>
        <s v="Archi Isani C | 1.1.2. (+) შემოსავალი ლიფტების სერვისიდან - გეგმიური | პრაიმ არქი (ს.კ. 406132929) - შპს"/>
        <s v="Archi Isani D Block | 1.1.2. (+) შემოსავალი ლიფტების სერვისიდან - გეგმიური | პრაიმ არქი (ს.კ. 406132929) - შპს"/>
        <s v="Dighomi | 1.1.2. (+) შემოსავალი ლიფტების სერვისიდან - გეგმიური | თბილი სახლი (ს.კ. 204976179) - შპს"/>
        <s v="Mestia | 1.1.2. (+) შემოსავალი ლიფტების სერვისიდან - გეგმიური | თბილი სახლი (ს.კ. 204976179) - შპს"/>
        <s v="Janashia | 1.1.2. (+) შემოსავალი ლიფტების სერვისიდან - გეგმიური | თბილი სახლი (ს.კ. 204976179) - შპს"/>
        <s v="ORBI CITY C | 1.1.2. (+) შემოსავალი ლიფტების სერვისიდან - გეგმიური | ორბი ჯგუფი ბათუმი (ს.კ. 445468798) - შპს"/>
        <s v="Chavchavadze 30 | 1.1.2. (+) შემოსავალი ლიფტების სერვისიდან - გეგმიური | კომპანია ჯდჯ (ს.კ. 405119964) - შპს"/>
        <s v="UNIX MARSEL | 1.1.2. (+) შემოსავალი ლიფტების სერვისიდან - გეგმიური | ფრანგული უბანი ფრანგული უბნის ,,დ'' და ,,ე'' ბლოკების ამხანაგობა (ს.კ. 200316657) - ამხანაგობა"/>
        <s v="UNIX IPOLIT IVANOV | 1.1.2. (+) შემოსავალი ლიფტების სერვისიდან - გეგმიური | ფრანგული დასახლების ა-ბ-გ ბლოკების ამხანაგობა (ს.კ. 200317273) - ამხანაგობა"/>
        <s v="Gorgiladzis 88a | 1.1.2. (+) შემოსავალი ლიფტების სერვისიდან - გეგმიური | გორგილაძის 88ა (ს.კ. ICE001857) - ამხანაგობა"/>
        <s v="Isani Palace | 1.1.2. (+) შემოსავალი ლიფტების სერვისიდან - გეგმიური | ისანი პალასი (ს.კ. ICE001858) - ამხანაგობა"/>
        <s v="Jgenti Warehouse | 1.1.2. (+) შემოსავალი ლიფტების სერვისიდან - გეგმიური | ემ ელ სი ლოჯისტიკს (ს.კ. 405380181) - შპს"/>
        <s v="Ninotsminda - Mitsubishi Conditioner | 1.2.1. (+) შემოსავალი MEP დანადგარების რეალიზაციიდან | ნინოწმინდა (ს.კ. 438115754) - შპს"/>
        <s v="Modus Kakhety HW 2 | 1.1.2. (+) შემოსავალი ლიფტების სერვისიდან - გეგმიური | მოდუსი (ს.კ. 245565669) - შპს"/>
        <s v="Batumi Apartaments | 1.3.1. (+) სხვადასხვა ინვენტარის რეალიზაცია | აი-სი-ი (ს.კ. 400017245) - შპს"/>
        <s v="Tsikhisdziri | 1.2.1. (+) შემოსავალი MEP დანადგარების რეალიზაციიდან | დემურ დიასამიძე (ს.კ. 61001029125) - ფიზ. პირი"/>
        <s v="Holiday Inn | 1.1.1. (+) შემოსავალი ლიფტების რეალიზაციიდან | ლაიქ ჰაუსი (ს.კ. 445478563) - შპს"/>
        <s v="Park Home Saburtalo | 1.1.1. (+) შემოსავალი ლიფტების რეალიზაციიდან | ნუცუბიძე (ს.კ. 405387861) - შპს"/>
        <s v="BLC VRF Service | 1.2.3. (+) შემოსავალი MEP დანადგარების სერვისიდან - არაგეგმიური | ბიელსი (ს.კ. 404507182) - შპს"/>
        <s v="Beroshvili - Mitsubishi Split Conditioner | 1.2.1. (+) შემოსავალი MEP დანადგარების რეალიზაციიდან | ზურაბ ბეროშვილი (ს.კ. 01008016853) - ფიზ. პირი"/>
        <s v="Seturidze - Mitsubishi Conditioner | 1.2.1. (+) შემოსავალი MEP დანადგარების რეალიზაციიდან | ნიკოლოზ სეთურიძე (ს.კ. 01017017831) - ფიზ. პირი"/>
        <s v="7th sky | 1.1.1. (+) შემოსავალი ლიფტების რეალიზაციიდან | ეიჩ გრუპ კონსტრაქშენ (ს.კ. 445510411) - შპს"/>
        <s v="ALLIANCE HIGHLINES CHILLERS | 1.2.1. (+) შემოსავალი MEP დანადგარების რეალიზაციიდან | მეპერსი (ს.კ. 402121887) - შპს"/>
        <s v="Moxy hotel Service | 1.2.3. (+) შემოსავალი MEP დანადგარების სერვისიდან - არაგეგმიური | ვერგე (ს.კ. 425365507) - შპს"/>
        <s v="Askaneli Restaurant | 1.2.3. (+) შემოსავალი MEP დანადგარების სერვისიდან - არაგეგმიური | გრიინ ინვესტ (ს.კ. 445450850) - შპს"/>
        <s v="Galleria Tbilisi - Escalator Combs | 1.1.3. (+) შემოსავალი ლიფტების სერვისიდან - არაგეგმიური | გალერია თბილისი (ს.კ. 204558497) - შპს"/>
        <s v="ATU Conditioners 2 | 1.2.1. (+) შემოსავალი MEP დანადგარების რეალიზაციიდან | ასოციაცია ატუ (ს.კ. 239402491) - არასამეწარმეო (არაკომერციული) იურიდიული პირი"/>
        <s v="Okrokana Service | 1.1.2. (+) შემოსავალი ლიფტების სერვისიდან - გეგმიური | გრინ ლაიფ (ს.კ. 404477730) - შპს"/>
        <s v="Monadirishvili - Mitsubishi Conditioner  | 1.2.1. (+) შემოსავალი MEP დანადგარების რეალიზაციიდან | შოთა მონადირიშვილი (ს.კ. 01024051928) - ფიზ. პირი"/>
        <s v="Compressor | 1.2.1. (+) შემოსავალი MEP დანადგარების რეალიზაციიდან | თბილი სახლი (ს.კ. 204976179) - შპს"/>
        <s v="VOYARG ASSY CONTROL | 1.2.1. (+) შემოსავალი MEP დანადგარების რეალიზაციიდან | ვოიარგ ლიმითედ (ს.კ. 405346102) - შპს"/>
        <s v="Modus Kakhety HW 2 | 1.1.1. (+) შემოსავალი ლიფტების რეალიზაციიდან | მოდუსი (ს.კ. 245565669) - შპს"/>
        <s v="Shato Mukhrani Filters | 1.2.1. (+) შემოსავალი MEP დანადგარების რეალიზაციიდან | შატო მუხრანი (ს.კ. 205000381) - სს"/>
        <s v="Bagrationi | 1.1.1. (+) შემოსავალი ლიფტების რეალიზაციიდან | ბაგრატიონი რეზიდენსი (ს.კ. 445572568) - შპს"/>
        <s v="IDC Mitsubishi Conditioner | 1.2.1. (+) შემოსავალი MEP დანადგარების რეალიზაციიდან | აიდისი (ს.კ. 204998342) - შპს"/>
        <s v="Alliance Previlige | 1.1.1. (+) შემოსავალი ლიფტების რეალიზაციიდან | ალიანსი ფრივილიჯი (ს.კ. 412718466) - შპს"/>
        <s v="Batumi Mall | 1.1.1. (+) შემოსავალი ლიფტების რეალიზაციიდან | გრანდ მოლი (ს.კ. 445524479) - შპს"/>
        <s v="Shavteli Street | 1.1.2. (+) შემოსავალი ლიფტების სერვისიდან - გეგმიური | ინდეკო ჰოსფითალითი (ს.კ. 405508026) - შპს"/>
        <s v="Conditioner Parts | 1.2.1. (+) შემოსავალი MEP დანადგარების რეალიზაციიდან | თბილისი ცენტრალი (ს.კ. 205129653) - სს"/>
        <s v="Chiller Compressors | 1.2.1. (+) შემოსავალი MEP დანადგარების რეალიზაციიდან | თბილისი ცენტრალი (ს.კ. 205129653) - სს"/>
        <s v="Toshiba Split | 1.2.1. (+) შემოსავალი MEP დანადგარების რეალიზაციიდან | გიორგი ნიქაბაძე (ს.კ. 01030030896) - ფიზ. პირი"/>
        <s v="Yoga Center | 1.2.1. (+) შემოსავალი MEP დანადგარების რეალიზაციიდან | ზენ იოგა სტუდიო (ს.კ. 205288856) - შპს"/>
        <s v="Moxy Hotel Rooftop Service | 1.2.3. (+) შემოსავალი MEP დანადგარების სერვისიდან - არაგეგმიური | ვერგე (ს.კ. 425365507) - შპს"/>
        <s v="Mitsubishi VRF System | 1.2.1. (+) შემოსავალი MEP დანადგარების რეალიზაციიდან | გიორგი კურტანიძე (ს.კ. 11001002721) - ფიზ. პირი"/>
        <s v="8 Units Elevator Service | 1.1.3. (+) შემოსავალი ლიფტების სერვისიდან - არაგეგმიური | დომუს სერვისი (ს.კ. 405311336) - შპს"/>
        <s v="V-JEO Restaurant Platform | 1.1.1. (+) შემოსავალი ლიფტების რეალიზაციიდან | ვ-ჯეო რესტორნები (ს.კ. 405404076) - შპს"/>
        <s v="Saturday Mode | 1.1.3. (+) შემოსავალი ლიფტების სერვისიდან - არაგეგმიური | გოლდენ გრუპ (ს.კ. 445519831) - შპს"/>
        <s v="White square | 1.1.1. (+) შემოსავალი ლიფტების რეალიზაციიდან | მეპერსი (ს.კ. 402121887) - შპს"/>
        <s v="Goderdzi Hotel AHU | 1.2.1. (+) შემოსავალი MEP დანადგარების რეალიზაციიდან | თი ელ ქონსთრაქშენ (ს.კ. 445520525) - შპს"/>
        <s v="Churkveidze - 2 Units Conditioner | 1.2.1. (+) შემოსავალი MEP დანადგარების რეალიზაციიდან | თამილა ჭურკვეიძე (ს.კ. 61006026727) - ფიზ. პირი"/>
        <s v="1TV | 1.1.1. (+) შემოსავალი ლიფტების რეალიზაციიდან | თბილი სახლი (ს.კ. 204976179) - შპს"/>
        <s v="Diesel Generator Service | 1.2.3. (+) შემოსავალი MEP დანადგარების სერვისიდან - არაგეგმიური | თემურ უსტიაშვილი (ს.კ. 61001007309) - ფიზ. პირი"/>
        <s v="Cooling Tower Belts | 1.2.1. (+) შემოსავალი MEP დანადგარების რეალიზაციიდან | თბილისი სითი (ს.კ. 405034537) - შპს"/>
        <s v="Macdonalds Orkhevi | 1.2.2. (+) შემოსავალი MEP დანადგარების სერვისიდან - გეგმიური | თბილი სახლი (ს.კ. 204976179) - შპს"/>
        <s v="Macdonalds Isani | 1.2.2. (+) შემოსავალი MEP დანადგარების სერვისიდან - გეგმიური | თბილი სახლი (ს.კ. 204976179) - შპს"/>
        <s v="Gold Market | 1.2.1. (+) შემოსავალი MEP დანადგარების რეალიზაციიდან | თბილისი ცენტრალი (ს.კ. 205129653) - სს"/>
        <s v="SAKCABELI - Fan | 1.2.2. (+) შემოსავალი MEP დანადგარების სერვისიდან - გეგმიური | ლენოქსი (ს.კ. 418476893) - შპს"/>
        <s v="IBRAHIM GRILS | 1.2.1. (+) შემოსავალი MEP დანადგარების რეალიზაციიდან | იბრაიმ შალიკაძე (ს.კ. 61006002758) - ფიზ. პირი"/>
        <s v="Philip Morries Elevator Repair | 1.1.3. (+) შემოსავალი ლიფტების სერვისიდან - არაგეგმიური | ჯი-ემ-თი სასტუმროები (ს.კ. 203842333) - შპს"/>
        <s v="TBC Chillers | 1.2.1. (+) შემოსავალი MEP დანადგარების რეალიზაციიდან | DT MUHENDISLIK VE TAAHHUT A.S. (ს.კ. 0) - უცხოური საწარმო"/>
        <s v="TBC Refregerant | 1.2.1. (+) შემოსავალი MEP დანადგარების რეალიზაციიდან | დნთ ქონსთრაქშენ (ს.კ. 405418196) - შპს"/>
        <s v="TBC Fancoils | 1.2.1. (+) შემოსავალი MEP დანადგარების რეალიზაციიდან | DT MUHENDISLIK VE TAAHHUT A.S. (ს.კ. 0) - უცხოური საწარმო"/>
        <s v="TBC AHU | 1.2.1. (+) შემოსავალი MEP დანადგარების რეალიზაციიდან | დნთ ქონსთრაქშენ (ს.კ. 405418196) - შპს"/>
        <s v="Kvareli Elevators | 1.1.1. (+) შემოსავალი ლიფტების რეალიზაციიდან | ინდეკო (ს.კ. 202376133) - შპს"/>
        <s v="Kvareli VRV | 1.2.1. (+) შემოსავალი MEP დანადგარების რეალიზაციიდან | ინდეკო სი ემ  (ს.კ. 405508339) - შპს"/>
        <s v="Kvareli AHU | 1.2.1. (+) შემოსავალი MEP დანადგარების რეალიზაციიდან | ინდეკო სი ემ  (ს.კ. 405508339) - შპს"/>
        <s v="Chato di Vere | 1.1.1. (+) შემოსავალი ლიფტების რეალიზაციიდან | შატო დე ვერე (ს.კ. 405357224) - სს"/>
        <s v="Askaneli Kvareli | 1.1.1. (+) შემოსავალი ლიფტების რეალიზაციიდან | ასკანელი ვაინერი &amp; დისტილერი (ს.კ. 205010888) - შპს"/>
        <s v="Watch Tower | 1.2.1. (+) შემოსავალი MEP დანადგარების რეალიზაციიდან | იეჰოვას მოწმეთა ქრისტიანული კრება საქართველოში (ს.კ. 406134678) - საჯარო სამართლის იურიდიული პირი"/>
        <s v="Gori Mall | 1.1.1. (+) შემოსავალი ლიფტების რეალიზაციიდან | მპ დეველოპმენტი (ს.კ. 404960217) - შპს"/>
        <s v="Motor DC | 1.2.1. (+) შემოსავალი MEP დანადგარების რეალიზაციიდან | სითი სისტემს (ს.კ. 405319668) - შპს"/>
        <s v="Fan Motor - City System | 1.2.1. (+) შემოსავალი MEP დანადგარების რეალიზაციიდან | სითი სისტემს (ს.კ. 405319668) - შპს"/>
        <s v="Beauty Life | 1.2.1. (+) შემოსავალი MEP დანადგარების რეალიზაციიდან | Beauty Life (ს.კ. 204557639) - შპს"/>
        <s v="ELT BUILDING | 1.1.1. (+) შემოსავალი ლიფტების რეალიზაციიდან | ელთ ბილდინგი (ს.კ. 445471285) - შპს"/>
        <s v="Iumashev Stock | 1.1.1. (+) შემოსავალი ლიფტების რეალიზაციიდან | აი-სი-ი (ს.კ. 400017245) - შპს"/>
        <s v="Dar Building Doors | 1.1.1. (+) შემოსავალი ლიფტების რეალიზაციიდან | Dar Building (ს.კ. 445420875) - შპს"/>
        <s v="Macdonalds Ortachala Rooftop System | 1.2.3. (+) შემოსავალი MEP დანადგარების სერვისიდან - არაგეგმიური | თბილი სახლი (ს.კ. 204976179) - შპს"/>
        <s v="Moxy Hotel Service 2023 | 1.2.3. (+) შემოსავალი MEP დანადგარების სერვისიდან - არაგეგმიური | ვერგე (ს.კ. 425365507) - შპს"/>
        <s v="Chavchavadze Stock | 1.3.1. (+) სხვადასხვა ინვენტარის რეალიზაცია | აი-სი-ი (ს.კ. 400017245) - შპს"/>
        <s v="Batumi Office Stock | 1.3.1. (+) სხვადასხვა ინვენტარის რეალიზაცია | აი-სი-ი (ს.კ. 400017245) - შპს"/>
        <s v="Didi dighomi LOP | 1.2.3. (+) შემოსავალი MEP დანადგარების სერვისიდან - არაგეგმიური | გიორგი ჩხიკვიშვილი (ს.კ. 55001026533) - ფიზ. პირი"/>
        <s v="Didi dighomi LOP | 1.1.3. (+) შემოსავალი ლიფტების სერვისიდან - არაგეგმიური | თბილი სახლი (ს.კ. 204976179) - შპს"/>
        <s v="Gas Co | 1.1.1. (+) შემოსავალი ლიფტების რეალიზაციიდან | მეპერსი (ს.კ. 402121887) - შპს"/>
        <s v="Kostia Armenia Elmagan | 1.2.1. (+) შემოსავალი MEP დანადგარების რეალიზაციიდან | ELL‐GA‐MAN (ს.კ. 0) - უცხოური საწარმო"/>
        <s v="Elevator Rope | 1.1.3. (+) შემოსავალი ლიფტების სერვისიდან - არაგეგმიური | გალერია ჰოტელ მენეჯმენტი (ს.კ. 404567508) - შპს"/>
        <s v="Waikiki Flo | 1.2.3. (+) შემოსავალი MEP დანადგარების სერვისიდან - არაგეგმიური | თბილისი ცენტრალი (ს.კ. 205129653) - სს"/>
        <s v="Macdonalds Orkhevi Rooftop System | 1.2.3. (+) შემოსავალი MEP დანადგარების სერვისიდან - არაგეგმიური | თბილი სახლი (ს.კ. 204976179) - შპს"/>
        <s v="Beauty Life MEP | 1.2.1. (+) შემოსავალი MEP დანადგარების რეალიზაციიდან | Beauty Life (ს.კ. 204557639) - შპს"/>
        <s v="Beauty Life MEP Installation | 1.2.1. (+) შემოსავალი MEP დანადგარების რეალიზაციიდან | Beauty Life (ს.კ. 204557639) - შპს"/>
        <s v="Heat Pumps | 1.2.1. (+) შემოსავალი MEP დანადგარების რეალიზაციიდან | სუპრემე სოლუთიონს (ს.კ. 445587320) - შპს"/>
        <s v="Ceiling Cassette Type &amp; Remote Control | 1.2.1. (+) შემოსავალი MEP დანადგარების რეალიზაციიდან | სუპრემე სოლუთიონს (ს.კ. 445587320) - შპს"/>
        <s v="Alliance Chiller Repair | 1.2.1. (+) შემოსავალი MEP დანადგარების რეალიზაციიდან | მეპერსი (ს.კ. 402121887) - შპს"/>
        <s v="Meppers Casino | 1.2.1. (+) შემოსავალი MEP დანადგარების რეალიზაციიდან | მეპერსი (ს.კ. 402121887) - შპს"/>
        <s v="Galeria Panoramic Buttons | 1.1.3. (+) შემოსავალი ლიფტების სერვისიდან - არაგეგმიური | გალერია თბილისი (ს.კ. 204558497) - შპს"/>
        <s v="Cooling Tower Pomp | 1.2.1. (+) შემოსავალი MEP დანადგარების რეალიზაციიდან | თბილისი სითი (ს.კ. 405034537) - შპს"/>
        <s v="H&amp;M | 1.2.1. (+) შემოსავალი MEP დანადგარების რეალიზაციიდან | თბილი სახლი (ს.კ. 204976179) - შპს"/>
        <s v="Moxy Compressor | 1.2.1. (+) შემოსავალი MEP დანადგარების რეალიზაციიდან | ჯი-ემ-თი მთაწმინდა (ს.კ. 203843396) - შპს"/>
        <s v="Darchidze Home | 1.1.1. (+) შემოსავალი ლიფტების რეალიზაციიდან | Dar Building (ს.კ. 445420875) - შპს"/>
        <s v="Afisha | 1.1.1. (+) შემოსავალი ლიფტების რეალიზაციიდან | მელიქიშვილი ინნ (ს.კ. 405463546) - შპს"/>
        <s v="Barnovi | 1.1.1. (+) შემოსავალი ლიფტების რეალიზაციიდან | პრემიუმ დეველოპმენტ კომპანი (ს.კ. 404597691) - შპს"/>
        <s v="Calligraphy Hilton | 1.1.1. (+) შემოსავალი ლიფტების რეალიზაციიდან | გრანდ მაისონ (ს.კ. 445575333) - შპს"/>
        <s v="Gumbati Boulevard Point | 1.1.1. (+) შემოსავალი ლიფტების რეალიზაციიდან | ბულვარ ფოინთ (ს.კ. 445527494) - შპს"/>
        <s v="Batteries | 1.1.3. (+) შემოსავალი ლიფტების სერვისიდან - არაგეგმიური | სფერა (ს.კ. 405412361) - შპს"/>
        <s v="Central Office | 1.2.1. (+) შემოსავალი MEP დანადგარების რეალიზაციიდან | თბილისი ცენტრალი (ს.კ. 205129653) - სს"/>
        <s v="McDonalds Tsereteli | 1.2.1. (+) შემოსავალი MEP დანადგარების რეალიზაციიდან | თბილი სახლი (ს.კ. 204976179) - შპს"/>
        <s v="DRS AHU | 1.2.1. (+) შემოსავალი MEP დანადგარების რეალიზაციიდან | დრს ინტერნეიშენალ (ს.კ. 421279182) - შპს"/>
        <s v="1TV Fireboxes | 1.2.1. (+) შემოსავალი MEP დანადგარების რეალიზაციიდან | თბილი სახლი (ს.კ. 204976179) - შპს"/>
        <s v="Batumi office rental | 1.3.2. (+) იჯარიდან მიღებული შემოსავალი | კაზა დი ბათუმი (ს.კ. 405389397) - შპს"/>
        <s v="Digomi Elevator Service | 1.1.2. (+) შემოსავალი ლიფტების სერვისიდან - გეგმიური | გიორგი ჩხიკვიშვილი (ს.კ. 55001026533) - ფიზ. პირი"/>
        <s v="Unix Lop &amp; Display  | 1.1.1. (+) შემოსავალი ლიფტების რეალიზაციიდან | იუნიქს ქონსთრაქშენ კომპანი (ს.კ. 405133822) - შპს"/>
        <s v="Lisi Green Apartaments | 1.1.1. (+) შემოსავალი ლიფტების რეალიზაციიდან | გრინ დეველოპმენტი (ს.კ. 204452412) - შპს"/>
        <s v="Chkonia Elevator | 1.1.1. (+) შემოსავალი ლიფტების რეალიზაციიდან | სახლი ძველ ბათუმში (ს.კ. 445433610) - შპს"/>
        <s v="HGI DOOR | 1.2.1. (+) შემოსავალი MEP დანადგარების რეალიზაციიდან | მეპერსი (ს.კ. 402121887) - შპს"/>
        <s v="Calligraphy Hilton 2 | 1.1.1. (+) შემოსავალი ლიფტების რეალიზაციიდან | გრანდ მაისონ (ს.კ. 445575333) - შპს"/>
        <s v="Park Home Vake Galleria Elevator | 1.1.1. (+) შემოსავალი ლიფტების რეალიზაციიდან | ანაგი დეველოპმენტი 1 (ს.კ. 404567713) - შპს"/>
        <s v="Surmanidzeebi | 1.1.1. (+) შემოსავალი ლიფტების რეალიზაციიდან | სამშენებლო კომპანია სურმანიძეები (ს.კ. 445455846) - შპს"/>
        <s v="Honda Civic | 1.3.1. (+) სხვადასხვა ინვენტარის რეალიზაცია | ზვიად ჯორბენაძე (ს.კ. 61001067900) - ფიზ. პირი"/>
        <s v="Dar Building Additional floors | 1.1.1. (+) შემოსავალი ლიფტების რეალიზაციიდან | Dar Building (ს.კ. 445420875) - შპს"/>
        <s v="Multisplits PHS | 1.2.1. (+) შემოსავალი MEP დანადგარების რეალიზაციიდან | ნუცუბიძე (ს.კ. 405387861) - შპს"/>
        <s v="Vake Sewage | 1.2.3. (+) შემოსავალი MEP დანადგარების სერვისიდან - არაგეგმიური | ინდეკო სი ემ  (ს.კ. 405508339) - შპს"/>
        <s v="Multisplit | 1.2.1. (+) შემოსავალი MEP დანადგარების რეალიზაციიდან | ელენა მამმადოვა (ს.კ. 01794001582) - ფიზ. პირი"/>
        <s v="Multisplit | 1.2.1. (+) შემოსავალი MEP დანადგარების რეალიზაციიდან | დავით ნიკოლეიშვილი (ს.კ. 01027021475) - ფიზ. პირი"/>
        <s v="Radius Hotel | 1.2.3. (+) შემოსავალი MEP დანადგარების სერვისიდან - არაგეგმიური | თბილი სახლი (ს.კ. 204976179) - შპს"/>
        <s v="IBIS Airport | 1.1.1. (+) შემოსავალი ლიფტების რეალიზაციიდან | ფუჯინ სილქ ფროფერთის (ს.კ. 405273421) - შპს"/>
        <s v="MHI Control Module | 1.2.1. (+) შემოსავალი MEP დანადგარების რეალიზაციიდან | მეპერსი (ს.კ. 402121887) - შპს"/>
        <s v="Paco | 1.2.1. (+) შემოსავალი MEP დანადგარების რეალიზაციიდან | აიემდი (ს.კ. 405203462) - შპს"/>
        <s v="Summit | 1.1.1. (+) შემოსავალი ლიფტების რეალიზაციიდან | სამიტი ქონსთრაქშენ (ს.კ. 406328184) - შპს"/>
        <s v="Kontakt Home | 1.2.1. (+) შემოსავალი MEP დანადგარების რეალიზაციიდან | თბილისი ცენტრალი (ს.კ. 205129653) - სს"/>
        <s v="Vake Fire Fighting | 1.2.1. (+) შემოსავალი MEP დანადგარების რეალიზაციიდან | ანაგი დეველოპმენტი 1 (ს.კ. 404567713) - შპს"/>
        <s v="Vake VRV | 1.2.1. (+) შემოსავალი MEP დანადგარების რეალიზაციიდან | ინდეკო სი ემ  (ს.კ. 405508339) - შპს"/>
        <s v="Founder Home | 1.2.1. (+) შემოსავალი MEP დანადგარების რეალიზაციიდან | არგო გრუპ ჯორჯია (ს.კ. 400113532) - შპს"/>
        <s v="Havana Club Mziuri | 1.2.1. (+) შემოსავალი MEP დანადგარების რეალიზაციიდან | გამა (ს.კ. 204425906) - შპს"/>
        <s v="BLC Service | 1.2.3. (+) შემოსავალი MEP დანადგარების სერვისიდან - არაგეგმიური | ბიელსი (ს.კ. 404507182) - შპს"/>
        <s v="Park Home Vake | 1.1.1. (+) შემოსავალი ლიფტების რეალიზაციიდან | ანაგი დეველოპმენტი 1 (ს.კ. 404567713) - შპს"/>
        <s v="Shartava | 1.1.1. (+) შემოსავალი ლიფტების რეალიზაციიდან | მეპერსი (ს.კ. 402121887) - შპს"/>
        <s v="Digomi trade center | 1.1.1. (+) შემოსავალი ლიფტების რეალიზაციიდან | ავტოტრანსპორტი 91 (ს.კ. 212670091) - შპს"/>
        <s v="Hilton Batumi VTF System Parts | 1.2.1. (+) შემოსავალი MEP დანადგარების რეალიზაციიდან | ტურინვესტი (ს.კ. 245555554) - შპს"/>
        <s v="Kvareli Pool AHU | 1.2.1. (+) შემოსავალი MEP დანადგარების რეალიზაციიდან | ინდეკო სი ემ  (ს.კ. 405508339) - შპს"/>
        <s v="Batumi Restaurant Promech | 1.2.1. (+) შემოსავალი MEP დანადგარების რეალიზაციიდან | პრომეჩი (ს.კ. 445496213) - შპს"/>
        <s v="Central Compressors 2023 | 1.2.1. (+) შემოსავალი MEP დანადგარების რეალიზაციიდან | თბილისი ცენტრალი (ს.კ. 205129653) - სს"/>
        <s v="Escalator PCB | 1.1.3. (+) შემოსავალი ლიფტების სერვისიდან - არაგეგმიური | გალერია თბილისი (ს.კ. 204558497) - შპს"/>
        <s v="Park Home Mziuri Rooftop | 1.2.1. (+) შემოსავალი MEP დანადგარების რეალიზაციიდან | თბილი სახლი (ს.კ. 204976179) - შპს"/>
        <s v="Ramishvili VRF Instalation | 1.2.1. (+) შემოსავალი MEP დანადგარების რეალიზაციიდან | ინდეკო სი ემ  (ს.კ. 405508339) - შპს"/>
        <s v="Amera Bank 3 | 1.2.1. (+) შემოსავალი MEP დანადგარების რეალიზაციიდან | SCHERCO TRADING AG (ს.კ. ICE002054) - უცხოური საწარმო"/>
        <s v="Nutsubidze | 1.1.1. (+) შემოსავალი ლიფტების რეალიზაციიდან | სფერა (ს.კ. 405412361) - შპს"/>
        <s v="Orbi C block reprograming | 1.1.1. (+) შემოსავალი ლიფტების რეალიზაციიდან | ორბი ჯგუფი (ს.კ. 245621849) - შპს"/>
        <s v="Orbi D1 block reprograming | 1.1.1. (+) შემოსავალი ლიფტების რეალიზაციიდან | ორბი ჯგუფი ბათუმი (ს.კ. 445468798) - შპს"/>
        <s v="Rehab VRF | 1.2.1. (+) შემოსავალი MEP დანადგარების რეალიზაციიდან | სანა მენტე (ს.კ. 405627022) - შპს"/>
        <s v="Rehab VRF Installation | 1.2.1. (+) შემოსავალი MEP დანადგარების რეალიზაციიდან | სანა მენტე (ს.კ. 405627022) - შპს"/>
        <s v="Kalamian - Mitsubishi Conditioner | 1.2.1. (+) შემოსავალი MEP დანადგარების რეალიზაციიდან | ფეიმანე ქალამიან (ს.კ. 01797002696) - ფიზ. პირი"/>
        <s v="Rehab Elevators | 1.1.1. (+) შემოსავალი ლიფტების რეალიზაციიდან | სანა მენტე (ს.კ. 405627022) - შპს"/>
        <s v="MHI Products | 1.2.1. (+) შემოსავალი MEP დანადგარების რეალიზაციიდან | ბერკეტი-დიზაინი (ს.კ. 204909812) - შპს"/>
        <s v="Doors change | 1.1.3. (+) შემოსავალი ლიფტების სერვისიდან - არაგეგმიური | მზიური რეზორტ (ს.კ. 404462256) - შპს"/>
        <s v="Rehab Sewage | 1.2.3. (+) შემოსავალი MEP დანადგარების სერვისიდან - არაგეგმიური | სანა მენტე (ს.კ. 405627022) - შპს"/>
        <s v="2 Units Mitsubishi Conditioner | 1.2.1. (+) შემოსავალი MEP დანადგარების რეალიზაციიდან | მასტერ ოქეი (ს.კ. 402010471) - შპს"/>
        <s v="Ford Center Compressor Control Board | 1.2.1. (+) შემოსავალი MEP დანადგარების რეალიზაციიდან | თბილი სახლი (ს.კ. 204976179) - შპს"/>
        <s v="Palm Apartments | 1.1.1. (+) შემოსავალი ლიფტების რეალიზაციიდან | პალმ აპარტამენტი (ს.კ. 445614381) - შპს"/>
        <s v="Gumbati Apart Kvariati | 1.1.1. (+) შემოსავალი ლიფტების რეალიზაციიდან | გუმბათი აპარტი კვარიათი (ს.კ. 445580782) - შპს"/>
        <s v="P4 P5 Elevator Sensor | 1.1.3. (+) შემოსავალი ლიფტების სერვისიდან - არაგეგმიური | Dar Building (ს.კ. 445420875) - შპს"/>
        <s v="Building elevator spareparts | 1.1.3. (+) შემოსავალი ლიფტების სერვისიდან - არაგეგმიური | ნუცუბიძე (ს.კ. 405387861) - შპს"/>
        <s v="Batumi McDonald's Rooftop | 1.1.3. (+) შემოსავალი ლიფტების სერვისიდან - არაგეგმიური | თბილი სახლი (ს.კ. 204976179) - შპს"/>
        <s v="Kvareli Mockup | 1.2.1. (+) შემოსავალი MEP დანადგარების რეალიზაციიდან | ინდეკო სი ემ  (ს.კ. 405508339) - შპს"/>
        <s v="Kvareli VRF FILTER Installation | 1.2.1. (+) შემოსავალი MEP დანადგარების რეალიზაციიდან | ინდეკო სი ემ  (ს.კ. 405508339) - შპს"/>
        <s v="Batumi Multisplits Instalation | 1.2.3. (+) შემოსავალი MEP დანადგარების სერვისიდან - არაგეგმიური | თენგიზ სარჯველაძე (ს.კ. 61001018248) - ფიზ. პირი"/>
        <s v="Rooftop Parts | 1.2.1. (+) შემოსავალი MEP დანადგარების რეალიზაციიდან | ჯი-ემ-თი მთაწმინდა (ს.კ. 203843396) - შპს"/>
        <s v="VRF Materials | 1.2.1. (+) შემოსავალი MEP დანადგარების რეალიზაციიდან | სანა მენტე (ს.კ. 405627022) - შპს"/>
        <s v="Dighomi 2B | 1.1.2. (+) შემოსავალი ლიფტების სერვისიდან - გეგმიური | დიღომი 2ბ სერვისი (ს.კ. 405476319) - შპს"/>
        <s v="Dighomi 2B Push Button | 1.1.3. (+) შემოსავალი ლიფტების სერვისიდან - არაგეგმიური | დიღომი 2ბ სერვისი (ს.კ. 405476319) - შპს"/>
        <s v="Vehicle TOYOTA 2014 | 1.3.1. (+) სხვადასხვა ინვენტარის რეალიზაცია | გიორგი ბახტაძე (ს.კ. 01024067298) - ფიზ. პირი"/>
        <s v="McDonalds Marjanishvili Rooftop | 1.2.1. (+) შემოსავალი MEP დანადგარების რეალიზაციიდან | თბილი სახლი (ს.კ. 204976179) - შპს"/>
        <s v="Kvareli VRV Installation | 1.2.1. (+) შემოსავალი MEP დანადგარების რეალიზაციიდან | ინდეკო სი ემ  (ს.კ. 405508339) - შპს"/>
        <s v="Kvareli Additional VRF Installation | 1.2.1. (+) შემოსავალი MEP დანადგარების რეალიზაციიდან | ინდეკო სი ემ  (ს.კ. 405508339) - შპს"/>
        <s v="ვრფ სისტემის დიაგნოსტიკა ინვ#-03/10 | 1.2.3. (+) შემოსავალი MEP დანადგარების სერვისიდან - არაგეგმიური | აიდისი (ს.კ. 204998342) - შპს"/>
        <s v="Batumi Stock | 1.1.1. (+) შემოსავალი ლიფტების რეალიზაციიდან | აი-სი-ი (ს.კ. 400017245) - შპს"/>
        <s v="Lisi Development 1 UNIT | 1.1.1. (+) შემოსავალი ლიფტების რეალიზაციიდან | მეპერსი (ს.კ. 402121887) - შპს"/>
        <s v="Deka Digomi | 1.1.1. (+) შემოსავალი ლიფტების რეალიზაციიდან | დეკა დიდი დიღომი (ს.კ. 405569665) - შპს"/>
        <s v="Car Platform | 1.1.1. (+) შემოსავალი ლიფტების რეალიზაციიდან | ანაგი დეველოპმენტი 1 (ს.კ. 404567713) - შპს"/>
        <s v="Areali | 1.1.1. (+) შემოსავალი ლიფტების რეალიზაციიდან | არეალი (ს.კ. 448389994) - შპს"/>
        <s v="Kvareli FF Pump | 1.2.1. (+) შემოსავალი MEP დანადგარების რეალიზაციიდან | ინდეკო სი ემ  (ს.კ. 405508339) - შპს"/>
        <s v="Ramishvili Toshiba Installation | 1.2.3. (+) შემოსავალი MEP დანადგარების სერვისიდან - არაგეგმიური | ინდეკო სი ემ  (ს.კ. 405508339) - შპს"/>
        <s v="Ramishvili Toshiba Ventilation Equipment | 1.2.1. (+) შემოსავალი MEP დანადგარების რეალიზაციიდან | ინდეკო სი ემ  (ს.კ. 405508339) - შპს"/>
        <s v="Kvareli Additional VRV Controllers | 1.2.1. (+) შემოსავალი MEP დანადგარების რეალიზაციიდან | ინდეკო სი ემ  (ს.კ. 405508339) - შპს"/>
        <s v="Kvareli Dammaged Indoor 2 Units | 1.2.1. (+) შემოსავალი MEP დანადგარების რეალიზაციიდან | ინდეკო სი ემ  (ს.კ. 405508339) - შპს"/>
        <s v="VRF Service | 1.2.3. (+) შემოსავალი MEP დანადგარების სერვისიდან - არაგეგმიური | ბერკეტი-დიზაინი (ს.კ. 204909812) - შპს"/>
        <s v="Bagrationi Avenue | 1.1.1. (+) შემოსავალი ლიფტების რეალიზაციიდან | ავენიუ ბაი ორბი (ს.კ. 445488749) - შპს"/>
        <s v="Radisson Batumi Reabilitation | 1.1.3. (+) შემოსავალი ლიფტების სერვისიდან - არაგეგმიური | არგო მენეჯმენტი  (ს.კ. 445391647) - შპს"/>
        <s v="B Block Divider Materials | 1.1.4. (+) შემოსავალი ლიფტების შახტის გამყოფები | ეიჩ გრუპ კონსტრაქშენ (ს.კ. 445510411) - შპს"/>
        <s v="Reinstallation | 1.2.3. (+) შემოსავალი MEP დანადგარების სერვისიდან - არაგეგმიური | ტელეგრაფი (ს.კ. 404505406) - შპს"/>
        <s v="Zurab Margvelashvili | 1.2.1. (+) შემოსავალი MEP დანადგარების რეალიზაციიდან | თბილი სახლი (ს.კ. 204976179) - შპს"/>
        <s v="Khabazi Kobuleti | 1.1.1. (+) შემოსავალი ლიფტების რეალიზაციიდან | ვახტანგი ხაბაზი (ს.კ. 61004063799) - ფიზ. პირი"/>
        <s v="Kvareli Sprinklers | 1.2.1. (+) შემოსავალი MEP დანადგარების რეალიზაციიდან | ინდეკო სი ემ  (ს.კ. 405508339) - შპს"/>
        <s v="Kvareli Fire Valve | 1.2.1. (+) შემოსავალი MEP დანადგარების რეალიზაციიდან | ინდეკო სი ემ  (ს.კ. 405508339) - შპს"/>
        <s v="Ramishvili Firefighting | 1.2.1. (+) შემოსავალი MEP დანადგარების რეალიზაციიდან | ინდეკო სი ემ  (ს.კ. 405508339) - შპს"/>
        <s v="Ramishvili Ventilation | 1.2.1. (+) შემოსავალი MEP დანადგარების რეალიზაციიდან | ინდეკო სი ემ  (ს.კ. 405508339) - შპს"/>
        <s v="VRF Repair | 1.2.3. (+) შემოსავალი MEP დანადგარების სერვისიდან - არაგეგმიური | აიდისი (ს.კ. 204998342) - შპს"/>
        <s v="Saakadze McDonalds Rooftops lounching | 1.2.2. (+) შემოსავალი MEP დანადგარების სერვისიდან - გეგმიური | თბილი სახლი (ს.კ. 204976179) - შპს"/>
        <s v="Kuwait Villa | 1.1.1. (+) შემოსავალი ლიფტების რეალიზაციიდან | იორკ ჰოლდინგ გრუპი (ს.კ. 430800733) - შპს"/>
        <s v="Laboratoria | 1.2.1. (+) შემოსავალი MEP დანადგარების რეალიზაციიდან | DIAGNOSTICA MEDICAL CORPORATION (ს.კ.  01202228) - უცხოური საწარმო"/>
        <s v="Laboratoria2 | 1.2.1. (+) შემოსავალი MEP დანადგარების რეალიზაციიდან | Svogan LLC (ს.კ. 0) - უცხოური საწარმო"/>
        <s v="Kaklebi | 1.1.1. (+) შემოსავალი ლიფტების რეალიზაციიდან | ევროპროდუქტი (ს.კ. 202227134) - შპს"/>
        <s v="Kaklebi | 1.1.2. (+) შემოსავალი ლიფტების სერვისიდან - გეგმიური | ევროპროდუქტი (ს.კ. 202227134) - შპს"/>
        <s v="Pirosmani King Solomon | 1.1.2. (+) შემოსავალი ლიფტების სერვისიდან - გეგმიური | გოლდენ გრუპ (ს.კ. 445519831) - შპს"/>
        <s v="Sunrise Shartava | 1.1.2. (+) შემოსავალი ლიფტების სერვისიდან - გეგმიური | სანრაიზ დეველოპმენტი (ს.კ. 405285221) - შპს"/>
        <s v="Parnavaz mepis 26 | 1.1.2. (+) შემოსავალი ლიფტების სერვისიდან - გეგმიური | დიღომი 2ბ სერვისი (ს.კ. 405476319) - შპს"/>
        <s v="Aleqseevka | 1.1.2. (+) შემოსავალი ლიფტების სერვისიდან - გეგმიური | ემ ელ სი ლოჯისტიკს (ს.კ. 405380181) - შპს"/>
        <s v="Arqi mindeli | 1.1.2. (+) შემოსავალი ლიფტების სერვისიდან - გეგმიური | არქი საბურთალო (ს.კ. 405176982) - შპს"/>
        <s v="Marriots | 1.1.2. (+) შემოსავალი ლიფტების სერვისიდან - გეგმიური | ჯი ემ თი (ს.კ. 435431445) - შპს"/>
        <s v="Akhvlediani 22 | 1.1.2. (+) შემოსავალი ლიფტების სერვისიდან - გეგმიური | შ.პ.ს ბეტა ჰოთელს (ს.კ. 404585686) - შპს"/>
        <s v="Varazis 42 | 1.1.2. (+) შემოსავალი ლიფტების სერვისიდან - გეგმიური | კონსტანტინე ესაძე (ს.კ. 01009007850) - ფიზ. პირი"/>
        <s v="Tskneti 51 | 1.1.2. (+) შემოსავალი ლიფტების სერვისიდან - გეგმიური | ეკატერინე ელისაბედაშვილი (ს.კ. 01019021472) - ფიზ. პირი"/>
        <s v="Okroyana | 1.1.2. (+) შემოსავალი ლიფტების სერვისიდან - გეგმიური | გრინლაიფ რეზიდენსი (ს.კ. 65002012550) - ამხანაგობა"/>
        <s v="radisson telegraph chileers | 1.2.1. (+) შემოსავალი MEP დანადგარების რეალიზაციიდან | DT MUHENDISLIK VE TAAHHUT A.S. (ს.კ. 0) - უცხოური საწარმო"/>
        <s v="radisson telegraph FCU | 1.2.1. (+) შემოსავალი MEP დანადგარების რეალიზაციიდან | DT MUHENDISLIK VE TAAHHUT A.S. (ს.კ. 0) - უცხოური საწარმო"/>
        <s v="mms group poti | 1.1.1. (+) შემოსავალი ლიფტების რეალიზაციიდან | მმს გრუპ (ს.კ. 445472774) - შპს"/>
        <s v="Kvareli Residence | 1.1.1. (+) შემოსავალი ლიფტების რეალიზაციიდან | მეპერსი (ს.კ. 402121887) - შპს"/>
        <s v="Refugee Tbilisi | 1.1.1. (+) შემოსავალი ლიფტების რეალიზაციიდან | ანაგი (ს.კ. 245416401) - შპს"/>
        <s v="GRG VRF Lounching abashidze | 1.2.3. (+) შემოსავალი MEP დანადგარების სერვისიდან - არაგეგმიური | თბილი სახლი (ს.კ. 204976179) - შპს"/>
        <s v="VRV Service | 1.2.2. (+) შემოსავალი MEP დანადგარების სერვისიდან - გეგმიური | საქკაბელი (ს.კ. 230026888) - სს"/>
        <s v="PCB | 1.1.3. (+) შემოსავალი ლიფტების სერვისიდან - არაგეგმიური | 1920 (ს.კ. 400247899) - შპს"/>
        <s v="PCB | 1.1.3. (+) შემოსავალი ლიფტების სერვისიდან - არაგეგმიური | ეიჩ ენდ ემ ჰენეს ენდ მაურიც ჯორჯია (ს.კ. 405164192) - შპს"/>
        <s v="Central Thermal Curtains | 1.2.1. (+) შემოსავალი MEP დანადგარების რეალიზაციიდან | თბილისი ცენტრალი (ს.კ. 205129653) - სს"/>
        <s v="Kvareli 3 units PFD Box | 1.2.1. (+) შემოსავალი MEP დანადგარების რეალიზაციიდან | ინდეკო სი ემ  (ს.კ. 405508339) - შპს"/>
        <s v="Ramishvili Toshiba Installation Materials | 1.2.1. (+) შემოსავალი MEP დანადგარების რეალიზაციიდან | ინდეკო სი ემ  (ს.კ. 405508339) - შპს"/>
        <s v="MTZ | 1.1.1. (+) შემოსავალი ლიფტების რეალიზაციიდან | მტზ კომპანი (ს.კ. 445525478) - შპს"/>
        <s v="Roomix Tsintsadze | 1.1.1. (+) შემოსავალი ლიფტების რეალიზაციიდან | ლაქი ქონსთრაქშენ (ს.კ. 405370708) - შპს"/>
        <s v="MHI KZ 1 | 1.2.1. (+) შემოსავალი MEP დანადგარების რეალიზაციიდან | EurAsia Klimat LLC (ს.კ. 230840027493) - უცხოური საწარმო"/>
        <s v="Basis Bank | 1.1.1. (+) შემოსავალი ლიფტების რეალიზაციიდან | მეპერსი (ს.კ. 402121887) - შპს"/>
        <s v="European School | 1.1.1. (+) შემოსავალი ლიფტების რეალიზაციიდან | თბილი სახლი (ს.კ. 204976179) - შპს"/>
        <s v="Tbilisi Office | 1.1.1. (+) შემოსავალი ლიფტების რეალიზაციიდან | ორბი ჯგუფი ბათუმი (ს.კ. 445468798) - შპს"/>
        <s v="Rehab Sewage Materials | 1.2.1. (+) შემოსავალი MEP დანადგარების რეალიზაციიდან | სანა მენტე (ს.კ. 405627022) - შპს"/>
        <s v="Marjanishvili McDonalds rooftop lounch | 1.2.3. (+) შემოსავალი MEP დანადგარების სერვისიდან - არაგეგმიური | თბილი სახლი (ს.კ. 204976179) - შპს"/>
        <s v="Rehab Elevator Service | 1.1.2. (+) შემოსავალი ლიფტების სერვისიდან - გეგმიური | სანა მენტე (ს.კ. 405627022) - შპს"/>
        <s v="Mardi Hills | 1.1.1. (+) შემოსავალი ლიფტების რეალიზაციიდან | მარდი ჰილსი (ს.კ. 405572633) - შპს"/>
        <s v="Arsenal | 1.1.1. (+) შემოსავალი ლიფტების რეალიზაციიდან | არსენალ რეზიდენსი (ს.კ. 406259668) - შპს"/>
        <s v="GAS CO Additional | 1.1.1. (+) შემოსავალი ლიფტების რეალიზაციიდან | მეპერსი (ს.კ. 402121887) - შპს"/>
        <s v="Porta Tower | 1.2.1. (+) შემოსავალი MEP დანადგარების რეალიზაციიდან | როტა (ს.კ. 445569484) - შპს"/>
        <s v="Shalva Nutsubidze | 1.1.1. (+) შემოსავალი ლიფტების რეალიზაციიდან | პროპერთი ინვესტ გრუპ (ს.კ. 405483285) - შპს"/>
        <s v="Grande Krtsanisi | 1.1.1. (+) შემოსავალი ლიფტების რეალიზაციიდან | გრანდე ჯგუფი (ს.კ. 404557127) - შპს"/>
        <s v="Gumbati Port Line | 1.1.1. (+) შემოსავალი ლიფტების რეალიზაციიდან | სქაი ბათუმი (ს.კ. 445552866) - შპს"/>
        <s v="Alliance Highline FCU | 1.2.1. (+) შემოსავალი MEP დანადგარების რეალიზაციიდან | დრს ინტერნეიშენალ (ს.კ. 421279182) - შპს"/>
        <s v="Alliance Highline Thermostat | 1.2.1. (+) შემოსავალი MEP დანადგარების რეალიზაციიდან | დრს ინტერნეიშენალ (ს.კ. 421279182) - შპს"/>
        <s v="MHI Products | 1.2.1. (+) შემოსავალი MEP დანადგარების რეალიზაციიდან | ბესიკ ბერიძე (ს.კ. 01024001602) - ფიზ. პირი"/>
        <s v="Shatberashvili 45 | 1.1.1. (+) შემოსავალი ლიფტების რეალიზაციიდან | შატბერაშვილის 45 (ს.კ. 405629583) - შპს"/>
        <s v="Bochorma | 1.1.1. (+) შემოსავალი ლიფტების რეალიზაციიდან | ანაგი დეველოპმენტი 1 (ს.კ. 404567713) - შპს"/>
        <s v="Archi Jikia | 1.1.2. (+) შემოსავალი ლიფტების სერვისიდან - გეგმიური | საბურთალო ც სერვისი (ს.კ. 405476337) - შპს"/>
        <s v="Archi Isani C1 | 1.1.2. (+) შემოსავალი ლიფტების სერვისიდან - გეგმიური | ისანი ც სერვისი 1 (ს.კ. 405476300) - შპს"/>
        <s v="Archi Isani C2 | 1.1.2. (+) შემოსავალი ლიფტების სერვისიდან - გეგმიური | ისანი ც სერვისი 2 (ს.კ. 405476239) - შპს"/>
        <s v="Archi Isani C3 | 1.1.2. (+) შემოსავალი ლიფტების სერვისიდან - გეგმიური | ისანი ც სერვისი 3 (ს.კ. 405476293) - შპს"/>
        <s v="Archi Isani D1 | 1.1.2. (+) შემოსავალი ლიფტების სერვისიდან - გეგმიური | ისანი დ სერვისი 1 (ს.კ. 405534827) - შპს"/>
        <s v="Archi Isani D2 | 1.1.2. (+) შემოსავალი ლიფტების სერვისიდან - გეგმიური | ისანი დ სერვისი 2 (ს.კ. 405534863) - შპს"/>
        <s v="IBIS Perov | 1.1.2. (+) შემოსავალი ლიფტების სერვისიდან - გეგმიური | ბეტა ჰოთელს (ს.კ. 404585686) - შპს"/>
        <s v="Baratashvili 24 DAR Building | 1.1.2. (+) შემოსავალი ლიფტების სერვისიდან - გეგმიური | ამხანაგობა ბარათაშვილი 24 (ს.კ. ICE002467) - ამხანაგობა"/>
        <s v="Epic Mziuri | 1.1.2. (+) შემოსავალი ლიფტების სერვისიდან - გეგმიური | ირაკლი კირცხალია (ს.კ. 01031005361) - ფიზ. პირი"/>
        <s v="CASA DI BATUMI | 1.1.1. (+) შემოსავალი ლიფტების რეალიზაციიდან | კაზა დი ბათუმი (ს.კ. 405389397) - შპს"/>
        <s v="Grand Mall Batumi | 1.1.2. (+) შემოსავალი ლიფტების სერვისიდან - გეგმიური | გრანდ მოლი (ს.კ. 445524479) - შპს"/>
        <s v="Afisha Service | 1.1.2. (+) შემოსავალი ლიფტების სერვისიდან - გეგმიური | მელიქიშვილი ინნ (ს.კ. 405463546) - შპს"/>
        <s v="1 TV Service | 1.1.2. (+) შემოსავალი ლიფტების სერვისიდან - გეგმიური | თბილი სახლი (ს.კ. 204976179) - შპს"/>
        <s v="7th Sky Service | 1.1.2. (+) შემოსავალი ლიფტების სერვისიდან - გეგმიური | ეიჩ გრუპ კონსტრაქშენ (ს.კ. 445510411) - შპს"/>
        <s v="Alliance Highline Service | 1.1.2. (+) შემოსავალი ლიფტების სერვისიდან - გეგმიური | ალიანსი თბილისი (ს.კ. 405144703) - შპს"/>
        <s v="Installation | 1.2.3. (+) შემოსავალი MEP დანადგარების სერვისიდან - არაგეგმიური | ჯორჯიან გოლდ ინვესტ (ს.კ. 405602968) - სს"/>
        <s v="Alliance Previlige | 1.1.2. (+) შემოსავალი ლიფტების სერვისიდან - გეგმიური | ალიანსი ფრივილიჯი (ს.კ. 412718466) - შპს"/>
        <s v="Alliance Pevilige Service | 1.1.2. (+) შემოსავალი ლიფტების სერვისიდან - გეგმიური | ალიანსი ფრივილიჯი (ს.კ. 412718466) - შპს"/>
        <s v="Askaneli Kvareli Service | 1.1.2. (+) შემოსავალი ლიფტების სერვისიდან - გეგმიური | ასკანელი ვაინერი &amp; დისტილერი (ს.კ. 205010888) - შპს"/>
        <s v="Bagrationi Residence Service | 1.1.2. (+) შემოსავალი ლიფტების სერვისიდან - გეგმიური | ბაგრატიონი რეზიდენსი (ს.კ. 445572568) - შპს"/>
        <s v="Barnovi Service | 1.1.2. (+) შემოსავალი ლიფტების სერვისიდან - გეგმიური | პრემიუმ დეველოპმენტ კომპანი (ს.კ. 404597691) - შპს"/>
        <s v="Caligraph Hilton Service | 1.1.2. (+) შემოსავალი ლიფტების სერვისიდან - გეგმიური | გრანდ მაისონ (ს.კ. 445575333) - შპს"/>
        <s v="Chateau Di Vere | 1.1.2. (+) შემოსავალი ლიფტების სერვისიდან - გეგმიური | შატო დე ვერე (ს.კ. 405357224) - სს"/>
        <s v="ELT Building Service | 1.1.2. (+) შემოსავალი ლიფტების სერვისიდან - გეგმიური | ელთ ბილდინგი (ს.კ. 445471285) - შპს"/>
        <s v="Mziuri Office Service | 1.1.2. (+) შემოსავალი ლიფტების სერვისიდან - გეგმიური | ბი ეს არ-სი დი ჯი დეველოპმენტი (ს.კ. 204513687) - შპს"/>
        <s v="Gori Mall Service | 1.1.2. (+) შემოსავალი ლიფტების სერვისიდან - გეგმიური | მპ დეველოპმენტი (ს.კ. 404960217) - შპს"/>
        <s v="Gumbati Boulevard Point | 1.1.2. (+) შემოსავალი ლიფტების სერვისიდან - გეგმიური | ბულვარ ფოინთ (ს.კ. 445527494) - შპს"/>
        <s v="Gumbati Apart Kvariati | 1.1.2. (+) შემოსავალი ლიფტების სერვისიდან - გეგმიური | გუმბათი აპარტი კვარიათი (ს.კ. 445580782) - შპს"/>
        <s v="Gumbati Port Line | 1.1.2. (+) შემოსავალი ლიფტების სერვისიდან - გეგმიური | სქაი ბათუმი (ს.კ. 445552866) - შპს"/>
        <s v="IBIS Airport Service | 1.1.2. (+) შემოსავალი ლიფტების სერვისიდან - გეგმიური | ფუჯინ სილქ ფროფერთის (ს.კ. 405273421) - შპს"/>
        <s v="Kvareli Elevators Service | 1.1.2. (+) შემოსავალი ლიფტების სერვისიდან - გეგმიური | ინდეკო ჰოსფითალითი (ს.კ. 405508026) - შპს"/>
        <s v="Medlog Poti | 1.1.2. (+) შემოსავალი ლიფტების სერვისიდან - გეგმიური | მედლოგ ფოთი (ს.კ. 215083139) - შპს"/>
        <s v="Mziuri Gardens Service | 1.1.2. (+) შემოსავალი ლიფტების სერვისიდან - გეგმიური | მზიური რეზორტ (ს.კ. 404462256) - შპს"/>
        <s v="D1 Block Service | 1.1.2. (+) შემოსავალი ლიფტების სერვისიდან - გეგმიური | ორბი ჯგუფი ბათუმი (ს.კ. 445468798) - შპს"/>
        <s v="D2 Block Service | 1.1.2. (+) შემოსავალი ლიფტების სერვისიდან - გეგმიური | ორბი ჯგუფი ბათუმი (ს.კ. 445468798) - შპს"/>
        <s v="Park Home Saburtalo Service | 1.1.2. (+) შემოსავალი ლიფტების სერვისიდან - გეგმიური | ნუცუბიძე (ს.კ. 405387861) - შპს"/>
        <s v="Shartava Meppers | 1.1.2. (+) შემოსავალი ლიფტების სერვისიდან - გეგმიური | Budget Dummy (ს.კ. ICE002065) - შპს"/>
        <s v="Summit | 1.1.2. (+) შემოსავალი ლიფტების სერვისიდან - გეგმიური | სამიტი ქონსთრაქშენ (ს.კ. 406328184) - შპს"/>
        <s v="Surmanidzeebi | 1.1.2. (+) შემოსავალი ლიფტების სერვისიდან - გეგმიური | სამშენებლო კომპანია სურმანიძეები (ს.კ. 445455846) - შპს"/>
        <s v="Palm Apartments Service | 1.1.2. (+) შემოსავალი ლიფტების სერვისიდან - გეგმიური | პალმ აპარტამენტი (ს.კ. 445614381) - შპს"/>
        <s v="Radisson Batumi Services | 1.1.2. (+) შემოსავალი ლიფტების სერვისიდან - გეგმიური | არგო მენეჯმენტი  (ს.კ. 445391647) - შპს"/>
        <s v="Admiral Batumi Service | 1.1.2. (+) შემოსავალი ლიფტების სერვისიდან - გეგმიური | ინდეკო (ს.კ. 202376133) - შპს"/>
        <s v="Epic Bagebi | 1.1.2. (+) შემოსავალი ლიფტების სერვისიდან - გეგმიური | ბაგები 2022 (ს.კ. ICE002479) - ამხანაგობა"/>
        <s v="Digomi Trade Center | 1.1.2. (+) შემოსავალი ლიფტების სერვისიდან - გეგმიური | ავტოტრანსპორტი 91 (ს.კ. 212670091) - შპს"/>
        <s v="Krtsanisi Villa Residence Meppers | 1.1.1. (+) შემოსავალი ლიფტების რეალიზაციიდან | მეპერსი (ს.კ. 402121887) - შპს"/>
        <s v="Krtsanisi Villa Residence Meppers | 1.1.2. (+) შემოსავალი ლიფტების სერვისიდან - გეგმიური | მეპერსი (ს.კ. 402121887) - შპს"/>
        <s v="Admiral design | 1.2.3. (+) შემოსავალი MEP დანადგარების სერვისიდან - არაგეგმიური | ინდეკო სი ემ  (ს.კ. 405508339) - შპს"/>
        <s v="Admiral Generator Transport | 1.2.3. (+) შემოსავალი MEP დანადგარების სერვისიდან - არაგეგმიური | ინდეკო სი ემ  (ს.კ. 405508339) - შპს"/>
        <s v="Compressor Repair | 1.2.3. (+) შემოსავალი MEP დანადგარების სერვისიდან - არაგეგმიური | Beauty Life (ს.კ. 204557639) - შპს"/>
        <s v="Admiral | 1.2.3. (+) შემოსავალი MEP დანადგარების სერვისიდან - არაგეგმიური | ინდეკო სი ემ  (ს.კ. 405508339) - შპს"/>
        <s v="Ramishvili VRV Outdoor Units Transport  | 1.2.3. (+) შემოსავალი MEP დანადგარების სერვისიდან - არაგეგმიური | ინდეკო სი ემ  (ს.კ. 405508339) - შპს"/>
        <s v="Porta Apartments 4003 | 1.2.1. (+) შემოსავალი MEP დანადგარების რეალიზაციიდან | ბურაქ ქონსტრაქშენ  (ს.კ. 404670682) - შპს"/>
        <s v="Porta Apartments 2906 | 1.2.1. (+) შემოსავალი MEP დანადგარების რეალიზაციიდან | ბურაქ ქონსტრაქშენ  (ს.კ. 404670682) - შპს"/>
        <s v="Roomix Unloading | 1.1.3. (+) შემოსავალი ლიფტების სერვისიდან - არაგეგმიური | ლაქი ქონსთრაქშენ (ს.კ. 405370708) - შპს"/>
        <s v="Rope Change | 1.1.3. (+) შემოსავალი ლიფტების სერვისიდან - არაგეგმიური | დომუს სერვისი (ს.კ. 405311336) - შპს"/>
        <s v="MHI Conditioners | 1.2.1. (+) შემოსავალი MEP დანადგარების რეალიზაციიდან | ნუგზარ წერეთელი (ს.კ. 01017023738) - ფიზ. პირი"/>
        <s v="Dry Port Elevator | 1.1.1. (+) შემოსავალი ლიფტების რეალიზაციიდან | თბილისი დრაი პორტი (ს.კ. 405483454) - შპს"/>
        <s v="Dry Port HVAC | 1.2.1. (+) შემოსავალი MEP დანადგარების რეალიზაციიდან | თბილისი დრაი პორტი (ს.კ. 405483454) - შპს"/>
        <s v="New Time | 1.1.2. (+) შემოსავალი ლიფტების სერვისიდან - გეგმიური | სასტუმრო აქვა ბათუმი (ს.კ. 445646720) - შპს"/>
        <s v="Deka Verona | 1.1.1. (+) შემოსავალი ლიფტების რეალიზაციიდან | დეკა ვერონა (ს.კ. 405570519) - შპს"/>
        <s v="Simetria Lisi 1 Unit | 1.1.1. (+) შემოსავალი ლიფტების რეალიზაციიდან | მეპერსი (ს.კ. 402121887) - შპს"/>
        <s v="KINGS GARDEN 1 UNIT | 1.2.1. (+) შემოსავალი MEP დანადგარების რეალიზაციიდან | აპოლო გ.ს. (ს.კ. 202430468) - შპს"/>
        <s v="Chakhrukhadze Compressor | 1.2.1. (+) შემოსავალი MEP დანადგარების რეალიზაციიდან | ინდეკო სი ემ  (ს.კ. 405508339) - შპს"/>
        <s v="Goderdzi EP | 1.1.1. (+) შემოსავალი ლიფტების რეალიზაციიდან | ხიდი 2006 (ს.კ. 245556991) - შპს"/>
        <s v="Figures | 1.1.1. (+) შემოსავალი ლიფტების რეალიზაციიდან | ბაუჰაუს ქონსთრაქშენი (ს.კ. 405610272) - შპს"/>
        <s v="McDonalds Didi Digomi Rooftop Lounch | 1.1.1. (+) შემოსავალი ლიფტების რეალიზაციიდან | თბილი სახლი (ს.კ. 204976179) - შპს"/>
        <s v="Lisi Veranda 8 | 1.1.1. (+) შემოსავალი ლიფტების რეალიზაციიდან | გიანთი პალასი (ს.კ. 405128268) - შპს"/>
        <s v="Ambassador Batumi | 1.2.1. (+) შემოსავალი MEP დანადგარების რეალიზაციიდან | ამბასადორი ბათუმი (ს.კ. 445515719) - შპს"/>
        <s v="Multiple Rooftops | 1.2.1. (+) შემოსავალი MEP დანადგარების რეალიზაციიდან | თბილი სახლი (ს.კ. 204976179) - შპს"/>
        <s v="LUX | 1.1.1. (+) შემოსავალი ლიფტების რეალიზაციიდან | მეპერსი (ს.კ. 402121887) - შპს"/>
        <s v="New Group University | 1.1.1. (+) შემოსავალი ლიფტების რეალიზაციიდან | ნიუ გრუპ მაღლივი (ს.კ. 405391491) - შპს"/>
        <s v="Kvareli FF Pump Installation | 1.2.1. (+) შემოსავალი MEP დანადგარების რეალიზაციიდან | ინდეკო სი ემ  (ს.კ. 405508339) - შპს"/>
        <s v="All Mcdonalds | 1.1.3. (+) შემოსავალი ლიფტების სერვისიდან - არაგეგმიური | თბილი სახლი (ს.კ. 204976179) - შპს"/>
        <s v="Fan Repair | 1.2.3. (+) შემოსავალი MEP დანადგარების სერვისიდან - არაგეგმიური | შპს წინანდლის მამულები (ს.კ. 204557372) - შპს"/>
        <s v="Modern Residence | 1.1.1. (+) შემოსავალი ლიფტების რეალიზაციიდან | ბათუმი დეველოპმენტ ალიანსი (ს.კ. 445455908) - შპს"/>
        <s v="Kings Garden | 1.2.1. (+) შემოსავალი MEP დანადგარების რეალიზაციიდან | აპოლო გ.ს. (ს.კ. 202430468) - შპს"/>
        <s v="Kvareli Repair | 1.2.1. (+) შემოსავალი MEP დანადგარების რეალიზაციიდან | ინდეკო (ს.კ. 202376133) - შპს"/>
        <s v="DRY PORT GENSET | 1.2.1. (+) შემოსავალი MEP დანადგარების რეალიზაციიდან | თბილისი დრაი პორტი (ს.კ. 405483454) - შპს"/>
        <s v="2025 Spareparts | 1.1.1. (+) შემოსავალი ლიფტების რეალიზაციიდან | გალერია თბილისი (ს.კ. 204558497) - შპს"/>
        <s v="Ginger Gane | 1.1.1. (+) შემოსავალი ლიფტების რეალიზაციიდან | ბილდია (ს.კ. 404535035) - შპს"/>
        <s v="Crown Plaza HVAC | 1.2.1. (+) შემოსავალი MEP დანადგარების რეალიზაციიდან | მეკარტ ჯორჯია (ს.კ. 445474852) - შპს"/>
        <s v="Kobuleti Garden Key | 1.1.1. (+) შემოსავალი ლიფტების რეალიზაციიდან | ქობულეთი გარდენ ქეი (ს.კ. 446987379) - შპს"/>
        <s v="Archi Digomi Installation | 1.1.1. (+) შემოსავალი ლიფტების რეალიზაციიდან | დიღომი 3 (ს.კ. 404566046) - შპს"/>
        <s v="Tegeta Chiller | 1.2.1. (+) შემოსავალი MEP დანადგარების რეალიზაციიდან | თეგეტა მოტორსი (ს.კ. 202177205) - შპს"/>
        <s v="Tagi | 1.1.1. (+) შემოსავალი ლიფტების რეალიზაციიდან | აპარტ ქონ (ს.კ. 402204413) - შპს"/>
        <s v="Ambassador Goderdzi | 1.2.1. (+) შემოსავალი MEP დანადგარების რეალიზაციიდან | ამბასადორი ბათუმი (ს.კ. 445515719) - შპს"/>
        <s v="New Group Kavtaradze | 1.1.1. (+) შემოსავალი ლიფტების რეალიზაციიდან | ნიუ გრუპ დეველოპმენტი (ს.კ. 405650727) - შპს"/>
        <s v="Compressors 2024 | 1.2.1. (+) შემოსავალი MEP დანადგარების რეალიზაციიდან | ტელეგრაფი (ს.კ. 404505406) - შპს"/>
        <s v="Kvareli Staff House | 1.2.1. (+) შემოსავალი MEP დანადგარების რეალიზაციიდან | ინდეკო სი ემ  (ს.კ. 405508339) - შპს"/>
        <s v="Kazbegi | 1.1.1. (+) შემოსავალი ლიფტების რეალიზაციიდან | თმ ჯგუფი (ს.კ. 405226802) - შპს"/>
        <s v="Batumi Office Rent MEPPERS | 1.3.2. (+) იჯარიდან მიღებული შემოსავალი | მეპერსი (ს.კ. 402121887) - შპს"/>
        <s v="Batumi Office Rent CASA | 1.3.2. (+) იჯარიდან მიღებული შემოსავალი | კაზა დი ბათუმი (ს.კ. 405389397) - შპს"/>
        <s v="Compact Mukhiani | 1.1.1. (+) შემოსავალი ლიფტების რეალიზაციიდან | კომპაქტ მუხიანი (ს.კ. 405568675) - შპს"/>
        <s v="Buttons | 1.1.3. (+) შემოსავალი ლიფტების სერვისიდან - არაგეგმიური | DMS (ს.კ. 404868728) - შპს"/>
        <s v="Kvareli Marani | 1.1.2. (+) შემოსავალი ლიფტების სერვისიდან - გეგმიური | ყვარლის მარანი (ს.კ. 441554499) - შპს"/>
        <s v="Hampton Unloading | 1.1.3. (+) შემოსავალი ლიფტების სერვისიდან - არაგეგმიური | მეპერსი (ს.კ. 402121887) - შპს"/>
        <s v="Hampton | 1.1.1. (+) შემოსავალი ლიფტების რეალიზაციიდან | მეპერსი (ს.კ. 402121887) - შპს"/>
        <s v="Lisi Veranda 8 Unloading | 1.1.1. (+) შემოსავალი ლიფტების რეალიზაციიდან | გიანთი პალასი (ს.კ. 405128268) - შპს"/>
        <s v="EastPoint Chiller | 1.2.1. (+) შემოსავალი MEP დანადგარების რეალიზაციიდან | სიბიდი დეველოპმენტი (ს.კ. 404382921) - შპს"/>
        <s v="Sunrise Palace | 1.1.1. (+) შემოსავალი ლიფტების რეალიზაციიდან | სანრაიზ პალასი (ს.კ. 445692518) - შპს"/>
        <s v="Sandro Euli | 1.1.1. (+) შემოსავალი ლიფტების რეალიზაციიდან | ვოლსი საბურთალო (ს.კ. 405372109) - შპს"/>
        <s v="Crown Plaza | 1.2.1. (+) შემოსავალი MEP დანადგარების რეალიზაციიდან | ემ სი ქონსთრაქშენ (ს.კ. 445558496) - შპს"/>
        <s v="Golden Beach Kvariati | 1.1.1. (+) შემოსავალი ლიფტების რეალიზაციიდან | ოქროს სანაპირო (ს.კ. 445465773) - შპს"/>
        <s v="Tegeta AHU | 1.2.1. (+) შემოსავალი MEP დანადგარების რეალიზაციიდან | თეგეტა მოტორსი (ს.კ. 202177205) - შპს"/>
        <s v="Ibis Tbilisi Airport | 1.1.2. (+) შემოსავალი ლიფტების სერვისიდან - გეგმიური | თბილისი ეარფორთ ჰოთელ (ს.კ. 406471269) - შპს"/>
        <s v="Aparthotel Service | 1.1.3. (+) შემოსავალი ლიფტების სერვისიდან - არაგეგმიური | კანალესა (ს.კ. 405021925) - შპს"/>
        <s v="Batumi Cafe Central | 1.1.2. (+) შემოსავალი ლიფტების სერვისიდან - გეგმიური | კაფე ცენტრალი (ს.კ. 445685884) - შპს"/>
        <s v="Mitsubisi Vasilieva | 1.1.3. (+) შემოსავალი ლიფტების სერვისიდან - არაგეგმიური | ნატალია ვასილიევა (ს.კ. 01019013928) - ფიზ. პირი"/>
        <s v="Multisplit | 1.2.1. (+) შემოსავალი MEP დანადგარების რეალიზაციიდან | ეკატერინე გელაშვილი (ს.კ. 01023000852) - ფიზ. პირი"/>
        <s v="Service Irakli Kirtshkhalia | 1.1.2. (+) შემოსავალი ლიფტების სერვისიდან - გეგმიური | ნინო კირცხალია (ს.კ. 01031005362) - ფიზ. პირი"/>
        <s v="Air Conditioner | 1.2.1. (+) შემოსავალი MEP დანადგარების რეალიზაციიდან | მურუსიძე გიორგი (ს.კ. 61001034832) - ფიზ. პირი"/>
        <s v="Conditioner blocks | 1.2.1. (+) შემოსავალი MEP დანადგარების რეალიზაციიდან | პარავიანი ალვინა (ს.კ. 01014004683) - ფიზ. პირი"/>
        <s v="Qurcadze Parts | 1.2.1. (+) შემოსავალი MEP დანადგარების რეალიზაციიდან | ქურცაძე ვასო (ს.კ. 18001065894) - ფიზ. პირი"/>
        <s v="Kontridze Split | 1.2.1. (+) შემოსავალი MEP დანადგარების რეალიზაციიდან | ივანე კონტრიძე (ს.კ. 01024066432) - ფიზ. პირი"/>
        <s v="Lomidze Conditioner  | 1.2.1. (+) შემოსავალი MEP დანადგარების რეალიზაციიდან | ლომიძე ლიანა (ს.კ. 01117067344) - ფიზ. პირი"/>
        <s v="Chavchavadze Oth | 1.2.1. (+) შემოსავალი MEP დანადგარების რეალიზაციიდან | ეკატერინე ჭავჭავაძე (ს.კ. 01009010735) - ფიზ. პირი"/>
        <s v="Gogotishvili Oth | 1.2.1. (+) შემოსავალი MEP დანადგარების რეალიზაციიდან | გოგოტიშვილი კობა (ს.კ. 33001026839) - ფიზ. პირი"/>
        <s v="Gagua Oth | 1.2.1. (+) შემოსავალი MEP დანადგარების რეალიზაციიდან | ანა გაგუა (ს.კ. 60001021539) - ფიზ. პირი"/>
        <s v="Vekua Oth | 1.2.1. (+) შემოსავალი MEP დანადგარების რეალიზაციიდან | ვეკუა ლაშა (ს.კ. 01027060345) - ფიზ. პირი"/>
        <s v="Nasidze 20 | 1.1.2. (+) შემოსავალი ლიფტების სერვისიდან - გეგმიური | ლაბარტყავა მარიამ (ს.კ. 01008043151) - ფიზ. პირი"/>
        <s v="Gagnidze Oth | 1.2.1. (+) შემოსავალი MEP დანადგარების რეალიზაციიდან | გაგნიძე ნელი (ს.კ. 01006008918) - ფიზ. პირი"/>
        <s v="Mammadova Oth | 1.2.1. (+) შემოსავალი MEP დანადგარების რეალიზაციიდან | ელენა მამმადოვა (ს.კ. 01794001582) - ფიზ. პირი"/>
        <s v="Beridze Multisplit | 1.2.1. (+) შემოსავალი MEP დანადგარების რეალიზაციიდან | ბერიძე არჩილ (ს.კ. 61001032541) - ფიზ. პირი"/>
        <s v="Kikutadze Conditioner | 1.2.1. (+) შემოსავალი MEP დანადგარების რეალიზაციიდან | გიორგი კიკუტაძე (ს.კ. 01901146888) - ფიზ. პირი"/>
        <s v="Gogatishvili Oth | 1.2.1. (+) შემოსავალი MEP დანადგარების რეალიზაციიდან | კობა გოგატიშვილი (ს.კ. 54001008148) - ფიზ. პირი"/>
        <s v="Tavadze Oth | 1.2.1. (+) შემოსავალი MEP დანადგარების რეალიზაციიდან | თავაძე თამაზი (ს.კ. 01019014393) - ფიზ. პირი"/>
        <s v="Lekveishvili Oth | 1.2.1. (+) შემოსავალი MEP დანადგარების რეალიზაციიდან | ლეკვეიშვილი გრიგოლ (ს.კ. 01001010845) - ფიზ. პირი"/>
        <s v="Navtlugi | 1.1.2. (+) შემოსავალი ლიფტების სერვისიდან - გეგმიური | სითიქომ (ს.კ. 405197111) - შპს"/>
        <s v="Eqvtime Kheladze | 1.1.2. (+) შემოსავალი ლიფტების სერვისიდან - გეგმიური | სითიქომ (ს.კ. 405197111) - შპს"/>
        <s v="4000 Meskhtians | 1.1.2. (+) შემოსავალი ლიფტების სერვისიდან - გეგმიური | სითიქომ (ს.კ. 405197111) - შპს"/>
        <s v="Tskneti H-way | 1.1.2. (+) შემოსავალი ლიფტების სერვისიდან - გეგმიური | სითიქომ (ს.კ. 405197111) - შპს"/>
        <s v="Shartava | 1.1.2. (+) შემოსავალი ლიფტების სერვისიდან - გეგმიური | სითიქომ (ს.კ. 405197111) - შპს"/>
        <s v="Oktopus Serv | 1.1.2. (+) შემოსავალი ლიფტების სერვისიდან - გეგმიური | ოკტოპუსი (ს.კ. 405116084) - შპს"/>
        <s v="Service | 1.1.2. (+) შემოსავალი ლიფტების სერვისიდან - გეგმიური | ჯორჯიან გოლდ ინვესტ (ს.კ. 405602968) - სს"/>
        <s v="UNIX MARSEL Oth | 1.1.3. (+) შემოსავალი ლიფტების სერვისიდან - არაგეგმიური | ფრანგული უბანი ფრანგული უბნის &quot;დ&quot; და &quot;ე&quot; ბლოკების ამხანაგობა (ს.კ. 200316657) - ამხანაგობა"/>
        <s v="King Parnavaz Service | 1.1.3. (+) შემოსავალი ლიფტების სერვისიდან - არაგეგმიური | ფარნავაზ მეფის # 62 (ს.კ. 245665221) - ამხანაგობა"/>
        <s v="Batumi Mall Repair | 1.1.3. (+) შემოსავალი ლიფტების სერვისიდან - არაგეგმიური | სიმონ შეშელიძე (ს.კ. 33001059430) - ფიზ. პირი"/>
        <s v="Server | 1.2.3. (+) შემოსავალი MEP დანადგარების სერვისიდან - არაგეგმიური | შპს წინანდლის მამულები (ს.კ. 204557372) - შპს"/>
        <s v="Magaldadze service | 1.1.2. (+) შემოსავალი ლიფტების სერვისიდან - გეგმიური | თეა მაღალდაძე (ს.კ. 57001015349) - ინდ. მეწარმე"/>
        <s v="JP Service | 1.1.2. (+) შემოსავალი ლიფტების სერვისიდან - გეგმიური | ჯეიფი ჰაბ (ს.კ. 445657548) - შპს"/>
        <s v="Gori Mall Oth | 1.2.3. (+) შემოსავალი MEP დანადგარების სერვისიდან - არაგეგმიური | მპ დეველოპმენტი (ს.კ. 404960217) - შპს"/>
        <s v="Admiral Service | 1.1.2. (+) შემოსავალი ლიფტების სერვისიდან - გეგმიური | ადმირალ ფბ (ს.კ. 405586655) - შპს"/>
        <s v="Verheij Property | 1.3.1. (+) სხვადასხვა ინვენტარის რეალიზაცია | ვერჰეიჯ ნორა (ს.კ. NV0C25JD1) - ფიზ. პირი"/>
        <s v="Molashvili Auto | 1.3.1. (+) სხვადასხვა ინვენტარის რეალიზაცია | ანზორ მოლაშვილი (ს.კ. 40001004103) - ინდ. მეწარმე"/>
        <s v="Cafe Central Oth | 1.1.3. (+) შემოსავალი ლიფტების სერვისიდან - არაგეგმიური | კაფე ცენტრალი (ს.კ. 445685884) - შპს"/>
        <s v="Domus Ipodrom via TBC Leasing | 1.1.1. (+) შემოსავალი ლიფტების რეალიზაციიდან | თიბისი ლიზინგი (ს.კ. 205016560) - სს"/>
        <s v="BOG Oth | 1.3.1. (+) სხვადასხვა ინვენტარის რეალიზაცია | საქართველოს ბანკი (ს.კ. 204378869) - სს"/>
        <s v="Gtem Hospitality Oth | 1.2.3. (+) შემოსავალი MEP დანადგარების სერვისიდან - არაგეგმიური | გთემ ჰოსფითალითი გრუპ (ს.კ. 445604640) - შპს"/>
        <s v="Batumi Central | 1.1.1. (+) შემოსავალი ლიფტების რეალიზაციიდან | ბათუმი ცენტრალი (ს.კ. 445386172) - შპს"/>
        <s v="Bagrationi VRF | 1.2.1. (+) შემოსავალი MEP დანადგარების რეალიზაციიდან | ბაგრატიონი რეზიდენსი (ს.კ. 445572568) - შპს"/>
        <s v="Bagrationi Oth | 1.2.3. (+) შემოსავალი MEP დანადგარების სერვისიდან - არაგეგმიური | ბაგრატიონი რეზიდენსი (ს.კ. 445572568) - შპს"/>
        <s v="Ibis Airport Oth | 1.1.3. (+) შემოსავალი ლიფტების სერვისიდან - არაგეგმიური | ფუჯინ სილქ ფროფერთის (ს.კ. 405273421) - შპს"/>
        <s v="CPI Geo Oth | 1.2.1. (+) შემოსავალი MEP დანადგარების რეალიზაციიდან | სი ფი აი ჯორჯია (ს.კ. 204969908) - შპს"/>
        <s v="Piazza Oth | 1.2.1. (+) შემოსავალი MEP დანადგარების რეალიზაციიდან | PIAZZA MANAGEMENT (ს.კ. 445394369) - შპს"/>
        <s v="Caan Construction Oth | 1.2.1. (+) შემოსავალი MEP დანადგარების რეალიზაციიდან | ქაან ქონსთრაქშენ (ს.კ. 445718411) - შპს"/>
        <s v="V-JEO Restaurant Oth | 1.2.1. (+) შემოსავალი MEP დანადგარების რეალიზაციიდან | ვ-ჯეო რესტორნები (ს.კ. 405404076) - შპს"/>
        <s v="V-JEO Restaurant Service | 1.1.2. (+) შემოსავალი ლიფტების სერვისიდან - გეგმიური | ვ-ჯეო რესტორნები (ს.კ. 405404076) - შპს"/>
        <s v="Supreme Solutions Var | 1.2.1. (+) შემოსავალი MEP დანადგარების რეალიზაციიდან | სუპრემე სოლუთიონს (ს.კ. 445587320) - შპს"/>
        <s v="City Mall Oth | 1.1.3. (+) შემოსავალი ლიფტების სერვისიდან - არაგეგმიური | აი ჯი დეველოფმენტ ჯორჯია (ს.კ. 404851503) - შპს"/>
        <s v="Police City | 1.1.1. (+) შემოსავალი ლიფტების რეალიზაციიდან | ანაგი (ს.კ. 245416401) - შპს"/>
        <s v="Lisi Fo Green Tower | 1.1.1. (+) შემოსავალი ლიფტების რეალიზაციიდან | მეპერსი (ს.კ. 402121887) - შპს"/>
        <s v="Gayrimenkul (Turkey) | 1.1.1. (+) შემოსავალი ლიფტების რეალიზაციიდან | მეპერსი (ს.კ. 402121887) - შპს"/>
        <s v="Rid Yerevan | 1.1.1. (+) შემოსავალი ლიფტების რეალიზაციიდან | მეპერსი (ს.კ. 402121887) - შპს"/>
        <s v="Lisi Fo C4 Block | 1.1.1. (+) შემოსავალი ლიფტების რეალიზაციიდან | მეპერსი (ს.კ. 402121887) - შპს"/>
        <s v="Lazika | 1.1.1. (+) შემოსავალი ლიფტების რეალიზაციიდან | მეპერსი (ს.კ. 402121887) - შპს"/>
        <s v="Tsakhnadzur (Arm) | 1.1.1. (+) შემოსავალი ლიფტების რეალიზაციიდან | მეპერსი (ს.კ. 402121887) - შპს"/>
        <s v="Bk Shartava 43 stage 2 | 1.1.1. (+) შემოსავალი ლიფტების რეალიზაციიდან | მეპერსი (ს.კ. 402121887) - შპს"/>
        <s v="Hampton Tourinvest | 1.1.1. (+) შემოსავალი ლიფტების რეალიზაციიდან | მეპერსი (ს.კ. 402121887) - შპს"/>
        <s v="Energy + Akhaltsikhe | 1.1.1. (+) შემოსავალი ლიფტების რეალიზაციიდან | მეპერსი (ს.კ. 402121887) - შპს"/>
        <s v="Bk Shartava stage 3 | 1.1.1. (+) შემოსავალი ლიფტების რეალიზაციიდან | მეპერსი (ს.კ. 402121887) - შპს"/>
        <s v="Marshal Development | 1.1.1. (+) შემოსავალი ლიფტების რეალიზაციიდან | მეპერსი (ს.კ. 402121887) - შპს"/>
        <s v="Beta Group | 1.1.1. (+) შემოსავალი ლიფტების რეალიზაციიდან | მეპერსი (ს.კ. 402121887) - შპს"/>
        <s v="BK Dzotsi St | 1.1.1. (+) შემოსავალი ლიფტების რეალიზაციიდან | მეპერსი (ს.კ. 402121887) - შპს"/>
        <s v="Bili Menegement | 1.1.1. (+) შემოსავალი ლიფტების რეალიზაციიდან | მეპერსი (ს.კ. 402121887) - შპს"/>
        <s v="Krtsanisi Millenio | 1.1.1. (+) შემოსავალი ლიფტების რეალიზაციიდან | მეპერსი (ს.კ. 402121887) - შპს"/>
        <s v="GM Pharma Compresor | 1.2.1. (+) შემოსავალი MEP დანადგარების რეალიზაციიდან | ჯი ემ ფარმასიუთიქალს (ს.კ. 211385268) - შპს"/>
        <s v="Service 2025 | 1.2.3. (+) შემოსავალი MEP დანადგარების სერვისიდან - არაგეგმიური | გთემ ჰოსფითალითი გრუპ (ს.კ. 445604640) - შპს"/>
        <s v="Zara City Mall Elevator Details | 1.1.3. (+) შემოსავალი ლიფტების სერვისიდან - არაგეგმიური | Spanish Retail Georgia (ს.კ. 404404774) - შპს"/>
        <s v="Tbilisi Gardens Oth | 1.1.3. (+) შემოსავალი ლიფტების სერვისიდან - არაგეგმიური | BD Property (ს.კ. 404390967) - შპს"/>
        <s v="Card System | 1.1.3. (+) შემოსავალი ლიფტების სერვისიდან - არაგეგმიური | ჯეო ჰოსპიტალს (ს.კ. 404907730) - შპს"/>
        <s v="Archi Isani C1 Repair | 1.1.3. (+) შემოსავალი ლიფტების სერვისიდან - არაგეგმიური | ისანი ც სერვისი 1 (ს.კ. 405476300) - შპს"/>
        <s v="Kaklebi Oth | 1.1.3. (+) შემოსავალი ლიფტების სერვისიდან - არაგეგმიური | ევროპროდუქტი (ს.კ. 202227134) - შპს"/>
        <s v="IBIS Perov Oth | 1.1.3. (+) შემოსავალი ლიფტების სერვისიდან - არაგეგმიური | ბეტა ჰოთელს (ს.კ. 404585686) - შპს"/>
        <s v="Modus Oth | 1.1.3. (+) შემოსავალი ლიფტების სერვისიდან - არაგეგმიური | მოდუსი (ს.კ. 245565669) - შპს"/>
        <s v="Deka Digomi Oth | 1.1.3. (+) შემოსავალი ლიფტების სერვისიდან - არაგეგმიური | დეკა დიდი დიღომი (ს.კ. 405569665) - შპს"/>
        <s v="Sunrise Shartava Oth | 1.1.3. (+) შემოსავალი ლიფტების სერვისიდან - არაგეგმიური | სანრაიზ დეველოპმენტი (ს.კ. 405285221) - შპს"/>
        <s v="Shatberashvili 45 Oth | 1.1.3. (+) შემოსავალი ლიფტების სერვისიდან - არაგეგმიური | შატბერაშვილის 45 (ს.კ. 405629583) - შპს"/>
        <s v="Khimshiashvili Apartment | 1.1.1. (+) შემოსავალი ლიფტების რეალიზაციიდან | ხიმშიაშვილი ზურა (ს.კ. 61001076743) - ფიზ. პირი"/>
        <s v="Arte Kerchi | 1.1.1. (+) შემოსავალი ლიფტების რეალიზაციიდან | არტე ქერჩი (ს.კ. 400359492) - შპს"/>
        <s v="Bloom Bagebi | 1.1.1. (+) შემოსავალი ლიფტების რეალიზაციიდან | ირ.აბაშიძე 555 (ს.კ. 402204299) - შპს"/>
        <s v="Irigio | 1.1.1. (+) შემოსავალი ლიფტების რეალიზაციიდან | ირიგიო (ს.კ. 405167466) - შპს"/>
        <s v="Air Conditioner | 1.2.1. (+) შემოსავალი MEP დანადგარების რეალიზაციიდან | Technolux LLC (ს.კ. 0) - უცხოური საწარმო"/>
        <s v="Galleria Service | 1.1.2. (+) შემოსავალი ლიფტების სერვისიდან - გეგმიური | გალერია თბილისი (ს.კ. 204558497) - შპს"/>
        <s v="Dar Tower Oth | 1.1.3. (+) შემოსავალი ლიფტების სერვისიდან - არაგეგმიური | Dar Building (ს.კ. 445420875) - შპს"/>
        <s v="DAVINCHI | 1.1.1. (+) შემოსავალი ლიფტების რეალიზაციიდან | დავინჩი (ს.კ. 405034680) - შპს"/>
        <s v="Telegraph AHU | 1.2.1. (+) შემოსავალი MEP დანადგარების რეალიზაციიდან | დნთ ქონსთრაქშენ (ს.კ. 405418196) - შპს"/>
        <s v="Gelift | 1.1.1. (+) შემოსავალი ლიფტების რეალიზაციიდან | ჯელიფტი + (ს.კ. 405107842) - შპს"/>
        <s v="Office Conditioners | 1.2.1. (+) შემოსავალი MEP დანადგარების რეალიზაციიდან | თამარ ჩუბინიძე (ს.კ. 01008015352) - ფიზ. პირი"/>
        <s v="Ramada Plaza | 1.1.2. (+) შემოსავალი ლიფტების სერვისიდან - გეგმიური | დარ ინვესტი (ს.კ. 405351140) - შპს"/>
        <s v="Air Conditioner | 1.2.1. (+) შემოსავალი MEP დანადგარების რეალიზაციიდან | ზურაბი ლომიძე (ს.კ. 38001046593) - ფიზ. პირი"/>
        <s v="DG Construction | 1.1.1. (+) შემოსავალი ლიფტების რეალიზაციიდან | დჯ მშენებლობა (ს.კ. 426549648) - შპს"/>
        <s v="Air Conditioner | 1.2.1. (+) შემოსავალი MEP დანადგარების რეალიზაციიდან | ელირან ტრაბელსი (ს.კ. 0) - ფიზ. პირი"/>
        <s v="Air Conditioner | 1.2.1. (+) შემოსავალი MEP დანადგარების რეალიზაციიდან | ლეონოვა ანნა (ს.კ. 756863414) - ფიზ. პირი"/>
        <s v="Air Conditioner | 1.2.1. (+) შემოსავალი MEP დანადგარების რეალიზაციიდან | გიორგი სულაბერიძე (ს.კ. 01031005706) - ფიზ. პირი"/>
        <s v="Air Conditioner | 1.2.1. (+) შემოსავალი MEP დანადგარების რეალიზაციიდან | ირაკლი მიქელაძე (ს.კ. 01008048570) - ფიზ. პირი"/>
        <s v="Air Conditioner | 1.2.1. (+) შემოსავალი MEP დანადგარების რეალიზაციიდან | მიხაილ უდოვკინ (ს.კ. 761253063) - ფიზ. პირი"/>
        <s v="Air Conditioner | 1.2.1. (+) შემოსავალი MEP დანადგარების რეალიზაციიდან | ოლგა ბეზბაბნიჯა (ს.კ. LV5293430) - ფიზ. პირი"/>
        <s v="Air Conditioner | 1.2.1. (+) შემოსავალი MEP დანადგარების რეალიზაციიდან | ზაზა კვიციანი (ს.კ. 01006002615) - ფიზ. პირი"/>
        <s v="Air Conditioner | 1.2.1. (+) შემოსავალი MEP დანადგარების რეალიზაციიდან | ეკატერინე გოგია (ს.კ. 62001008516) - ფიზ. პირი"/>
        <s v="Air Conditioner | 1.2.1. (+) შემოსავალი MEP დანადგარების რეალიზაციიდან | დავით გოზალიშვილი (ს.კ. 01024017502) - ფიზ. პირი"/>
        <s v="Panorama | 1.1.1. (+) შემოსავალი ლიფტების რეალიზაციიდან | იდეა ქონსთრაქშენი (ს.კ. 405545030) - შპს"/>
        <s v="Air Conditioner | 1.2.1. (+) შემოსავალი MEP დანადგარების რეალიზაციიდან | ოლეგ კაპლიევ (ს.კ. 345720703) - ინდ. მეწარმე"/>
        <s v="Air Conditioner | 1.2.1. (+) შემოსავალი MEP დანადგარების რეალიზაციიდან | ანა კომახიძე (ს.კ. 61001084981) - ფიზ. პირი"/>
        <s v="Digomi 2B Service | 1.1.2. (+) შემოსავალი ლიფტების სერვისიდან - გეგმიური | არქი მეინთენენს (ს.კ. 405752957) - შპს"/>
        <s v="Park Home Galleria | 1.1.3. (+) შემოსავალი ლიფტების სერვისიდან - არაგეგმიური | ანაგი დეველოპმენტი 1 (ს.კ. 404567713) - შპს"/>
        <s v="Kvareli Ballrom | 1.2.1. (+) შემოსავალი MEP დანადგარების რეალიზაციიდან | ინდეკო (ს.კ. 202376133) - შპს"/>
        <s v="Air Conditioner | 1.2.1. (+) შემოსავალი MEP დანადგარების რეალიზაციიდან | ფალლაჰა მონა (ს.კ. LR1331828) - ფიზ. პირი"/>
        <s v="Archi Isani D Block | 1.1.2. (+) შემოსავალი ლიფტების სერვისიდან - გეგმიური | არქი მეინთენენს (ს.კ. 405752957) - შპს"/>
        <s v="Saburtalo C Block | 1.1.2. (+) შემოსავალი ლიფტების სერვისიდან - გეგმიური | არქი მეინთენენს (ს.კ. 405752957) - შპს"/>
        <s v="Archi Isani C Block | 1.1.2. (+) შემოსავალი ლიფტების სერვისიდან - გეგმიური | არქი მეინთენენს (ს.კ. 405752957) - შპს"/>
        <s v="Samzeo Service | 1.1.2. (+) შემოსავალი ლიფტების სერვისიდან - გეგმიური | სამზეო ყვარელი (ს.კ. 405748268) - შპს"/>
        <s v="Pekini Service | 1.1.2. (+) შემოსავალი ლიფტების სერვისიდან - გეგმიური | პეკინის სასტუმრო (ს.კ. 405696073) - შპს"/>
        <s v="Pult | 1.2.1. (+) შემოსავალი MEP დანადგარების რეალიზაციიდან | მაია ჩავლეიშვილი (ს.კ. 01021017124) - ფიზ. პირი"/>
        <s v="Air Conditioner | 1.2.1. (+) შემოსავალი MEP დანადგარების რეალიზაციიდან | ანტონ ვორონინი (ს.კ. 03187803411) - ფიზ. პირი"/>
        <s v="Telavi Mall | 1.1.1. (+) შემოსავალი ლიფტების რეალიზაციიდან | მპ დეველოპმენტი (ს.კ. 404960217) - შპს"/>
        <s v="Delisi Oth | 1.1.3. (+) შემოსავალი ლიფტების სერვისიდან - არაგეგმიური | ბიზნეს ცენტრი დელისი (ს.კ. 204854014) - სს"/>
        <s v="Telegraph Fancoils | 1.2.1. (+) შემოსავალი MEP დანადგარების რეალიზაციიდან | DT MUHENDISLIK VE TAAHHUT A.S. (ს.კ. 0) - უცხოური საწარმო"/>
        <s v="Telegraph Chiller | 1.2.1. (+) შემოსავალი MEP დანადგარების რეალიზაციიდან | DT MUHENDISLIK VE TAAHHUT A.S. (ს.კ. 0) - უცხოური საწარმო"/>
        <s v="Social Houses Batumi | 1.1.1. (+) შემოსავალი ლიფტების რეალიზაციიდან | ანაგი (ს.კ. 245416401) - შპს"/>
        <s v="Bagebi Service | 1.1.3. (+) შემოსავალი ლიფტების სერვისიდან - არაგეგმიური | ეკატერინე ელისაბედაშვილი (ს.კ. 01019021472) - ფიზ. პირი"/>
        <s v="ZYGMA | 1.1.1. (+) შემოსავალი ლიფტების რეალიზაციიდან | ზ-გრუპ (ს.კ. 400017245) - შპს"/>
        <s v="Batumi Central Install | 1.1.1. (+) შემოსავალი ლიფტების რეალიზაციიდან | ბათუმი ცენტრალი (ს.კ. 445386172) - შპს"/>
        <s v="UNIX MARSEL Repair | 1.1.3. (+) შემოსავალი ლიფტების სერვისიდან - არაგეგმიური | ფრანგული უბანი ფრანგული უბნის &quot;დ&quot; და &quot;ე&quot; ბლოკების ამხანაგობა (ს.კ. 200316657) - ამხანაგობა"/>
        <s v="MTZ Service | 1.1.2. (+) შემოსავალი ლიფტების სერვისიდან - გეგმიური | მტზ კომპანი (ს.კ. 445525478) - შპს"/>
        <s v="Didi Digomi 2B | 1.1.2. (+) შემოსავალი ლიფტების სერვისიდან - გეგმიური | არქი მეინთენენს (ს.კ. 405752957) - შპს"/>
        <s v="Didi Digomi 2C | 1.1.2. (+) შემოსავალი ლიფტების სერვისიდან - გეგმიური | არქი მეინთენენს (ს.კ. 405752957) - შპს"/>
        <s v="Didi Digomi 2D | 1.1.2. (+) შემოსავალი ლიფტების სერვისიდან - გეგმიური | არქი მეინთენენს (ს.კ. 405752957) - შპს"/>
        <s v="Central Platform | 1.2.1. (+) შემოსავალი MEP დანადგარების რეალიზაციიდან | თბილისი ცენტრალი (ს.კ. 205129653) - სს"/>
        <s v="University Transportation | 1.1.1. (+) შემოსავალი ლიფტების რეალიზაციიდან | ნიუ გრუპ მაღლივი (ს.კ. 405391491) - შპს"/>
        <s v="Air Conditioner | 1.2.1. (+) შემოსავალი MEP დანადგარების რეალიზაციიდან | კახა ვარდიაშვილი (ს.კ. 01008023192) - ფიზ. პირი"/>
        <s v="Air Conditioner | 1.2.1. (+) შემოსავალი MEP დანადგარების რეალიზაციიდან | მაიკლი ნაუმოვი (ს.კ. ICE2953) - ფიზ. პირი"/>
        <s v="Air Conditioner | 1.2.1. (+) შემოსავალი MEP დანადგარების რეალიზაციიდან | გიორგი ხონელია (ს.კ. 62007000908) - ფიზ. პირი"/>
        <s v="Facade Lifts | 1.1.1. (+) შემოსავალი ლიფტების რეალიზაციიდან | ანაგი მექანიზაცია (ს.კ. 445423587) - შპს"/>
        <s v="Nami | 1.1.1. (+) შემოსავალი ლიფტების რეალიზაციიდან | ნამი 2024 (ს.კ. 405720019) - შპს"/>
        <s v="Radisson Red HVAC Service | 1.2.2. (+) შემოსავალი MEP დანადგარების სერვისიდან - გეგმიური | ტელეგრაფი (ს.კ. 404505406) - შპს"/>
        <s v="Holiday Inn Oth | 1.1.3. (+) შემოსავალი ლიფტების სერვისიდან - არაგეგმიური | ლაიქ ჰაუსი (ს.კ. 445478563) - შპს"/>
        <s v="DAVINCHI Oth | 1.1.1. (+) შემოსავალი ლიფტების რეალიზაციიდან | დავინჩი (ს.კ. 405034680) - შპს"/>
        <s v="Neo Gudauri Serv | 1.1.2. (+) შემოსავალი ლიფტების სერვისიდან - გეგმიური | ნეო გუდაური (ს.კ. ICE002963) - ამხანაგობა"/>
        <s v="Dry Port Office | 1.2.1. (+) შემოსავალი MEP დანადგარების რეალიზაციიდან | თბილისი დრაი პორტი (ს.კ. 405483454) - შპს"/>
        <s v="Tegeta Other Repair | 1.2.3. (+) შემოსავალი MEP დანადგარების სერვისიდან - არაგეგმიური | თეგეტა მოტორსი (ს.კ. 202177205) - შპს"/>
        <s v="Control System | 1.2.3. (+) შემოსავალი MEP დანადგარების სერვისიდან - არაგეგმიური | თბილისი ცენტრალი (ს.კ. 205129653) - სს"/>
        <s v="Shartava LG | 1.1.1. (+) შემოსავალი ლიფტების რეალიზაციიდან | მეპერსი (ს.კ. 402121887) - შპს"/>
        <s v="Lift Buttons | 1.1.3. (+) შემოსავალი ლიფტების სერვისიდან - არაგეგმიური | ბეტა ჰოთელს (ს.კ. 404585686) - შპს"/>
        <s v="Kvareli Wine Factory | 1.2.1. (+) შემოსავალი MEP დანადგარების რეალიზაციიდან | ინდეკო სი ემ  (ს.კ. 405508339) - შპს"/>
        <s v="Kutaisi McDonalds | 1.2.1. (+) შემოსავალი MEP დანადგარების რეალიზაციიდან | თბილი სახლი (ს.კ. 204976179) - შპს"/>
        <s v="Doors Repair | 1.1.1. (+) შემოსავალი ლიფტების რეალიზაციიდან | ლაიქ ჰაუსი (ს.კ. 445478563) - შპს"/>
        <s v="Grande Krtsanisi D &amp; E Block | 1.1.1. (+) შემოსავალი ლიფტების რეალიზაციიდან | გრანდე ჯგუფი (ს.კ. 404557127) - შპს"/>
        <s v="Grishashvili | 1.1.1. (+) შემოსავალი ლიფტების რეალიზაციიდან | მშენებელი 2004 (ს.კ. 205023277) - შპს"/>
        <s v="Telegraph Ahu Additional | 1.2.1. (+) შემოსავალი MEP დანადგარების რეალიზაციიდან | დნთ ქონსთრაქშენ (ს.კ. 405418196) - შპს"/>
        <s v="Kvareli Fans | 1.2.1. (+) შემოსავალი MEP დანადგარების რეალიზაციიდან | ინდეკო (ს.კ. 202376133) - შპს"/>
        <s v="Art House Repair | 1.1.3. (+) შემოსავალი ლიფტების სერვისიდან - არაგეგმიური | ანაგი არტ ჰაუსი (ს.კ. 404630716) - შპს"/>
        <s v="Kutaisi Rooftop Launch | 1.2.3. (+) შემოსავალი MEP დანადგარების სერვისიდან - არაგეგმიური | თბილი სახლი (ს.კ. 204976179) - შპს"/>
        <s v="Varketili Mall | 1.1.1. (+) შემოსავალი ლიფტების რეალიზაციიდან | მეტრო ჰოლდინგი (ს.კ. 404512933) - შპს"/>
        <s v="Uznadze Office | 1.1.1. (+) შემოსავალი ლიფტების რეალიზაციიდან | ტოკიო ჰოტელ (ს.კ. 402229423) - შპს"/>
        <s v="Archi Isani C Repair | 1.1.3. (+) შემოსავალი ლიფტების სერვისიდან - არაგეგმიური | არქი მეინთენენს (ს.კ. 405752957) - შპს"/>
        <s v="Galeria Repair | 1.1.3. (+) შემოსავალი ლიფტების სერვისიდან - არაგეგმიური | გალერია თბილისი (ს.კ. 204558497) - შპს"/>
        <s v="Sakeni | 1.1.1. (+) შემოსავალი ლიფტების რეალიზაციიდან | საკენი ბიოგრაფი (ს.კ. 404651015) - შპს"/>
        <s v="Fire Cabinet | 1.2.1. (+) შემოსავალი MEP დანადგარების რეალიზაციიდან | 1920 (ს.კ. 400247899) - შპს"/>
        <s v="Accor Avlabari | 1.1.1. (+) შემოსავალი ლიფტების რეალიზაციიდან | მეპერსი (ს.კ. 402121887) - შპს"/>
        <s v="Lisi Development 6 units | 1.1.1. (+) შემოსავალი ლიფტების რეალიზაციიდან | მეპერსი (ს.კ. 402121887) - შპს"/>
        <s v="Compressors 2025 | 1.2.1. (+) შემოსავალი MEP დანადგარების რეალიზაციიდან | ტელეგრაფი (ს.კ. 404505406) - შპს"/>
        <s v="Lisi VRF | 1.2.1. (+) შემოსავალი MEP დანადგარების რეალიზაციიდან | ნინო თავამაიშვილი (ს.კ. 33001020674) - ფიზ. პირი"/>
        <s v="Fotosell | 1.1.3. (+) შემოსავალი ლიფტების სერვისიდან - არაგეგმიური | ნეო გუდაური (ს.კ. ICE002963) - ამხანაგობა"/>
        <s v="Door threshold | 1.1.3. (+) შემოსავალი ლიფტების სერვისიდან - არაგეგმიური | Dar Building (ს.კ. 445420875) - შპს"/>
        <s v="Chkondideli | 1.1.1. (+) შემოსავალი ლიფტების რეალიზაციიდან | ოპტიმა (ს.კ. 405160819) - შპს"/>
        <s v="Container Unloading | 1.1.1. (+) შემოსავალი ლიფტების რეალიზაციიდან | დეკა ვერონა (ს.კ. 405570519) - შპს"/>
        <s v="Kutaisi Parliament | 1.2.1. (+) შემოსავალი MEP დანადგარების რეალიზაციიდან | თბილი სახლი (ს.კ. 204976179) - შპს"/>
        <s v="Vehicle Service | 1.2.1. (+) შემოსავალი MEP დანადგარების რეალიზაციიდან | თბილისი დრაი პორტი (ს.კ. 405483454) - შპს"/>
        <s v="Gardens Oth | 1.1.3. (+) შემოსავალი ლიფტების სერვისიდან - არაგეგმიური | მზიური რეზორტ (ს.კ. 404462256) - შპს"/>
        <s v="Zara Escalator Repair | 1.1.3. (+) შემოსავალი ლიფტების სერვისიდან - არაგეგმიური | Spanish Retail Georgia (ს.კ. 404404774) - შპს"/>
        <s v="Card System Adaptation | 1.1.3. (+) შემოსავალი ლიფტების სერვისიდან - არაგეგმიური | ორბი ჯგუფი ბათუმი (ს.კ. 445468798) - შპს"/>
        <s v="Mardi Hills Unloading | 1.1.1. (+) შემოსავალი ლიფტების რეალიზაციიდან | მარდი ჰილსი (ს.კ. 405572633) - შპს"/>
        <s v="King Parnavaz Service | 1.1.2. (+) შემოსავალი ლიფტების სერვისიდან - გეგმიური | ფარნავაზ მეფის # 62 (ს.კ. 245665221) - ამხანაგობა"/>
        <s v="Art House Service | 1.1.2. (+) შემოსავალი ლიფტების სერვისიდან - გეგმიური | ანაგი არტ ჰაუსი (ს.კ. 404630716) - შპს"/>
        <s v="Heat Pump | 1.2.1. (+) შემოსავალი MEP დანადგარების რეალიზაციიდან | DECRIPT CJSC (ს.კ. 02885818) - უცხოური საწარმო"/>
        <s v="Kvareli Termostat Check | 1.2.1. (+) შემოსავალი MEP დანადგარების რეალიზაციიდან | ინდეკო სი ემ  (ს.კ. 405508339) - შპს"/>
        <s v="Vake Ramishvili Refregerant | 1.2.1. (+) შემოსავალი MEP დანადგარების რეალიზაციიდან | ინდეკო სი ემ  (ს.კ. 405508339) - შპს"/>
        <s v="Kvareli Staff House Elevator | 1.1.1. (+) შემოსავალი ლიფტების რეალიზაციიდან | ინდეკო სი ემ  (ს.კ. 405508339) - შპს"/>
        <s v="Chkondideli Repair 21 UNITS | 1.1.1. (+) შემოსავალი ლიფტების რეალიზაციიდან | ოპტიმა (ს.კ. 405160819) - შპს"/>
        <s v="Chkondideli Repair 2 UNITS | 1.1.1. (+) შემოსავალი ლიფტების რეალიზაციიდან | ოპტიმა (ს.კ. 405160819) - შპს"/>
        <s v="Varazi 99 D | 1.2.2. (+) შემოსავალი MEP დანადგარების სერვისიდან - გეგმიური | ბენე კომფორტი (ს.კ. 405384383) - შპს"/>
        <s v="1TV Service | 1.2.1. (+) შემოსავალი MEP დანადგარების რეალიზაციიდან | თბილი სახლი (ს.კ. 204976179) - შპს"/>
        <s v="Additional Shafts | 1.1.1. (+) შემოსავალი ლიფტების რეალიზაციიდან | ავენიუ ბაი ორბი (ს.კ. 445488749) - შპს"/>
        <s v="Arken Service | 1.2.3. (+) შემოსავალი MEP დანადგარების სერვისიდან - არაგეგმიური | თბილისი დრაი პორტი (ს.კ. 405483454) - შპს"/>
        <s v="Building Elevator Rent | 1.1.1. (+) შემოსავალი ლიფტების რეალიზაციიდან | ანაგი (ს.კ. 245416401) - შპს"/>
        <s v="Ali Batumi | 1.2.1. (+) შემოსავალი MEP დანადგარების რეალიზაციიდან | Malsi (ს.კ. 445419770) - შპს"/>
        <s v="Gordeziani Rustavi | 1.1.2. (+) შემოსავალი ლიფტების სერვისიდან - გეგმიური | თეკლე გორდეზიანი (ს.კ. 35901129029) - ფიზ. პირი"/>
        <s v="Wedding Hall Reconstruction | 1.1.1. (+) შემოსავალი ლიფტების რეალიზაციიდან | მოდუსი (ს.კ. 245565669) - შპს"/>
        <s v="Nutsubidze Service | 1.1.2. (+) შემოსავალი ლიფტების სერვისიდან - გეგმიური | სფერა (ს.კ. 405412361) - შპს"/>
        <s v="Gergeti Str | 1.1.1. (+) შემოსავალი ლიფტების რეალიზაციიდან | ჰილ საიდ დეველოპმენთ (ს.კ. 404619668) - შპს"/>
        <s v="Renault Center Design | 1.2.1. (+) შემოსავალი MEP დანადგარების რეალიზაციიდან | ფრანს ავტო (ს.კ. 236098165) - შპს"/>
        <s v="BMW CENTER | 1.1.1. (+) შემოსავალი ლიფტების რეალიზაციიდან | ჯი-თი მოტორს (ს.კ. 206276340) - შპს"/>
        <s v="BMW CENTER (2) | 1.1.1. (+) შემოსავალი ლიფტების რეალიზაციიდან | ჯი-თი მოტორს (ს.კ. 206276340) - შპს"/>
        <s v="BMW CENTER (3) | 1.1.1. (+) შემოსავალი ლიფტების რეალიზაციიდან | ჯი-თი მოტორს (ს.კ. 206276340) - შპს"/>
        <s v="Mitsubishi VRF | 1.2.3. (+) შემოსავალი MEP დანადგარების სერვისიდან - არაგეგმიური | ინდეკო ჰოსფითალითი (ს.კ. 405508026) - შპს"/>
        <s v="HGI Heat Pump Mbus | 1.2.1. (+) შემოსავალი MEP დანადგარების რეალიზაციიდან | მეპერსი (ს.კ. 402121887) - შპს"/>
        <s v="Fancoil | 1.2.1. (+) შემოსავალი MEP დანადგარების რეალიზაციიდან | მეპერსი (ს.კ. 402121887) - შპს"/>
        <s v="HIEX (EUR) | 1.2.1. (+) შემოსავალი MEP დანადგარების რეალიზაციიდან | მეპერსი (ს.კ. 402121887) - შპს"/>
        <s v="Kvariati FLS | 1.2.1. (+) შემოსავალი MEP დანადგარების რეალიზაციიდან | მეპერსი (ს.კ. 402121887) - შპს"/>
        <s v="Scaffolding Rent | 1.3.2. (+) იჯარიდან მიღებული შემოსავალი | მეპერსი (ს.კ. 402121887) - შპს"/>
        <s v="Rustavi Mall Glass | 1.2.3. (+) შემოსავალი MEP დანადგარების სერვისიდან - არაგეგმიური | მპ დეველოპმენტი (ს.კ. 404960217) - შპს"/>
        <s v="Joints | 1.2.1. (+) შემოსავალი MEP დანადგარების რეალიზაციიდან | მეპერსი (ს.კ. 402121887) - შპს"/>
        <s v="Beach Tower Service | 1.2.1. (+) შემოსავალი MEP დანადგარების რეალიზაციიდან | მეპერსი (ს.კ. 402121887) - შპს"/>
        <s v="Chakhrukhadze Service | 1.2.3. (+) შემოსავალი MEP დანადგარების სერვისიდან - არაგეგმიური | ინდეკო ჰოსფითალითი (ს.კ. 405508026) - შპს"/>
        <s v="Next Tbilisi Downtown | 1.1.1. (+) შემოსავალი ლიფტების რეალიზაციიდან | ნექსთ ფროფერთი (ს.კ. 445766859) - შპს"/>
        <s v="2 Firebox Installation | 1.2.1. (+) შემოსავალი MEP დანადგარების რეალიზაციიდან | თბილისი დრაი პორტი (ს.კ. 405483454) - შპს"/>
        <s v="Telegraph Hotel Humidifier | 1.2.1. (+) შემოსავალი MEP დანადგარების რეალიზაციიდან | დნთ ქონსთრაქშენ (ს.კ. 405418196) - შპს"/>
        <s v="Chkonia Elevator Service | 1.1.2. (+) შემოსავალი ლიფტების სერვისიდან - გეგმიური | სახლი ძველ ბათუმში (ს.კ. 445433610) - შპს"/>
        <s v="Kobuleti Garden Inn Other | 1.1.3. (+) შემოსავალი ლიფტების სერვისიდან - არაგეგმიური | იოსებ გუნთაიშვილი (ს.კ. 61001008820) - ფიზ. პირი"/>
        <s v="Foris Suits | 1.1.1. (+) შემოსავალი ლიფტების რეალიზაციიდან | ფორის დეველოპმენტი (ს.კ. 445587614) - შპს"/>
        <s v="BOQ Vake Restaurant | 1.2.1. (+) შემოსავალი MEP დანადგარების რეალიზაციიდან | ინდეკო სი ემ  (ს.კ. 405508339) - შპს"/>
        <s v="Isani D Block Door Engine | 1.1.3. (+) შემოსავალი ლიფტების სერვისიდან - არაგეგმიური | არქი მეინთენენს (ს.კ. 405752957) - შპს"/>
        <s v="Gallery Reprogramming | 1.2.1. (+) შემოსავალი MEP დანადგარების რეალიზაციიდან | კამ (ს.კ. 406050856) - შპს"/>
        <s v="VRF | 1.2.1. (+) შემოსავალი MEP დანადგარების რეალიზაციიდან | ნინო თავამაიშვილი (ს.კ. 33001020674) - ფიზ. პირი"/>
        <s v="Escalator Step | 1.1.3. (+) შემოსავალი ლიფტების სერვისიდან - არაგეგმიური | გრანდ მოლი (ს.კ. 445524479) - შპს"/>
        <s v="A &amp; B Block Doors | 1.1.3. (+) შემოსავალი ლიფტების სერვისიდან - არაგეგმიური | ლაიქ ჰაუსი (ს.კ. 445478563) - შპს"/>
        <s v="Deka Lisi | 1.1.1. (+) შემოსავალი ლიფტების რეალიზაციიდან | დეკა ლისი (ს.კ. 405476872) - შპს"/>
        <s v="Varazi 99 | 1.1.2. (+) შემოსავალი ლიფტების სერვისიდან - გეგმიური | თამარ ანდრიაძე (ს.კ. 1024070871) - ფიზ. პირი"/>
        <s v="Kart | 1.2.3. (+) შემოსავალი MEP დანადგარების სერვისიდან - არაგეგმიური | მეპერსი (ს.კ. 402121887) - შპს"/>
        <s v="Additional Steel Works | 1.1.1. (+) შემოსავალი ლიფტების რეალიზაციიდან | ავენიუ ბაი ორბი (ს.კ. 445488749) - შპს"/>
        <s v="Varketili Mall HVAC | 1.2.1. (+) შემოსავალი MEP დანადგარების რეალიზაციიდან | მეტრო ჰოლდინგი (ს.კ. 404512933) - შპს"/>
        <s v="Arte Kerchi Service | 1.1.2. (+) შემოსავალი ლიფტების სერვისიდან - გეგმიური | არტე ქერჩი (ს.კ. 400359492) - შპს"/>
        <s v="Tadzris 22 Areali | 1.1.2. (+) შემოსავალი ლიფტების სერვისიდან - გეგმიური | ირინე ხახუტაიშვილი (ს.კ. 61004007129) - ფიზ. პირი"/>
        <s v="Millenio | 1.1.1. (+) შემოსავალი ლიფტების რეალიზაციიდან | მეპერსი (ს.კ. 402121887) - შპს"/>
        <s v="Renault Center | 1.2.1. (+) შემოსავალი MEP დანადგარების რეალიზაციიდან | ფრანს ავტო (ს.კ. 236098165) - შპს"/>
        <s v="Freight Elevator Parts | 1.1.3. (+) შემოსავალი ლიფტების სერვისიდან - არაგეგმიური | გალერია თბილისი (ს.კ. 204558497) - შპს"/>
        <s v="Walls Bakuriani | 1.1.1. (+) შემოსავალი ლიფტების რეალიზაციიდან | ვოლსი ბაკურიანი (ს.კ. 405475926) - შპს"/>
        <s v="Mitsubishi Multisplits | 1.2.3. (+) შემოსავალი MEP დანადგარების სერვისიდან - არაგეგმიური | ლევანი მახათაძე (ს.კ. 18001008498) - ფიზ. პირი"/>
        <s v="Ramishvili Restaurant | 1.2.1. (+) შემოსავალი MEP დანადგარების რეალიზაციიდან | ინდეკო სი ემ  (ს.კ. 405508339) - შპს"/>
        <s v="TELEGRAPH FCU MOTOR | 1.2.1. (+) შემოსავალი MEP დანადგარების რეალიზაციიდან | დნთ ქონსთრაქშენ (ს.კ. 405418196) - შპს"/>
        <s v="ICETERRA | 1.2.1. (+) შემოსავალი MEP დანადგარების რეალიზაციიდან | აისტერრა (ს.კ. 445733065) - შპს"/>
        <s v="Kvareli Gallery | 1.2.1. (+) შემოსავალი MEP დანადგარების რეალიზაციიდან | ინდეკო სი ემ  (ს.კ. 405508339) - შპს"/>
        <s v="Lisi Trio Facade Elevators | 1.1.1. (+) შემოსავალი ლიფტების რეალიზაციიდან | ლისი თაურსი (ს.კ. 405535915) - შპს"/>
        <s v="Urbanique | 1.1.1. (+) შემოსავალი ლიფტების რეალიზაციიდან | ურბანუს მზიური (ს.კ. 445725831) - შპს"/>
        <s v="Display repair | 1.1.3. (+) შემოსავალი ლიფტების სერვისიდან - არაგეგმიური | თეა მაღალდაძე (ს.კ. 57001015349) - ინდ. მეწარმე"/>
        <s v="Impeller | 1.2.3. (+) შემოსავალი MEP დანადგარების სერვისიდან - არაგეგმიური | დნთ ქონსთრაქშენ (ს.კ. 405418196) - შპს"/>
        <s v="Park Home Repair | 1.1.3. (+) შემოსავალი ლიფტების სერვისიდან - არაგეგმიური | ნუცუბიძე (ს.კ. 405387861) - შპს"/>
        <s v="Alliance Highline Additional | 1.1.1. (+) შემოსავალი ლიფტების რეალიზაციიდან | ალიანსი თბილისი (ს.კ. 405144703) - შპს"/>
        <s v="Lisi Green Apartments 2 | 1.1.1. (+) შემოსავალი ლიფტების რეალიზაციიდან | გრინ დეველოპმენტი (ს.კ. 204452412) - შპს"/>
        <s v="Panel repair | 1.1.3. (+) შემოსავალი ლიფტების სერვისიდან - არაგეგმიური | ეიესჯისოფტ (ს.კ. 402128149) - შპს"/>
        <s v="Sunrise Palace Reconstruction | 1.1.1. (+) შემოსავალი ლიფტების რეალიზაციიდან | სანრაიზ პალასი (ს.კ. 445692518) - შპს"/>
        <s v="Pipes &amp; VRF System | 1.2.1. (+) შემოსავალი MEP დანადგარების რეალიზაციიდან | მეპერსი (ს.კ. 402121887) - შპს"/>
        <s v="Ambassador Goderdzi AHU Panels | 1.2.1. (+) შემოსავალი MEP დანადგარების რეალიზაციიდან | ამბასადორი ბათუმი (ს.კ. 445515719) - შპს"/>
        <s v="Block 5 | 1.1.2. (+) შემოსავალი ლიფტების სერვისიდან - გეგმიური | ნიუ გუდაური ბლოკ 5 (ს.კ. ICE3304) - ამხანაგობა"/>
        <s v="Maza Development | 1.1.1. (+) შემოსავალი ლიფტების რეალიზაციიდან | მაზა (ს.კ. 401987374) - შპს"/>
        <m/>
      </sharedItems>
    </cacheField>
    <cacheField name="შემოსავლის კოდი_GUID" numFmtId="0">
      <sharedItems containsBlank="1">
        <s v="B59170EC-16CC-499A-9FF7-0428DCB8F727"/>
        <s v="12238130-9D12-4099-A48B-9EB5A085E0F8"/>
        <s v="FEA4B88F-633F-4422-B3D6-250792A2DA80"/>
        <s v="31562B13-85C8-472E-8D02-01D802D635C1"/>
        <s v="C491BFF3-6F7B-4412-9DF0-EAED6F3EE238"/>
        <s v="B5CAA716-CA9B-47D4-85D4-9954ED4DBAD2"/>
        <s v="68627C8C-95F9-4383-9A95-1923038BB695"/>
        <s v="DB8A7407-60A7-468B-97C8-72D31D12D117"/>
        <s v="954A7962-CBD4-4685-8632-CAED15DD0A33"/>
        <m/>
      </sharedItems>
    </cacheField>
    <cacheField name="კონტრაგენტი_GUID" numFmtId="0">
      <sharedItems containsBlank="1">
        <s v="6DECD64D-60DA-49AE-A9B3-49D7E02F2D62"/>
        <s v="8E8E99BE-75FC-49EC-9D89-960E30E7CB06"/>
        <s v="3029E0C5-9337-4596-87DB-0A677D44A180"/>
        <s v="97BEEA92-7829-4A09-8B1C-D0FE871340D4"/>
        <s v="DA9D440B-CACD-4076-8B91-BFFCA46814B6"/>
        <s v="D5136DB7-C17A-4DDB-9797-D1B10612D28C"/>
        <s v="9729C88B-F3C5-441A-8782-0656302A37F2"/>
        <s v="AAFC235A-2BBF-4CEC-A2AE-F1AEBABC12E4"/>
        <s v="15F35EBB-5A28-4C1B-B7CC-45FF3F31D4D6"/>
        <s v="B4968862-3843-414D-9E73-1A7611618B41"/>
        <s v="3F5B4217-38D4-4FB8-B3F3-E856A10FFF06"/>
        <s v="5A21C207-4868-4EA6-9B48-5D0F743D5535"/>
        <s v="7BF4A039-29BC-44AC-A87D-E8832394B94E"/>
        <s v="DAE7B000-963F-42D9-AA35-8F3F2F8A3716"/>
        <s v="BFABDF11-34C8-4815-A840-47DD5AAB9F4F"/>
        <s v="7F0A41E4-FA68-43E7-A979-126560D14B58"/>
        <s v="B25EF46E-8022-4949-A1EB-E8A1256C7A3B"/>
        <s v="967EE73E-8B77-4A8F-9FD3-AA36FF0ECB17"/>
        <s v="EEF69DEA-9E1B-41C3-B563-3922DCE0A9BD"/>
        <s v="0A7F5182-3B4F-4292-8569-FC31854BA5B4"/>
        <s v="62F6C15C-8FCC-4A60-B37E-8A3DE9D20A48"/>
        <s v="A5C44F5D-1F9C-4BC1-BD39-C8B2E88BC49A"/>
        <s v="D57E2878-F57C-4B96-B89E-A8B81F35634A"/>
        <s v="2ED6F730-5337-4222-94F9-284E801BCE61"/>
        <s v="57A60218-744B-4922-BF21-F9C52A01DAF6"/>
        <s v="A3C5943B-D1C3-4CB2-946C-86BF678B6183"/>
        <s v="9AE0C821-91FF-44A4-90E6-F71F98BC044C"/>
        <s v="E284E0FD-A2B7-4D93-8E91-006FF0A8A4CE"/>
        <s v="DDFBBDF4-5DA2-4BD2-918A-77AAF121BF72"/>
        <s v="9B349A17-7CE1-4232-98C6-02C565C3642C"/>
        <s v="9B21D54A-56D8-405D-95E2-A05872C7C1E9"/>
        <s v="1C2A10A9-FA2F-437B-8C70-F109D1C009EE"/>
        <s v="04FB28EA-5501-4B01-BA1D-C2955C0E1213"/>
        <s v="F43C8D9B-B556-4114-B404-AEEFA8C31B20"/>
        <s v="04B265BA-02B2-4620-87C1-1D9CA09C8962"/>
        <s v="7DDF7E55-92EE-4E47-9E16-F1D4D3FABF60"/>
        <s v="EC22924D-9707-4BC1-9814-FD45570D704B"/>
        <s v="A71E107A-D0C2-4155-83C0-22DCD22BD19F"/>
        <s v="967D325E-9818-4D9E-8716-3D66A117AF42"/>
        <s v="9E3145B1-F47E-49C3-BF51-BCB9055ABC20"/>
        <s v="30D1E20E-3889-4EAC-883A-6509ABFFA5D7"/>
        <s v="B658F42E-3F0A-44A3-B4ED-A7B4C1D8DEAE"/>
        <s v="E0680301-116E-4D99-93F4-7C694EC80172"/>
        <s v="90293CD0-6262-4F6E-9B52-E8D909232966"/>
        <s v="43EABC78-AF64-4C14-9FEF-C7E6A1B6F07E"/>
        <s v="6DF25574-2F03-43D0-AEC4-2CD26A4A0C3A"/>
        <s v="75C62470-4093-4FB3-8DB7-F700FEC2C222"/>
        <s v="71A96223-5CD1-4DA9-9617-A85A565B4669"/>
        <s v="726D9023-53A2-435E-8A5B-8BCEA9625E08"/>
        <s v="42A1D3CC-F7CD-4EC1-A425-6E261EB22EBC"/>
        <s v="059C7B48-86B5-4FB3-AF87-564E29C595E9"/>
        <s v="3D0B2E19-A7F7-45A1-A329-05C7D5F99C8A"/>
        <s v="A5C53B51-103C-4B24-B833-6653108CDE4E"/>
        <s v="ADBD14C7-72E2-4703-84A5-B47EC0ACB641"/>
        <s v="5569F396-B588-4816-B115-348127388797"/>
        <s v="E6DBF0EF-BE8A-403C-B757-246FDF95B244"/>
        <s v="C08C6F90-5808-41D5-A1CC-2A1CCFAF531B"/>
        <s v="F830C37E-1BED-416F-996D-C3C709C5F339"/>
        <s v="25CECFAB-615A-4A1E-AC57-B18B8A92799B"/>
        <s v="0E3C8876-D73B-417A-A61E-5FD08F98EDCB"/>
        <s v="E13FA661-3B3D-437A-A26D-FB16D4C0D1C1"/>
        <s v="B6B26BE3-174A-4141-A509-B6EE28D4677B"/>
        <s v="3E3BB97B-230C-48D5-B6EF-41C9AE93AE61"/>
        <s v="3D0E73E0-0C40-467D-922F-74E3D4746FBD"/>
        <s v="E18CBC98-9D65-4F4A-ADC0-B7350770D6F8"/>
        <s v="C270A903-5EB0-4E5A-8448-B4A637D5211F"/>
        <s v="43A2E6CF-382D-45D9-9C82-D074B7CA8474"/>
        <s v="9B2B30F8-1FC4-427E-8478-DB1B57B48DDA"/>
        <s v="97275D0F-23EB-47CD-8A0F-C93649EE6164"/>
        <s v="D92736A6-D9AA-4539-B5F8-0F34FACD5367"/>
        <s v="19F602E5-A978-4128-B38E-2D3540A8F675"/>
        <s v="3C2A6CD6-D08E-4286-A3DF-9EB685C45CBF"/>
        <s v="AEB05B14-77B4-473B-AAFD-FC47BDF7BDAF"/>
        <s v="83EBEF94-D00F-4136-96C7-A3C68AAADFE9"/>
        <s v="88114C6E-F2B4-44AC-AACB-3937108FCC9D"/>
        <s v="2A9CB749-334E-4076-9125-B73DD63C7D94"/>
        <s v="08D9917E-9D2C-4D04-A0C9-794059D0E55B"/>
        <s v="D239BCA7-C0E0-431B-8055-6778FA312A38"/>
        <s v="3A516BC6-5B32-480E-A832-CC303C538C11"/>
        <s v="378912CF-F98E-49C5-86EE-F343029B110A"/>
        <s v="B3E373C9-2E2A-4FBA-BEC3-C5CE93DC6D4B"/>
        <s v="CA4BC010-5210-4004-9D64-42DE442CC571"/>
        <s v="26DD56C7-5751-4761-A491-772703E8B7AC"/>
        <s v="A19DBE70-93E6-453B-840F-63A4C42291DC"/>
        <s v="331D7AD9-06E8-4967-9C77-692788BBAD6D"/>
        <s v="F9B986D7-73AE-4F10-9DC3-1A4E90558499"/>
        <s v="416473B3-5E1E-4C7E-9FF8-71C38522F082"/>
        <s v="4379200F-9E1B-4867-A33B-C7040FC48CF9"/>
        <s v="696DFC2F-EC38-4D1F-8A79-4F37B31F4535"/>
        <s v="7F4998D7-42F1-45ED-9C10-DE5599AB161A"/>
        <s v="19521391-5237-486E-B9F6-C4529F6D8E1D"/>
        <s v="AEF33ADC-D3E1-4F29-9C04-1D160C138FDE"/>
        <s v="20FABFF1-1BAC-4741-A729-99202DDDFDD7"/>
        <s v="1D6C190E-3037-4435-BF28-B1D43DC3432D"/>
        <s v="F178344C-B538-493A-91F1-E50A67F53023"/>
        <s v="2A55DEBB-261B-4CE9-BAE4-296DDEA037AB"/>
        <s v="24E4EE43-5EF3-423D-9573-ECEC58B570C9"/>
        <s v="8BE1F54B-9D87-48F2-8C0A-2F20A5C303E9"/>
        <s v="8C656830-971B-4F16-823C-B3F9461FD619"/>
        <s v="B71DB46F-9742-4111-9C3C-118F6E6DB370"/>
        <s v="92C87C66-6CBF-4FCE-BD5B-BD20FDB791BF"/>
        <s v="E3AEC4BA-46A6-4271-BBEC-0FFA64B013BE"/>
        <s v="2CAC0320-27CD-4D39-A35D-9E45F2248ED4"/>
        <s v="2173AA5E-10F7-4394-B9F6-482BD48BD919"/>
        <s v="7920BD15-7996-44AE-B75F-5F4726C33E9A"/>
        <s v="8F8E8A11-9B71-4C85-B91E-A9EC404CBC96"/>
        <s v="CB2DE391-A27A-4189-AA88-867A0711DE44"/>
        <s v="683C3DF5-4CB1-4571-B08C-7154A4496822"/>
        <s v="95F45B38-3701-4DA4-88FE-C53F96F7223C"/>
        <s v="EB478E19-2E14-4D4C-900E-B9CF3561E540"/>
        <s v="4AB3C0A1-63AE-4FCF-90FB-089A7E8985D1"/>
        <s v="D15F8998-6E45-4D86-B01A-2F0FFDF61114"/>
        <s v="B437C7DF-108A-4B75-B00F-01A3AA261703"/>
        <s v="8FB0EC97-AA52-41D1-8516-B3C255D651F7"/>
        <s v="31D45C00-CEC1-4C42-8E96-8127B22496EB"/>
        <s v="EB68A48E-56D3-4801-8842-5ADFBBED62C4"/>
        <s v="738F3469-9A4B-4388-A057-181EF691F93E"/>
        <s v="EE204598-CC64-48B0-9F9F-E325686ED810"/>
        <s v="08D1C5F5-CD74-4351-833E-A1B294127921"/>
        <s v="7885E9EF-3269-491C-91E3-5E98A71863CD"/>
        <s v="415016FC-2E12-41BF-A2FC-AA3E7475751A"/>
        <s v="EC7AFECD-A5A6-4AA2-8997-05ADC012B4EF"/>
        <s v="8EAF0D8D-92BE-4709-B21A-592D4F372042"/>
        <s v="0DD68E80-3361-4FB3-9275-31E828438ADC"/>
        <s v="27BE7E23-FFE5-4CD0-B081-F330DBB2EDBF"/>
        <s v="150EE4A2-4E30-43C4-B94F-3DA3A283FD5B"/>
        <s v="8832AAFF-F2AE-44E8-876A-E1B1B305B48C"/>
        <s v="D4783163-8E1D-47D8-B183-54109C9F72EF"/>
        <s v="1B684003-1740-451A-A1EC-48E5DB8B05D7"/>
        <s v="48FE0F65-3537-41CE-9A86-F1731BB59E25"/>
        <s v="94A66A38-9C06-4CF8-BD70-E15F7054355C"/>
        <s v="FD75B701-F0B0-4EFD-934E-9BC3480483AE"/>
        <s v="933470D5-D1F0-4CB0-8738-317256F1B307"/>
        <s v="25CDD3DB-B92D-4066-8363-867726289059"/>
        <s v="1018E99A-DFDB-452F-BF44-0F3B42213AA9"/>
        <s v="046B5A1C-4C60-4272-A65C-20FC658BEFEC"/>
        <s v="4D14C355-EC7F-4B2D-A2C7-CE79B3AEAD88"/>
        <s v="719CFA1F-8A29-4D35-BF48-504F010EA546"/>
        <s v="5E3E7CDB-6C59-424F-BE60-1115A70E3B8E"/>
        <s v="659DF8DF-26D9-41A4-81E1-287946E368FA"/>
        <s v="14F0723B-2DFE-490E-80A0-15A1B4545C49"/>
        <s v="C150916F-F6F1-4AAB-ADBF-39138A6288BA"/>
        <s v="BE85F113-ED2E-49E3-82F1-CFA5A146ACFA"/>
        <s v="9CC4F811-3CFB-458A-B444-2C67195A5178"/>
        <s v="C0FA4151-5E85-487D-96C5-68E4CE197C87"/>
        <s v="079E40C8-D88D-476C-BDEF-D2EBF2E4E276"/>
        <s v="842A48FE-651B-4120-9F5E-F00AF55C0692"/>
        <s v="C1B734D0-6642-4B4C-AD22-ABF60C8F299C"/>
        <s v="AFCD9F23-05C7-4391-B0B8-DCFA0C2F7F05"/>
        <s v="A2A92AE7-925E-47DE-A372-1EB823A2A6D7"/>
        <s v="C1FE4361-F19C-4AAD-9122-7023B52DA711"/>
        <s v="77AF1960-EC8C-4658-B33E-8D26E449F36A"/>
        <s v="EEF71586-275A-4382-B2B2-0CE0940A8FD6"/>
        <s v="6CA0F547-5BC0-4947-824D-B84A8D012EE7"/>
        <s v="934ACF0F-2594-4C3F-9AF0-B7472C14257A"/>
        <s v="026E84AF-5543-4EA9-80AF-407FC0E41968"/>
        <s v="73F7A185-024C-4137-BCF6-0AF1157D6600"/>
        <s v="2BE0B019-5123-46B7-AD88-7A56ACE72918"/>
        <s v="3F1EB616-2884-429C-81CE-FD771A90FE2E"/>
        <s v="CAF9F1A5-1957-489C-B385-09AC1701F074"/>
        <s v="C54EB547-1BF2-4318-8B7A-B4FF1707E167"/>
        <s v="2BAD18DC-6E49-4AD3-9FDC-1B422FF3B90D"/>
        <s v="72217FB1-5EF9-48C3-8334-52575EBFC828"/>
        <s v="B6D1A89E-F7B8-4B57-98D9-CDE962395C63"/>
        <s v="E56C25E1-F15A-4390-BB92-B64890A90093"/>
        <s v="6878FB60-0B5E-4898-ABCD-60ACC55A458D"/>
        <s v="FE4FCC52-C6FC-42E2-BE3D-E360FEE52DEF"/>
        <s v="C2317420-4845-4771-96EF-8159FBEF74FF"/>
        <s v="FF29019D-6300-4647-97ED-EEB49D7F8A9D"/>
        <s v="51469664-FF07-46CE-A2D1-3851CE293B88"/>
        <s v="E5065FFE-1CD4-4C87-A053-0558ECFC9B1D"/>
        <s v="272FF8D3-4909-409A-99B0-E2C8CA3BB9AF"/>
        <s v="6D35EE90-BD58-4E7D-8589-8EC87F57E04F"/>
        <s v="3F658A46-5957-4636-8191-BBE06C564EA7"/>
        <s v="b4a248a5-14b1-4b9b-96b6-186c1fb4b4d8"/>
        <s v="B40068C7-11CB-41B5-A54B-9395249A5F92"/>
        <s v="FB20B5F4-212D-4E39-B5D5-EDCC2F8F507F"/>
        <s v="e741733c-b798-4f98-9c57-c569f4b042ea"/>
        <s v="58fa8342-2181-4246-af05-590de2ef9e8d"/>
        <s v="84fbebbf-ffe3-4de2-b726-6c20f7de3e5e"/>
        <s v="dbbb87c7-d197-4838-8a24-faf3e22917cc"/>
        <s v="fb5cb65c-f87e-4ad2-a3ed-fa346097ef17"/>
        <s v="1436a7f5-9177-4e1d-85e3-61dfd225db33"/>
        <s v="C5D1F87D-8C4D-42C3-8E4A-B47A5A7D4D4A"/>
        <s v="81885caa-698e-4700-b0c0-60d0a5119680"/>
        <s v="13540E1C-4780-43C3-B08E-70C721E67E41"/>
        <s v="b178ee69-8398-4d71-9a3b-727043bba954"/>
        <s v="6db1636b-2fd7-4d19-886e-7f4fdecc76fd"/>
        <s v="68612348-6cfb-49fe-b24b-cac04030d5a7"/>
        <s v="62adb203-22a8-4c9a-a654-f4abd3761f58"/>
        <s v="E9C2253A-B4A6-4693-9A79-2AE9F4E5F66B"/>
        <s v="c12720de-3276-40e2-abd0-b542e0a18f02"/>
        <s v="95fd8a07-50e2-4f93-b641-f8fc33a8f6d2"/>
        <s v="e73bbc35-c413-4683-8c6f-c015c511dffa"/>
        <s v="830b062b-b828-450d-8340-a3eabbf037ce"/>
        <s v="ba94ed59-522c-4852-994c-130ef7e8cd30"/>
        <s v="80df9929-4edd-411e-b6a3-b5e9f30e5fa0"/>
        <s v="0ea1ff2e-cd21-42e6-8652-3079bf1d48b2"/>
        <s v="91DBD569-D92B-4DE1-81A0-7446C323A19C"/>
        <s v="2490dae3-255a-413e-b60e-82d1999b0290"/>
        <s v="6f986c6a-0419-4e51-b724-a6cb819550b1"/>
        <s v="4919eb9d-4646-43e8-92f6-429e479dfb02"/>
        <s v="adad13a6-7d16-40a4-a2ba-4f8cda09441a"/>
        <s v="12941286-d054-4c3b-9910-04d6e3a4e33a"/>
        <s v="c8fdb161-d4e2-4c71-9458-6ae2614d6229"/>
        <s v="729fab4f-5211-4133-9178-b60f971d318f"/>
        <s v="4c3a3cd9-98c7-4a67-9efe-b03541fe6177"/>
        <s v="d0b71cce-b077-400a-9722-963ef3d1f7a0"/>
        <s v="be223411-77aa-4717-a468-70bac3cee5ba"/>
        <s v="7B714BC6-6914-42A2-8E42-3565165F1489"/>
        <s v="d8ec4c2f-8b68-413b-94fb-7491c3500643"/>
        <s v="a95a2d00-27d9-45bb-932b-1fee2c37e12f"/>
        <s v="c70fd842-c346-4a84-bd1e-4722b5d1a274"/>
        <s v="0fcd4c13-f8a0-4818-af10-86eaa3835e9a"/>
        <s v="9aae924c-d530-4bd0-9c1d-c0555fe1bdd8"/>
        <s v="96e814a7-0ea0-4456-822e-aace5104bb21"/>
        <s v="29819612-a8bd-4077-9dca-f8fa83efd344"/>
        <s v="cff9dc1e-06da-4399-84fd-f1b90087db9d"/>
        <s v="b54b4a98-20a8-4003-b7a9-7ff81336509a"/>
        <s v="9d479107-f451-448d-8205-8209116e776d"/>
        <s v="3996dec0-72d8-4e84-aa05-ef12be35540f"/>
        <s v="056243e1-d8ba-4179-92bf-3e7184f1a861"/>
        <s v="9b9261d9-c555-41c5-b2ed-e426d38a4046"/>
        <s v="c0b77bb7-83ab-4024-9056-742018da5474"/>
        <s v="b6998308-186a-4cda-b4b0-91d4643e7caa"/>
        <s v="BF286322-BCFC-403B-B707-B476132F6DD3"/>
        <s v="a0033d80-db06-4e8b-8076-16df0eed7a22"/>
        <s v="bb626e89-30fe-4cee-a96c-2bd575e6fdcd"/>
        <s v="57c12b0b-0ce9-4985-b5a2-5b3ffb02ee7d"/>
        <s v="3ae947be-c7e8-4c9b-a3f7-202f90d8534c"/>
        <s v="10949402-30d0-47ee-aa9d-276f36d955dd"/>
        <s v="f51b97a2-8a30-484a-86fd-afe8641e24ed"/>
        <s v="79dd9f3e-f8fc-44d0-991d-84b033122a43"/>
        <s v="4122dbf7-d9ab-4887-8878-b24f2e384d89"/>
        <s v="28c83760-9609-45b5-ba2b-10af914dc649"/>
        <s v="7da2982f-8cef-4eb7-ab5d-1b22651ade10"/>
        <s v="e2fdc997-fb84-4392-a1c5-6f31e02526f7"/>
        <s v="aa934aac-5710-48b1-9f92-8758072e74af"/>
        <s v="ada4b871-9f07-4e9c-9745-637ba83cab2f"/>
        <s v="4437EBC3-984C-475E-84DF-3153C2A50708"/>
        <s v="f0e74704-bbe8-4b66-ab47-e463d9818101"/>
        <s v="67db0446-9f2c-4963-99f1-7b3593938048"/>
        <s v="a1a33d48-00a5-47eb-b6d2-e2a4ba886b04"/>
        <s v="c6fd871b-6503-4016-a944-8d66e0c0b2b9"/>
        <s v="2359c3bf-5b5c-47e8-af26-6afb7fcfdcc4"/>
        <s v="D3053038-D0EF-4A29-A967-019DA8E78E0E"/>
        <s v="F7F095B6-FE57-40F1-97A5-BDD67B1849A7"/>
        <s v="ccabf454-5bc9-4a0f-a645-c4107db2dd65"/>
        <s v="70db2095-a71a-4737-90f8-20712f6b22fe"/>
        <s v="a69d3dd6-7d2b-487f-89bd-41cd390d4f92"/>
        <s v="4ff0f14c-18c2-4c6e-bbd4-433567fb5d13"/>
        <s v="47fc6b08-c195-42a2-a278-4bb92c38215a"/>
        <s v="33242781-7ede-4229-9843-adff806e25f4"/>
        <s v="cddd77f0-2302-4d80-a93c-c148cd4b4b40"/>
        <s v="afcf1e96-482e-4089-8c1f-ba702ce22a77"/>
        <s v="51116bcd-7d52-4a9b-8943-d90e557988b0"/>
        <s v="a5835c0d-1e9d-4163-a328-16338bac23a5"/>
        <s v="5eab0795-4aa0-4463-ab1d-c1479107adeb"/>
        <s v="3836cba6-ae69-41ef-a315-575084a0e5a5"/>
        <s v="7b6d9729-fd51-434e-b843-35b5747c8aad"/>
        <s v="fa4c2d9d-30ee-44b2-895b-def767ca720e"/>
        <s v="d0e05e01-2b77-4814-9357-1afa4e6840fb"/>
        <s v="d8ccd6eb-8968-4dde-9d27-f749fe868f0e"/>
        <s v="1d881f9c-7485-48af-a623-355b4fec316b"/>
        <s v="c06aa3be-bac2-459a-b58d-6b775f79f978"/>
        <s v="de0ca828-ece8-4317-85d2-b5ce4076311c"/>
        <s v="e9c2c691-a5fa-47fe-b9ff-74f2fce6a33d"/>
        <s v="d5d3619e-0a2b-48b6-bce0-50adcfb8378e"/>
        <s v="9912deb2-2ed7-4d7e-b552-3371e32546a3"/>
        <s v="61ff53f7-d5c4-429e-9c3c-1e621fd2f21a"/>
        <s v="9d675342-5e2c-4104-bf20-db2fb5454ebf"/>
        <s v="423132b9-3a82-4b97-b534-1ecce73e257d"/>
        <s v="70b1a8bd-11a4-4da0-b024-9f9e48b4b055"/>
        <s v="7ae5b6db-73b8-444e-bdea-71062d3bda50"/>
        <s v="5e1b5cc8-90da-4a55-a108-54f9e5fdad65"/>
        <s v="f242e8d0-3197-4b35-90dd-54859cce4bca"/>
        <s v="faa2b90d-c93e-48df-b336-59e76f241404"/>
        <s v="b94d66cd-3ee4-438e-9691-8b9de0f595ce"/>
        <s v="261f89e4-5f76-409f-99a1-14d417daf8cb"/>
        <s v="d4b3ff47-1d44-4a70-9d35-770289d93de1"/>
        <s v="58bc2f80-d8e3-451f-a47d-a7bd05ff94be"/>
        <s v="779e6a2e-7b52-4c0d-9e5f-eb92c63e767b"/>
        <s v="7889d1fa-15ab-4efe-af5b-f3c03fbef8b6"/>
        <s v="9569d532-c9b8-45dd-9719-457fbef53d9a"/>
        <s v="9c7a8162-ce80-43e1-9033-ed354b64357d"/>
        <s v="f7630583-8d8d-482e-800e-f264fb53a791"/>
        <s v="95213753-94b8-4d29-86ed-72b36302e472"/>
        <s v="34369527-d51a-41ce-91af-eb81de271892"/>
        <s v="a3d0a2c3-99a3-49c1-bfa4-351bf50bc2ca"/>
        <s v="3fa873fb-3998-4756-b45f-2f6c3f9c48d7"/>
        <s v="3bfecaf0-3360-4369-b862-dba8e8888c72"/>
        <s v="4ae41a6d-ac3e-44e2-bd81-442223e3d5e8"/>
        <s v="2aa423e9-6a2d-4193-b467-03bdf7da3a0c"/>
        <s v="953399c4-7628-4f67-a268-fd36c0a59459"/>
        <s v="ced534c2-b8b9-43c9-9746-b763c50283d2"/>
        <s v="3a545140-2831-4b72-ac09-50b44ee6c21d"/>
        <s v="4038f9e4-505c-4f44-8ad5-e23fbb2e1cc8"/>
        <s v="d913e4c2-ee1a-4516-9da9-24ab80e6bae7"/>
        <s v="fc76d846-a1a8-4d93-8907-16b776e3004b"/>
        <s v="36746e69-7093-4ed4-ab56-8af69b3f9839"/>
        <s v="4c5156a1-1518-4887-a947-d3dd8dde5f77"/>
        <s v="25ed3d2c-1cba-476c-8eae-fd1f2a53c252"/>
        <s v="ec6f69d6-60bd-4f09-920e-1d59a669cda0"/>
        <s v="c53753f4-3fee-4509-82e2-dfcb32ff825f"/>
        <s v="916786e4-622b-4979-9435-ffc68150e8f4"/>
        <s v="8c40516d-0520-49f4-95b0-284c72b0f0b5"/>
        <s v="dc3cae98-45f9-4145-a8f4-a64c90b8f55c"/>
        <s v="63601b77-5c6b-4658-93d6-f7a4c3f631f5"/>
        <s v="c91361e4-ec0c-4725-80c8-1e254f632013"/>
        <s v="275718ac-94f6-47c6-a5da-540dbf2eeb2c"/>
        <s v="f3499ead-c0cd-4154-a2c6-5b9c9d204474"/>
        <s v="cfff9008-ad7c-4c3a-b342-795a737c1c84"/>
        <s v="1a8d434a-1520-44e9-8b1d-c20c8449a0a8"/>
        <s v="ed6e30dd-59f8-433f-88b0-69d6dd5dea41"/>
        <s v="d5f876ea-2681-46c7-a28a-16055c6346cf"/>
        <s v="b95f7c20-be12-4f5e-866c-2f3c5afe26f4"/>
        <s v="902aa9a4-2ddb-4c1d-8d3c-e96c84377e9c"/>
        <s v="79525eb7-50b0-4243-a184-1cae6ac6f127"/>
        <s v="27f35c75-48c9-4949-a685-69ba8ba972c0"/>
        <s v="B0233419-0052-4A91-AD62-6A8EAC8ED636"/>
        <s v="f22517d3-0787-4cd7-bb5d-20546f9e512b"/>
        <s v="c9019178-1b89-4de7-8451-b06bd01ca77b"/>
        <s v="3c8772d6-ed17-4a44-94bd-f19d09baa79d"/>
        <s v="3c82c866-e061-4767-bfd0-c4b2ba8aa444"/>
        <s v="51f14bdd-328a-4b13-913b-cb99ce8ac5a9"/>
        <s v="534a0b6e-685a-4bc0-9a5b-8ed62f22fb3f"/>
        <s v="19c597da-5f1b-4113-a80c-fdba97435783"/>
        <s v="16253a43-5364-4c7e-8a23-ba97ec60d20a"/>
        <s v="a703d7aa-d0ea-48b7-a4c0-34cbdaaf11dd"/>
        <s v="F1BAE597-A18D-4A3B-990E-12772132C8B9"/>
        <s v="a7eacbc7-3827-472e-95bc-f6b39b0ff168"/>
        <s v="26d882f1-0e80-4ca4-8c7e-958513fda0ec"/>
        <s v="82e5574c-11e5-41be-b979-d091bd52b7f7"/>
        <s v="bc6c756a-a57e-4a37-a604-bdccfecace3b"/>
        <s v="3ef7bb0c-d64a-4a7a-af5a-f4afd334ca47"/>
        <s v="4750ca0e-322e-465f-97e4-e09307b050e1"/>
        <s v="cfd65038-e0c4-4ff2-a12a-b0cc52aec611"/>
        <s v="6de10689-be38-4cff-a79c-971cf4f69057"/>
        <s v="1cf44d92-bf68-4114-9c6b-a7bf66dcc009"/>
        <s v="d30886ec-44b7-4138-8342-8bab9c65a6ea"/>
        <s v="50041f2f-9449-43a8-89b2-db6ca5cd7ebb"/>
        <s v="073db7e0-0259-4883-af62-99330f143fdf"/>
        <s v="51f71b9f-7728-4533-88fa-1bdc301b9d7e"/>
        <s v="004db192-53fc-4e03-959b-dab06f802d36"/>
        <s v="0fa2485d-414a-4f52-ad93-ccd6b7b04c5c"/>
        <s v="dc93f8a1-3866-44e0-a7ca-68b942c65129"/>
        <s v="f290ce07-8670-453a-96ca-ac959c9ff950"/>
        <s v="6fe7ae41-cb6f-4056-b817-edb4173650fa"/>
        <s v="abd711b2-e0d1-4567-812b-dc87217e16bb"/>
        <s v="36cbea8f-b205-463a-9100-5417ddc00f52"/>
        <s v="5db642bc-8439-432e-b313-f48817e99ec6"/>
        <s v="ae3af743-8d75-4265-9a01-ccdc82416297"/>
        <s v="2d5d7056-25da-4145-9708-ca2295b95418"/>
        <s v="6da0bfc0-6674-49b5-9286-ed45aea61e75"/>
        <s v="59aa6b0b-de50-47f7-aa13-c76e10c376aa"/>
        <s v="1b9cd40a-c9e0-4008-8de7-a422d2d843fe"/>
        <s v="7c1ba2fa-9809-48ba-84d6-b4e9850bfaee"/>
        <s v="87d80b0a-63a6-42e1-85e9-48e0c4989032"/>
        <s v="95d0f9a5-9cfd-4cba-91eb-74381805ea19"/>
        <s v="a37cedac-025a-4fb9-8fa8-11cf62744e91"/>
        <s v="e4776dbb-f3fc-4669-bb43-a1b7c87b7c59"/>
        <s v="f41e2ac5-0e57-41cb-b8b7-2dd8dc1a8bf4"/>
        <s v="8552e61b-5341-4e48-8dc9-2dcadd5ac20f"/>
        <s v="01f6563f-4cb1-45ad-acfb-f268b7aef9ef"/>
        <s v="3bcb36cb-f2ad-4468-91ae-2e44f07c8bab"/>
        <s v="1e432ee6-bf83-4368-89db-5c1fbca8796b"/>
        <s v="81bf3006-21b0-48ff-ae44-bf82aa104e31"/>
        <s v="2f5f9219-fac1-402c-9141-f6716bf889dc"/>
        <s v="9824c752-0be4-4b5d-9818-8b590bd9c2ea"/>
        <s v="3cfb8504-db19-4e0d-a888-438bff7f2cc8"/>
        <s v="17ee0bbd-46cb-4653-91a7-ceeb6b721485"/>
        <s v="59e53ffc-c1df-473a-b257-775514afb099"/>
        <s v="7a49a212-38dd-4a69-bab5-a677f1cbca97"/>
        <s v="47de915e-c03b-4118-b9cc-0d4d80b1caac"/>
        <s v="4b1110ff-1ace-462f-8822-895425a89a3c"/>
        <s v="f79de391-c7c6-42b0-9326-1b94b5dcd121"/>
        <s v="52130c6e-2f62-4b07-bce1-28762a400e58"/>
        <s v="15951f75-6aca-4416-8478-e803240069ff"/>
        <s v="e57e51e3-35b5-48de-baf9-c08664162344"/>
        <s v="f35a04db-068e-41d5-b8a8-8bfde7ffa421"/>
        <s v="2a4d8f4e-e7cd-4ed5-a7dc-a92fc16e37b3"/>
        <s v="ca619f43-8990-49a5-8c86-f34c86395425"/>
        <s v="bfc971e5-83a3-47a8-b1dc-c45b1b8c8f92"/>
        <s v="239c1ffa-b15c-4b14-af18-a276f4963ad1"/>
        <s v="0287776F-9E6F-4DA0-B7EF-8779B6C95A99"/>
        <s v="e8b5ea6c-53ce-4c50-a1aa-a21d51c741d8"/>
        <s v="4b211f63-8396-46ff-b4d1-642c7a3d077f"/>
        <s v="f803a84d-97b6-49cf-824e-d2806271449a"/>
        <s v="ab81e45d-fc7d-41c1-bb11-61d2345f074a"/>
        <s v="c927ff43-63ab-4b84-bd2a-6f3603b427b4"/>
        <s v="0189a475-ca2b-4535-884b-b5d63f2e774a"/>
        <s v="97df064b-ac3c-44dc-b50f-4931d66dcb64"/>
        <s v="dff24cc5-ba99-47d7-9966-d83804cb055d"/>
        <s v="b02b47b8-6f99-4575-89ae-5c9cbd17d17d"/>
        <s v="01230a64-68df-483f-a665-3da5373ee828"/>
        <s v="8487c8c9-5af1-467a-8a82-3ca25ec4e7c0"/>
        <s v="fd6894fa-ba52-42f9-9754-5f31e51282aa"/>
        <s v="7b4c9594-fc75-4042-af16-03a548b4dc14"/>
        <s v="973fec8b-65e8-45ad-8f61-8c9dbdd41ed4"/>
        <m/>
      </sharedItems>
    </cacheField>
    <cacheField name="თანამშრომელი_GUID" numFmtId="0">
      <sharedItems containsBlank="1">
        <m/>
        <s v="A26DCE96-C08F-453E-9E26-10AAF72D142A"/>
        <s v="401318CA-BF39-49C3-9BDC-73836A8F9774"/>
        <s v="C309CB7C-404D-431A-A8FB-29671DCA0C49"/>
        <s v="83F0C711-34F6-45B3-A1ED-F85548418822"/>
        <s v="A4E9EDC7-B81F-4483-9069-A7790AEBE4FA"/>
        <s v="2FF3A4BD-5868-4142-BDF6-BC3816DFD386"/>
        <s v="86332895-C3C3-4313-AA1C-0D1B06C2386C"/>
        <s v="AD901E05-ADD9-42DE-89BA-4D9A21C89BCF"/>
        <s v="B2931E48-3277-49C0-B41B-D5F9C4CA15EE"/>
        <s v="DF44A1C6-0A8E-490A-924F-42D9CE2E573F"/>
        <s v="C5D1F87D-8C4D-42C3-8E4A-B47A5A7D4D4A"/>
        <s v="fd6be193-fd0d-47e3-96b1-e5a6e1948c27"/>
        <s v="f226abbb-d682-476f-9fea-3665c62bccb6"/>
        <s v="D239BCA7-C0E0-431B-8055-6778FA312A38"/>
        <s v="4c25a3b7-d112-4c46-aa9a-b2513a44f1b7"/>
        <s v="01DFE71D-5350-4A02-ABCD-C6A3C15B94EE"/>
        <s v="19521391-5237-486E-B9F6-C4529F6D8E1D"/>
        <s v="c16820cb-b0fb-42f4-837e-8657b575f62a"/>
        <s v="A778537A-20BD-4AF4-B7E0-06811F6672A1"/>
      </sharedItems>
    </cacheField>
    <cacheField name="Collateral" numFmtId="0">
      <sharedItems containsBlank="1">
        <s v="gio.nikabadze@gmail.com"/>
        <s v="shorena.jijiashvili1980@gmail.com"/>
        <s v="gvantsalebanidze21@gmail.com"/>
        <s v="autocad080@gmail.com"/>
        <s v="dito.sichinava@gmail.com"/>
        <m/>
      </sharedItems>
    </cacheField>
    <cacheField name="Deleted" numFmtId="0">
      <sharedItems containsBlank="1">
        <m/>
        <b v="1"/>
      </sharedItems>
    </cacheField>
    <cacheField name="Name1" numFmtId="166">
      <sharedItems>
        <s v="Biota Park | 1.1.1. | ოლიმპ ჯორჯია  | 350,000.00 USD | 29.10.2019"/>
        <s v="Chakhrukhadze | 1.1.1. | ინდეკო  | 23,100.00 USD | 24.10.2019"/>
        <s v="Med. University | 1.1.1. | ბეტა ჯგუფი  | 42,500.00 USD | 29.10.2019"/>
        <s v="Varketili | 1.1.1. | გიოკაპიტალი  | 48,500.00 USD | 16.09.2019"/>
        <s v="Gudauri Redco Parking | 1.1.1. | რედ-კო  | 28,000.00 USD | 26.09.2019"/>
        <s v="Ortachala | 1.1.1. | მაია კვიჭიძე  | 24,000.00 USD | 26.07.2019"/>
        <s v="Modus Agladze | 1.1.1. | მოდუსი  | 32,000.00 USD | 17.06.2019"/>
        <s v="Crystal Bakuriani | 1.1.1. | ჰომბეი  | 104,500.00 USD | 23.05.2019"/>
        <s v="Abuseridze - Batumi | 1.1.1. | ანა აბუსერიძე  | 31,000.00 USD | 06.06.2019"/>
        <s v="UNIX Marselle | 1.1.1. | იუნიქს ქონსთრაქშენ კომპანი  | 340,000.00 USD | 22.05.2019"/>
        <s v="Tbilisi Palace | 1.1.1. | თბილისი პალასი  | 160,000.00 USD | 26.12.2018"/>
        <s v="Tegeta Batumi | 1.1.1. | თეგეტა მოტორსი  | 28,650.00 USD | 14.01.2019"/>
        <s v="DAR TOWER | 1.1.1. | Dar Building  | 1,046,340.00 USD | 20.09.2018"/>
        <s v="BAT Tower | 1.1.1. | ბათბილდინგი  | 73,000.00 USD | 27.12.2018"/>
        <s v="Rumi - batumi | 1.1.1. | რუმი  | 117,370.00 USD | 17.12.2019"/>
        <s v="Domus Paliashviliს 63 | 1.1.1. | ფალიაშვილის 63  | 97,000.00 GEL | 01.08.2017"/>
        <s v="Gelovani 52 | 1.1.1. | ეკომეტრი  | 161,000.00 USD | 07.07.2017"/>
        <s v="Chempioni | 1.1.1. | ჩემპიონი 2  | 23,924.00 USD | 15.06.2016"/>
        <s v="New Time | 1.1.1. | ნიუ თაიმ  | 150,000.00 USD | 30.05.2017"/>
        <s v="Green Cape | 1.1.1. | ელტური-2008  | 70,360.00 USD | 26.12.2018"/>
        <s v="Indeko - shartava 39 | 1.1.1. | ინდეკო  | 155,520.00 USD | 26.12.2018"/>
        <s v="Redco 1 | 1.1.1. | რედ-კო  | 370,000.00 USD | 28.05.2018"/>
        <s v="Delisi | 1.1.1. | ბიზნეს ცენტრი დელისი  | 53,454.00 USD | 16.08.2016"/>
        <s v="Shvela | 1.1.1. | შველა  | 50,206.00 USD | 15.06.2016"/>
        <s v="Moxy Zaabruken Hotel | 1.1.1. | ბკ კაპიტალი  | 157,608.67 USD | 04.10.2016"/>
        <s v="Tbilisi Gardens | 1.1.1. | ინჟინერთა ჯგუფი  | 325,000.00 USD | 19.12.2016"/>
        <s v="Modus Kakhety HW | 1.1.1. | მოდუსი  | 25,000.00 USD | 28.09.2016"/>
        <s v="Kbuleti Str. - Khomeriki | 1.1.1. | სითი დეველოპმენტ  | 36,577.00 USD | 25.04.2016"/>
        <s v="Domus | 1.1.1. | დომუს დეველოპმენტ  | 527,700.00 USD | 17.12.2015"/>
        <s v="Paliashvili 23 | 1.1.2. | ირაკლი კაციტაძე  | 1.00 GEL | 01.01.2020"/>
        <s v="Moxy Zabruken Restaurant | 1.1.1. | ბკ კაპიტალი  | 78,804.33 USD | 04.10.2019"/>
        <s v="TWIN TOWER | 1.1.1. | ორბი ჯგუფი ბათუმი  | 3,273,908.00 USD | 20.11.2017"/>
        <s v="City Mall | 1.1.1. | აი ჯი დეველოფმენტ ჯორჯია  | 1,194,345.00 USD | 11.09.2018"/>
        <s v="Renting BNB | 1.1.1. | რენთინგ ბიენბი  | 26,000.00 USD | 25.02.2020"/>
        <s v="Aeroporti | 1.1.1. | ტრანსმშენი  | 20,000.00 USD | 22.08.2019"/>
        <s v="Dividers Med Uni | 1.1.1. | ბეტა ჯგუფი  | 11,000.00 GEL | 12.01.2019"/>
        <s v="Brewery 1 (300KG) | 1.1.1. | ლუდსახარში ორი კათხა  | 10,610.00 USD | 06.03.2020"/>
        <s v="Khiliani | 1.1.1. | ახალშენი 2016  | 26,400.00 USD | 31.07.2019"/>
        <s v="ORBI Office Lift | 1.1.1. | ორბი ჯგუფი ბათუმი  | 30,000.00 USD | 19.11.2019"/>
        <s v="IBIS Perovi | 1.1.1. | ბეტა ჯგუფი  | 83,750.00 USD | 11.09.2019"/>
        <s v="Sololaki | 1.1.1. | კანოპუსი  | 24,000.00 USD | 31.10.2019"/>
        <s v="IBIS Perov Dumbwaiter | 1.1.1. | ბეტა ჯგუფი  | 16,300.00 USD | 05.12.2019"/>
        <s v="Kleemann Pekini | 1.1.1. | სითი რეალ ისთეით  | 353,218.00 USD | 08.05.2018"/>
        <s v="Gudauri Alpic | 1.1.1. | ანაგი  | 81,000.00 USD | 24.09.2019"/>
        <s v="Batumi Stadium | 1.1.1. | ანაგი  | 139,932.66 USD | 04.05.2019"/>
        <s v="Gazapkhuli | 1.1.2. | დეველოპერული კომპანია მც კვადრატი  | 100.00 GEL | 01.01.2020"/>
        <s v="Thermoroom | 1.1.1. | თერმორუმი  | 82,900.00 USD | 22.03.2019"/>
        <s v="ENCORE Gudauri | 1.1.1. | ტექნოკლიმა  | 180,540.00 EUR | 03.09.2019"/>
        <s v="MOXY HVAC | 1.2.1. | ჯი-ემ-თი სასტუმროები  | 416,156.43 USD | 24.01.2018"/>
        <s v="Paster Hostel | 1.1.1. | 1920  | 36,200.00 USD | 16.04.2019"/>
        <s v="Kaklebi | 1.1.1. | გოჩა ჩხაიძე  | 37,760.00 USD | 11.04.2019"/>
        <s v="156-ე საჯარო სკოლა | 1.1.1. | სვირი +  | 8,900.00 USD | 31.01.2020"/>
        <s v="Beach Tower | 1.1.1. | ორბი ჯგუფი  | 650,000.00 USD | 05.09.2018"/>
        <s v="Modus PU Duct | 1.2.1. | მეპერსი  | 109,423.76 GEL | 10.05.2019"/>
        <s v="Modus VRV | 1.2.1. | მეპერსი  | 11,810.00 USD | 17.05.2019"/>
        <s v="Ramada Melikishvili | 1.2.1. | მეპერსი  | 312,660.96 USD | 17.06.2019"/>
        <s v="Ramada Melikishvili Additional | 1.2.1. | მეპერსი  | 11,636.28 USD | 16.08.2019"/>
        <s v="Hilton Garden Mockup | 1.2.1. | მეპერსი  | 2,872.57 USD | 12.05.2019"/>
        <s v="Kempinski Mockup | 1.2.1. | მეპერსი  | 2,245.13 USD | 21.10.2019"/>
        <s v="Copper Pipes Stock | 1.2.1. | მეპერსი  | 7,201.20 GEL | 21.02.2020"/>
        <s v="Valves Med. University | 1.2.1. | მეპერსი  | 881.46 EUR | 16.12.2019"/>
        <s v="Orbi Bakuriani VRV | 1.2.1. | მეპერსი  | 87,484.25 USD | 04.03.2020"/>
        <s v="Hilton Garden Inn VRV 1 | 1.2.1. | მეპერსი  | 56,818.84 USD | 10.03.2020"/>
        <s v="Hilton Garden Inn PIPES | 1.2.1. | მეპერსი  | 8,684.86 USD | 13.03.2020"/>
        <s v="OFFICE Dar Building | 1.1.1. | Dar Building  | 20,800.00 USD | 05.12.2020"/>
        <s v="Archi Digomi | 1.1.1. | ანაგი  | 107,760.00 USD | 04.05.2020"/>
        <s v="Zara City Mall | 1.1.2. | Spanish Retail Georgia  | 1,800.00 GEL | 01.12.2019"/>
        <s v="Galleria Hotel | 1.1.2. | გალერია ჰოტელ მენეჯმენტი  | 300.00 USD | 01.06.2019"/>
        <s v="Era Palace | 1.1.2. | ერა პალასი  | 200.00 GEL | 01.05.2019"/>
        <s v="Muzeums | 1.1.2. | თბილი სახლი  | 750.00 GEL | 01.02.2019"/>
        <s v="UNIX Ipolit Ivanov | 1.1.2. | იუნიქს ქონსთრაქშენ კომპანი  | 1,500.00 GEL | 15.03.2019"/>
        <s v="PIXEL | 1.1.2. | პიქსელ მენეჯმენტი  | 1,645.00 USD | 01.12.2018"/>
        <s v="Khetagurov Office | 1.1.2. | დავუდ  | 1,000.00 GEL | 28.12.2018"/>
        <s v="Galleria Tbilisi | 1.1.2. | თბილი სახლი  | 1.00 USD | 01.02.2020"/>
        <s v="Tbilisi Central HVAC Service | 1.2.2. | თბილისი ცენტრალი  | 1.00 GEL | 01.09.2020"/>
        <s v="Mziuri | 1.1.2. | ნინო კირცხალია  | 1.00 GEL | 01.01.2020"/>
        <s v="Orbi Other | 1.1.2. | ორბი ჯგუფი ბათუმი  | 1.00 GEL | 01.01.2020"/>
        <s v="Bagebi | 1.1.1. | ნირან პროპერტის დეველოპმენტი  | 132,998.00 USD | 22.01.2018"/>
        <s v="H&amp;M | 1.1.2. | ეიჩ ენდ ემ ჰენეს ენდ მაურიც ჯორჯია  | 1.00 USD | 01.01.2020"/>
        <s v="Marshal Gelovanis 52 | 1.1.2. | ჯი ემ ემ  | 1.00 GEL | 01.01.2020"/>
        <s v="Marshal Gelovani 52 | 1.1.2. | ოლსერვისგრუპ  | 1,200.00 GEL | 01.01.2019"/>
        <s v="Marshal Gelovani 52 | 1.1.2. | ოლსერვისჯგუფი  | 10.00 GEL | 06.01.2019"/>
        <s v="Archi Jikia Block C | 1.1.1. | არქი საბურთალო  | 136,600.00 USD | 05.12.2020"/>
        <s v="Shato Mukhrani Gen-Set 2020 | 1.2.1. | შატო მუხრანი  | 55,680.00 EUR | 08.06.2020"/>
        <s v="Galleria Tbilisi | 1.1.2. | ენსოლი  | 3,500.00 USD | 01.02.2019"/>
        <s v="Domus | 1.1.2. | დომუსი  | 1,400.00 USD | 15.02.2018"/>
        <s v="Rovshan Mamadovi | 1.2.1. | როვშან მამადოვი  | 8,214.00 USD | 17.06.2020"/>
        <s v="Sapatrulo | 1.1.2. | თბილი სახლი  | 250.00 GEL | 01.02.2019"/>
        <s v="Erovnuli | 1.1.2. | თბილი სახლი  | 500.00 GEL | 01.02.2019"/>
        <s v="Gonio | 1.1.2. | ერა პალასი  | 300.00 GEL | 01.06.2019"/>
        <s v="Modus batumi | 1.1.2. | მოდუსი  | 400.00 GEL | 07.05.2019"/>
        <s v="Abashidze 70 | 1.1.2. | ი. აბაშიძე 70  | 3,000.00 GEL | 01.07.2020"/>
        <s v="Epic gazapkhuli | 1.1.2. | დელისი 2020  | 500.00 GEL | 02.07.2020"/>
        <s v="Epic Bagebi | 1.1.1. | ბაგები  | 64,790.00 USD | 01.07.2020"/>
        <s v="Hilton Garden Inn Pipes 2 | 1.2.1. | მეპერსი  | 4,580.94 USD | 01.06.2020"/>
        <s v="Tegeta Batumi | 1.1.2. | თეგეტა მოტორსი  | 1.00 GEL | 01.07.2020"/>
        <s v="Grena MEP 1 | 1.2.1. | საქ სამეცნიერო-საგანმანათ. კომპ ქსელების ასოციაცია გრენა  | 9,885.00 GEL | 22.06.2020"/>
        <s v="Khiliani | 1.1.2. | ახალშენი 2016  | 1.00 GEL | 01.03.2020"/>
        <s v="Domus Paliashvilis 63 | 1.1.2. | ფალიაშვილის 63  | 1.00 GEL | 07.07.2020"/>
        <s v="Indeko - shartava 39 | 1.1.2. | ინდეკო  | 1.00 GEL | 02.01.2018"/>
        <s v="Domus | 1.1.2. | დომუს სერვისი  | 1.00 USD | 01.07.2019"/>
        <s v="UNIX Marselle 1 | 1.1.2. | იუნიქს ქონსთრაქშენ კომპანი  | 1.00 GEL | 01.07.2020"/>
        <s v="Delisi | 1.1.2. | ბიზნეს ცენტრი დელისი  | 1.00 GEL | 01.01.2020"/>
        <s v="Modus Kakhety HW | 1.1.2. | მოდუსი  | 1.00 GEL | 01.05.2019"/>
        <s v="Tbilisi Gardens | 1.1.2. | BD Property  | 1.00 USD | 01.01.2019"/>
        <s v="Kbuleti Str. - Khomeriki | 1.1.2. | გელა ხომერიკი  | 1.00 GEL | 01.02.2018"/>
        <s v="Tbilisi Palace | 1.1.2. | თბილისი პალასი  | 1.00 GEL | 06.05.2020"/>
        <s v="Modus Agladze | 1.1.2. | მოდუსი  | 1.00 GEL | 17.06.2019"/>
        <s v="New Time | 1.1.2. | ნიუ თაიმ  | 1.00 USD | 30.07.2018"/>
        <s v="ORBI Office Lift | 1.1.2. | ორბი ჯგუფი ბათუმი  | 1.00 USD | 19.11.2019"/>
        <s v="Redco 1 | 1.1.2. | რედ-კო მენეჯმენტ გრუპი  | 1.00 USD | 18.02.2020"/>
        <s v="Moxy Zabruken Restaurant | 1.1.2. | ჯი-ემ-თი მთაწმინდა  | 1.00 USD | 01.11.2019"/>
        <s v="MOXY OFFICE | 1.1.2. | ჯი-ემ-თი სასტუმროები  | 1.00 USD | 01.05.2019"/>
        <s v="Paster Hostel | 1.1.2. | 1920  | 1.00 USD | 16.04.2019"/>
        <s v="Gelovani 52 | 1.1.2. | ეკომეტრი  | 1.00 USD | 08.01.2018"/>
        <s v="DAR TOWER | 1.1.2. | Dar Building  | 1.00 USD | 01.09.2020"/>
        <s v="Encoder | 1.1.3. | ეკომეტრი  | 2,000.00 GEL | 01.07.2020"/>
        <s v="OFFICE Dar Building | 1.1.2. | Dar Building  | 1.00 USD | 05.12.2020"/>
        <s v="Abuseridze - Batumi | 1.1.2. | ანა აბუსერიძე  | 1.00 USD | 06.06.2019"/>
        <s v="Batumi Stadium | 1.1.2. | ანაგი  | 1.00 USD | 04.05.2019"/>
        <s v="Archi Digomi | 1.1.2. | არქი დიღომი  | 1.00 USD | 05.05.2020"/>
        <s v="BAT Tower | 1.1.2. | ბათბილდინგი  | 1.00 USD | 27.12.2018"/>
        <s v="Crystal Bakuriani | 1.1.2. | ბაკურიანი ბიზნეს ჯგუფი  | 1.00 USD | 23.05.2019"/>
        <s v="Med. University | 1.1.2. | ბეტა ჯგუფი  | 1.00 USD | 29.10.2019"/>
        <s v="IBIS Perovi | 1.1.2. | ბეტა ჯგუფი  | 1.00 USD | 11.09.2019"/>
        <s v="IBIS Perov Dumbwaiter | 1.1.2. | ბეტა ჯგუფი  | 1.00 USD | 05.12.2019"/>
        <s v="Varketili | 1.1.2. | გიოკაპიტალი  | 1.00 USD | 16.09.2019"/>
        <s v="Kaklebi | 1.1.2. | გოჩა ჩხაიძე  | 1.00 USD | 11.04.2019"/>
        <s v="Green Cape | 1.1.2. | ელტური-2008  | 1.00 USD | 26.12.2018"/>
        <s v="Thermoroom | 1.1.2. | თერმორუმი  | 1.00 GEL | 22.03.2019"/>
        <s v="Chakhrukhadze | 1.1.2. | ინდეკო  | 1.00 USD | 24.10.2019"/>
        <s v="Kobuleti Garden Inn | 1.1.2. | იოსებ გუნთაიშვილი  | 1.00 USD | 25.12.2019"/>
        <s v="Aparthotel Vake | 1.1.2. | კანალესა  | 1.00 GEL | 30.10.2019"/>
        <s v="Sololaki | 1.1.2. | კანოპუსი  | 1.00 USD | 31.10.2019"/>
        <s v="Ortachala | 1.1.2. | მაია კვიჭიძე  | 1.00 USD | 26.07.2019"/>
        <s v="Bagebi | 1.1.2. | ნირან პროპერტის დეველოპმენტი  | 1.00 GEL | 22.01.2018"/>
        <s v="Biota Park | 1.1.2. | ოლიმპ ჯორჯია  | 1.00 USD | 29.10.2019"/>
        <s v="Beach Tower | 1.1.2. | ორბი ჯგუფი  | 1.00 USD | 05.09.2018"/>
        <s v="ORBI CITY A | 1.1.2. | ორბი ჯგუფი ბათუმი  | 1.00 USD | 01.07.2020"/>
        <s v="Gudauri Alpic | 1.1.2. | რედ-კო მენეჯმენტ გრუპი  | 1.00 USD | 24.09.2019"/>
        <s v="Renting BNB | 1.1.2. | რენთინგ ბიენბი  | 1.00 USD | 25.02.2020"/>
        <s v="Rumi - batumi | 1.1.2. | რუმი  | 1.00 USD | 17.12.2019"/>
        <s v="Aeroporti | 1.1.2. | ტრანსმშენი  | 1.00 GEL | 22.08.2019"/>
        <s v="Archi Jikia Block C | 1.1.2. | არქი საბურთალო  | 1.00 USD | 05.12.2020"/>
        <s v="Gudauri Redco Parking | 1.1.2. | რედ-კო მენეჯმენტ გრუპი  | 1.00 USD | 26.09.2019"/>
        <s v="City Mall | 1.1.2. | აი ჯი დეველოფმენტ ჯორჯია  | 1.00 USD | 11.09.2018"/>
        <s v="ENCORE Gudauri | 1.1.2. | გუდაური ლოჯი  | 1.00 USD | 03.09.2019"/>
        <s v="Shvela | 1.1.2. | შველა  | 1.00 USD | 15.06.2016"/>
        <s v="Chempioni | 1.1.2. | ჩემპიონი 2  | 1.00 GEL | 15.06.2016"/>
        <s v="Kbuleti Str. - Khomeriki | 1.1.2. | სითი დეველოპმენტ  | 1.00 GEL | 15.02.2018"/>
        <s v="Hospital Generator | 1.2.1. | თბილი სახლი  | 5,100.00 USD | 20.07.2020"/>
        <s v="Tskhneti House Valves | 1.2.1. | მეპერსი  | 3,658.89 EUR | 15.06.2020"/>
        <s v="Epic Bagebi | 1.1.2. | ბაგები  | 1.00 GEL | 01.07.2020"/>
        <s v="Hilton Garden VRV2 | 1.2.1. | მეპერსი  | 124,122.43 USD | 20.07.2020"/>
        <s v="Paata House | 1.2.1. | პაატა დვალიშვილი  | 2,812.46 USD | 20.07.2020"/>
        <s v="MHI Splits | 1.2.1. | თბილი სახლი  | 9,490.00 GEL | 10.08.2020"/>
        <s v="P1 P2 Ceilings | 1.1.1. | აი ჯი დეველოფმენტ ჯორჯია  | 10,200.00 USD | 11.08.2020"/>
        <s v="Chonkadze Home | 1.2.1. | ქეთევანი ავალიანი  | 11,508.00 USD | 29.07.2020"/>
        <s v="Chonkadze Home Split | 1.2.1. | ქეთევანი ავალიანი  | 3,492.00 GEL | 27.07.2020"/>
        <s v="Uninstall|Install 2 | 1.1.1. | ორბი ჯგუფი ბათუმი  | 5,343.00 USD | 04.05.2018"/>
        <s v="Uninstall|Install 1 | 1.1.1. | ორბი ჯგუფი ბათუმი  | 5,343.00 USD | 26.12.2017"/>
        <s v="Modus Wedding Hall | 1.1.1. | მოდუსი  | 44,100.00 USD | 25.05.2020"/>
        <s v="Norway Embassy MEP1 | 1.2.1. | ნორვეგიის სამეფოს საელჩო ქ. თბილისში  | 5,250.00 GEL | 01.06.2020"/>
        <s v="Turkish Repair | 1.1.1. | ორბი ჯგუფი ბათუმი  | 16,000.00 GEL | 22.06.2018"/>
        <s v="ATU Duck Type 2020 | 1.2.1. | ასოციაცია ატუ  | 19,200.00 GEL | 27.08.2020"/>
        <s v="Compressors 1 | 1.2.1. | თბილისი ცენტრალი  | 25,200.00 USD | 17.02.2020"/>
        <s v="Compressor Instalation | 1.2.1. | თბილისი ცენტრალი  | 6,800.00 GEL | 23.06.2020"/>
        <s v="Mitsubishi Splits | 1.2.1. | მონუმენტი 1880  | 22,240.00 GEL | 12.03.2020"/>
        <s v="Hilton Service Parts | 1.2.1. | ტურინვესტი  | 7,350.00 USD | 19.08.2020"/>
        <s v="Filter supply and compresor change service | 1.2.1. | თბილისი ცენტრალი  | 1,150.00 GEL | 10.09.2020"/>
        <s v="Conditioners | 1.2.1. | აკაკი მგელაძე  | 6,000.00 GEL | 17.09.2020"/>
        <s v="INVERTER COOLING FAN | 1.2.1. | მ2  | 824.00 EUR | 20.08.2020"/>
        <s v="7Sky VRV Mockup | 1.2.1. | მეპერსი  | 2,458.27 USD | 21.09.2020"/>
        <s v="Compressors 2 | 1.2.1. | თბილისი ცენტრალი  | 12,410.00 USD | 17.09.2020"/>
        <s v="Hilton Batumi VRF | 1.2.3. | ტურინვესტი  | 7,600.00 GEL | 28.09.2020"/>
        <s v="Rustavi MIA | 1.1.1. | ტრანსმშენი  | 65,300.00 USD | 17.08.2020"/>
        <s v="Unix Marselle 2 | 1.1.2. | იუნიქს ქონსთრაქშენ კომპანი  | 800.00 USD | 28.09.2020"/>
        <s v="Meppers Hilton Garden Inn Carrier | 1.2.1. | მეპერსი  | 51,684.38 EUR | 01.10.2020"/>
        <s v="Jemali House | 1.2.1. | ჯემალ ინაიშვილი  | 31,550.00 USD | 01.09.2020"/>
        <s v="Inspection | 1.1.2. | ტურინვესტი  | 600.00 GEL | 16.06.2020"/>
        <s v="Gazapkhuli | 1.1.1. | სტრაქტიფორმი  | 31,350.00 USD | 22.02.2019"/>
        <s v="Stela | 1.2.1. | შპს სტელა +  | 5,700.00 USD | 25.09.2020"/>
        <s v="SRK45ZSP-S|SRC45ZSP-S | 1.2.1. | აკაკი მგელაძე  | 2,260.00 GEL | 10.10.2020"/>
        <s v="Thermoroom 2 units | 1.2.1. | თერმორუმი  | 2,640.00 GEL | 13.10.2020"/>
        <s v="Conditioners | 1.2.1. | გიორგი გულაშვილი  | 10,420.00 GEL | 12.10.2020"/>
        <s v="Sunrise Batumi | 1.1.1. | სანრაიზ დეველოპმენტი  | 449,870.00 USD | 14.10.2020"/>
        <s v="Jikia house | 1.2.1. | გიორგი ბახტაძე  | 2,720.00 GEL | 23.10.2020"/>
        <s v="Paata House Splits | 1.2.1. | პაატა დვალიშვილი  | 5,670.00 GEL | 23.10.2020"/>
        <s v="Mitsubishi Split Conditioners | 1.2.1. | თბილი სახლი  | 7,320.00 GEL | 16.10.2020"/>
        <s v="Poti Port Service | 1.2.3. | AHI Carrier Fzc  | 2,000.00 EUR | 04.09.2020"/>
        <s v="MHI Conditioner | 1.2.1. | ინსტალი  | 1,180.00 GEL | 29.11.2019"/>
        <s v="Split Mitsubishi Conditioners (R410A) | 1.2.1. | გიორგი გულაშვილი  | 10,420.00 GEL | 12.10.2020"/>
        <s v="N2 lift service | 1.1.3. | გალერია თბილისი  | 200.00 GEL | 26.10.2020"/>
        <s v="Beach Tower Trouble | 1.2.1. | ტექნოკლიმა  | 3,849.00 GEL | 28.10.2020"/>
        <s v="Kafelis Saxli | 1.1.1. | მოდუსი  | 23,000.00 USD | 23.09.2020"/>
        <s v="Fan Propeller | 1.2.1. | თბილი სახლი  | 1,180.00 USD | 05.11.2020"/>
        <s v="4 Units RC-EX3 | 1.2.1. | თერმორუმი  | 500.00 USD | 22.10.2020"/>
        <s v="3 MHI SPLITS | 1.2.1. | თერმორუმი  | 5,500.00 GEL | 17.11.2020"/>
        <s v="Compressor | 1.2.1. | აკაკი ახვლედიანი  | 3,965.00 USD | 16.11.2020"/>
        <s v="PU Ducts | 1.2.1. | თერმორუმი  | 14,728.50 GEL | 03.11.2020"/>
        <s v="Orbi Spa | 1.1.1. | ორბი ჯგუფი  | 6,000.00 GEL | 08.10.2020"/>
        <s v="ICE - Gazapkhuli Stock | 1.1.1. | აი-სი-ი  | 0.00 GEL | 18.12.2020"/>
        <s v="Paata House Thermostats  | 1.2.1. | პაატა დვალიშვილი  | 800.00 USD | 18.12.2020"/>
        <s v="Ford Center Propeler Motor | 1.2.1. | თბილი სახლი  | 1,735.00 USD | 19.11.2020"/>
        <s v="N13 Elevator board | 1.1.3. | გალერია თბილისი  | 600.00 USD | 24.11.2020"/>
        <s v="Display &amp; Board | 1.1.3. | იუნიქს ქონსთრაქშენ კომპანი  | 800.00 USD | 02.10.2020"/>
        <s v="Meboengineering | 1.2.1. | მებოენჯინიერინგ  | 18,970.00 USD | 22.12.2020"/>
        <s v="Havana club | 1.2.1. | არგო გრუპ ჯორჯია  | 17,000.00 USD | 27.11.2020"/>
        <s v="Carrier Unit | 1.2.1. | ლენოქსი  | 1,900.00 USD | 01.12.2020"/>
        <s v="Dumpers | 1.2.1. | ლენოქსი  | 150.00 GEL | 01.12.2020"/>
        <s v="ICE - Lilo Open Stock | 1.1.1. | აი-სი-ი  | 0.00 GEL | 01.01.2011"/>
        <s v="ICE - Lilo Closed Stock | 1.1.1. | აი-სი-ი  | 0.00 GEL | 01.01.2011"/>
        <s v="Bagebi | 1.1.2. | სფერა  | 350.00 GEL | 15.01.2021"/>
        <s v="Axis office | 1.2.1. | თბილი სახლი  | 60,886.00 USD | 30.12.2020"/>
        <s v="Jemali house Elevator | 1.1.1. | ჯემალ ინაიშვილი  | 29,270.00 EUR | 01.09.2020"/>
        <s v="Galleria Tbilisi | 1.1.3. | თბილი სახლი  | 2,585.40 USD | 08.12.2020"/>
        <s v="Asatiani - Kvariati | 1.2.1. | თინათინ ასათიანი  | 1,550.00 GEL | 12.02.2021"/>
        <s v="Mitsubishi Compressor | 1.2.1. | თბილი სახლი  | 6,950.00 USD | 09.02.2021"/>
        <s v="Galleria Elevator Spare Parts  | 1.1.3. | გალერია თბილისი  | 7,335.00 USD | 25.08.2020"/>
        <s v="Galleria Escalator Spare Part  | 1.1.3. | გალერია თბილისი  | 3,420.00 USD | 16.02.2021"/>
        <s v="Archi Isani 2 | 1.1.1. | ბკ ქონსთრაქშენი  | 220,000.00 USD | 30.11.2020"/>
        <s v="House Elevator | 1.1.1. | ჯემალ ინაიშვილი  | 29,270.00 GEL | 01.09.2020"/>
        <s v="Rustavi Moll and Poti | 1.1.1. | რუსთავი მოლი  | 126,360.00 USD | 20.12.2020"/>
        <s v="Zugdidi | 1.1.1. | ზუგდიდი პალასი  | 30,140.00 USD | 20.12.2020"/>
        <s v="Digomi elevators | 1.1.1. | თბილი სახლი  | 53,260.00 USD | 01.12.2020"/>
        <s v="VRF Sensor &amp; Fan motor | 1.2.1. | თბილისი ცენტრალი  | 680.00 USD | 17.02.2021"/>
        <s v="Living Container | 1.3.1. | მეპერსი  | 22,373.00 GEL | 18.02.2021"/>
        <s v="MHI Split | 1.2.1. | ელიტ ელექტრონიქსი  | 0.00 GEL | 01.04.2020"/>
        <s v="Sveti | 1.1.1. | ოპტიმა  | 2,399,130.00 USD | 20.10.2020"/>
        <s v="Moxy Zaabruken Hotel 1 | 1.1.3. | ჯი-ემ-თი სასტუმროები  | 600.00 USD | 24.02.2021"/>
        <s v="Moxy Zaabruken Hotel 2 | 1.1.3. | ჯი-ემ-თი სასტუმროები  | 250.00 USD | 25.02.2021"/>
        <s v="Mitsubishi Split Conditioners | 1.2.1. | დავით დავითაშვილი  | 2,450.00 GEL | 25.02.2021"/>
        <s v="Zara Brush | 1.1.3. | Spanish Retail Georgia  | 576.80 USD | 03.03.2021"/>
        <s v="Zara City Mall | 1.1.3. | Spanish Retail Georgia  | 576.80 USD | 03.03.2021"/>
        <s v="IBIS Perovi | 1.1.3. | ბეტა ჯგუფი  | 1,440.00 USD | 03.03.2021"/>
        <s v="DAR TOWER | 1.1.3. | Dar Building  | 1,214.00 USD | 22.02.2021"/>
        <s v="UNIX Ipolit Ivanov | 1.1.3. | იუნიქს ქონსთრაქშენ კომპანი  | 773.00 USD | 22.02.2021"/>
        <s v="TWIN TOWER | 1.1.3. | ორბი ჯგუფი ბათუმი  | 4,009.00 USD | 07.02.2021"/>
        <s v="Beach Tower | 1.1.3. | ორბი ჯგუფი  | 840.00 USD | 07.02.2021"/>
        <s v="Aparthotel Vake | 1.1.1. | კანალესა  | 163,727.00 USD | 30.10.2019"/>
        <s v="Archi Isani | 1.1.1. | ანაგი  | 366,050.00 USD | 03.09.2020"/>
        <s v="Kobuleti Garden Inn | 1.1.1. | იოსებ გუნთაიშვილი  | 23,750.00 USD | 25.12.2019"/>
        <s v="Thermostats and joints | 1.2.1. | ბალტიის ბიზნეს განვითარება  | 17,882.00 USD | 28.03.2021"/>
        <s v="Mitsubishi Conditioner | 1.2.1. | თერმორუმი  | 1,380.00 GEL | 23.03.2021"/>
        <s v="Mitsubishi Split Condicioner | 1.2.1. | ირინა ბაგრატიონი  | 2,800.00 GEL | 29.03.2021"/>
        <s v="Rent-Tamarashvili | 1.3.2. | ემ-ეს-სი ჯორჯია  | 6,913.50 USD | 23.03.2021"/>
        <s v="M2 conditioner instalatio | 1.2.3. | ბკ ქონსთრაქშენი  | 181,545.00 GEL | 14.12.2020"/>
        <s v="Redisson Red VRV | 1.2.1. | ბალტიის ბიზნეს განვითარება  | 227,761.00 USD | 05.04.2021"/>
        <s v="SAUDI | 1.2.1. | CENTER OF ELECTRICAT GOODS  | 10,708.00 EUR | 25.03.2021"/>
        <s v="Abashidze 70  | 1.1.3. | ი. აბაშიძე 70  | 1,290.00 USD | 12.04.2021"/>
        <s v="Ford Center | 1.2.1. | თბილი სახლი  | 2,545.00 USD | 25.03.2021"/>
        <s v="Hotel Radius | 1.2.1. | თბილი სახლი  | 2,340.00 GEL | 15.04.2021"/>
        <s v="SOLOLAKI VRF  | 1.2.1. | სტუდიო   | 5,350.00 USD | 29.04.2021"/>
        <s v="2 Units Mitsubishi Split Conditioner | 1.2.1. | გიორგი მარგებაძე  | 4,420.00 GEL | 13.05.2021"/>
        <s v="SARJVELADZE - VRF | 1.2.1. | თენგიზ სარჯველაძე  | 11,441.00 USD | 12.01.2021"/>
        <s v="Samkharauli SOS | 1.2.1. | პალადა  | 271,416.96 GEL | 01.04.2021"/>
        <s v="ATU Conditioners | 1.2.1. | ასოციაცია ატუ  | 31,200.00 GEL | 20.05.2021"/>
        <s v="HIEX | 1.2.1. | მეპერსი  | 678,014.84 USD | 01.03.2021"/>
        <s v="Germany Embassy  | 1.2.1. | ბეთბი  | 4,320.00 GEL | 20.05.2021"/>
        <s v="Germany Embassy  | 1.2.2. | ბეთბი  | 0.00 EUR | 25.05.2021"/>
        <s v="Germany Embassy  | 1.2.3. | ბეთბი  | 6,000.00 GEL | 20.05.2021"/>
        <s v="Tabori Resorts | 1.2.1. | თაბორი რიზორთსი  | 2,035.00 USD | 17.05.2021"/>
        <s v="Tbili Sakhli Digomi | 1.1.1. | თბილი სახლი  | 54,510.00 USD | 01.09.2020"/>
        <s v="Tsirekidze - Mitsubishi Split Conditioner | 1.2.1. | გრიგოლ ცირეკიძე  | 2,900.00 GEL | 02.06.2021"/>
        <s v="Norwegian Embassy | 1.2.1. | ნორვეგიის სამეფოს საელჩო ქ. თბილისში  | 3,600.00 GEL | 09.06.2021"/>
        <s v="Krtsanisi Residence | 1.2.1. | კრწანისი როიალ რეზიდენსი  | 2,260.00 GEL | 16.06.2021"/>
        <s v="Okrokana | 1.1.1. | გრინ ლაიფ  | 29,415.00 USD | 26.02.2021"/>
        <s v="Okrokana  MEP | 1.2.1. | გრინ ლაიფ  | 22,060.00 USD | 23.04.2021"/>
        <s v="Krtsanisi Residence 1 | 1.2.1. | კრწანისი როიალ რეზიდენსი  | 2,260.00 GEL | 21.06.2021"/>
        <s v="Lezhava - Mitsubishi Split Conditioner | 1.2.1. | ბექა ლეჟავა  | 3,000.00 GEL | 22.06.2021"/>
        <s v="Gagnidze - Mitsubishi Split Conditioner | 1.2.1. | გიორგი გაგნიძე  | 3,350.00 GEL | 22.06.2021"/>
        <s v="Gagnidze - Mitsubishi Split Conditioner Instalation | 1.2.1. | გიორგი გაგნიძე  | 500.00 GEL | 22.06.2021"/>
        <s v="Hilton Batumi VRF Service | 1.2.2. | ტურინვესტი  | 12,000.00 GEL | 21.06.2021"/>
        <s v="10 Units Mitsubishi Split Conditioner | 1.2.1. | სოკარ ჯორჯია პეტროლეუმი  | 13,800.00 GEL | 25.06.2021"/>
        <s v="Talakvadze - Mitsubishi Split Conditioner | 1.2.1. | ანა თალაკვაძე  | 3,590.00 GEL | 28.06.2021"/>
        <s v="Bragvadze - Mitsubishi Split Conditioner | 1.2.1. | რუსუდან ბრაგვაძე  | 1,860.00 GEL | 01.07.2021"/>
        <s v="Ioseliani - Mitsubishi Split Conditioner | 1.2.1. | ონისე იოსელიანი  | 3,000.00 GEL | 01.07.2021"/>
        <s v="Machavariani - 3 Units Mitsubishi Split Conditioner | 1.2.1. | დავით მაჭავარიანი  | 4,690.00 GEL | 02.07.2021"/>
        <s v="Green life - 2 Units Mitsubishi Split Conditioner | 1.2.1. | გრინ ლაიფ  | 3,720.00 GEL | 02.07.2021"/>
        <s v="Tavartkiladze - Mitsubishi Split Conditioner | 1.2.1. | ირაკლი თავართქილაძე  | 1,380.00 GEL | 06.07.2021"/>
        <s v="Wendys Compressors | 1.2.1. | ვენჯორჯია  | 6,505.00 USD | 09.07.2021"/>
        <s v="IBIS ORTACHALA MEP + VRF Washing | 1.2.1. | მაქრო ტურიზმ  | 7,575.00 USD | 08.07.2021"/>
        <s v="Tbilisi Central MHI Compressor | 1.2.1. | თბილისი ცენტრალი  | 5,920.00 USD | 12.07.2021"/>
        <s v="ICEBERG | 1.1.1. | აისბერგი 2  | 31,500.00 GEL | 01.05.2021"/>
        <s v="7th Heaven Mockup 2 | 1.2.1. | ეიჩ გრუპ კონსტრაქშენ  | 0.00 GEL | 01.06.2021"/>
        <s v="Inverter Board and Buttons | 1.1.3. | იუნიქს ქონსთრაქშენ კომპანი  | 1,150.00 USD | 13.05.2021"/>
        <s v="Mziuri Office | 1.1.1. | ანაგი  | 62,500.00 USD | 15.07.2021"/>
        <s v="Mziuri Garden | 1.1.1. | მზიური რეზორტ  | 575,281.93 USD | 21.07.2021"/>
        <s v="Tbilisi Central Conditioners system | 1.2.1. | თბილისი ცენტრალი  | 34,060.00 USD | 05.08.2021"/>
        <s v="Lisi Green | 1.1.1. | გრინ დეველოპმენტი  | 55,690.00 USD | 06.08.2021"/>
        <s v="Disabled Platform | 1.1.1. | ჯი თი ჯი კაპიტალი  | 11,800.00 USD | 10.05.2021"/>
        <s v="Carrier AC | 1.2.1. | თბილი სახლი  | 7,600.00 USD | 12.08.2021"/>
        <s v="Akhaltsikhe Compressor | 1.2.1. | თბილი სახლი  | 3,100.00 USD | 03.02.2021"/>
        <s v="Toshiba Outdoor Unit | 1.2.1. | პენსილვანიის (აშშ) საგუშაგო კოშკის, ბიბლიისა და&#10;ტრაქტატების საზოგადოების ფილიალი საქართველოში  | 320.00 USD | 26.08.2021"/>
        <s v="Hilton 1703 | 1.2.1. | ეკატერინა ბერდიშევა  | 2,675.00 USD | 16.08.2021"/>
        <s v="Gogotishvili kaklebi | 1.2.1. | თბილი სახლი  | 8,805.00 USD | 19.08.2021"/>
        <s v="Armenia Project | 1.2.1. | SIGRAM  | 4,681.00 USD | 06.07.2021"/>
        <s v="Supreme Solutions | 1.2.1. | სუპრემე სოლუთიონს  | 2,975.00 USD | 28.09.2021"/>
        <s v="HOTEL IBIS VRV Service | 1.2.3. | მაქრო ტურიზმ  | 2,650.00 USD | 23.07.2021"/>
        <s v="Makhata | 1.1.1. | ანაგი  | 1,158,300.00 USD | 05.10.2021"/>
        <s v="BLC VRF | 1.2.1. | ბიელსი  | 6,890.00 USD | 20.08.2021"/>
        <s v="Jgenti Warehouse | 1.1.1. | ემ ელ სი ლოჯისტიკს  | 29,850.00 USD | 27.09.2021"/>
        <s v="Vake Apartment | 1.2.1. | გიდანი  | 13,930.00 USD | 01.10.2021"/>
        <s v="Anton Voronin -HILTON BATUMI  | 1.2.1. | ანტონ ვორონინი  | 3,505.00 USD | 15.10.2021"/>
        <s v="Batumi Stadium | 1.1.2. | აჭარის პროექტების მართვის კომპანია  | 43,200.00 GEL | 07.10.2021"/>
        <s v="Mshvildosani - Mitsubishi Conditioner | 1.2.1. | მშვილდოსანი  | 1,870.00 GEL | 11.11.2021"/>
        <s v="Shartava 39 | 1.1.2. | ნინო სირბილაძე  | 450.00 GEL | 01.05.2021"/>
        <s v="Kitchen Fan | 1.2.1. | ასოციაცია ატუ  | 22,250.00 EUR | 29.11.2021"/>
        <s v="Khachatrian - Mitsubishi Split Conditioner | 1.2.1. | ტიგრან ხაჩატრიან  | 6,600.00 GEL | 06.12.2021"/>
        <s v="Fans and Dumper | 1.2.1. | ლენოქსი  | 9,500.00 USD | 01.12.2021"/>
        <s v="Premium Group | 1.1.1. | პრემიუმ ჯგუფი  | 400,000.00 USD | 24.12.2021"/>
        <s v="HAVANA CLUB KIFSHIDZE | 1.2.3. | ჰავანა  | 3,000.00 GEL | 10.01.2022"/>
        <s v="Sea Tower | 1.1.1. | ორბი ჯგუფი  | 429,922.00 USD | 07.04.2021"/>
        <s v="MESKHI - 4 Units Mitsubishi Conditioner | 1.2.1. | მაია მესხი  | 9,000.00 GEL | 24.01.2022"/>
        <s v="SARJVELADZE - Multisplit | 1.2.1. | თენგიზ სარჯველაძე  | 5,352.00 USD | 10.06.2021"/>
        <s v="Batumi, Ninoshvilis 23 | 1.1.2. | ბმა ქ. ბათუმი, ნინოშვილის N23ა  | 200.00 USD | 01.01.2022"/>
        <s v="SAKCABELI | 1.2.1. | კაპიტალ გრუპი  | 60,000.00 USD | 22.02.2022"/>
        <s v="Lisi Villa MEP &amp; Smart house | 1.2.1. | ირაკლი ბუხიაშვილი  | 9,140.00 USD | 03.02.2022"/>
        <s v="Galleria Tbilisi - Escalator Handrail rollers | 1.1.3. | გალერია თბილისი  | 660.00 USD | 23.11.2021"/>
        <s v="Orbi City D2 block | 1.1.1. | ორბი ჯგუფი ბათუმი  | 1,161,507.00 USD | 16.12.2021"/>
        <s v="Orbi city D1 block | 1.1.1. | ორბი ჯგუფი ბათუმი  | 1,161,507.82 USD | 16.08.2021"/>
        <s v="Sea Tower Additional | 1.1.1. | ორბი ჯგუფი  | 24,000.00 USD | 20.01.2022"/>
        <s v="Shyposha - Hilton Batumi  Apartment | 1.2.1. | ოლეკსანდრ შიპოშა  | 1,250.00 USD | 24.03.2022"/>
        <s v="Fan Motor | 1.2.1. | კლიმატ ინჟინერინგი  | 870.00 USD | 11.10.2021"/>
        <s v="Lortkipanidze - Mitsubishi Conditioner | 1.2.1. | გიორგი ლორთქიფანიძე  | 1,420.00 GEL | 25.03.2022"/>
        <s v="Alliance Highline | 1.1.1. | ალიანსი თბილისი  | 2,281,058.00 USD | 21.01.2022"/>
        <s v="Kaklebi doors repears | 1.1.3. | გოჩა ჩხაიძე  | 501.00 USD | 23.03.2022"/>
        <s v="Iveshniakov - Conditioner | 1.2.1. | იევგენ ოვეშნიაქოვ  | 4,750.00 GEL | 24.03.2022"/>
        <s v="Supreme Solutions VRV | 1.2.1. | სუპრემე სოლუთიონს  | 1,895.00 USD | 17.12.2021"/>
        <s v="Iakobidze - Mitsubishi Conditioner | 1.2.1. | ილია იაკობიძე  | 7,600.00 GEL | 14.04.2022"/>
        <s v="Samkharadze - 2 Units Mitsubishi Conditioner | 1.2.1. | ბეჟან სამხარაძე  | 6,250.00 GEL | 18.04.2022"/>
        <s v="Inaishvili - 2 Units Mitsubishi Conditioner | 1.2.1. | ჯემალ ინაიშვილი  | 1,280.00 USD | 02.05.2022"/>
        <s v="MOXY HOTEL | 1.1.2. | ჯი-ემ-თი სასტუმროები  | 1.00 USD | 01.05.2019"/>
        <s v="Baratashvili | 1.1.2. | Dar Building  | 250.00 GEL | 01.08.2021"/>
        <s v="Biota Park | 1.1.2. | ანა ფირცხალავა  | 1,500.00 GEL | 01.04.2022"/>
        <s v="Rustavi and Poti Mall | 1.1.2. | მპ დეველოპმენტი  | 1,500.00 GEL | 01.04.2022"/>
        <s v="Poti | 1.1.2. | მპ დეველოპმენტი  | 350.00 GEL | 01.04.2022"/>
        <s v="Archi Isani C | 1.1.2. | პრაიმ არქი  | 900.00 USD | 05.10.2021"/>
        <s v="Archi Isani D Block | 1.1.2. | პრაიმ არქი  | 400.00 USD | 10.05.2022"/>
        <s v="Dighomi | 1.1.2. | თბილი სახლი  | 1.00 GEL | 01.09.2020"/>
        <s v="Mestia | 1.1.2. | თბილი სახლი  | 250.00 GEL | 01.01.2019"/>
        <s v="Janashia | 1.1.2. | თბილი სახლი  | 250.00 GEL | 01.01.2019"/>
        <s v="ORBI CITY C | 1.1.2. | ორბი ჯგუფი ბათუმი  | 225.00 USD | 01.01.2022"/>
        <s v="Chavchavadze 30 | 1.1.2. | კომპანია ჯდჯ  | 1,200.00 GEL | 15.09.2020"/>
        <s v="UNIX MARSEL | 1.1.2. | ფრანგული უბანი ფრანგული უბნის &quot;დ&quot; და &quot;ე&quot; ბლოკების ამხანაგობა  | 1,200.00 GEL | 01.01.2019"/>
        <s v="UNIX IPOLIT IVANOV | 1.1.2. | ფრანგული დასახლების ა-ბ-გ ბლოკების ამხანაგობა  | 1,500.00 GEL | 01.01.2019"/>
        <s v="Gorgiladzis 88a | 1.1.2. | გორგილაძის 88ა  | 900.00 GEL | 01.11.2021"/>
        <s v="Isani Palace | 1.1.2. | ისანი პალასი  | 600.00 GEL | 31.03.2022"/>
        <s v="Jgenti Warehouse | 1.1.2. | ემ ელ სი ლოჯისტიკს  | 1.00 GEL | 01.05.2022"/>
        <s v="Ninotsminda - Mitsubishi Conditioner | 1.2.1. | ნინოწმინდა  | 3,590.00 GEL | 16.05.2022"/>
        <s v="Modus Kakhety HW 2 | 1.1.2. | მოდუსი  | 200.00 GEL | 01.01.2019"/>
        <s v="Batumi Apartaments | 1.3.1. | აი-სი-ი  | 20,000.00 GEL | 01.01.2022"/>
        <s v="Tsikhisdziri | 1.2.1. | დემურ დიასამიძე  | 10,610.00 USD | 20.06.2022"/>
        <s v="Holiday Inn | 1.1.1. | ლაიქ ჰაუსი  | 372,497.00 USD | 10.02.2022"/>
        <s v="Park Home Saburtalo | 1.1.1. | ნუცუბიძე  | 626,280.00 USD | 20.05.2022"/>
        <s v="BLC VRF Service | 1.2.3. | ბიელსი  | 5,000.00 GEL | 03.06.2022"/>
        <s v="Beroshvili - Mitsubishi Split Conditioner | 1.2.1. | ზურაბ ბეროშვილი  | 4,050.00 GEL | 07.06.2022"/>
        <s v="Seturidze - Mitsubishi Conditioner | 1.2.1. | ნიკოლოზ სეთურიძე  | 3,370.00 GEL | 13.06.2022"/>
        <s v="7th sky | 1.1.1. | ეიჩ გრუპ კონსტრაქშენ  | 1,266,280.00 USD | 13.07.2022"/>
        <s v="ALLIANCE HIGHLINES CHILLERS | 1.2.1. | მეპერსი  | 276,034.00 EUR | 15.06.2022"/>
        <s v="Moxy hotel Service | 1.2.3. | ვერგე  | 1,300.00 GEL | 13.07.2022"/>
        <s v="Askaneli Restaurant | 1.2.3. | გრიინ ინვესტ  | 1,500.00 GEL | 11.07.2022"/>
        <s v="Galleria Tbilisi - Escalator Combs | 1.1.3. | გალერია თბილისი  | 2,493.56 GEL | 05.07.2022"/>
        <s v="ATU Conditioners 2 | 1.2.1. | ასოციაცია ატუ  | 6,300.00 GEL | 22.06.2022"/>
        <s v="Okrokana Service | 1.1.2. | გრინ ლაიფ  | 100.00 USD | 01.06.2022"/>
        <s v="Monadirishvili - Mitsubishi Conditioner  | 1.2.1. | შოთა მონადირიშვილი  | 1,380.00 GEL | 06.06.2022"/>
        <s v="Compressor | 1.2.1. | თბილი სახლი  | 8,780.00 USD | 24.05.2022"/>
        <s v="VOYARG ASSY CONTROL | 1.2.1. | ვოიარგ ლიმითედ  | 2,800.00 USD | 27.05.2022"/>
        <s v="Modus Kakhety HW 2 | 1.1.1. | მოდუსი  | 23,000.00 USD | 24.09.2020"/>
        <s v="Shato Mukhrani Filters | 1.2.1. | შატო მუხრანი  | 545.00 USD | 26.07.2022"/>
        <s v="Bagrationi | 1.1.1. | ბაგრატიონი რეზიდენსი  | 413,654.00 USD | 25.06.2022"/>
        <s v="IDC Mitsubishi Conditioner | 1.2.1. | აიდისი  | 2,855.00 GEL | 25.07.2022"/>
        <s v="Alliance Previlige | 1.1.1. | ალიანსი ფრივილიჯი  | 610,990.00 USD | 01.08.2022"/>
        <s v="Batumi Mall | 1.1.1. | გრანდ მოლი  | 1,036,581.96 USD | 05.08.2022"/>
        <s v="Shavteli Street | 1.1.2. | ინდეკო ჰოსფითალითი  | 120.00 USD | 15.08.2022"/>
        <s v="Conditioner Parts | 1.2.1. | თბილისი ცენტრალი  | 25,080.00 USD | 26.07.2022"/>
        <s v="Chiller Compressors | 1.2.1. | თბილისი ცენტრალი  | 28,800.00 EUR | 17.08.2022"/>
        <s v="Toshiba Split | 1.2.1. | გიორგი ნიქაბაძე  | 2,000.00 GEL | 16.07.2022"/>
        <s v="Yoga Center | 1.2.1. | ზენ იოგა სტუდიო  | 35,733.60 USD | 18.10.2022"/>
        <s v="Moxy Hotel Rooftop Service | 1.2.3. | ვერგე  | 2,250.00 GEL | 20.10.2022"/>
        <s v="Mitsubishi VRF System | 1.2.1. | გიორგი კურტანიძე  | 8,600.00 USD | 25.10.2022"/>
        <s v="8 Units Elevator Service | 1.1.3. | დომუს სერვისი  | 1,000.00 GEL | 24.10.2022"/>
        <s v="V-JEO Restaurant Platform | 1.1.1. | ვ-ჯეო რესტორნები  | 12,000.00 USD | 26.10.2022"/>
        <s v="Saturday Mode | 1.1.3. | გოლდენ გრუპ  | 3,900.00 GEL | 01.10.2022"/>
        <s v="White square | 1.1.1. | მეპერსი  | 1,000,000.00 USD | 05.11.2022"/>
        <s v="Goderdzi Hotel AHU | 1.2.1. | თი ელ ქონსთრაქშენ  | 71,023.91 EUR | 27.08.2022"/>
        <s v="Churkveidze - 2 Units Conditioner | 1.2.1. | თამილა ჭურკვეიძე  | 5,140.00 GEL | 17.11.2022"/>
        <s v="1TV | 1.1.1. | თბილი სახლი  | 199,940.00 USD | 01.11.2022"/>
        <s v="Diesel Generator Service | 1.2.3. | თემურ უსტიაშვილი  | 1,076.20 GEL | 25.10.2022"/>
        <s v="Cooling Tower Belts | 1.2.1. | თბილისი სითი  | 12,060.00 USD | 07.11.2022"/>
        <s v="Macdonalds Orkhevi | 1.2.2. | თბილი სახლი  | 944.00 GEL | 01.10.2022"/>
        <s v="Macdonalds Isani | 1.2.2. | თბილი სახლი  | 944.00 GEL | 01.11.2022"/>
        <s v="Gold Market | 1.2.1. | თბილისი ცენტრალი  | 218,060.00 USD | 27.10.2022"/>
        <s v="SAKCABELI - Fan | 1.2.2. | ლენოქსი  | 12,850.00 GEL | 30.09.2022"/>
        <s v="IBRAHIM GRILS | 1.2.1. | იბრაიმ შალიკაძე  | 22,740.00 USD | 24.11.2022"/>
        <s v="Philip Morries Elevator Repair | 1.1.3. | ჯი-ემ-თი სასტუმროები  | 2,400.00 GEL | 18.11.2022"/>
        <s v="TBC Chillers | 1.2.1. | DT MUHENDISLIK VE TAAHHUT A.S.  | 465,028.00 USD | 22.12.2022"/>
        <s v="TBC Refregerant | 1.2.1. | დნთ ქონსთრაქშენ  | 12,390.00 USD | 22.12.2022"/>
        <s v="TBC Fancoils | 1.2.1. | DT MUHENDISLIK VE TAAHHUT A.S.  | 281,128.00 EUR | 22.12.2022"/>
        <s v="TBC AHU | 1.2.1. | დნთ ქონსთრაქშენ  | 313,042.00 EUR | 22.12.2022"/>
        <s v="Kvareli Elevators | 1.1.1. | ინდეკო  | 291,990.00 USD | 01.11.2022"/>
        <s v="Kvareli VRV | 1.2.1. | ინდეკო სი ემ   | 254,269.84 USD | 01.11.2022"/>
        <s v="Kvareli AHU | 1.2.1. | ინდეკო სი ემ   | 109,707.00 EUR | 01.11.2022"/>
        <s v="Chato di Vere | 1.1.1. | შატო დე ვერე  | 28,300.00 USD | 10.12.2022"/>
        <s v="Askaneli Kvareli | 1.1.1. | ასკანელი ვაინერი &amp; დისტილერი  | 139,500.00 USD | 01.12.2022"/>
        <s v="Watch Tower | 1.2.1. | იეჰოვას მოწმეთა ქრისტიანული კრება საქართველოში  | 13,090.00 USD | 23.12.2022"/>
        <s v="Gori Mall | 1.1.1. | მპ დეველოპმენტი  | 125,000.00 USD | 30.12.2022"/>
        <s v="Motor DC | 1.2.1. | სითი სისტემს  | 1,250.00 USD | 18.01.2023"/>
        <s v="Fan Motor - City System | 1.2.1. | სითი სისტემს  | 1,250.00 USD | 18.01.2023"/>
        <s v="Beauty Life | 1.2.1. | Beauty Life  | 9,330.00 USD | 20.01.2023"/>
        <s v="ELT BUILDING | 1.1.1. | ელთ ბილდინგი  | 328,000.00 USD | 24.01.2022"/>
        <s v="Iumashev Stock | 1.1.1. | აი-სი-ი  | 0.00 GEL | 01.01.2001"/>
        <s v="Dar Building Doors | 1.1.1. | Dar Building  | 17,845.00 GEL | 27.01.2023"/>
        <s v="Macdonalds Ortachala Rooftop System | 1.2.3. | თბილი სახლი  | 2,500.00 GEL | 19.12.2022"/>
        <s v="Moxy Hotel Service 2023 | 1.2.3. | ვერგე  | 1,300.00 GEL | 23.01.2023"/>
        <s v="Chavchavadze Stock | 1.3.1. | აი-სი-ი  | 0.00 GEL | 01.01.2000"/>
        <s v="Batumi Office Stock | 1.3.1. | აი-სი-ი  | 0.00 GEL | 01.01.2000"/>
        <s v="Didi dighomi LOP | 1.2.3. | გიორგი ჩხიკვიშვილი  | 268.00 USD | 26.01.2023"/>
        <s v="Didi dighomi LOP | 1.1.3. | თბილი სახლი  | 230.00 USD | 26.01.2023"/>
        <s v="Gas Co | 1.1.1. | მეპერსი  | 100,000.00 USD | 01.02.2022"/>
        <s v="Kostia Armenia Elmagan | 1.2.1. | ELL‐GA‐MAN  | 12,050.75 USD | 18.01.2023"/>
        <s v="Elevator Rope | 1.1.3. | გალერია ჰოტელ მენეჯმენტი  | 2,350.00 USD | 14.12.2022"/>
        <s v="Waikiki Flo | 1.2.3. | თბილისი ცენტრალი  | 84,897.50 USD | 02.02.2023"/>
        <s v="Macdonalds Orkhevi Rooftop System | 1.2.3. | თბილი სახლი  | 2,500.00 GEL | 22.09.2022"/>
        <s v="Beauty Life MEP | 1.2.1. | Beauty Life  | 9,330.00 USD | 20.01.2022"/>
        <s v="Beauty Life MEP Installation | 1.2.1. | Beauty Life  | 3,200.00 GEL | 07.02.2023"/>
        <s v="Heat Pumps | 1.2.1. | სუპრემე სოლუთიონს  | 3,700.00 USD | 02.11.2022"/>
        <s v="Ceiling Cassette Type &amp; Remote Control | 1.2.1. | სუპრემე სოლუთიონს  | 2,250.00 USD | 21.12.2022"/>
        <s v="Alliance Chiller Repair | 1.2.1. | მეპერსი  | 7,830.00 USD | 15.02.2023"/>
        <s v="Meppers Casino | 1.2.1. | მეპერსი  | 2,585.80 GEL | 15.02.2023"/>
        <s v="Galeria Panoramic Buttons | 1.1.3. | გალერია თბილისი  | 1,500.00 USD | 20.02.2023"/>
        <s v="Cooling Tower Pomp | 1.2.1. | თბილისი სითი  | 37,410.00 EUR | 16.02.2023"/>
        <s v="H&amp;M | 1.2.1. | თბილი სახლი  | 1,610.00 USD | 21.02.2023"/>
        <s v="Moxy Compressor | 1.2.1. | ჯი-ემ-თი მთაწმინდა  | 7,600.00 EUR | 28.02.2023"/>
        <s v="Darchidze Home | 1.1.1. | Dar Building  | 31,760.00 USD | 16.09.2021"/>
        <s v="Afisha | 1.1.1. | მელიქიშვილი ინნ  | 188,560.00 USD | 13.03.2023"/>
        <s v="Barnovi | 1.1.1. | პრემიუმ დეველოპმენტ კომპანი  | 42,000.00 USD | 13.03.2023"/>
        <s v="Calligraphy Hilton | 1.1.1. | გრანდ მაისონ  | 210,000.00 USD | 27.12.2022"/>
        <s v="Gumbati Boulevard Point | 1.1.1. | ბულვარ ფოინთ  | 238,490.00 USD | 27.02.2023"/>
        <s v="Batteries | 1.1.3. | სფერა  | 520.00 GEL | 16.03.2023"/>
        <s v="Central Office | 1.2.1. | თბილისი ცენტრალი  | 364,528.00 USD | 28.03.2023"/>
        <s v="McDonalds Tsereteli | 1.2.1. | თბილი სახლი  | 2,500.00 GEL | 05.04.2023"/>
        <s v="DRS AHU | 1.2.1. | დრს ინტერნეიშენალ  | 14,300.00 EUR | 27.12.2022"/>
        <s v="1TV Fireboxes | 1.2.1. | თბილი სახლი  | 54,875.00 USD | 01.03.2023"/>
        <s v="Batumi office rental | 1.3.2. | კაზა დი ბათუმი  | 500.00 GEL | 14.08.2020"/>
        <s v="Digomi Elevator Service | 1.1.2. | გიორგი ჩხიკვიშვილი  | 400.00 GEL | 01.01.2023"/>
        <s v="Unix Lop &amp; Display  | 1.1.1. | იუნიქს ქონსთრაქშენ კომპანი  | 400.00 USD | 18.08.2021"/>
        <s v="Lisi Green Apartaments | 1.1.1. | გრინ დეველოპმენტი  | 62,400.00 USD | 01.04.2023"/>
        <s v="Chkonia Elevator | 1.1.1. | სახლი ძველ ბათუმში  | 38,160.00 USD | 01.04.2023"/>
        <s v="HGI DOOR | 1.2.1. | მეპერსი  | 413.00 USD | 19.04.2023"/>
        <s v="Calligraphy Hilton 2 | 1.1.1. | გრანდ მაისონ  | 255,000.00 USD | 01.03.2023"/>
        <s v="Park Home Vake Galleria Elevator | 1.1.1. | ანაგი დეველოპმენტი 1  | 33,810.00 USD | 21.04.2023"/>
        <s v="Surmanidzeebi | 1.1.1. | სამშენებლო კომპანია სურმანიძეები  | 305,000.00 USD | 28.03.2023"/>
        <s v="Honda Civic | 1.3.1. | ზვიად ჯორბენაძე  | 5,300.00 GEL | 08.02.2023"/>
        <s v="Dar Building Additional floors | 1.1.1. | Dar Building  | 12,340.00 USD | 21.11.2022"/>
        <s v="Multisplits PHS | 1.2.1. | ნუცუბიძე  | 387,000.00 USD | 01.05.2023"/>
        <s v="Vake Sewage | 1.2.3. | ინდეკო სი ემ   | 81,108.00 GEL | 11.05.2023"/>
        <s v="Multisplit | 1.2.1. | ელენა მამმადოვა  | 5,565.00 USD | 01.05.2023"/>
        <s v="Multisplit | 1.2.1. | დავით ნიკოლეიშვილი  | 7,675.00 USD | 19.05.2023"/>
        <s v="Radius Hotel | 1.2.3. | თბილი სახლი  | 800.00 GEL | 18.05.2023"/>
        <s v="IBIS Airport | 1.1.1. | ფუჯინ სილქ ფროფერთის  | 102,560.00 USD | 17.05.2023"/>
        <s v="MHI Control Module | 1.2.1. | მეპერსი  | 2,260.00 USD | 22.05.2023"/>
        <s v="Paco | 1.2.1. | აიემდი  | 51,640.00 USD | 06.06.2023"/>
        <s v="Summit | 1.1.1. | სამიტი ქონსთრაქშენ  | 48,750.00 USD | 14.06.2023"/>
        <s v="Kontakt Home | 1.2.1. | თბილისი ცენტრალი  | 25,952.64 GEL | 22.06.2023"/>
        <s v="Vake Fire Fighting | 1.2.1. | ანაგი დეველოპმენტი 1  | 240,000.00 USD | 01.06.2023"/>
        <s v="Vake VRV | 1.2.1. | ინდეკო სი ემ   | 188,915.32 USD | 01.06.2023"/>
        <s v="Founder Home | 1.2.1. | არგო გრუპ ჯორჯია  | 7,000.00 USD | 16.05.2023"/>
        <s v="Havana Club Mziuri | 1.2.1. | გამა  | 18,884.00 USD | 01.06.2023"/>
        <s v="BLC Service | 1.2.3. | ბიელსი  | 500.00 GEL | 27.06.2023"/>
        <s v="Park Home Vake | 1.1.1. | ანაგი დეველოპმენტი 1  | 246,098.60 USD | 22.06.2023"/>
        <s v="Shartava | 1.1.1. | მეპერსი  | 50,000.00 USD | 01.07.2023"/>
        <s v="Barnovi | 1.1.1. | პრემიუმ დეველოპმენტ კომპანი  | 43,500.00 USD | 03.07.2023"/>
        <s v="Digomi trade center | 1.1.1. | ავტოტრანსპორტი 91  | 34,270.00 USD | 17.07.2023"/>
        <s v="Hilton Batumi VTF System Parts | 1.2.1. | ტურინვესტი  | 7,890.00 USD | 14.07.2023"/>
        <s v="Kvareli Pool AHU | 1.2.1. | ინდეკო სი ემ   | 33,755.00 EUR | 03.08.2023"/>
        <s v="Batumi Restaurant Promech | 1.2.1. | პრომეჩი  | 13,035.00 USD | 20.07.2023"/>
        <s v="Central Compressors 2023 | 1.2.1. | თბილისი ცენტრალი  | 51,447.00 USD | 07.08.2023"/>
        <s v="Escalator PCB | 1.1.3. | გალერია თბილისი  | 540.00 USD | 22.03.2023"/>
        <s v="Park Home Mziuri Rooftop | 1.2.1. | თბილი სახლი  | 25,200.00 EUR | 14.08.2023"/>
        <s v="Ramishvili VRF Instalation | 1.2.1. | ინდეკო სი ემ   | 57,722.90 USD | 16.08.2023"/>
        <s v="Amera Bank 3 | 1.2.1. | SCHERCO TRADING AG  | 3,630.00 USD | 09.08.2023"/>
        <s v="Nutsubidze | 1.1.1. | სფერა  | 549,980.00 USD | 11.08.2023"/>
        <s v="Orbi C block reprograming | 1.1.1. | ორბი ჯგუფი  | 10,500.00 USD | 20.04.2023"/>
        <s v="Orbi D1 block reprograming | 1.1.1. | ორბი ჯგუფი ბათუმი  | 15,750.00 USD | 11.05.2023"/>
        <s v="Rehab VRF | 1.2.1. | სანა მენტე  | 48,825.00 USD | 11.07.2023"/>
        <s v="Rehab VRF Installation | 1.2.1. | სანა მენტე  | 23,580.00 USD | 12.07.2023"/>
        <s v="Kalamian - Mitsubishi Conditioner | 1.2.1. | ფეიმანე ქალამიან  | 2,870.00 GEL | 17.08.2023"/>
        <s v="Rehab Elevators | 1.1.1. | სანა მენტე  | 22,490.00 USD | 12.07.2023"/>
        <s v="MHI Products | 1.2.1. | ბერკეტი-დიზაინი  | 12,436.00 USD | 25.08.2023"/>
        <s v="Doors change | 1.1.3. | მზიური რეზორტ  | 480.00 USD | 29.08.2023"/>
        <s v="Rehab Sewage | 1.2.3. | სანა მენტე  | 158,713.00 GEL | 01.07.2023"/>
        <s v="2 Units Mitsubishi Conditioner | 1.2.1. | მასტერ ოქეი  | 5,470.00 GEL | 05.09.2023"/>
        <s v="Ford Center Compressor Control Board | 1.2.1. | თბილი სახლი  | 1,350.00 USD | 30.08.2023"/>
        <s v="Palm Apartments | 1.1.1. | პალმ აპარტამენტი  | 51,000.00 USD | 11.07.2023"/>
        <s v="Gumbati Apart Kvariati | 1.1.1. | გუმბათი აპარტი კვარიათი  | 126,000.00 USD | 04.08.2023"/>
        <s v="P4 P5 Elevator Sensor | 1.1.3. | Dar Building  | 240.00 USD | 13.09.2023"/>
        <s v="Building elevator spareparts | 1.1.3. | ნუცუბიძე  | 4,882.90 USD | 01.09.2023"/>
        <s v="Batumi McDonald's Rooftop | 1.1.3. | თბილი სახლი  | 980.00 GEL | 18.09.2023"/>
        <s v="Kvareli Mockup | 1.2.1. | ინდეკო სი ემ   | 2,755.00 USD | 13.12.2022"/>
        <s v="Kvareli VRF FILTER Installation | 1.2.1. | ინდეკო სი ემ   | 2,877.00 GEL | 18.05.2023"/>
        <s v="Batumi Multisplits Instalation | 1.2.3. | თენგიზ სარჯველაძე  | 5,000.00 GEL | 27.09.2023"/>
        <s v="Rooftop Parts | 1.2.1. | ჯი-ემ-თი მთაწმინდა  | 5,285.00 EUR | 17.11.2022"/>
        <s v="VRF Materials | 1.2.1. | სანა მენტე  | 56,076.60 GEL | 01.09.2023"/>
        <s v="Dighomi 2B | 1.1.2. | დიღომი 2ბ სერვისი  | 300.00 USD | 01.08.2023"/>
        <s v="Dighomi 2B Push Button | 1.1.3. | დიღომი 2ბ სერვისი  | 130.00 USD | 12.09.2023"/>
        <s v="Vehicle TOYOTA 2014 | 1.3.1. | გიორგი ბახტაძე  | 69,385.00 GEL | 01.11.2022"/>
        <s v="McDonalds Marjanishvili Rooftop | 1.2.1. | თბილი სახლი  | 82,990.00 EUR | 08.06.2023"/>
        <s v="Kvareli VRV Installation | 1.2.1. | ინდეკო სი ემ   | 100,000.00 USD | 01.03.2023"/>
        <s v="Kvareli Additional VRF Installation | 1.2.1. | ინდეკო სი ემ   | 8,591.00 USD | 11.10.2023"/>
        <s v="ვრფ სისტემის დიაგნოსტიკა ინვ#-03/10 | 1.2.3. | აიდისი  | 800.00 GEL | 01.10.2023"/>
        <s v="Batumi Stock | 1.1.1. | აი-სი-ი  | 0.00 GEL | 01.10.2023"/>
        <s v="Lisi Development 1 UNIT | 1.1.1. | მეპერსი  | 1,500.00 USD | 26.10.2023"/>
        <s v="Deka Digomi | 1.1.1. | დეკა დიდი დიღომი  | 58,400.00 USD | 11.10.2023"/>
        <s v="Car Platform | 1.1.1. | ანაგი დეველოპმენტი 1  | 14,350.00 EUR | 01.07.2023"/>
        <s v="Areali | 1.1.1. | არეალი  | 84,400.00 USD | 01.09.2023"/>
        <s v="Kvareli FF Pump | 1.2.1. | ინდეკო სი ემ   | 51,668.00 USD | 13.11.2023"/>
        <s v="Ramishvili Toshiba Installation | 1.2.3. | ინდეკო სი ემ   | 45,000.00 GEL | 01.01.2024"/>
        <s v="Ramishvili Toshiba Ventilation Equipment | 1.2.1. | ინდეკო სი ემ   | 45,968.00 USD | 01.11.2023"/>
        <s v="Kvareli Additional VRV Controllers | 1.2.1. | ინდეკო სი ემ   | 15,120.00 USD | 04.10.2023"/>
        <s v="Kvareli Dammaged Indoor 2 Units | 1.2.1. | ინდეკო სი ემ   | 1,320.00 USD | 04.10.2023"/>
        <s v="VRF Service | 1.2.3. | ბერკეტი-დიზაინი  | 1,500.00 GEL | 01.11.2023"/>
        <s v="Bagrationi Avenue | 1.1.1. | ავენიუ ბაი ორბი  | 2,230,000.00 USD | 01.11.2023"/>
        <s v="Radisson Batumi Reabilitation | 1.1.3. | არგო მენეჯმენტი   | 50,000.00 USD | 01.10.2023"/>
        <s v="B Block Divider Materials | 1.1.4. | ეიჩ გრუპ კონსტრაქშენ  | 24,320.00 GEL | 04.10.2023"/>
        <s v="Reinstallation | 1.2.3. | ტელეგრაფი  | 2,970.00 GEL | 01.10.2023"/>
        <s v="Zurab Margvelashvili | 1.2.1. | თბილი სახლი  | 13,310.00 USD | 01.11.2023"/>
        <s v="Khabazi Kobuleti | 1.1.1. | ვახტანგი ხაბაზი  | 29,700.00 USD | 04.12.2023"/>
        <s v="Kvareli Sprinklers | 1.2.1. | ინდეკო სი ემ   | 10,339.00 EUR | 04.10.2023"/>
        <s v="Kvareli Fire Valve | 1.2.1. | ინდეკო სი ემ   | 0.00 EUR | 04.10.2023"/>
        <s v="Ramishvili Firefighting | 1.2.1. | ინდეკო სი ემ   | 219,593.00 USD | 01.12.2023"/>
        <s v="Ramishvili Ventilation | 1.2.1. | ინდეკო სი ემ   | 183,367.50 USD | 01.12.2023"/>
        <s v="VRF Repair | 1.2.3. | აიდისი  | 1,700.00 GEL | 07.12.2023"/>
        <s v="Saakadze McDonalds Rooftops lounching | 1.2.2. | თბილი სახლი  | 2,500.00 GEL | 01.12.2023"/>
        <s v="Kuwait Villa | 1.1.1. | იორკ ჰოლდინგ გრუპი  | 25,990.00 USD | 01.10.2023"/>
        <s v="Laboratoria | 1.2.1. | DIAGNOSTICA MEDICAL CORPORATION  | 102,052.00 USD | 27.06.2023"/>
        <s v="Laboratoria2 | 1.2.1. | Svogan LLC  | 79,428.00 USD | 12.04.2023"/>
        <s v="Kaklebi | 1.1.1. | ევროპროდუქტი  | 27,000.00 USD | 03.04.2023"/>
        <s v="Kaklebi | 1.1.2. | ევროპროდუქტი  | 100.00 USD | 29.11.2023"/>
        <s v="Pirosmani King Solomon | 1.1.2. | გოლდენ გრუპ  | 300.00 USD | 16.06.2023"/>
        <s v="Sunrise Shartava | 1.1.2. | სანრაიზ დეველოპმენტი  | 600.00 USD | 01.10.2023"/>
        <s v="Parnavaz mepis 26 | 1.1.2. | დიღომი 2ბ სერვისი  | 300.00 USD | 01.08.2023"/>
        <s v="Aleqseevka | 1.1.2. | ემ ელ სი ლოჯისტიკს  | 300.00 GEL | 01.09.2023"/>
        <s v="Arqi mindeli | 1.1.2. | არქი საბურთალო  | 100.00 USD | 01.12.2021"/>
        <s v="Marriots | 1.1.2. | ჯი ემ თი  | 300.00 USD | 01.01.2024"/>
        <s v="Akhvlediani 22 | 1.1.2. | შ.პ.ს ბეტა ჰოთელს  | 400.00 USD | 01.10.2022"/>
        <s v="Varazis 42 | 1.1.2. | კონსტანტინე ესაძე  | 100.00 USD | 06.12.2023"/>
        <s v="Tskneti 51 | 1.1.2. | ეკატერინე ელისაბედაშვილი  | 600.00 GEL | 01.05.2023"/>
        <s v="Okroyana | 1.1.2. | გრინლაიფ რეზიდენსი  | 200.00 GEL | 01.09.2023"/>
        <s v="radisson telegraph chileers | 1.2.1. | DT MUHENDISLIK VE TAAHHUT A.S.  | 311,588.02 EUR | 07.12.2023"/>
        <s v="radisson telegraph FCU | 1.2.1. | DT MUHENDISLIK VE TAAHHUT A.S.  | 175,247.00 EUR | 07.12.2023"/>
        <s v="mms group poti | 1.1.1. | მმს გრუპ  | 22,830.00 USD | 02.08.2023"/>
        <s v="Kvareli Residence | 1.1.1. | მეპერსი  | 2,000.00 USD | 01.12.2023"/>
        <s v="Refugee Tbilisi | 1.1.1. | ანაგი  | 616,940.00 USD | 01.12.2023"/>
        <s v="GRG VRF Lounching abashidze | 1.2.3. | თბილი სახლი  | 1,600.00 GEL | 26.12.2023"/>
        <s v="VRV Service | 1.2.2. | საქკაბელი  | 2,800.00 USD | 26.12.2023"/>
        <s v="PCB | 1.1.3. | 1920  | 675.00 USD | 01.12.2023"/>
        <s v="PCB | 1.1.3. | ეიჩ ენდ ემ ჰენეს ენდ მაურიც ჯორჯია  | 1,000.00 USD | 01.12.2023"/>
        <s v="Central Thermal Curtains | 1.2.1. | თბილისი ცენტრალი  | 9,332.60 GEL | 26.12.2023"/>
        <s v="Kvareli 3 units PFD Box | 1.2.1. | ინდეკო სი ემ   | 1,875.00 USD | 18.01.2024"/>
        <s v="Ramishvili Toshiba Installation Materials | 1.2.1. | ინდეკო სი ემ   | 26,817.00 GEL | 18.01.2024"/>
        <s v="MTZ | 1.1.1. | მტზ კომპანი  | 323,200.00 USD | 01.10.2023"/>
        <s v="Roomix Tsintsadze | 1.1.1. | ლაქი ქონსთრაქშენ  | 200,000.00 USD | 05.02.2024"/>
        <s v="MHI KZ 1 | 1.2.1. | EurAsia Klimat LLC  | 118,273.05 USD | 12.02.2024"/>
        <s v="Basis Bank | 1.1.1. | მეპერსი  | 5,000.00 USD | 01.02.2024"/>
        <s v="European School | 1.1.1. | თბილი სახლი  | 200,000.00 USD | 01.02.2024"/>
        <s v="Tbilisi Office | 1.1.1. | ორბი ჯგუფი ბათუმი  | 25,910.00 USD | 29.11.2024"/>
        <s v="Rehab Sewage Materials | 1.2.1. | სანა მენტე  | 122,329.89 GEL | 01.10.2023"/>
        <s v="Marjanishvili McDonalds rooftop lounch | 1.2.3. | თბილი სახლი  | 1,250.00 GEL | 01.02.2024"/>
        <s v="Rehab Elevator Service | 1.1.2. | სანა მენტე  | 300.00 GEL | 05.02.2024"/>
        <s v="Mardi Hills | 1.1.1. | მარდი ჰილსი  | 130,000.00 USD | 21.02.2024"/>
        <s v="Arsenal | 1.1.1. | არსენალ რეზიდენსი  | 195,270.00 USD | 07.03.2024"/>
        <s v="GAS CO Additional | 1.1.1. | მეპერსი  | 2,000.00 GEL | 01.03.2024"/>
        <s v="Porta Tower | 1.2.1. | როტა  | 110,000.00 USD | 05.03.2024"/>
        <s v="Shalva Nutsubidze | 1.1.1. | პროპერთი ინვესტ გრუპ  | 100,000.00 USD | 01.03.2024"/>
        <s v="Grande Krtsanisi | 1.1.1. | გრანდე ჯგუფი  | 97,800.00 GEL | 01.01.2024"/>
        <s v="Gumbati Port Line | 1.1.1. | სქაი ბათუმი  | 191,360.00 USD | 04.08.2023"/>
        <s v="Alliance Highline FCU | 1.2.1. | დრს ინტერნეიშენალ  | 83,274.00 EUR | 11.10.2023"/>
        <s v="Alliance Highline Thermostat | 1.2.1. | დრს ინტერნეიშენალ  | 22,000.00 USD | 01.03.2024"/>
        <s v="MHI Products | 1.2.1. | ბესიკ ბერიძე  | 7,370.00 USD | 06.11.2023"/>
        <s v="Shatberashvili 45 | 1.1.1. | შატბერაშვილის 45  | 45,150.00 USD | 29.03.2024"/>
        <s v="Bochorma | 1.1.1. | ანაგი დეველოპმენტი 1  | 120,000.00 USD | 01.02.2024"/>
        <s v="Archi Jikia | 1.1.2. | საბურთალო ც სერვისი  | 200.00 USD | 01.10.2023"/>
        <s v="Archi Isani C1 | 1.1.2. | ისანი ც სერვისი 1  | 300.00 USD | 01.01.2024"/>
        <s v="Archi Isani C2 | 1.1.2. | ისანი ც სერვისი 2  | 300.00 USD | 01.01.2024"/>
        <s v="Archi Isani C3 | 1.1.2. | ისანი ც სერვისი 3  | 300.00 USD | 01.01.2024"/>
        <s v="Archi Isani D1 | 1.1.2. | ისანი დ სერვისი 1  | 200.00 USD | 01.01.2024"/>
        <s v="Archi Isani D2 | 1.1.2. | ისანი დ სერვისი 2  | 200.00 USD | 01.01.2024"/>
        <s v="IBIS Perov | 1.1.2. | ბეტა ჰოთელს  | 400.00 USD | 01.10.2022"/>
        <s v="Baratashvili 24 DAR Building | 1.1.2. | ამხანაგობა ბარათაშვილი 24  | 500.00 GEL | 01.08.2022"/>
        <s v="Epic Mziuri | 1.1.2. | ირაკლი კირცხალია  | 250.00 GEL | 01.09.2022"/>
        <s v="CASA DI BATUMI | 1.1.1. | კაზა დი ბათუმი  | 179,560.00 USD | 28.06.2023"/>
        <s v="Grand Mall Batumi | 1.1.2. | გრანდ მოლი  | 3,955.00 USD | 01.10.2023"/>
        <s v="Afisha Service | 1.1.2. | მელიქიშვილი ინნ  | 500.00 USD | 01.01.2024"/>
        <s v="1 TV Service | 1.1.2. | თბილი სახლი  | 960.00 USD | 01.01.2024"/>
        <s v="7th Sky Service | 1.1.2. | ეიჩ გრუპ კონსტრაქშენ  | 480.00 USD | 01.01.2024"/>
        <s v="Alliance Highline Service | 1.1.2. | ალიანსი თბილისი  | 1,560.00 USD | 01.01.2024"/>
        <s v="Installation | 1.2.3. | ჯორჯიან გოლდ ინვესტ  | 2,990.00 GEL | 24.03.2024"/>
        <s v="Alliance Previlige | 1.1.2. | ალიანსი ფრივილიჯი  | 1,770.00 USD | 01.01.2024"/>
        <s v="Alliance Pevilige Service | 1.1.2. | ალიანსი ფრივილიჯი  | 1,770.00 USD | 01.01.2024"/>
        <s v="Askaneli Kvareli Service | 1.1.2. | ასკანელი ვაინერი &amp; დისტილერი  | 531.00 USD | 01.01.2024"/>
        <s v="Bagrationi Residence Service | 1.1.2. | ბაგრატიონი რეზიდენსი  | 531.00 USD | 01.01.2024"/>
        <s v="Barnovi Service | 1.1.2. | პრემიუმ დეველოპმენტ კომპანი  | 118.00 USD | 01.01.2024"/>
        <s v="Caligraph Hilton Service | 1.1.2. | გრანდ მაისონ  | 1,203.60 USD | 01.01.2024"/>
        <s v="Chateau Di Vere | 1.1.2. | შატო დე ვერე  | 100.00 USD | 01.01.2024"/>
        <s v="ELT Building Service | 1.1.2. | ელთ ბილდინგი  | 500.00 USD | 01.01.2024"/>
        <s v="Mziuri Office Service | 1.1.2. | ბი ეს არ-სი დი ჯი დეველოპმენტი  | 120.00 USD | 01.01.2024"/>
        <s v="Gori Mall Service | 1.1.2. | მპ დეველოპმენტი  | 600.00 USD | 01.01.2024"/>
        <s v="Gumbati Boulevard Point | 1.1.2. | ბულვარ ფოინთ  | 675.00 USD | 01.01.2024"/>
        <s v="Gumbati Apart Kvariati | 1.1.2. | გუმბათი აპარტი კვარიათი  | 450.00 USD | 01.01.2024"/>
        <s v="Gumbati Port Line | 1.1.2. | სქაი ბათუმი  | 450.00 USD | 01.01.2024"/>
        <s v="IBIS Airport Service | 1.1.2. | ფუჯინ სილქ ფროფერთის  | 360.00 USD | 01.01.2024"/>
        <s v="Kvareli Elevators Service | 1.1.2. | ინდეკო ჰოსფითალითი  | 1,350.00 USD | 01.01.2024"/>
        <s v="Medlog Poti | 1.1.2. | მედლოგ ფოთი  | 118.00 USD | 01.01.2024"/>
        <s v="Mziuri Gardens Service | 1.1.2. | მზიური რეზორტ  | 1,440.00 USD | 01.01.2024"/>
        <s v="D1 Block Service | 1.1.2. | ორბი ჯგუფი ბათუმი  | 1,858.50 USD | 01.01.2024"/>
        <s v="D2 Block Service | 1.1.2. | ორბი ჯგუფი ბათუმი  | 1,858.50 USD | 01.01.2024"/>
        <s v="Park Home Saburtalo Service | 1.1.2. | ნუცუბიძე  | 885.00 USD | 01.01.2024"/>
        <s v="Shartava Meppers | 1.1.2. | Budget Dummy  | 1,000.00 USD | 01.01.2024"/>
        <s v="Summit | 1.1.2. | სამიტი ქონსთრაქშენ  | 200.00 USD | 01.01.2024"/>
        <s v="Surmanidzeebi | 1.1.2. | სამშენებლო კომპანია სურმანიძეები  | 708.00 USD | 01.01.2024"/>
        <s v="Palm Apartments Service | 1.1.2. | პალმ აპარტამენტი  | 177.00 USD | 01.01.2024"/>
        <s v="Radisson Batumi Services | 1.1.2. | არგო მენეჯმენტი  | 2,478.00 USD | 01.01.2024"/>
        <s v="Admiral Batumi Service | 1.1.2. | ინდეკო  | 120.00 USD | 01.01.2024"/>
        <s v="Epic Bagebi | 1.1.2. | ბაგები 2022  | 250.00 GEL | 01.01.2024"/>
        <s v="Digomi Trade Center | 1.1.2. | ავტოტრანსპორტი 91  | 300.00 USD | 01.01.2024"/>
        <s v="Krtsanisi Villa Residence Meppers | 1.1.1. | მეპერსი  | 40,000.00 USD | 01.01.2024"/>
        <s v="Krtsanisi Villa Residence Meppers | 1.1.2. | მეპერსი  | 1,200.00 USD | 01.01.2024"/>
        <s v="Admiral design | 1.2.3. | ინდეკო სი ემ   | 9,300.00 USD | 01.05.2024"/>
        <s v="Admiral Generator Transport | 1.2.3. | ინდეკო სი ემ   | 2,200.00 GEL | 01.05.2024"/>
        <s v="Compressor Repair | 1.2.3. | Beauty Life  | 1,600.00 GEL | 01.05.2024"/>
        <s v="Admiral | 1.2.3. | ინდეკო სი ემ   | 444,536.20 USD | 01.05.2024"/>
        <s v="Ramishvili VRV Outdoor Units Transport  | 1.2.3. | ინდეკო სი ემ   | 20,344.29 GEL | 14.05.2024"/>
        <s v="Porta Apartments 4003 | 1.2.1. | ბურაქ ქონსტრაქშენ   | 14,591.00 USD | 20.05.2024"/>
        <s v="Porta Apartments 2906 | 1.2.1. | ბურაქ ქონსტრაქშენ   | 9,407.00 USD | 20.05.2024"/>
        <s v="Roomix Unloading | 1.1.3. | ლაქი ქონსთრაქშენ  | 1,800.00 GEL | 05.06.2024"/>
        <s v="Rope Change | 1.1.3. | დომუს სერვისი  | 2,000.00 GEL | 01.04.2024"/>
        <s v="MHI Conditioners | 1.2.1. | ნუგზარ წერეთელი  | 3,990.00 USD | 13.06.2024"/>
        <s v="Dry Port Elevator | 1.1.1. | თბილისი დრაი პორტი  | 25,100.00 USD | 01.04.2024"/>
        <s v="Dry Port HVAC | 1.2.1. | თბილისი დრაი პორტი  | 491,903.93 USD | 01.04.2024"/>
        <s v="New Time | 1.1.2. | სასტუმრო აქვა ბათუმი  | 1,000.00 GEL | 01.01.2024"/>
        <s v="Deka Verona | 1.1.1. | დეკა ვერონა  | 103,910.00 USD | 01.06.2024"/>
        <s v="Simetria Lisi 1 Unit | 1.1.1. | მეპერსი  | 2,000.00 USD | 01.06.2024"/>
        <s v="KINGS GARDEN 1 UNIT | 1.2.1. | აპოლო გ.ს.  | 7,715.00 USD | 02.07.2024"/>
        <s v="Chakhrukhadze Compressor | 1.2.1. | ინდეკო ჰოსფითალითი  | 3,500.00 USD | 01.08.2024"/>
        <s v="Goderdzi EP | 1.1.1. | ხიდი 2006  | 23,860.00 USD | 07.08.2024"/>
        <s v="Figures | 1.1.1. | ბაუჰაუს ქონსთრაქშენი  | 307,060.00 USD | 01.08.2024"/>
        <s v="McDonalds Didi Digomi Rooftop Lounch | 1.1.1. | თბილი სახლი  | 1,500.00 GEL | 01.08.2024"/>
        <s v="Lisi Veranda 8 | 1.1.1. | გიანთი პალასი  | 125,180.00 USD | 01.08.2024"/>
        <s v="Ambassador Batumi | 1.2.1. | ამბასადორი ბათუმი  | 1,155,220.00 USD | 03.09.2024"/>
        <s v="Multiple Rooftops | 1.2.1. | თბილი სახლი  | 250,757.00 EUR | 30.04.2024"/>
        <s v="LUX | 1.1.1. | მეპერსი  | 19,160.00 USD | 01.09.2024"/>
        <s v="New Group University | 1.1.1. | ნიუ გრუპ მაღლივი  | 213,160.00 USD | 01.09.2024"/>
        <s v="Kvareli FF Pump Installation | 1.2.1. | ინდეკო სი ემ   | 35,000.00 GEL | 20.09.2024"/>
        <s v="All Mcdonalds | 1.1.3. | თბილი სახლი  | 50,000.00 GEL | 01.09.2024"/>
        <s v="Fan Repair | 1.2.3. | შპს წინანდლის მამულები  | 2,100.00 GEL | 18.09.2024"/>
        <s v="Modern Residence | 1.1.1. | ბათუმი დეველოპმენტ ალიანსი  | 181,950.00 USD | 01.09.2024"/>
        <s v="Kings Garden | 1.2.1. | აპოლო გ.ს.  | 187,859.80 USD | 01.08.2024"/>
        <s v="Kvareli Repair | 1.2.1. | ინდეკო  | 1,800,000.00  GEL | 01.07.2024"/>
        <s v="DRY PORT GENSET | 1.2.1. | თბილისი დრაი პორტი  | 63,680.00 EUR | 01.04.2024"/>
        <s v="2025 Spareparts | 1.1.1. | გალერია თბილისი  | 41,250.00 USD | 25.09.2024"/>
        <s v="Ginger Gane | 1.1.1. | ბილდია  | 8,640.00 USD | 17.05.2024"/>
        <s v="Crown Plaza HVAC | 1.2.1. | მეკარტ ჯორჯია  | 693,840.00 USD | 05.11.2024"/>
        <s v="Kobuleti Garden Key | 1.1.1. | ქობულეთი გარდენ ქეი  | 52,000.00 USD | 17.10.2024"/>
        <s v="Archi Digomi Installation | 1.1.1. | დიღომი 3  | 131,040.00 USD | 01.11.2024"/>
        <s v="Tegeta Chiller | 1.2.1. | თეგეტა მოტორსი  | 257,240.00 EUR | 26.06.2024"/>
        <s v="Tagi | 1.1.1. | აპარტ ქონ  | 26,750.00 USD | 11.11.2024"/>
        <s v="Ambassador Goderdzi | 1.2.1. | ამბასადორი ბათუმი  | 43,449.10 USD | 02.12.2024"/>
        <s v="New Group Kavtaradze | 1.1.1. | ნიუ გრუპ დეველოპმენტი  | 32,000.00 USD | 01.12.2024"/>
        <s v="Compressors 2024 | 1.2.1. | ტელეგრაფი  | 6,040.00 USD | 22.11.2025"/>
        <s v="Kvareli Staff House | 1.2.1. | ინდეკო სი ემ   | 169,060.00 USD | 01.01.2025"/>
        <s v="Kazbegi | 1.1.1. | თმ ჯგუფი  | 50,000.00 USD | 01.01.2025"/>
        <s v="Batumi Office Rent MEPPERS | 1.3.2. | მეპერსი  | 2,700.00 USD | 15.08.2024"/>
        <s v="Batumi Office Rent CASA | 1.3.2. | კაზა დი ბათუმი  | 500.00 USD | 15.08.2024"/>
        <s v="Compact Mukhiani | 1.1.1. | კომპაქტ მუხიანი  | 30,510.00 USD | 17.01.2025"/>
        <s v="Buttons | 1.1.3. | DMS  | 115.00 USD | 01.01.2025"/>
        <s v="Kvareli Marani | 1.1.2. | ყვარლის მარანი  | 200.00 USD | 01.12.2024"/>
        <s v="Hampton Unloading | 1.1.3. | მეპერსი  | 1,700.00 GEL | 01.01.2025"/>
        <s v="Hampton | 1.1.1. | მეპერსი  | 15,000.00 USD | 01.01.2025"/>
        <s v="Lisi Veranda 8 | 1.1.1. | გიანთი პალასი  | 125,180.00 USD | 01.01.2025"/>
        <s v="Lisi Veranda 8 Unloading | 1.1.1. | გიანთი პალასი  | 3,500.00 GEL | 01.01.2025"/>
        <s v="EastPoint Chiller | 1.2.1. | სიბიდი დეველოპმენტი  | 596,100.60 EUR | 12.12.2024"/>
        <s v="Sunrise Palace | 1.1.1. | სანრაიზ პალასი  | 664,000.00 USD | 06.11.2024"/>
        <s v="Sandro Euli | 1.1.1. | ვოლსი საბურთალო  | 65,640.00 USD | 10.09.2024"/>
        <s v="Crown Plaza | 1.2.1. | ემ სი ქონსთრაქშენ  | 693,840.00 EUR | 05.11.2024"/>
        <s v="Golden Beach Kvariati | 1.1.1. | ოქროს სანაპირო  | 104,000.00 USD | 20.06.2024"/>
        <s v="Tegeta AHU | 1.2.1. | თეგეტა მოტორსი  | 164,800.00 EUR | 16.07.2024"/>
        <s v="Ibis Tbilisi Airport | 1.1.2. | თბილისი ეარფორთ ჰოთელ  | 450.00 USD | 01.11.2024"/>
        <s v="Aparthotel Service | 1.1.3. | კანალესა  | 760.00 USD | 25.10.2024"/>
        <s v="Batumi Cafe Central | 1.1.2. | კაფე ცენტრალი  | 300.00 GEL | 01.07.2024"/>
        <s v="Mitsubisi Vasilieva | 1.1.3. | ნატალია ვასილიევა  | 1,900.00 GEL | 29.11.2024"/>
        <s v="Multisplit | 1.2.1. | ეკატერინე გელაშვილი  | 2,850.00 GEL | 25.11.2024"/>
        <s v="Service Irakli Kirtshkhalia | 1.1.2. | ნინო კირცხალია  | 250.00 GEL | 01.05.2023"/>
        <s v="Air Conditioner | 1.2.1. | მურუსიძე გიორგი  | 4,716.00 GEL | 16.10.2024"/>
        <s v="Conditioner blocks | 1.2.1. | პარავიანი ალვინა  | 1,900.00 GEL | 24.09.2024"/>
        <s v="Qurcadze Parts | 1.2.1. | ქურცაძე ვასო  | 950.00 GEL | 16.07.2024"/>
        <s v="Kontridze Split | 1.2.1. | ივანე კონტრიძე  | 500.00 GEL | 12.07.2024"/>
        <s v="Lomidze Conditioner  | 1.2.1. | ლომიძე ლიანა  | 1,300.00 GEL | 01.06.2024"/>
        <s v="Chavchavadze Oth | 1.2.1. | ეკატერინე ჭავჭავაძე  | 1,850.00 GEL | 17.06.2024"/>
        <s v="Gogotishvili Oth | 1.2.1. | გოგოტიშვილი კობა  | 1,900.00 GEL | 13.06.2024"/>
        <s v="Gagua Oth | 1.2.1. | ანა გაგუა  | 8,500.00 GEL | 24.05.2024"/>
        <s v="Vekua Oth | 1.2.1. | ვეკუა ლაშა  | 2,450.00 GEL | 15.05.2024"/>
        <s v="Nasidze 20 | 1.1.2. | ლაბარტყავა მარიამ  | 200.00 GEL | 01.01.2024"/>
        <s v="Gagnidze Oth | 1.2.1. | გაგნიძე ნელი  | 2,850.00 GEL | 01.11.2024"/>
        <s v="Mammadova Oth | 1.2.1. | ელენა მამმადოვა  | 4,948.00 USD | 12.12.2023"/>
        <s v="Beridze Multisplit | 1.2.1. | ბერიძე არჩილ  | 4,919.00 USD | 07.06.2023"/>
        <s v="Kikutadze Conditioner | 1.2.1. | გიორგი კიკუტაძე  | 2,230.00 GEL | 21.08.2023"/>
        <s v="Gogatishvili Oth | 1.2.1. | კობა გოგატიშვილი  | 775.00 USD | 02.05.2023"/>
        <s v="Tavadze Oth | 1.2.1. | თავაძე თამაზი  | 2,200.00 GEL | 02.09.2024"/>
        <s v="Lekveishvili Oth | 1.2.1. | ლეკვეიშვილი გრიგოლ  | 7,964.00 GEL | 22.07.2024"/>
        <s v="Navtlugi | 1.1.2. | სითიქომ  | 800.00 GEL | 11.01.2023"/>
        <s v="Eqvtime Kheladze | 1.1.2. | სითიქომ  | 400.00 GEL | 11.01.2023"/>
        <s v="4000 Meskhtians | 1.1.2. | სითიქომ  | 400.00 GEL | 11.01.2023"/>
        <s v="Tskneti H-way | 1.1.2. | სითიქომ  | 600.00 GEL | 11.01.2023"/>
        <s v="Shartava | 1.1.2. | სითიქომ  | 450.00 GEL | 11.01.2023"/>
        <s v="Oktopus Serv | 1.1.2. | ოკტოპუსი  | 100.00 USD | 01.09.2024"/>
        <s v="Service | 1.1.2. | ჯორჯიან გოლდ ინვესტ  | 2,000.00 GEL | 02.10.2023"/>
        <s v="UNIX MARSEL Oth | 1.1.3. | ფრანგული უბანი ფრანგული უბნის &quot;დ&quot; და &quot;ე&quot; ბლოკების ამხანაგობა  | 250.00 USD | 16.05.2024"/>
        <s v="King Parnavaz Service | 1.1.3. | ფარნავაზ მეფის # 62  | 1,800.00 GEL | 24.12.2024"/>
        <s v="Batumi Mall Repair | 1.1.3. | სიმონ შეშელიძე  | 310.00 USD | 03.06.2024"/>
        <s v="Server | 1.2.3. | შპს წინანდლის მამულები  | 2,825.00 USD | 24.09.2024"/>
        <s v="Magaldadze service | 1.1.2. | თეა მაღალდაძე  | 100.00 USD | 01.06.2024"/>
        <s v="JP Service | 1.1.2. | ჯეიფი ჰაბ  | 385.00 USD | 01.09.2023"/>
        <s v="Gori Mall Oth | 1.2.3. | მპ დეველოპმენტი  | 1,080.00 USD | 01.04.2024"/>
        <s v="Admiral Service | 1.1.2. | ადმირალ ფბ  | 100.00 USD | 01.08.2024"/>
        <s v="Verheij Property | 1.3.1. | ვერჰეიჯ ნორა  | 30,000.00 USD | 01.10.2023"/>
        <s v="Molashvili Auto | 1.3.1. | ანზორ მოლაშვილი  | 3,000.00 GEL | 26.07.2024"/>
        <s v="Cafe Central Oth | 1.1.3. | კაფე ცენტრალი  | 170.00 GEL | 09.06.2024"/>
        <s v="Domus Ipodrom via TBC Leasing | 1.1.1. | თიბისი ლიზინგი  | 1,232,000.00 USD | 09.08.2024"/>
        <s v="BOG Oth | 1.3.1. | საქართველოს ბანკი  | 465.00 USD | 13.05.2025"/>
        <s v="Gtem Hospitality Oth | 1.2.3. | გთემ ჰოსფითალითი გრუპ  | 2,100.00 GEL | 21.12.2023"/>
        <s v="Batumi Central | 1.1.1. | ბათუმი ცენტრალი  | 69,644.00 USD | 11.05.2024"/>
        <s v="Bagrationi VRF | 1.2.1. | ბაგრატიონი რეზიდენსი  | 14,985.00 USD | 26.10.2023"/>
        <s v="Bagrationi Oth | 1.2.3. | ბაგრატიონი რეზიდენსი  | 100.00 USD | 11.04.2024"/>
        <s v="Ibis Airport Oth | 1.1.3. | ფუჯინ სილქ ფროფერთის  | 500.00 GEL | 13.09.2024"/>
        <s v="CPI Geo Oth | 1.2.1. | სი ფი აი ჯორჯია  | 4,310.00 USD | 29.01.2024"/>
        <s v="Piazza Oth | 1.2.1. | PIAZZA MANAGEMENT  | 1,300.00 USD | 15.12.2023"/>
        <s v="Caan Construction Oth | 1.2.1. | ქაან ქონსთრაქშენ  | 12,080.00 USD | 29.11.2023"/>
        <s v="V-JEO Restaurant Oth | 1.2.1. | ვ-ჯეო რესტორნები  | 4,550.00 USD | 18.06.2024"/>
        <s v="V-JEO Restaurant Service | 1.1.2. | ვ-ჯეო რესტორნები  | 500.00 GEL | 30.04.2024"/>
        <s v="Supreme Solutions Var | 1.2.1. | სუპრემე სოლუთიონს  | 3,790.00 USD | 22.08.2023"/>
        <s v="City Mall Oth | 1.1.3. | აი ჯი დეველოფმენტ ჯორჯია  | 1,300.00 GEL | 31.05.2024"/>
        <s v="Police City | 1.1.1. | ანაგი  | 343,000.00 USD | 28.11.2024"/>
        <s v="Lisi Fo Green Tower | 1.1.1. | მეპერსი  | 10,000.00 USD | 01.01.2025"/>
        <s v="Gayrimenkul (Turkey) | 1.1.1. | მეპერსი  | 10,000.00 USD | 01.01.2025"/>
        <s v="Rid Yerevan | 1.1.1. | მეპერსი  | 10,000.00 USD | 01.01.2025"/>
        <s v="Lisi Fo C4 Block | 1.1.1. | მეპერსი  | 10,000.00 USD | 01.01.2025"/>
        <s v="Lazika | 1.1.1. | მეპერსი  | 10,000.00 USD | 01.01.2025"/>
        <s v="Tsakhnadzur (Arm) | 1.1.1. | მეპერსი  | 10,000.00 USD | 01.01.2025"/>
        <s v="Bk Shartava 43 stage 2 | 1.1.1. | მეპერსი  | 10,000.00 USD | 01.01.2025"/>
        <s v="Hampton Tourinvest | 1.1.1. | მეპერსი  | 10,000.00 USD | 01.01.2025"/>
        <s v="Energy + Akhaltsikhe | 1.1.1. | მეპერსი  | 10,000.00 USD | 01.01.2025"/>
        <s v="Bk Shartava stage 3 | 1.1.1. | მეპერსი  | 10,000.00 USD | 01.01.2025"/>
        <s v="Marshal Development | 1.1.1. | მეპერსი  | 10,000.00 USD | 01.01.2025"/>
        <s v="Beta Group | 1.1.1. | მეპერსი  | 10,000.00 USD | 01.01.2025"/>
        <s v="BK Dzotsi St | 1.1.1. | მეპერსი  | 10,000.00 USD | 01.01.2025"/>
        <s v="Bili Menegement | 1.1.1. | მეპერსი  | 10,000.00 USD | 01.01.2025"/>
        <s v="Krtsanisi Millenio | 1.1.1. | მეპერსი  | 10,000.00 USD | 01.01.2025"/>
        <s v="GM Pharma Compresor | 1.2.1. | ჯი ემ ფარმასიუთიქალს  | 12,000.00 USD | 12.07.2024"/>
        <s v="Service 2025 | 1.2.3. | გთემ ჰოსფითალითი გრუპ  | 6,000.00 GEL | 03.02.2025"/>
        <s v="Zara City Mall Elevator Details | 1.1.3. | Spanish Retail Georgia  | 2,100.00 GEL | 14.02.2024"/>
        <s v="Tbilisi Gardens Oth | 1.1.3. | BD Property  | 1,400.00 GEL | 18.10.2024"/>
        <s v="Card System | 1.1.3. | ჯეო ჰოსპიტალს  | 3,500.00 GEL | 10.02.2025"/>
        <s v="Archi Isani C1 Repair | 1.1.3. | ისანი ც სერვისი 1  | 400.00 GEL | 15.01.2025"/>
        <s v="Kaklebi Oth | 1.1.3. | ევროპროდუქტი  | 500.00 USD | 22.02.2024"/>
        <s v="IBIS Perov Oth | 1.1.3. | ბეტა ჰოთელს  | 3,888.00 USD | 30.12.2023"/>
        <s v="Modus Oth | 1.1.3. | მოდუსი  | 260.00 USD | 01.09.2023"/>
        <s v="Deka Digomi Oth | 1.1.3. | დეკა დიდი დიღომი  | 1,300.00 GEL | 22.04.2024"/>
        <s v="Sunrise Shartava Oth | 1.1.3. | სანრაიზ დეველოპმენტი  | 1,237.00 USD | 23.11.2024"/>
        <s v="Shatberashvili 45 Oth | 1.1.3. | შატბერაშვილის 45  | 750.00 GEL | 27.11.2024"/>
        <s v="Khimshiashvili Apartment | 1.1.1. | ხიმშიაშვილი ზურა  | 36,500.00 USD | 06.12.2024"/>
        <s v="Arte Kerchi | 1.1.1. | არტე ქერჩი  | 66,200.00 USD | 25.06.2024"/>
        <s v="Bloom Bagebi | 1.1.1. | ირ.აბაშიძე 555  | 90,500.00 USD | 11.02.2025"/>
        <s v="Irigio | 1.1.1. | ირიგიო  | 48,530.00 USD | 29.11.2024"/>
        <s v="Air Conditioner | 1.2.1. | Technolux LLC  | 109,684.00 USD | 29.05.2023"/>
        <s v="Galleria Service | 1.1.2. | გალერია თბილისი  | 300.00 USD | 30.11.2024"/>
        <s v="Dar Tower Oth | 1.1.3. | Dar Building  | 400.00 GEL | 14.03.2024"/>
        <s v="DAVINCHI | 1.1.1. | დავინჩი  | 87,050.00 USD | 10.09.2024"/>
        <s v="Telegraph AHU | 1.2.1. | დნთ ქონსთრაქშენ  | 178,165.00 EUR | 01.04.2024"/>
        <s v="Gelift | 1.1.1. | ჯელიფტი +  | 34,650.00 USD | 23.09.2024"/>
        <s v="Office Conditioners | 1.2.1. | თამარ ჩუბინიძე  | 2,300.00 USD | 01.05.2024"/>
        <s v="Ramada Plaza | 1.1.2. | დარ ინვესტი  | 708.00 USD | 01.10.2024"/>
        <s v="Air Conditioner | 1.2.1. | ზურაბი ლომიძე  | 600.00 USD | 16.10.2024"/>
        <s v="DG Construction | 1.1.1. | დჯ მშენებლობა  | 20,000.00 USD | 10.02.2025"/>
        <s v="Air Conditioner | 1.2.1. | ელირან ტრაბელსი  | 950.00 GEL | 09.12.2024"/>
        <s v="Air Conditioner | 1.2.1. | ლეონოვა ანნა  | 950.00 GEL | 18.07.2024"/>
        <s v="Air Conditioner | 1.2.1. | გიორგი სულაბერიძე  | 5,000.00 GEL | 14.06.2024"/>
        <s v="Air Conditioner | 1.2.1. | ირაკლი მიქელაძე  | 6,450.00 GEL | 14.06.2024"/>
        <s v="Air Conditioner | 1.2.1. | მიხაილ უდოვკინ  | 2,855.00 USD | 02.02.2024"/>
        <s v="Air Conditioner | 1.2.1. | ოლგა ბეზბაბნიჯა  | 950.00 GEL | 22.01.2025"/>
        <s v="Air Conditioner | 1.2.1. | ზაზა კვიციანი  | 2,850.00 GEL | 20.11.2024"/>
        <s v="Air Conditioner | 1.2.1. | ეკატერინე გოგია  | 950.00 GEL | 03.10.2024"/>
        <s v="Air Conditioner | 1.2.1. | დავით გოზალიშვილი  | 1,800.00 GEL | 10.05.2024"/>
        <s v="Panorama | 1.1.1. | იდეა ქონსთრაქშენი  | 233,110.00 USD | 26.02.2025"/>
        <s v="Air Conditioner | 1.2.1. | ოლეგ კაპლიევ  | 4,545.00 USD | 19.02.2025"/>
        <s v="Air Conditioner | 1.2.1. | ანა კომახიძე  | 850.00 GEL | 11.02.2025"/>
        <s v="Digomi 2B Service | 1.1.2. | არქი მეინთენენს  | 350.00 GEL | 01.02.2025"/>
        <s v="Park Home Galleria | 1.1.3. | ანაგი დეველოპმენტი 1  | 500.00 USD | 01.03.2025"/>
        <s v="Kvareli Ballrom | 1.2.1. | ინდეკო  | 15,000.00 USD | 01.02.2025"/>
        <s v="Air Conditioner | 1.2.1. | ფალლაჰა მონა  | 850.00 GEL | 28.02.2025"/>
        <s v="Archi Isani D Block | 1.1.2. | არქი მეინთენენს  | 400.00 USD | 01.02.2025"/>
        <s v="Saburtalo C Block | 1.1.2. | არქი მეინთენენს  | 200.00 USD | 01.02.2025"/>
        <s v="Archi Isani C Block | 1.1.2. | არქი მეინთენენს  | 200.00 USD | 01.02.2025"/>
        <s v="Samzeo Service | 1.1.2. | სამზეო ყვარელი  | 205.00 USD | 01.01.2025"/>
        <s v="Pekini Service | 1.1.2. | პეკინის სასტუმრო  | 450.00 USD | 01.01.2025"/>
        <s v="Pult | 1.2.1. | მაია ჩავლეიშვილი  | 350.00 GEL | 11.02.2025"/>
        <s v="Air Conditioner | 1.2.1. | ანტონ ვორონინი  | 700.00 USD | 28.02.2025"/>
        <s v="Telavi Mall | 1.1.1. | მპ დეველოპმენტი  | 47,000.00 USD | 31.01.2025"/>
        <s v="Delisi Oth | 1.1.3. | ბიზნეს ცენტრი დელისი  | 375.00 GEL | 17.02.2025"/>
        <s v="Telegraph Fancoils | 1.2.1. | DT MUHENDISLIK VE TAAHHUT A.S.  | 175,247.00 EUR | 22.09.2023"/>
        <s v="Telegraph Chiller | 1.2.1. | DT MUHENDISLIK VE TAAHHUT A.S.  | 311,588.00 EUR | 27.03.2024"/>
        <s v="Social Houses Batumi | 1.1.1. | ანაგი  | 201,200.00 USD | 28.02.2025"/>
        <s v="Bagebi Service | 1.1.3. | ეკატერინე ელისაბედაშვილი  | 1,500.00 GEL | 21.03.2025"/>
        <s v="ZYGMA | 1.1.1. | ზ-გრუპ  | 524,300.00 USD | 10.03.2025"/>
        <s v="Batumi Central Install | 1.1.1. | ბათუმი ცენტრალი  | 9,132.00 USD | 18.06.2024"/>
        <s v="UNIX MARSEL Repair | 1.1.3. | ფრანგული უბანი ფრანგული უბნის &quot;დ&quot; და &quot;ე&quot; ბლოკების ამხანაგობა  | 500.00 GEL | 22.03.2025"/>
        <s v="MTZ Service | 1.1.2. | მტზ კომპანი  | 600.00 USD | 01.02.2025"/>
        <s v="Didi Digomi 2B | 1.1.2. | არქი მეინთენენს  | 300.00 USD | 01.02.2025"/>
        <s v="Didi Digomi 2C | 1.1.2. | არქი მეინთენენს  | 300.00 USD | 01.02.2025"/>
        <s v="Didi Digomi 2D | 1.1.2. | არქი მეინთენენს  | 300.00 USD | 01.02.2025"/>
        <s v="Central Platform | 1.2.1. | თბილისი ცენტრალი  | 582,553.50 USD | 04.04.2025"/>
        <s v="University Transportation | 1.1.1. | ნიუ გრუპ მაღლივი  | 3,500.00 GEL | 03.04.2025"/>
        <s v="Air Conditioner | 1.2.1. | კახა ვარდიაშვილი  | 1,480.00 GEL | 01.04.2025"/>
        <s v="Air Conditioner | 1.2.1. | მაიკლი ნაუმოვი  | 1,900.00 GEL | 01.04.2025"/>
        <s v="Air Conditioner | 1.2.1. | გიორგი ხონელია  | 1,900.00 GEL | 01.04.2025"/>
        <s v="Facade Lifts | 1.1.1. | ანაგი მექანიზაცია  | 397,794.00 USD | 27.03.2025"/>
        <s v="Nami | 1.1.1. | ნამი 2024  | 66,150.00 USD | 16.04.2025"/>
        <s v="Radisson Red HVAC Service | 1.2.2. | ტელეგრაფი  | 6,930.00 GEL | 29.05.2024"/>
        <s v="Holiday Inn Oth | 1.1.3. | ლაიქ ჰაუსი  | 8,150.00 USD | 01.04.2025"/>
        <s v="DAVINCHI Oth | 1.1.1. | დავინჩი  | 1,590.45 GEL | 01.04.2025"/>
        <s v="Neo Gudauri Serv | 1.1.2. | ნეო გუდაური  | 1,400.00 USD | 01.02.2025"/>
        <s v="Dry Port Office | 1.2.1. | თბილისი დრაი პორტი  | 160,000.00 GEL | 01.04.2025"/>
        <s v="Tegeta Other Repair | 1.2.3. | თეგეტა მოტორსი  | 3,160.00 GEL | 22.04.2025"/>
        <s v="Control System | 1.2.3. | თბილისი ცენტრალი  | 1,600.00 USD | 24.04.2025"/>
        <s v="Shartava LG | 1.1.1. | მეპერსი  | 15,000.00 USD | 01.04.2025"/>
        <s v="Lift Buttons | 1.1.3. | ბეტა ჰოთელს  | 500.00 GEL | 01.05.2025"/>
        <s v="Kvareli Wine Factory | 1.2.1. | ინდეკო სი ემ   | 36,547.70 USD | 01.05.2025"/>
        <s v="Kutaisi McDonalds | 1.2.1. | თბილი სახლი  | 94,315.00 EUR | 27.02.2025"/>
        <s v="Doors Repair | 1.1.1. | ლაიქ ჰაუსი  | 10,318.00 USD | 01.05.2025"/>
        <s v="Grande Krtsanisi D &amp; E Block | 1.1.1. | გრანდე ჯგუფი  | 235,060.00 USD | 13.05.2025"/>
        <s v="Grishashvili | 1.1.1. | მშენებელი 2004  | 50,000.00 USD | 22.05.2025"/>
        <s v="Telegraph Ahu Additional | 1.2.1. | დნთ ქონსთრაქშენ  | 28,000.00 EUR | 14.05.2025"/>
        <s v="Kvareli Fans | 1.2.1. | ინდეკო  | 5,806.00 EUR | 21.05.2025"/>
        <s v="Art House Repair | 1.1.3. | ანაგი არტ ჰაუსი  | 500.00 USD | 11.03.2025"/>
        <s v="Kutaisi Rooftop Launch | 1.2.3. | თბილი სახლი  | 5,500.00 GEL | 01.05.2025"/>
        <s v="Varketili Mall | 1.1.1. | მეტრო ჰოლდინგი  | 339,800.00 USD | 29.05.2025"/>
        <s v="Uznadze Office | 1.1.1. | ტოკიო ჰოტელ  | 94,000.00 USD | 01.05.2025"/>
        <s v="Archi Isani C Repair | 1.1.3. | არქი მეინთენენს  | 1,400.00 GEL | 07.05.2025"/>
        <s v="Galeria Repair | 1.1.3. | გალერია თბილისი  | 400.00 GEL | 10.04.2025"/>
        <s v="Sakeni | 1.1.1. | საკენი ბიოგრაფი  | 26,680.00 USD | 21.05.2025"/>
        <s v="Fire Cabinet | 1.2.1. | 1920  | 3,835.00 USD | 18.06.2019"/>
        <s v="Accor Avlabari | 1.1.1. | მეპერსი  | 30,000.00 USD | 01.06.2025"/>
        <s v="Lisi Development 6 units | 1.1.1. | მეპერსი  | 10,000.00 USD | 01.01.2024"/>
        <s v="Compressors 2025 | 1.2.1. | ტელეგრაფი  | 4,040.00 USD | 27.05.2025"/>
        <s v="Lisi VRF | 1.2.1. | ნინო თავამაიშვილი  | 8,720.00 USD | 27.05.2025"/>
        <s v="Fotosell | 1.1.3. | ნეო გუდაური  | 1,000.00 GEL | 30.05.2025"/>
        <s v="Door threshold | 1.1.3. | Dar Building  | 3,000.00 GEL | 19.06.2023"/>
        <s v="Chkondideli | 1.1.1. | ოპტიმა  | 1,187,000.00 USD | 01.06.2025"/>
        <s v="Compressors 2025 | 1.2.1. | ტელეგრაფი  | 4,040.00 USD | 01.06.2025"/>
        <s v="Container Unloading | 1.1.1. | დეკა ვერონა  | 900.00 USD | 24.11.2024"/>
        <s v="Kutaisi Parliament | 1.2.1. | თბილი სახლი  | 84,565.00 USD | 14.01.2025"/>
        <s v="Vehicle Service | 1.2.1. | თბილისი დრაი პორტი  | 16,491.00 GEL | 05.06.2025"/>
        <s v="Gardens Oth | 1.1.3. | მზიური რეზორტ  | 770.00 GEL | 29.05.2025"/>
        <s v="Zara Escalator Repair | 1.1.3. | Spanish Retail Georgia  | 4,600.00 GEL | 01.06.2025"/>
        <s v="Card System Adaptation | 1.1.3. | ორბი ჯგუფი ბათუმი  | 99,619.50 USD | 16.06.2025"/>
        <s v="Mardi Hills Unloading | 1.1.1. | მარდი ჰილსი  | 3,100.00 GEL | 01.08.2024"/>
        <s v="King Parnavaz Service | 1.1.2. | ფარნავაზ მეფის # 62  | 300.00 GEL | 01.12.2024"/>
        <s v="Art House Service | 1.1.2. | ანაგი არტ ჰაუსი  | 100.00 USD | 13.05.2025"/>
        <s v="Heat Pump | 1.2.1. | DECRIPT CJSC  | 4,400.00 USD | 06.09.2025"/>
        <s v="Kvareli Termostat Check | 1.2.1. | ინდეკო სი ემ   | 1,000.00 GEL | 01.11.2024"/>
        <s v="Vake Ramishvili Refregerant | 1.2.1. | ინდეკო სი ემ   | 6,100.00 GEL | 01.10.2024"/>
        <s v="Kvareli Staff House Elevator | 1.1.1. | ინდეკო სი ემ   | 24,300.00 USD | 01.05.2025"/>
        <s v="Chkondideli Repair 21 UNITS | 1.1.1. | ოპტიმა  | 1,087,440.00 USD | 08.07.2025"/>
        <s v="Chkondideli Repair 2 UNITS | 1.1.1. | ოპტიმა  | 123,120.00 EUR | 08.07.2025"/>
        <s v="Varazi 99 D | 1.2.2. | ბენე კომფორტი  | 200.00 USD | 10.05.2025"/>
        <s v="1TV Service | 1.2.1. | თბილი სახლი  | 1,200.00 USD | 15.05.2025"/>
        <s v="Additional Shafts | 1.1.1. | ავენიუ ბაი ორბი  | 50,480.00 USD | 02.07.2025"/>
        <s v="Arken Service | 1.2.3. | თბილისი დრაი პორტი  | 2,800.00 USD | 29.05.2025"/>
        <s v="Building Elevator Rent | 1.1.1. | ანაგი  | 51,000.00 GEL | 14.07.2025"/>
        <s v="Ali Batumi | 1.2.1. | Malsi  | 12,585.00 USD | 15.07.2025"/>
        <s v="Zara Escalator Repair | 1.1.3. | Spanish Retail Georgia  | 4,600.00 GEL | 08.07.2025"/>
        <s v="Gordeziani Rustavi | 1.1.2. | თეკლე გორდეზიანი  | 600.00 GEL | 30.04.2021"/>
        <s v="Wedding Hall Reconstruction | 1.1.1. | მოდუსი  | 9,300.00 USD | 23.06.2025"/>
        <s v="Nutsubidze Service | 1.1.2. | სფერა  | 500.00 USD | 01.06.2025"/>
        <s v="Gergeti Str | 1.1.1. | ჰილ საიდ დეველოპმენთ  | 106,000.00 USD | 25.07.2025"/>
        <s v="Renault Center Design | 1.2.1. | ფრანს ავტო  | 2,500.00 GEL | 22.07.2025"/>
        <s v="BMW CENTER | 1.1.1. | ჯი-თი მოტორს  | 104,480.00 EUR | 28.07.2025"/>
        <s v="BMW CENTER (2) | 1.1.1. | ჯი-თი მოტორს  | 417,080.00 EUR | 28.07.2025"/>
        <s v="BMW CENTER (3) | 1.1.1. | ჯი-თი მოტორს  | 11,340.00 EUR | 28.07.2025"/>
        <s v="Mitsubishi VRF | 1.2.3. | ინდეკო ჰოსფითალითი  | 1,050.00 GEL | 30.07.2025"/>
        <s v="HGI Heat Pump Mbus | 1.2.1. | მეპერსი  | 10,807.36 USD | 13.10.2021"/>
        <s v="Fancoil | 1.2.1. | მეპერსი  | 1,124.53 USD | 13.06.2022"/>
        <s v="HIEX (EUR) | 1.2.1. | მეპერსი  | 34,167.15 EUR | 01.03.2021"/>
        <s v="Kvariati FLS | 1.2.1. | მეპერსი  | 11,189.02 EUR | 10.05.2024"/>
        <s v="Scaffolding Rent | 1.3.2. | მეპერსი  | 1,800.00 GEL | 22.01.2025"/>
        <s v="Rustavi Mall Glass | 1.2.3. | მპ დეველოპმენტი  | 960.00 GEL | 01.07.2025"/>
        <s v="Joints | 1.2.1. | მეპერსი  | 595.84 GEL | 04.04.2024"/>
        <s v="Beach Tower Service | 1.2.1. | მეპერსი  | 3,849.00 GEL | 01.12.2020"/>
        <s v="Chakhrukhadze Service | 1.2.3. | ინდეკო ჰოსფითალითი  | 2,000.00 GEL | 21.05.2025"/>
        <s v="Next Tbilisi Downtown | 1.1.1. | ნექსთ ფროფერთი  | 200,340.00 USD | 11.08.2025"/>
        <s v="2 Firebox Installation | 1.2.1. | თბილისი დრაი პორტი  | 2,914.00 GEL | 12.08.2025"/>
        <s v="Telegraph Hotel Humidifier | 1.2.1. | დნთ ქონსთრაქშენ  | 2,040.00 USD | 01.07.2025"/>
        <s v="Chkonia Elevator Service | 1.1.2. | სახლი ძველ ბათუმში  | 100.00 USD | 01.07.2025"/>
        <s v="Kobuleti Garden Inn Other | 1.1.3. | იოსებ გუნთაიშვილი  | 300.00 GEL | 14.08.2025"/>
        <s v="Foris Suits | 1.1.1. | ფორის დეველოპმენტი  | 152,170.00 USD | 01.08.2025"/>
        <s v="BOQ Vake Restaurant | 1.2.1. | ინდეკო სი ემ   | 92,605.45 USD | 06.08.2025"/>
        <s v="Isani D Block Door Engine | 1.1.3. | არქი მეინთენენს  | 800.00 USD | 20.03.2025"/>
        <s v="Gallery Reprogramming | 1.2.1. | კამ  | 20,234.84 GEL | 27.08.2025"/>
        <s v="VRF | 1.2.1. | ნინო თავამაიშვილი  | 8,720.00 USD | 27.05.2025"/>
        <s v="Escalator Step | 1.1.3. | გრანდ მოლი  | 1,350.00 GEL | 26.08.2025"/>
        <s v="A &amp; B Block Doors | 1.1.3. | ლაიქ ჰაუსი  | 3,960.00 USD | 23.06.2025"/>
        <s v="Deka Lisi | 1.1.1. | დეკა ლისი  | 140,500.00 USD | 13.08.2025"/>
        <s v="Varazi 99 | 1.1.2. | თამარ ანდრიაძე  | 200.00 USD | 10.06.2025"/>
        <s v="Kart | 1.2.3. | მეპერსი  | 920.00 USD | 01.08.2025"/>
        <s v="Additional Steel Works | 1.1.1. | ავენიუ ბაი ორბი  | 30,000.00 USD | 01.09.2025"/>
        <s v="Varketili Mall HVAC | 1.2.1. | მეტრო ჰოლდინგი  | 6,011,672.50 USD | 01.09.2025"/>
        <s v="Arte Kerchi Service | 1.1.2. | არტე ქერჩი  | 200.00 USD | 01.08.2025"/>
        <s v="Tadzris 22 Areali | 1.1.2. | ირინე ხახუტაიშვილი  | 300.00 USD | 01.08.2025"/>
        <s v="Millenio | 1.1.1. | მეპერსი  | 10,000.00 USD | 20.09.2025"/>
        <s v="Renault Center | 1.2.1. | ფრანს ავტო  | 117,350.00 USD | 10.09.2025"/>
        <s v="Freight Elevator Parts | 1.1.3. | გალერია თბილისი  | 5,025.00 USD | 10.09.2025"/>
        <s v="Walls Bakuriani | 1.1.1. | ვოლსი ბაკურიანი  | 25,850.00 USD | 01.09.2025"/>
        <s v="Mitsubishi Multisplits | 1.2.3. | ლევანი მახათაძე  | 3,800.00 GEL | 02.09.2025"/>
        <s v="Ramishvili Restaurant | 1.2.1. | ინდეკო სი ემ   | 50,000.00 USD | 01.09.2025"/>
        <s v="TELEGRAPH FCU MOTOR | 1.2.1. | დნთ ქონსთრაქშენ  | 6,750.00 USD | 26.06.2025"/>
        <s v="ICETERRA | 1.2.1. | აისტერრა  | 23,520.00 USD | 09.09.2025"/>
        <s v="Kvareli Gallery | 1.2.1. | ინდეკო სი ემ   | 795,000.00 USD | 01.09.2025"/>
        <s v="Lisi Trio Facade Elevators | 1.1.1. | ლისი თაურსი  | 50,000.00 USD | 01.09.2025"/>
        <s v="Urbanique | 1.1.1. | ურბანუს მზიური  | 155,000.00 USD | 05.10.2025"/>
        <s v="Display repair | 1.1.3. | თეა მაღალდაძე  | 300.00 GEL | 05.09.2025"/>
        <s v="Impeller | 1.2.3. | დნთ ქონსთრაქშენ  | 941.00 USD | 17.09.2025"/>
        <s v="Park Home Repair | 1.1.3. | ნუცუბიძე  | 1,700.00 USD | 01.10.2025"/>
        <s v="Alliance Highline Additional | 1.1.1. | ალიანსი თბილისი  | 77,000.00 USD | 03.10.2025"/>
        <s v="Lisi Green Apartments 2 | 1.1.1. | გრინ დეველოპმენტი  | 60,810.00 USD | 10.10.2025"/>
        <s v="Panel repair | 1.1.3. | ეიესჯისოფტ  | 783.00 GEL | 01.10.2025"/>
        <s v="Sunrise Palace Reconstruction | 1.1.1. | სანრაიზ პალასი  | 11,597.00 USD | 20.10.2025"/>
        <s v="Pipes &amp; VRF System | 1.2.1. | მეპერსი  | 67,988.32 GEL | 20.10.2025"/>
        <s v="Ambassador Goderdzi AHU Panels | 1.2.1. | ამბასადორი ბათუმი  | 59,200.00 USD | 22.07.2025"/>
        <s v="Block 5 | 1.1.2. | ნიუ გუდაური ბლოკ 5  | 600.00 USD | 01.11.2025"/>
        <s v="Maza Development | 1.1.1. | მაზა  | 300,000.00 USD | 23.10.2025"/>
        <s v=""/>
      </sharedItems>
    </cacheField>
    <cacheField name="კონტრაგენტის ORIS ID">
      <sharedItems containsBlank="1" containsMixedTypes="1" containsNumber="1" containsInteger="1">
        <n v="1270.0"/>
        <n v="541.0"/>
        <n v="1257.0"/>
        <n v="1252.0"/>
        <n v="917.0"/>
        <n v="1207.0"/>
        <n v="642.0"/>
        <n v="1173.0"/>
        <n v="1179.0"/>
        <n v="902.0"/>
        <n v="1034.0"/>
        <n v="93.0"/>
        <n v="853.0"/>
        <n v="1039.0"/>
        <n v="1335.0"/>
        <n v="863.0"/>
        <n v="710.0"/>
        <n v="599.0"/>
        <n v="693.0"/>
        <n v="1038.0"/>
        <n v="620.0"/>
        <n v="595.0"/>
        <n v="665.0"/>
        <n v="650.0"/>
        <n v="570.0"/>
        <n v="462.0"/>
        <n v="1380.0"/>
        <n v="773.0"/>
        <n v="971.0"/>
        <n v="1429.0"/>
        <n v="1235.0"/>
        <n v="1381.0"/>
        <n v="1208.0"/>
        <n v="1276.0"/>
        <n v="892.0"/>
        <n v="1132.0"/>
        <m/>
        <n v="585.0"/>
        <n v="506.0"/>
        <n v="571.0"/>
        <n v="1108.0"/>
        <n v="1114.0"/>
        <n v="1350.0"/>
        <n v="998.0"/>
        <n v="1148.0"/>
        <n v="666.0"/>
        <n v="1221.0"/>
        <n v="145.0"/>
        <n v="4.0"/>
        <n v="1044.0"/>
        <n v="1059.0"/>
        <n v="1371.0"/>
        <n v="189.0"/>
        <n v="1314.0"/>
        <n v="1382.0"/>
        <n v="1184.0"/>
        <n v="1066.0"/>
        <n v="1453.0"/>
        <n v="415.0"/>
        <n v="979.0"/>
        <n v="546.0"/>
        <n v="1462.0"/>
        <n v="1485.0"/>
        <n v="1470.0"/>
        <n v="1471.0"/>
        <n v="1459.0"/>
        <n v="1233.0"/>
        <n v="848.0"/>
        <n v="882.0"/>
        <n v="1166.0"/>
        <n v="731.0"/>
        <n v="1717.0"/>
        <n v="1337.0"/>
        <n v="1271.0"/>
        <n v="1329.0"/>
        <n v="132.0"/>
        <n v="1481.0"/>
        <n v="1461.0"/>
        <n v="113.0"/>
        <n v="1386.0"/>
        <n v="1468.0"/>
        <n v="980.0"/>
        <n v="1497.0"/>
        <n v="724.0"/>
        <n v="1079.0"/>
        <n v="1509.0"/>
        <n v="1511.0"/>
        <n v="1514.0"/>
        <n v="509.0"/>
        <n v="7.0"/>
        <n v="1315.0"/>
        <n v="1167.0"/>
        <n v="1528.0"/>
        <n v="1771.0"/>
        <n v="1543.0"/>
        <n v="1529.0"/>
        <n v="1537.0"/>
        <n v="1559.0"/>
        <n v="954.0"/>
        <n v="1538.0"/>
        <n v="1555.0"/>
        <n v="1554.0"/>
        <n v="229.0"/>
        <n v="1573.0"/>
        <n v="1591.0"/>
        <n v="1149.0"/>
        <n v="97.0"/>
        <n v="1609.0"/>
        <n v="1606.0"/>
        <n v="1619.0"/>
        <n v="504.0"/>
        <n v="1635.0"/>
        <n v="1621.0"/>
        <n v="564.0"/>
        <n v="1650.0"/>
        <n v="1580.0"/>
        <n v="1652.0"/>
        <n v="1651.0"/>
        <n v="1656.0"/>
        <n v="1664.0"/>
        <n v="1660.0"/>
        <n v="1666.0"/>
        <n v="1689.0"/>
        <n v="713.0"/>
        <n v="225.0"/>
        <n v="1655.0"/>
        <n v="1599.0"/>
        <n v="1502.0"/>
        <n v="1703.0"/>
        <n v="1697.0"/>
        <n v="1617.0"/>
        <n v="69.0"/>
        <n v="1696.0"/>
        <n v="1719.0"/>
        <n v="1707.0"/>
        <n v="1713.0"/>
        <n v="1732.0"/>
        <n v="1739.0"/>
        <n v="1745.0"/>
        <n v="1626.0"/>
        <n v="1751.0"/>
        <n v="1820.0"/>
        <n v="1769.0"/>
        <n v="1789.0"/>
        <n v="1817.0"/>
        <n v="1847.0"/>
        <n v="1808.0"/>
        <n v="1729.0"/>
        <n v="1837.0"/>
        <n v="1791.0"/>
        <n v="1899.0"/>
        <n v="1115.0"/>
        <n v="1865.0"/>
        <n v="810.0"/>
        <n v="1877.0"/>
        <n v="1506.0"/>
        <n v="1747.0"/>
        <n v="1750.0"/>
        <n v="1749.0"/>
        <n v="1607.0"/>
        <n v="1896.0"/>
        <n v="1876.0"/>
        <n v="2142.0"/>
        <n v="1911.0"/>
        <n v="1897.0"/>
        <n v="587.0"/>
        <n v="1933.0"/>
        <n v="1318.0"/>
        <n v="1931.0"/>
        <n v="1887.0"/>
        <n v="1927.0"/>
        <n v="1949.0"/>
        <n v="1952.0"/>
        <n v="1959.0"/>
        <n v="1960.0"/>
        <n v="2823.0"/>
        <n v="1984.0"/>
        <n v="1092.0"/>
        <n v="1994.0"/>
        <n v="1942.0"/>
        <n v="1947.0"/>
        <n v="2034.0"/>
        <n v="662.0"/>
        <n v="2006.0"/>
        <n v="2017.0"/>
        <n v="2061.0"/>
        <n v="2011.0"/>
        <n v="2037.0"/>
        <n v="2102.0"/>
        <n v="566.0"/>
        <n v="2099.0"/>
        <n v="2064.0"/>
        <n v="2101.0"/>
        <n v="2060.0"/>
        <n v="2172.0"/>
        <n v="2237.0"/>
        <n v="2053.0"/>
        <n v="2107.0"/>
        <n v="2050.0"/>
        <n v="1486.0"/>
        <n v="2169.0"/>
        <n v="2176.0"/>
        <n v="2136.0"/>
        <n v="2106.0"/>
        <n v="2192.0"/>
        <n v="2231.0"/>
        <n v="2227.0"/>
        <n v="2204.0"/>
        <n v="2211.0"/>
        <n v="2185.0"/>
        <n v="2241.0"/>
        <n v="2251.0"/>
        <n v="2223.0"/>
        <n v="2264.0"/>
        <n v="634.0"/>
        <n v="2275.0"/>
        <n v="2228.0"/>
        <n v="2260.0"/>
        <n v="2266.0"/>
        <n v="2303.0"/>
        <n v="2299.0"/>
        <n v="2381.0"/>
        <n v="2307.0"/>
        <n v="2310.0"/>
        <n v="2347.0"/>
        <n v="2322.0"/>
        <n v="1522.0"/>
        <n v="2070.0"/>
        <n v="2007.0"/>
        <n v="2435.0"/>
        <n v="2200.0"/>
        <n v="2276.0"/>
        <n v="959.0"/>
        <n v="796.0"/>
        <n v="2487.0"/>
        <n v="2413.0"/>
        <n v="2433.0"/>
        <n v="2478.0"/>
        <n v="2440.0"/>
        <n v="2479.0"/>
        <n v="2290.0"/>
        <n v="2323.0"/>
        <n v="2515.0"/>
        <n v="2371.0"/>
        <n v="2407.0"/>
        <n v="2436.0"/>
        <n v="2437.0"/>
        <n v="2394.0"/>
        <n v="2395.0"/>
        <n v="2321.0"/>
        <n v="2496.0"/>
        <n v="2497.0"/>
        <n v="2504.0"/>
        <n v="2492.0"/>
        <n v="1975.0"/>
        <n v="2556.0"/>
        <n v="2558.0"/>
        <n v="2571.0"/>
        <n v="2567.0"/>
        <n v="2583.0"/>
        <n v="2589.0"/>
        <n v="2592.0"/>
        <n v="2588.0"/>
        <n v="2597.0"/>
        <n v="2510.0"/>
        <n v="2645.0"/>
        <n v="2732.0"/>
        <n v="2627.0"/>
        <n v="2664.0"/>
        <n v="2675.0"/>
        <n v="2667.0"/>
        <n v="2668.0"/>
        <n v="2085.0"/>
        <n v="2661.0"/>
        <n v="2585.0"/>
        <n v="2529.0"/>
        <n v="2625.0"/>
        <n v="2555.0"/>
        <n v="2651.0"/>
        <n v="2559.0"/>
        <n v="2628.0"/>
        <n v="2634.0"/>
        <n v="2609.0"/>
        <n v="2639.0"/>
        <n v="2536.0"/>
        <n v="2531.0"/>
        <n v="2550.0"/>
        <n v="2549.0"/>
        <n v="2514.0"/>
        <n v="2499.0"/>
        <n v="2459.0"/>
        <n v="2632.0"/>
        <n v="2205.0"/>
        <n v="2267.0"/>
        <n v="2177.0"/>
        <n v="2538.0"/>
        <n v="1153.0"/>
        <n v="2595.0"/>
        <n v="2813.0"/>
        <n v="2351.0"/>
        <n v="2100.0"/>
        <n v="2250.0"/>
        <n v="2194.0"/>
        <n v="2370.0"/>
        <n v="2553.0"/>
        <n v="2398.0"/>
        <n v="2367.0"/>
        <n v="2342.0"/>
        <n v="2533.0"/>
        <n v="2691.0"/>
        <n v="2647.0"/>
        <n v="2026.0"/>
        <n v="2697.0"/>
        <n v="2623.0"/>
        <n v="2626.0"/>
        <n v="2594.0"/>
        <n v="2560.0"/>
        <n v="2612.0"/>
        <n v="2283.0"/>
        <n v="2699.0"/>
        <n v="2537.0"/>
        <n v="2027.0"/>
        <n v="2028.0"/>
        <n v="2404.0"/>
        <n v="2682.0"/>
        <n v="2620.0"/>
        <n v="2610.0"/>
        <n v="2498.0"/>
        <n v="2708.0"/>
        <n v="2702.0"/>
        <n v="2692.0"/>
        <n v="2687.0"/>
        <n v="2707.0"/>
        <n v="2709.0"/>
        <n v="2607.0"/>
        <n v="2693.0"/>
        <n v="2724.0"/>
        <n v="2689.0"/>
        <n v="2731.0"/>
        <n v="2730.0"/>
        <n v="2747.0"/>
        <n v="2760.0"/>
        <n v="2768.0"/>
        <n v="2771.0"/>
        <n v="2764.0"/>
        <n v="2774.0"/>
        <n v="2755.0"/>
        <n v="2378.0"/>
        <n v="434.0"/>
        <s v=""/>
      </sharedItems>
    </cacheField>
    <cacheField name="ნომერი" numFmtId="0">
      <sharedItems>
        <s v="ICE1"/>
        <s v="ICE2"/>
        <s v="ICE3"/>
        <s v="ICE4"/>
        <s v="ICE5"/>
        <s v="ICE6"/>
        <s v="ICE7"/>
        <s v="ICE8"/>
        <s v="ICE9"/>
        <s v="ICE10"/>
        <s v="ICE11"/>
        <s v="ICE12"/>
        <s v="ICE13"/>
        <s v="ICE14"/>
        <s v="ICE15"/>
        <s v="ICE16"/>
        <s v="ICE17"/>
        <s v="ICE18"/>
        <s v="ICE19"/>
        <s v="ICE20"/>
        <s v="ICE21"/>
        <s v="ICE22"/>
        <s v="ICE23"/>
        <s v="ICE24"/>
        <s v="ICE25"/>
        <s v="ICE26"/>
        <s v="ICE27"/>
        <s v="ICE28"/>
        <s v="ICE29"/>
        <s v="ICE30"/>
        <s v="ICE31"/>
        <s v="ICE32"/>
        <s v="ICE33"/>
        <s v="ICE34"/>
        <s v="ICE35"/>
        <s v="ICE36"/>
        <s v="ICE37"/>
        <s v="ICE38"/>
        <s v="ICE39"/>
        <s v="ICE40"/>
        <s v="ICE41"/>
        <s v="ICE42"/>
        <s v="ICE43"/>
        <s v="ICE44"/>
        <s v="ICE45"/>
        <s v="ICE46"/>
        <s v="ICE47"/>
        <s v="ICE48"/>
        <s v="ICE49"/>
        <s v="ICE50"/>
        <s v="ICE51"/>
        <s v="ICE52"/>
        <s v="ICE53"/>
        <s v="ICE54"/>
        <s v="ICE55"/>
        <s v="ICE56"/>
        <s v="ICE57"/>
        <s v="ICE58"/>
        <s v="ICE59"/>
        <s v="ICE60"/>
        <s v="ICE61"/>
        <s v="ICE62"/>
        <s v="ICE63"/>
        <s v="ICE64"/>
        <s v="ICE65"/>
        <s v="ICE66"/>
        <s v="ICE67"/>
        <s v="ICE68"/>
        <s v="ICE69"/>
        <s v="ICE70"/>
        <s v="ICE71"/>
        <s v="ICE72"/>
        <s v="ICE73"/>
        <s v="ICE74"/>
        <s v="ICE75"/>
        <s v="ICE76"/>
        <s v="ICE77"/>
        <s v="ICE78"/>
        <s v="ICE79"/>
        <s v="ICE80"/>
        <s v="ICE81"/>
        <s v="ICE82"/>
        <s v="ICE83"/>
        <s v="ICE84"/>
        <s v="ICE85"/>
        <s v="ICE86"/>
        <s v="ICE87"/>
        <s v="ICE88"/>
        <s v="ICE89"/>
        <s v="ICE90"/>
        <s v="ICE91"/>
        <s v="ICE92"/>
        <s v="ICE93"/>
        <s v="ICE94"/>
        <s v="ICE95"/>
        <s v="ICE96"/>
        <s v="ICE97"/>
        <s v="ICE98"/>
        <s v="ICE99"/>
        <s v="ICE100"/>
        <s v="ICE101"/>
        <s v="ICE102"/>
        <s v="ICE103"/>
        <s v="ICE104"/>
        <s v="ICE105"/>
        <s v="ICE106"/>
        <s v="ICE107"/>
        <s v="ICE108"/>
        <s v="ICE109"/>
        <s v="ICE110"/>
        <s v="ICE111"/>
        <s v="ICE112"/>
        <s v="ICE113"/>
        <s v="ICE114"/>
        <s v="ICE115"/>
        <s v="ICE116"/>
        <s v="ICE117"/>
        <s v="ICE118"/>
        <s v="ICE119"/>
        <s v="ICE120"/>
        <s v="ICE121"/>
        <s v="ICE122"/>
        <s v="ICE123"/>
        <s v="ICE124"/>
        <s v="ICE125"/>
        <s v="ICE126"/>
        <s v="ICE127"/>
        <s v="ICE128"/>
        <s v="ICE129"/>
        <s v="ICE130"/>
        <s v="ICE131"/>
        <s v="ICE132"/>
        <s v="ICE133"/>
        <s v="ICE134"/>
        <s v="ICE135"/>
        <s v="ICE136"/>
        <s v="ICE137"/>
        <s v="ICE138"/>
        <s v="ICE139"/>
        <s v="ICE140"/>
        <s v="ICE141"/>
        <s v="ICE142"/>
        <s v="ICE143"/>
        <s v="ICE144"/>
        <s v="ICE145"/>
        <s v="ICE146"/>
        <s v="ICE147"/>
        <s v="ICE148"/>
        <s v="ICE149"/>
        <s v="ICE150"/>
        <s v="ICE151"/>
        <s v="ICE152"/>
        <s v="ICE153"/>
        <s v="ICE154"/>
        <s v="ICE155"/>
        <s v="ICE156"/>
        <s v="ICE157"/>
        <s v="ICE158"/>
        <s v="ICE159"/>
        <s v="ICE160"/>
        <s v="ICE161"/>
        <s v="ICE162"/>
        <s v="ICE163"/>
        <s v="ICE164"/>
        <s v="ICE165"/>
        <s v="ICE166"/>
        <s v="ICE167"/>
        <s v="ICE168"/>
        <s v="ICE169"/>
        <s v="ICE170"/>
        <s v="ICE171"/>
        <s v="ICE172"/>
        <s v="ICE173"/>
        <s v="ICE174"/>
        <s v="ICE175"/>
        <s v="ICE176"/>
        <s v="ICE177"/>
        <s v="ICE178"/>
        <s v="ICE179"/>
        <s v="ICE180"/>
        <s v="ICE181"/>
        <s v="ICE182"/>
        <s v="ICE183"/>
        <s v="ICE184"/>
        <s v="ICE185"/>
        <s v="ICE186"/>
        <s v="ICE187"/>
        <s v="ICE188"/>
        <s v="ICE189"/>
        <s v="ICE190"/>
        <s v="ICE191"/>
        <s v="ICE192"/>
        <s v="ICE193"/>
        <s v="ICE194"/>
        <s v="ICE195"/>
        <s v="ICE196"/>
        <s v="ICE197"/>
        <s v="ICE198"/>
        <s v="ICE199"/>
        <s v="ICE200"/>
        <s v="ICE201"/>
        <s v="ICE202"/>
        <s v="ICE203"/>
        <s v="ICE204"/>
        <s v="ICE205"/>
        <s v="ICE206"/>
        <s v="ICE207"/>
        <s v="ICE208"/>
        <s v="ICE209"/>
        <s v="ICE210"/>
        <s v="ICE211"/>
        <s v="ICE212"/>
        <s v="ICE213"/>
        <s v="ICE214"/>
        <s v="ICE215"/>
        <s v="ICE216"/>
        <s v="ICE217"/>
        <s v="ICE218"/>
        <s v="ICE219"/>
        <s v="ICE220"/>
        <s v="ICE221"/>
        <s v="ICE222"/>
        <s v="ICE223"/>
        <s v="ICE224"/>
        <s v="ICE225"/>
        <s v="ICE226"/>
        <s v="ICE227"/>
        <s v="ICE228"/>
        <s v="ICE229"/>
        <s v="ICE230"/>
        <s v="ICE231"/>
        <s v="ICE232"/>
        <s v="ICE233"/>
        <s v="ICE234"/>
        <s v="ICE235"/>
        <s v="ICE236"/>
        <s v="ICE237"/>
        <s v="ICE238"/>
        <s v="ICE239"/>
        <s v="ICE240"/>
        <s v="ICE241"/>
        <s v="ICE242"/>
        <s v="ICE243"/>
        <s v="ICE244"/>
        <s v="ICE245"/>
        <s v="ICE246"/>
        <s v="ICE247"/>
        <s v="ICE248"/>
        <s v="ICE249"/>
        <s v="ICE250"/>
        <s v="ICE251"/>
        <s v="ICE252"/>
        <s v="ICE253"/>
        <s v="ICE254"/>
        <s v="ICE255"/>
        <s v="ICE256"/>
        <s v="ICE257"/>
        <s v="ICE258"/>
        <s v="ICE259"/>
        <s v="ICE260"/>
        <s v="ICE261"/>
        <s v="ICE262"/>
        <s v="ICE263"/>
        <s v="ICE264"/>
        <s v="ICE265"/>
        <s v="ICE266"/>
        <s v="ICE267"/>
        <s v="ICE268"/>
        <s v="ICE269"/>
        <s v="ICE270"/>
        <s v="ICE271"/>
        <s v="ICE272"/>
        <s v="ICE273"/>
        <s v="ICE274"/>
        <s v="ICE275"/>
        <s v="ICE276"/>
        <s v="ICE277"/>
        <s v="ICE278"/>
        <s v="ICE279"/>
        <s v="ICE280"/>
        <s v="ICE281"/>
        <s v="ICE282"/>
        <s v="ICE283"/>
        <s v="ICE284"/>
        <s v="ICE285"/>
        <s v="ICE286"/>
        <s v="ICE287"/>
        <s v="ICE288"/>
        <s v="ICE289"/>
        <s v="ICE290"/>
        <s v="ICE291"/>
        <s v="ICE292"/>
        <s v="ICE293"/>
        <s v="ICE294"/>
        <s v="ICE295"/>
        <s v="ICE296"/>
        <s v="ICE297"/>
        <s v="ICE298"/>
        <s v="ICE299"/>
        <s v="ICE300"/>
        <s v="ICE301"/>
        <s v="ICE302"/>
        <s v="ICE303"/>
        <s v="ICE304"/>
        <s v="ICE305"/>
        <s v="ICE306"/>
        <s v="ICE307"/>
        <s v="ICE308"/>
        <s v="ICE309"/>
        <s v="ICE310"/>
        <s v="ICE311"/>
        <s v="ICE312"/>
        <s v="ICE313"/>
        <s v="ICE314"/>
        <s v="ICE315"/>
        <s v="ICE316"/>
        <s v="ICE317"/>
        <s v="ICE318"/>
        <s v="ICE319"/>
        <s v="ICE320"/>
        <s v="ICE321"/>
        <s v="ICE322"/>
        <s v="ICE323"/>
        <s v="ICE324"/>
        <s v="ICE325"/>
        <s v="ICE326"/>
        <s v="ICE327"/>
        <s v="ICE328"/>
        <s v="ICE329"/>
        <s v="ICE330"/>
        <s v="ICE331"/>
        <s v="ICE332"/>
        <s v="ICE333"/>
        <s v="ICE334"/>
        <s v="ICE335"/>
        <s v="ICE336"/>
        <s v="ICE337"/>
        <s v="ICE338"/>
        <s v="ICE339"/>
        <s v="ICE340"/>
        <s v="ICE341"/>
        <s v="ICE342"/>
        <s v="ICE343"/>
        <s v="ICE344"/>
        <s v="ICE345"/>
        <s v="ICE346"/>
        <s v="ICE347"/>
        <s v="ICE348"/>
        <s v="ICE349"/>
        <s v="ICE350"/>
        <s v="ICE351"/>
        <s v="ICE352"/>
        <s v="ICE353"/>
        <s v="ICE354"/>
        <s v="ICE355"/>
        <s v="ICE356"/>
        <s v="ICE357"/>
        <s v="ICE358"/>
        <s v="ICE359"/>
        <s v="ICE360"/>
        <s v="ICE361"/>
        <s v="ICE362"/>
        <s v="ICE363"/>
        <s v="ICE364"/>
        <s v="ICE365"/>
        <s v="ICE366"/>
        <s v="ICE367"/>
        <s v="ICE368"/>
        <s v="ICE369"/>
        <s v="ICE370"/>
        <s v="ICE371"/>
        <s v="ICE372"/>
        <s v="ICE373"/>
        <s v="ICE374"/>
        <s v="ICE375"/>
        <s v="ICE376"/>
        <s v="ICE377"/>
        <s v="ICE378"/>
        <s v="ICE379"/>
        <s v="ICE380"/>
        <s v="ICE381"/>
        <s v="ICE382"/>
        <s v="ICE383"/>
        <s v="ICE384"/>
        <s v="ICE385"/>
        <s v="ICE386"/>
        <s v="ICE387"/>
        <s v="ICE388"/>
        <s v="ICE389"/>
        <s v="ICE390"/>
        <s v="ICE391"/>
        <s v="ICE392"/>
        <s v="ICE393"/>
        <s v="ICE394"/>
        <s v="ICE395"/>
        <s v="ICE396"/>
        <s v="ICE397"/>
        <s v="ICE398"/>
        <s v="ICE399"/>
        <s v="ICE400"/>
        <s v="ICE401"/>
        <s v="ICE402"/>
        <s v="ICE403"/>
        <s v="ICE404"/>
        <s v="ICE405"/>
        <s v="ICE406"/>
        <s v="ICE407"/>
        <s v="ICE408"/>
        <s v="ICE409"/>
        <s v="ICE410"/>
        <s v="ICE411"/>
        <s v="ICE412"/>
        <s v="ICE413"/>
        <s v="ICE414"/>
        <s v="ICE415"/>
        <s v="ICE416"/>
        <s v="ICE417"/>
        <s v="ICE418"/>
        <s v="ICE419"/>
        <s v="ICE420"/>
        <s v="ICE421"/>
        <s v="ICE422"/>
        <s v="ICE423"/>
        <s v="ICE424"/>
        <s v="ICE425"/>
        <s v="ICE426"/>
        <s v="ICE427"/>
        <s v="ICE428"/>
        <s v="ICE429"/>
        <s v="ICE430"/>
        <s v="ICE431"/>
        <s v="ICE432"/>
        <s v="ICE433"/>
        <s v="ICE434"/>
        <s v="ICE435"/>
        <s v="ICE436"/>
        <s v="ICE437"/>
        <s v="ICE438"/>
        <s v="ICE439"/>
        <s v="ICE440"/>
        <s v="ICE441"/>
        <s v="ICE442"/>
        <s v="ICE443"/>
        <s v="ICE444"/>
        <s v="ICE445"/>
        <s v="ICE446"/>
        <s v="ICE447"/>
        <s v="ICE448"/>
        <s v="ICE449"/>
        <s v="ICE450"/>
        <s v="ICE451"/>
        <s v="ICE452"/>
        <s v="ICE453"/>
        <s v="ICE454"/>
        <s v="ICE455"/>
        <s v="ICE456"/>
        <s v="ICE457"/>
        <s v="ICE458"/>
        <s v="ICE459"/>
        <s v="ICE460"/>
        <s v="ICE461"/>
        <s v="ICE462"/>
        <s v="ICE463"/>
        <s v="ICE464"/>
        <s v="ICE465"/>
        <s v="ICE466"/>
        <s v="ICE467"/>
        <s v="ICE468"/>
        <s v="ICE469"/>
        <s v="ICE470"/>
        <s v="ICE471"/>
        <s v="ICE472"/>
        <s v="ICE473"/>
        <s v="ICE474"/>
        <s v="ICE475"/>
        <s v="ICE476"/>
        <s v="ICE477"/>
        <s v="ICE478"/>
        <s v="ICE479"/>
        <s v="ICE480"/>
        <s v="ICE481"/>
        <s v="ICE482"/>
        <s v="ICE483"/>
        <s v="ICE484"/>
        <s v="ICE485"/>
        <s v="ICE486"/>
        <s v="ICE487"/>
        <s v="ICE488"/>
        <s v="ICE489"/>
        <s v="ICE490"/>
        <s v="ICE491"/>
        <s v="ICE492"/>
        <s v="ICE493"/>
        <s v="ICE494"/>
        <s v="ICE495"/>
        <s v="ICE496"/>
        <s v="ICE497"/>
        <s v="ICE498"/>
        <s v="ICE499"/>
        <s v="ICE500"/>
        <s v="ICE501"/>
        <s v="ICE502"/>
        <s v="ICE503"/>
        <s v="ICE504"/>
        <s v="ICE505"/>
        <s v="ICE506"/>
        <s v="ICE507"/>
        <s v="ICE508"/>
        <s v="ICE509"/>
        <s v="ICE510"/>
        <s v="ICE511"/>
        <s v="ICE512"/>
        <s v="ICE513"/>
        <s v="ICE514"/>
        <s v="ICE515"/>
        <s v="ICE516"/>
        <s v="ICE517"/>
        <s v="ICE518"/>
        <s v="ICE519"/>
        <s v="ICE520"/>
        <s v="ICE521"/>
        <s v="ICE522"/>
        <s v="ICE523"/>
        <s v="ICE524"/>
        <s v="ICE525"/>
        <s v="ICE526"/>
        <s v="ICE527"/>
        <s v="ICE528"/>
        <s v="ICE529"/>
        <s v="ICE530"/>
        <s v="ICE531"/>
        <s v="ICE532"/>
        <s v="ICE533"/>
        <s v="ICE534"/>
        <s v="ICE535"/>
        <s v="ICE536"/>
        <s v="ICE537"/>
        <s v="ICE538"/>
        <s v="ICE539"/>
        <s v="ICE540"/>
        <s v="ICE541"/>
        <s v="ICE542"/>
        <s v="ICE543"/>
        <s v="ICE544"/>
        <s v="ICE545"/>
        <s v="ICE546"/>
        <s v="ICE547"/>
        <s v="ICE548"/>
        <s v="ICE549"/>
        <s v="ICE550"/>
        <s v="ICE551"/>
        <s v="ICE552"/>
        <s v="ICE553"/>
        <s v="ICE554"/>
        <s v="ICE555"/>
        <s v="ICE556"/>
        <s v="ICE557"/>
        <s v="ICE558"/>
        <s v="ICE559"/>
        <s v="ICE560"/>
        <s v="ICE561"/>
        <s v="ICE562"/>
        <s v="ICE563"/>
        <s v="ICE564"/>
        <s v="ICE565"/>
        <s v="ICE566"/>
        <s v="ICE567"/>
        <s v="ICE568"/>
        <s v="ICE569"/>
        <s v="ICE570"/>
        <s v="ICE571"/>
        <s v="ICE572"/>
        <s v="ICE573"/>
        <s v="ICE574"/>
        <s v="ICE575"/>
        <s v="ICE576"/>
        <s v="ICE577"/>
        <s v="ICE578"/>
        <s v="ICE579"/>
        <s v="ICE580"/>
        <s v="ICE581"/>
        <s v="ICE582"/>
        <s v="ICE583"/>
        <s v="ICE584"/>
        <s v="ICE585"/>
        <s v="ICE586"/>
        <s v="ICE587"/>
        <s v="ICE588"/>
        <s v="ICE589"/>
        <s v="ICE590"/>
        <s v="ICE591"/>
        <s v="ICE592"/>
        <s v="ICE593"/>
        <s v="ICE594"/>
        <s v="ICE595"/>
        <s v="ICE596"/>
        <s v="ICE597"/>
        <s v="ICE598"/>
        <s v="ICE599"/>
        <s v="ICE600"/>
        <s v="ICE601"/>
        <s v="ICE602"/>
        <s v="ICE603"/>
        <s v="ICE604"/>
        <s v="ICE605"/>
        <s v="ICE606"/>
        <s v="ICE607"/>
        <s v="ICE608"/>
        <s v="ICE609"/>
        <s v="ICE610"/>
        <s v="ICE611"/>
        <s v="ICE612"/>
        <s v="ICE613"/>
        <s v="ICE614"/>
        <s v="ICE615"/>
        <s v="ICE616"/>
        <s v="ICE617"/>
        <s v="ICE618"/>
        <s v="ICE619"/>
        <s v="ICE620"/>
        <s v="ICE621"/>
        <s v="ICE622"/>
        <s v="ICE623"/>
        <s v="ICE624"/>
        <s v="ICE625"/>
        <s v="ICE626"/>
        <s v="ICE627"/>
        <s v="ICE628"/>
        <s v="ICE629"/>
        <s v="ICE630"/>
        <s v="ICE631"/>
        <s v="ICE632"/>
        <s v="ICE633"/>
        <s v="ICE634"/>
        <s v="ICE635"/>
        <s v="ICE636"/>
        <s v="ICE637"/>
        <s v="ICE638"/>
        <s v="ICE639"/>
        <s v="ICE640"/>
        <s v="ICE641"/>
        <s v="ICE642"/>
        <s v="ICE643"/>
        <s v="ICE644"/>
        <s v="ICE645"/>
        <s v="ICE646"/>
        <s v="ICE647"/>
        <s v="ICE648"/>
        <s v="ICE649"/>
        <s v="ICE650"/>
        <s v="ICE651"/>
        <s v="ICE652"/>
        <s v="ICE653"/>
        <s v="ICE654"/>
        <s v="ICE655"/>
        <s v="ICE656"/>
        <s v="ICE657"/>
        <s v="ICE658"/>
        <s v="ICE659"/>
        <s v="ICE660"/>
        <s v="ICE661"/>
        <s v="ICE662"/>
        <s v="ICE663"/>
        <s v="ICE664"/>
        <s v="ICE665"/>
        <s v="ICE666"/>
        <s v="ICE667"/>
        <s v="ICE668"/>
        <s v="ICE669"/>
        <s v="ICE670"/>
        <s v="ICE671"/>
        <s v="ICE672"/>
        <s v="ICE673"/>
        <s v="ICE674"/>
        <s v="ICE675"/>
        <s v="ICE676"/>
        <s v="ICE677"/>
        <s v="ICE678"/>
        <s v="ICE679"/>
        <s v="ICE680"/>
        <s v="ICE681"/>
        <s v="ICE682"/>
        <s v="ICE683"/>
        <s v="ICE684"/>
        <s v="ICE685"/>
        <s v="ICE686"/>
        <s v="ICE687"/>
        <s v="ICE688"/>
        <s v="ICE689"/>
        <s v="ICE690"/>
        <s v="ICE691"/>
        <s v="ICE692"/>
        <s v="ICE693"/>
        <s v="ICE694"/>
        <s v="ICE695"/>
        <s v="ICE696"/>
        <s v="ICE697"/>
        <s v="ICE698"/>
        <s v="ICE699"/>
        <s v="ICE700"/>
        <s v="ICE701"/>
        <s v="ICE702"/>
        <s v="ICE703"/>
        <s v="ICE704"/>
        <s v="ICE705"/>
        <s v="ICE706"/>
        <s v="ICE707"/>
        <s v="ICE708"/>
        <s v="ICE709"/>
        <s v="ICE710"/>
        <s v="ICE711"/>
        <s v="ICE712"/>
        <s v="ICE713"/>
        <s v="ICE714"/>
        <s v="ICE715"/>
        <s v="ICE716"/>
        <s v="ICE717"/>
        <s v="ICE718"/>
        <s v="ICE719"/>
        <s v="ICE720"/>
        <s v="ICE721"/>
        <s v="ICE722"/>
        <s v="ICE723"/>
        <s v="ICE724"/>
        <s v="ICE725"/>
        <s v="ICE726"/>
        <s v="ICE727"/>
        <s v="ICE728"/>
        <s v="ICE729"/>
        <s v="ICE730"/>
        <s v="ICE731"/>
        <s v="ICE732"/>
        <s v="ICE733"/>
        <s v="ICE734"/>
        <s v="ICE735"/>
        <s v="ICE736"/>
        <s v="ICE737"/>
        <s v="ICE738"/>
        <s v="ICE739"/>
        <s v="ICE740"/>
        <s v="ICE741"/>
        <s v="ICE742"/>
        <s v="ICE743"/>
        <s v="ICE744"/>
        <s v="ICE745"/>
        <s v="ICE746"/>
        <s v="ICE747"/>
        <s v="ICE748"/>
        <s v="ICE749"/>
        <s v="ICE750"/>
        <s v="ICE751"/>
        <s v="ICE752"/>
        <s v="ICE753"/>
        <s v="ICE754"/>
        <s v="ICE755"/>
        <s v="ICE756"/>
        <s v="ICE757"/>
        <s v="ICE758"/>
        <s v="ICE759"/>
        <s v="ICE760"/>
        <s v="ICE761"/>
        <s v="ICE762"/>
        <s v="ICE763"/>
        <s v="ICE764"/>
        <s v="ICE765"/>
        <s v="ICE766"/>
        <s v="ICE767"/>
        <s v="ICE768"/>
        <s v="ICE769"/>
        <s v="ICE770"/>
        <s v="ICE771"/>
        <s v="ICE772"/>
        <s v="ICE773"/>
        <s v="ICE774"/>
        <s v="ICE775"/>
        <s v="ICE776"/>
        <s v="ICE777"/>
        <s v="ICE778"/>
        <s v="ICE779"/>
        <s v="ICE780"/>
        <s v="ICE781"/>
        <s v="ICE782"/>
        <s v="ICE783"/>
        <s v="ICE784"/>
        <s v="ICE785"/>
        <s v="ICE786"/>
        <s v="ICE787"/>
        <s v="ICE788"/>
        <s v="ICE789"/>
        <s v="ICE790"/>
        <s v="ICE791"/>
        <s v="ICE792"/>
        <s v="ICE793"/>
        <s v="ICE794"/>
        <s v="ICE795"/>
        <s v="ICE796"/>
        <s v="ICE797"/>
        <s v="ICE798"/>
        <s v="ICE799"/>
        <s v="ICE800"/>
        <s v="ICE801"/>
        <s v="ICE802"/>
        <s v="ICE803"/>
        <s v="ICE804"/>
        <s v="ICE805"/>
        <s v="ICE806"/>
        <s v="ICE807"/>
        <s v="ICE808"/>
        <s v="ICE809"/>
        <s v="ICE810"/>
        <s v="ICE811"/>
        <s v="ICE812"/>
        <s v="ICE813"/>
        <s v="ICE814"/>
        <s v="ICE815"/>
        <s v="ICE816"/>
        <s v="ICE817"/>
        <s v="ICE818"/>
        <s v="ICE819"/>
        <s v="ICE820"/>
        <s v="ICE821"/>
        <s v="ICE822"/>
        <s v="ICE823"/>
        <s v="ICE824"/>
        <s v="ICE825"/>
        <s v="ICE826"/>
        <s v="ICE827"/>
        <s v="ICE828"/>
        <s v="ICE829"/>
        <s v="ICE830"/>
        <s v="ICE831"/>
        <s v="ICE832"/>
        <s v="ICE833"/>
        <s v="ICE834"/>
        <s v="ICE835"/>
        <s v="ICE836"/>
        <s v="ICE837"/>
        <s v="ICE838"/>
        <s v="ICE839"/>
        <s v="ICE840"/>
        <s v="ICE841"/>
        <s v="ICE842"/>
        <s v="ICE843"/>
        <s v="ICE844"/>
        <s v="ICE845"/>
        <s v="ICE846"/>
        <s v="ICE847"/>
        <s v="ICE848"/>
        <s v="ICE849"/>
        <s v="ICE850"/>
        <s v="ICE851"/>
        <s v="ICE852"/>
        <s v="ICE853"/>
        <s v="ICE854"/>
        <s v="ICE855"/>
        <s v="ICE856"/>
        <s v="ICE857"/>
        <s v="ICE858"/>
        <s v="ICE859"/>
        <s v="ICE860"/>
        <s v="ICE861"/>
        <s v="ICE862"/>
        <s v="ICE863"/>
        <s v="ICE864"/>
        <s v="ICE865"/>
        <s v="ICE866"/>
        <s v="ICE867"/>
        <s v="ICE868"/>
        <s v="ICE869"/>
        <s v="ICE870"/>
        <s v="ICE871"/>
        <s v="ICE872"/>
        <s v="ICE873"/>
        <s v="ICE874"/>
        <s v="ICE875"/>
        <s v="ICE876"/>
        <s v="ICE877"/>
        <s v="ICE878"/>
        <s v="ICE879"/>
        <s v="ICE880"/>
        <s v="ICE881"/>
        <s v="ICE882"/>
        <s v="ICE883"/>
        <s v="ICE884"/>
        <s v="ICE885"/>
        <s v="ICE886"/>
        <s v="ICE887"/>
        <s v="ICE888"/>
        <s v="ICE889"/>
        <s v="ICE890"/>
        <s v="ICE891"/>
        <s v="ICE892"/>
        <s v="ICE893"/>
        <s v="ICE894"/>
        <s v="ICE895"/>
        <s v="ICE896"/>
        <s v="ICE897"/>
        <s v="ICE898"/>
        <s v="ICE899"/>
        <s v="ICE900"/>
        <s v="ICE901"/>
        <s v="ICE902"/>
        <s v="ICE903"/>
        <s v="ICE904"/>
        <s v="ICE905"/>
        <s v="ICE906"/>
        <s v="ICE907"/>
        <s v="ICE908"/>
        <s v="ICE909"/>
        <s v="ICE910"/>
        <s v="ICE911"/>
        <s v="ICE912"/>
        <s v="ICE913"/>
        <s v="ICE914"/>
        <s v="ICE915"/>
        <s v="ICE916"/>
        <s v="ICE917"/>
        <s v="ICE918"/>
        <s v="ICE919"/>
        <s v="ICE920"/>
        <s v="ICE921"/>
        <s v="ICE922"/>
        <s v="ICE923"/>
        <s v="ICE924"/>
        <s v="ICE925"/>
        <s v="ICE926"/>
        <s v="ICE927"/>
        <s v="ICE928"/>
        <s v="ICE929"/>
        <s v="ICE930"/>
        <s v="ICE931"/>
        <s v="ICE932"/>
        <s v="ICE933"/>
        <s v="ICE934"/>
        <s v="ICE935"/>
        <s v="ICE936"/>
        <s v="ICE937"/>
        <s v="ICE938"/>
        <s v="ICE939"/>
        <s v="ICE940"/>
        <s v="ICE941"/>
        <s v="ICE942"/>
        <s v="ICE943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D44" firstHeaderRow="0" firstDataRow="3" firstDataCol="0"/>
  <pivotFields>
    <pivotField name="Timestamp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t="default"/>
      </items>
    </pivotField>
    <pivotField name="კონტრაგენტი :" axis="axisRow" compact="0" outline="0" multipleItemSelectionAllowed="1" showAll="0" sortType="ascending" defaultSubtotal="0">
      <items>
        <item h="1" x="402"/>
        <item h="1" x="40"/>
        <item h="1" x="91"/>
        <item h="1" x="68"/>
        <item h="1" x="200"/>
        <item h="1" x="271"/>
        <item h="1" x="110"/>
        <item h="1" x="12"/>
        <item h="1" x="381"/>
        <item h="1" x="238"/>
        <item h="1" x="295"/>
        <item h="1" x="193"/>
        <item h="1" x="203"/>
        <item h="1" x="250"/>
        <item h="1" x="383"/>
        <item h="1" x="336"/>
        <item h="1" x="223"/>
        <item h="1" x="137"/>
        <item h="1" x="45"/>
        <item h="1" x="239"/>
        <item h="1" x="344"/>
        <item h="1" x="328"/>
        <item h="1" x="233"/>
        <item h="1" x="221"/>
        <item h="1" x="28"/>
        <item h="1" x="95"/>
        <item h="1" x="179"/>
        <item h="1" x="218"/>
        <item h="1" x="130"/>
        <item h="1" x="396"/>
        <item h="1" x="94"/>
        <item h="1" x="83"/>
        <item h="1" x="156"/>
        <item h="1" x="180"/>
        <item h="1" x="283"/>
        <item h="1" x="266"/>
        <item h="1" x="8"/>
        <item h="1" x="313"/>
        <item h="1" x="123"/>
        <item h="1" x="362"/>
        <item h="1" x="160"/>
        <item h="1" x="35"/>
        <item h="1" x="376"/>
        <item h="1" x="212"/>
        <item h="1" x="372"/>
        <item h="1" x="330"/>
        <item h="1" x="142"/>
        <item h="1" x="291"/>
        <item h="1" x="279"/>
        <item h="1" x="97"/>
        <item h="1" x="234"/>
        <item h="1" x="272"/>
        <item h="1" x="232"/>
        <item h="1" x="252"/>
        <item h="1" x="341"/>
        <item h="1" x="72"/>
        <item h="1" x="363"/>
        <item h="1" x="58"/>
        <item h="1" x="197"/>
        <item h="1" x="80"/>
        <item h="1" x="143"/>
        <item h="1" x="32"/>
        <item h="1" x="65"/>
        <item h="1" x="273"/>
        <item h="1" x="178"/>
        <item h="1" x="13"/>
        <item h="1" x="286"/>
        <item h="1" x="334"/>
        <item h="1" x="73"/>
        <item h="1" x="107"/>
        <item h="1" x="281"/>
        <item h="1" x="115"/>
        <item h="1" x="382"/>
        <item h="1" x="159"/>
        <item h="1" x="317"/>
        <item h="1" x="226"/>
        <item h="1" x="257"/>
        <item h="1" x="2"/>
        <item h="1" x="265"/>
        <item h="1" x="120"/>
        <item h="1" x="269"/>
        <item h="1" x="139"/>
        <item h="1" x="20"/>
        <item h="1" x="287"/>
        <item h="1" x="22"/>
        <item h="1" x="101"/>
        <item h="1" x="150"/>
        <item h="1" x="207"/>
        <item h="1" x="274"/>
        <item h="1" x="316"/>
        <item h="1" x="93"/>
        <item h="1" x="46"/>
        <item h="1" x="220"/>
        <item h="1" x="69"/>
        <item h="1" x="333"/>
        <item h="1" x="282"/>
        <item h="1" x="141"/>
        <item h="1" x="3"/>
        <item h="1" x="90"/>
        <item h="1" x="121"/>
        <item h="1" x="88"/>
        <item h="1" x="318"/>
        <item h="1" x="185"/>
        <item h="1" x="155"/>
        <item h="1" x="112"/>
        <item h="1" x="183"/>
        <item h="1" x="353"/>
        <item h="1" x="202"/>
        <item h="1" x="371"/>
        <item h="1" x="312"/>
        <item h="1" x="187"/>
        <item h="1" x="166"/>
        <item h="1" x="41"/>
        <item h="1" x="206"/>
        <item h="1" x="181"/>
        <item h="1" x="255"/>
        <item h="1" x="117"/>
        <item h="1" x="175"/>
        <item h="1" x="133"/>
        <item h="1" x="119"/>
        <item h="1" x="245"/>
        <item h="1" x="76"/>
        <item h="1" x="229"/>
        <item h="1" x="359"/>
        <item h="1" x="106"/>
        <item h="1" x="126"/>
        <item h="1" x="216"/>
        <item h="1" x="345"/>
        <item h="1" x="50"/>
        <item h="1" x="348"/>
        <item h="1" x="36"/>
        <item h="1" x="231"/>
        <item h="1" x="278"/>
        <item h="1" x="391"/>
        <item h="1" x="64"/>
        <item h="1" x="169"/>
        <item h="1" x="230"/>
        <item h="1" x="290"/>
        <item h="1" x="194"/>
        <item h="1" x="25"/>
        <item h="1" x="67"/>
        <item h="1" x="61"/>
        <item h="1" x="209"/>
        <item h="1" x="350"/>
        <item h="1" x="240"/>
        <item h="1" x="399"/>
        <item h="1" x="131"/>
        <item h="1" x="54"/>
        <item h="1" x="136"/>
        <item h="1" x="305"/>
        <item h="1" x="358"/>
        <item h="1" x="244"/>
        <item h="1" x="311"/>
        <item h="1" x="16"/>
        <item h="1" x="215"/>
        <item h="1" x="201"/>
        <item h="1" x="351"/>
        <item h="1" x="104"/>
        <item h="1" x="19"/>
        <item h="1" x="140"/>
        <item h="1" x="300"/>
        <item h="1" x="109"/>
        <item h="1" x="60"/>
        <item h="1" x="47"/>
        <item h="1" x="186"/>
        <item h="1" x="236"/>
        <item h="1" x="314"/>
        <item h="1" x="128"/>
        <item h="1" x="174"/>
        <item h="1" x="329"/>
        <item h="1" x="177"/>
        <item h="1" x="394"/>
        <item h="1" x="299"/>
        <item h="1" x="368"/>
        <item h="1" x="357"/>
        <item h="1" x="184"/>
        <item h="1" x="214"/>
        <item h="1" x="103"/>
        <item h="1" x="172"/>
        <item h="1" x="349"/>
        <item h="1" x="116"/>
        <item h="1" x="320"/>
        <item h="1" x="392"/>
        <item h="1" x="347"/>
        <item h="1" x="189"/>
        <item h="1" x="48"/>
        <item h="1" x="276"/>
        <item h="1" x="302"/>
        <item h="1" x="10"/>
        <item h="1" x="191"/>
        <item h="1" x="51"/>
        <item h="1" x="326"/>
        <item h="1" x="11"/>
        <item h="1" x="384"/>
        <item h="1" x="190"/>
        <item h="1" x="113"/>
        <item h="1" x="37"/>
        <item h="1" x="188"/>
        <item h="1" x="331"/>
        <item h="1" x="100"/>
        <item h="1" x="293"/>
        <item h="1" x="63"/>
        <item h="1" x="192"/>
        <item h="1" x="360"/>
        <item h="1" x="157"/>
        <item h="1" x="198"/>
        <item h="1" x="309"/>
        <item h="1" x="158"/>
        <item x="1"/>
        <item x="195"/>
        <item h="1" x="182"/>
        <item h="1" x="23"/>
        <item h="1" x="92"/>
        <item h="1" x="237"/>
        <item h="1" x="74"/>
        <item h="1" x="342"/>
        <item h="1" x="152"/>
        <item h="1" x="127"/>
        <item h="1" x="26"/>
        <item h="1" x="267"/>
        <item h="1" x="354"/>
        <item h="1" x="343"/>
        <item h="1" x="108"/>
        <item h="1" x="393"/>
        <item h="1" x="263"/>
        <item h="1" x="264"/>
        <item h="1" x="167"/>
        <item h="1" x="260"/>
        <item h="1" x="261"/>
        <item h="1" x="262"/>
        <item h="1" x="9"/>
        <item h="1" x="210"/>
        <item h="1" x="390"/>
        <item h="1" x="75"/>
        <item h="1" x="33"/>
        <item h="1" x="151"/>
        <item h="1" x="303"/>
        <item h="1" x="369"/>
        <item h="1" x="154"/>
        <item h="1" x="319"/>
        <item h="1" x="163"/>
        <item h="1" x="294"/>
        <item h="1" x="243"/>
        <item h="1" x="118"/>
        <item h="1" x="315"/>
        <item h="1" x="170"/>
        <item h="1" x="249"/>
        <item h="1" x="395"/>
        <item h="1" x="321"/>
        <item h="1" x="98"/>
        <item h="1" x="352"/>
        <item h="1" x="397"/>
        <item h="1" x="310"/>
        <item h="1" x="31"/>
        <item h="1" x="84"/>
        <item h="1" x="401"/>
        <item h="1" x="5"/>
        <item h="1" x="149"/>
        <item h="1" x="367"/>
        <item h="1" x="370"/>
        <item h="1" x="251"/>
        <item h="1" x="227"/>
        <item h="1" x="129"/>
        <item h="1" x="96"/>
        <item h="1" x="270"/>
        <item h="1" x="288"/>
        <item h="1" x="204"/>
        <item h="1" x="44"/>
        <item h="1" x="377"/>
        <item h="1" x="132"/>
        <item h="1" x="355"/>
        <item h="1" x="246"/>
        <item h="1" x="6"/>
        <item h="1" x="81"/>
        <item h="1" x="161"/>
        <item h="1" x="248"/>
        <item h="1" x="306"/>
        <item h="1" x="375"/>
        <item h="1" x="144"/>
        <item h="1" x="373"/>
        <item h="1" x="304"/>
        <item h="1" x="374"/>
        <item h="1" x="388"/>
        <item h="1" x="173"/>
        <item h="1" x="380"/>
        <item h="1" x="52"/>
        <item h="1" x="145"/>
        <item h="1" x="168"/>
        <item h="1" x="53"/>
        <item h="1" x="292"/>
        <item h="1" x="284"/>
        <item h="1" x="400"/>
        <item h="1" x="18"/>
        <item h="1" x="79"/>
        <item h="1" x="275"/>
        <item h="1" x="171"/>
        <item h="1" x="323"/>
        <item h="1" x="356"/>
        <item h="1" x="361"/>
        <item h="1" x="153"/>
        <item h="1" x="0"/>
        <item h="1" x="56"/>
        <item h="1" x="57"/>
        <item h="1" x="125"/>
        <item h="1" x="105"/>
        <item h="1" x="43"/>
        <item h="1" x="27"/>
        <item h="1" x="301"/>
        <item h="1" x="77"/>
        <item h="1" x="114"/>
        <item h="1" x="228"/>
        <item h="1" x="307"/>
        <item h="1" x="366"/>
        <item h="1" x="135"/>
        <item h="1" x="49"/>
        <item h="1" x="162"/>
        <item h="1" x="205"/>
        <item h="1" x="147"/>
        <item h="1" x="222"/>
        <item h="1" x="254"/>
        <item h="1" x="4"/>
        <item h="1" x="70"/>
        <item h="1" x="29"/>
        <item h="1" x="62"/>
        <item h="1" x="253"/>
        <item h="1" x="14"/>
        <item h="1" x="102"/>
        <item h="1" x="124"/>
        <item h="1" x="259"/>
        <item h="1" x="379"/>
        <item h="1" x="365"/>
        <item h="1" x="219"/>
        <item h="1" x="213"/>
        <item h="1" x="224"/>
        <item h="1" x="89"/>
        <item h="1" x="298"/>
        <item h="1" x="277"/>
        <item h="1" x="66"/>
        <item h="1" x="332"/>
        <item h="1" x="247"/>
        <item h="1" x="211"/>
        <item h="1" x="42"/>
        <item h="1" x="335"/>
        <item h="1" x="297"/>
        <item h="1" x="24"/>
        <item h="1" x="34"/>
        <item h="1" x="199"/>
        <item h="1" x="322"/>
        <item h="1" x="325"/>
        <item h="1" x="122"/>
        <item h="1" x="86"/>
        <item h="1" x="111"/>
        <item h="1" x="138"/>
        <item h="1" x="99"/>
        <item h="1" x="208"/>
        <item h="1" x="256"/>
        <item h="1" x="235"/>
        <item h="1" x="38"/>
        <item h="1" x="146"/>
        <item h="1" x="378"/>
        <item h="1" x="30"/>
        <item h="1" x="82"/>
        <item h="1" x="398"/>
        <item h="1" x="15"/>
        <item h="1" x="364"/>
        <item h="1" x="324"/>
        <item h="1" x="225"/>
        <item h="1" x="389"/>
        <item h="1" x="165"/>
        <item h="1" x="164"/>
        <item h="1" x="386"/>
        <item h="1" x="217"/>
        <item h="1" x="337"/>
        <item h="1" x="78"/>
        <item h="1" x="289"/>
        <item h="1" x="308"/>
        <item h="1" x="296"/>
        <item h="1" x="242"/>
        <item h="1" x="258"/>
        <item h="1" x="196"/>
        <item h="1" x="59"/>
        <item h="1" x="21"/>
        <item h="1" x="176"/>
        <item h="1" x="87"/>
        <item h="1" x="285"/>
        <item h="1" x="17"/>
        <item h="1" x="280"/>
        <item h="1" x="340"/>
        <item h="1" x="327"/>
        <item h="1" x="346"/>
        <item h="1" x="85"/>
        <item h="1" x="339"/>
        <item h="1" x="55"/>
        <item h="1" x="241"/>
        <item h="1" x="338"/>
        <item h="1" x="134"/>
        <item h="1" x="71"/>
        <item h="1" x="39"/>
        <item h="1" x="387"/>
        <item h="1" x="268"/>
        <item h="1" x="148"/>
        <item h="1" x="385"/>
        <item h="1" x="7"/>
      </items>
    </pivotField>
    <pivotField name="პროექტის დასახელება 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t="default"/>
      </items>
    </pivotField>
    <pivotField name="შემოსავლის კოდი 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თარიღი :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t="default"/>
      </items>
    </pivotField>
    <pivotField name="თანხა :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t="default"/>
      </items>
    </pivotField>
    <pivotField name="ვალუტა :" axis="axisRow" compact="0" outline="0" multipleItemSelectionAllowed="1" showAll="0" sortType="ascending">
      <items>
        <item x="4"/>
        <item x="3"/>
        <item x="2"/>
        <item x="1"/>
        <item x="0"/>
        <item t="default"/>
      </items>
    </pivotField>
    <pivotField name="პროექტის სტატუსი :" compact="0" outline="0" multipleItemSelectionAllowed="1" showAll="0">
      <items>
        <item x="0"/>
        <item x="1"/>
        <item x="2"/>
        <item t="default"/>
      </items>
    </pivotField>
    <pivotField name="თანამშრომელი 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IS 1630 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კონტრაქტის # -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t="default"/>
      </items>
    </pivotField>
    <pivotField name="პროექტი_GUID/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t="default"/>
      </items>
    </pivotField>
    <pivotField name="პროექტი//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t="default"/>
      </items>
    </pivotField>
    <pivotField name="შემოსავლის კოდი_GU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კონტრაგენტი_GU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თანამშრომელი_GU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llater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leted" compact="0" outline="0" multipleItemSelectionAllowed="1" showAll="0">
      <items>
        <item x="0"/>
        <item x="1"/>
        <item t="default"/>
      </items>
    </pivotField>
    <pivotField name="Name1" axis="axisRow" compact="0" numFmtId="166" outline="0" multipleItemSelectionAllowed="1" showAll="0" sortType="ascending" defaultSubtotal="0">
      <items>
        <item x="940"/>
        <item x="594"/>
        <item x="273"/>
        <item x="51"/>
        <item x="387"/>
        <item x="443"/>
        <item x="875"/>
        <item x="900"/>
        <item x="492"/>
        <item x="253"/>
        <item x="660"/>
        <item x="197"/>
        <item x="196"/>
        <item x="712"/>
        <item x="172"/>
        <item x="284"/>
        <item x="358"/>
        <item x="595"/>
        <item x="381"/>
        <item x="910"/>
        <item x="249"/>
        <item x="91"/>
        <item x="8"/>
        <item x="118"/>
        <item x="851"/>
        <item x="876"/>
        <item x="914"/>
        <item x="631"/>
        <item x="623"/>
        <item x="628"/>
        <item x="629"/>
        <item x="724"/>
        <item x="34"/>
        <item x="142"/>
        <item x="435"/>
        <item x="593"/>
        <item x="774"/>
        <item x="795"/>
        <item x="806"/>
        <item x="786"/>
        <item x="824"/>
        <item x="792"/>
        <item x="791"/>
        <item x="784"/>
        <item x="790"/>
        <item x="782"/>
        <item x="787"/>
        <item x="822"/>
        <item x="785"/>
        <item x="823"/>
        <item x="788"/>
        <item x="693"/>
        <item x="789"/>
        <item x="794"/>
        <item x="799"/>
        <item x="292"/>
        <item x="545"/>
        <item x="542"/>
        <item x="879"/>
        <item x="654"/>
        <item x="428"/>
        <item x="325"/>
        <item x="932"/>
        <item x="577"/>
        <item x="596"/>
        <item x="578"/>
        <item x="359"/>
        <item x="599"/>
        <item x="372"/>
        <item x="598"/>
        <item x="649"/>
        <item x="667"/>
        <item x="937"/>
        <item x="481"/>
        <item x="303"/>
        <item x="688"/>
        <item x="239"/>
        <item x="132"/>
        <item x="65"/>
        <item x="120"/>
        <item x="664"/>
        <item x="240"/>
        <item x="220"/>
        <item x="337"/>
        <item x="802"/>
        <item x="847"/>
        <item x="583"/>
        <item x="763"/>
        <item x="584"/>
        <item x="585"/>
        <item x="800"/>
        <item x="338"/>
        <item x="586"/>
        <item x="587"/>
        <item x="582"/>
        <item x="82"/>
        <item x="143"/>
        <item x="515"/>
        <item x="877"/>
        <item x="296"/>
        <item x="543"/>
        <item x="571"/>
        <item x="843"/>
        <item x="867"/>
        <item x="771"/>
        <item x="916"/>
        <item x="216"/>
        <item x="404"/>
        <item x="600"/>
        <item x="361"/>
        <item x="256"/>
        <item x="363"/>
        <item x="164"/>
        <item x="213"/>
        <item x="524"/>
        <item x="77"/>
        <item x="135"/>
        <item x="212"/>
        <item x="812"/>
        <item x="370"/>
        <item x="522"/>
        <item x="733"/>
        <item x="601"/>
        <item x="732"/>
        <item x="333"/>
        <item x="589"/>
        <item x="436"/>
        <item x="472"/>
        <item x="602"/>
        <item x="564"/>
        <item x="13"/>
        <item x="121"/>
        <item x="439"/>
        <item x="351"/>
        <item x="689"/>
        <item x="731"/>
        <item x="814"/>
        <item x="373"/>
        <item x="719"/>
        <item x="498"/>
        <item x="501"/>
        <item x="673"/>
        <item x="672"/>
        <item x="444"/>
        <item x="416"/>
        <item x="476"/>
        <item x="44"/>
        <item x="119"/>
        <item x="304"/>
        <item x="511"/>
        <item x="315"/>
        <item x="52"/>
        <item x="137"/>
        <item x="238"/>
        <item x="897"/>
        <item x="193"/>
        <item x="409"/>
        <item x="424"/>
        <item x="425"/>
        <item x="705"/>
        <item x="356"/>
        <item x="754"/>
        <item x="756"/>
        <item x="0"/>
        <item x="334"/>
        <item x="136"/>
        <item x="755"/>
        <item x="749"/>
        <item x="752"/>
        <item x="469"/>
        <item x="300"/>
        <item x="355"/>
        <item x="938"/>
        <item x="772"/>
        <item x="887"/>
        <item x="888"/>
        <item x="886"/>
        <item x="581"/>
        <item x="729"/>
        <item x="905"/>
        <item x="275"/>
        <item x="36"/>
        <item x="878"/>
        <item x="497"/>
        <item x="675"/>
        <item x="737"/>
        <item x="727"/>
        <item x="603"/>
        <item x="437"/>
        <item x="450"/>
        <item x="514"/>
        <item x="762"/>
        <item x="864"/>
        <item x="291"/>
        <item x="208"/>
        <item x="591"/>
        <item x="427"/>
        <item x="477"/>
        <item x="440"/>
        <item x="820"/>
        <item x="558"/>
        <item x="1"/>
        <item x="130"/>
        <item x="644"/>
        <item x="898"/>
        <item x="604"/>
        <item x="403"/>
        <item x="343"/>
        <item x="698"/>
        <item x="415"/>
        <item x="17"/>
        <item x="148"/>
        <item x="376"/>
        <item x="857"/>
        <item x="873"/>
        <item x="872"/>
        <item x="448"/>
        <item x="902"/>
        <item x="157"/>
        <item x="158"/>
        <item x="386"/>
        <item x="32"/>
        <item x="145"/>
        <item x="741"/>
        <item x="674"/>
        <item x="198"/>
        <item x="366"/>
        <item x="166"/>
        <item x="630"/>
        <item x="165"/>
        <item x="173"/>
        <item x="669"/>
        <item x="858"/>
        <item x="853"/>
        <item x="694"/>
        <item x="375"/>
        <item x="170"/>
        <item x="184"/>
        <item x="859"/>
        <item x="833"/>
        <item x="389"/>
        <item x="431"/>
        <item x="59"/>
        <item x="735"/>
        <item x="684"/>
        <item x="662"/>
        <item x="7"/>
        <item x="122"/>
        <item x="615"/>
        <item x="616"/>
        <item x="454"/>
        <item x="412"/>
        <item x="12"/>
        <item x="115"/>
        <item x="235"/>
        <item x="776"/>
        <item x="434"/>
        <item x="777"/>
        <item x="829"/>
        <item x="513"/>
        <item x="767"/>
        <item x="911"/>
        <item x="641"/>
        <item x="22"/>
        <item x="102"/>
        <item x="808"/>
        <item x="783"/>
        <item x="418"/>
        <item x="417"/>
        <item x="817"/>
        <item x="818"/>
        <item x="819"/>
        <item x="388"/>
        <item x="339"/>
        <item x="504"/>
        <item x="505"/>
        <item x="796"/>
        <item x="445"/>
        <item x="224"/>
        <item x="473"/>
        <item x="625"/>
        <item x="290"/>
        <item x="205"/>
        <item x="929"/>
        <item x="35"/>
        <item x="28"/>
        <item x="100"/>
        <item x="85"/>
        <item x="728"/>
        <item x="98"/>
        <item x="15"/>
        <item x="856"/>
        <item x="490"/>
        <item x="838"/>
        <item x="442"/>
        <item x="638"/>
        <item x="659"/>
        <item x="639"/>
        <item x="831"/>
        <item x="209"/>
        <item x="681"/>
        <item x="421"/>
        <item x="410"/>
        <item x="605"/>
        <item x="116"/>
        <item x="47"/>
        <item x="146"/>
        <item x="751"/>
        <item x="93"/>
        <item x="152"/>
        <item x="624"/>
        <item x="92"/>
        <item x="590"/>
        <item x="711"/>
        <item x="68"/>
        <item x="88"/>
        <item x="478"/>
        <item x="909"/>
        <item x="565"/>
        <item x="825"/>
        <item x="408"/>
        <item x="323"/>
        <item x="195"/>
        <item x="655"/>
        <item x="891"/>
        <item x="309"/>
        <item x="646"/>
        <item x="169"/>
        <item x="850"/>
        <item x="250"/>
        <item x="493"/>
        <item x="203"/>
        <item x="904"/>
        <item x="855"/>
        <item x="467"/>
        <item x="920"/>
        <item x="270"/>
        <item x="271"/>
        <item x="703"/>
        <item x="700"/>
        <item x="430"/>
        <item x="848"/>
        <item x="218"/>
        <item x="219"/>
        <item x="67"/>
        <item x="775"/>
        <item x="362"/>
        <item x="318"/>
        <item x="84"/>
        <item x="73"/>
        <item x="215"/>
        <item x="907"/>
        <item x="862"/>
        <item x="419"/>
        <item x="572"/>
        <item x="744"/>
        <item x="180"/>
        <item x="45"/>
        <item x="779"/>
        <item x="16"/>
        <item x="114"/>
        <item x="884"/>
        <item x="258"/>
        <item x="259"/>
        <item x="260"/>
        <item x="661"/>
        <item x="758"/>
        <item x="645"/>
        <item x="385"/>
        <item x="707"/>
        <item x="295"/>
        <item x="699"/>
        <item x="392"/>
        <item x="685"/>
        <item x="89"/>
        <item x="881"/>
        <item x="346"/>
        <item x="406"/>
        <item x="723"/>
        <item x="607"/>
        <item x="592"/>
        <item x="575"/>
        <item x="839"/>
        <item x="19"/>
        <item x="128"/>
        <item x="278"/>
        <item x="96"/>
        <item x="554"/>
        <item x="840"/>
        <item x="730"/>
        <item x="43"/>
        <item x="139"/>
        <item x="4"/>
        <item x="144"/>
        <item x="495"/>
        <item x="609"/>
        <item x="438"/>
        <item x="608"/>
        <item x="576"/>
        <item x="610"/>
        <item x="78"/>
        <item x="432"/>
        <item x="678"/>
        <item x="750"/>
        <item x="677"/>
        <item x="207"/>
        <item x="311"/>
        <item x="468"/>
        <item x="868"/>
        <item x="426"/>
        <item x="449"/>
        <item x="890"/>
        <item x="892"/>
        <item x="257"/>
        <item x="294"/>
        <item x="174"/>
        <item x="272"/>
        <item x="474"/>
        <item x="63"/>
        <item x="94"/>
        <item x="62"/>
        <item x="57"/>
        <item x="153"/>
        <item x="168"/>
        <item x="353"/>
        <item x="828"/>
        <item x="453"/>
        <item x="150"/>
        <item x="298"/>
        <item x="251"/>
        <item x="221"/>
        <item x="329"/>
        <item x="460"/>
        <item x="734"/>
        <item x="611"/>
        <item x="281"/>
        <item x="588"/>
        <item x="41"/>
        <item x="125"/>
        <item x="765"/>
        <item x="39"/>
        <item x="124"/>
        <item x="234"/>
        <item x="687"/>
        <item x="394"/>
        <item x="201"/>
        <item x="211"/>
        <item x="210"/>
        <item x="283"/>
        <item x="925"/>
        <item x="371"/>
        <item x="930"/>
        <item x="331"/>
        <item x="20"/>
        <item x="99"/>
        <item x="179"/>
        <item x="597"/>
        <item x="285"/>
        <item x="171"/>
        <item x="276"/>
        <item x="773"/>
        <item x="906"/>
        <item x="347"/>
        <item x="411"/>
        <item x="327"/>
        <item x="341"/>
        <item x="178"/>
        <item x="214"/>
        <item x="301"/>
        <item x="348"/>
        <item x="186"/>
        <item x="896"/>
        <item x="722"/>
        <item x="194"/>
        <item x="50"/>
        <item x="537"/>
        <item x="127"/>
        <item x="538"/>
        <item x="326"/>
        <item x="764"/>
        <item x="487"/>
        <item x="913"/>
        <item x="671"/>
        <item x="27"/>
        <item x="105"/>
        <item x="149"/>
        <item x="58"/>
        <item x="527"/>
        <item x="308"/>
        <item x="72"/>
        <item x="37"/>
        <item x="97"/>
        <item x="770"/>
        <item x="706"/>
        <item x="866"/>
        <item x="718"/>
        <item x="657"/>
        <item x="643"/>
        <item x="307"/>
        <item x="42"/>
        <item x="241"/>
        <item x="131"/>
        <item x="903"/>
        <item x="663"/>
        <item x="464"/>
        <item x="696"/>
        <item x="420"/>
        <item x="757"/>
        <item x="265"/>
        <item x="268"/>
        <item x="626"/>
        <item x="627"/>
        <item x="837"/>
        <item x="860"/>
        <item x="844"/>
        <item x="534"/>
        <item x="559"/>
        <item x="509"/>
        <item x="519"/>
        <item x="402"/>
        <item x="798"/>
        <item x="520"/>
        <item x="400"/>
        <item x="612"/>
        <item x="842"/>
        <item x="516"/>
        <item x="653"/>
        <item x="529"/>
        <item x="926"/>
        <item x="676"/>
        <item x="499"/>
        <item x="475"/>
        <item x="658"/>
        <item x="552"/>
        <item x="528"/>
        <item x="670"/>
        <item x="871"/>
        <item x="869"/>
        <item x="500"/>
        <item x="401"/>
        <item x="508"/>
        <item x="836"/>
        <item x="893"/>
        <item x="535"/>
        <item x="536"/>
        <item x="747"/>
        <item x="709"/>
        <item x="269"/>
        <item x="835"/>
        <item x="512"/>
        <item x="852"/>
        <item x="746"/>
        <item x="743"/>
        <item x="289"/>
        <item x="447"/>
        <item x="933"/>
        <item x="927"/>
        <item x="679"/>
        <item x="648"/>
        <item x="680"/>
        <item x="317"/>
        <item x="854"/>
        <item x="226"/>
        <item x="697"/>
        <item x="324"/>
        <item x="651"/>
        <item x="246"/>
        <item x="391"/>
        <item x="390"/>
        <item x="423"/>
        <item x="413"/>
        <item x="277"/>
        <item x="721"/>
        <item x="299"/>
        <item x="704"/>
        <item x="570"/>
        <item x="865"/>
        <item x="568"/>
        <item x="544"/>
        <item x="753"/>
        <item x="80"/>
        <item x="81"/>
        <item x="79"/>
        <item x="939"/>
        <item x="647"/>
        <item x="507"/>
        <item x="441"/>
        <item x="206"/>
        <item x="2"/>
        <item x="123"/>
        <item x="613"/>
        <item x="429"/>
        <item x="177"/>
        <item x="313"/>
        <item x="340"/>
        <item x="190"/>
        <item x="637"/>
        <item x="461"/>
        <item x="563"/>
        <item x="489"/>
        <item x="579"/>
        <item x="227"/>
        <item x="155"/>
        <item x="918"/>
        <item x="217"/>
        <item x="243"/>
        <item x="922"/>
        <item x="244"/>
        <item x="231"/>
        <item x="188"/>
        <item x="167"/>
        <item x="889"/>
        <item x="380"/>
        <item x="690"/>
        <item x="551"/>
        <item x="656"/>
        <item x="6"/>
        <item x="107"/>
        <item x="90"/>
        <item x="26"/>
        <item x="103"/>
        <item x="368"/>
        <item x="350"/>
        <item x="766"/>
        <item x="53"/>
        <item x="54"/>
        <item x="161"/>
        <item x="726"/>
        <item x="365"/>
        <item x="407"/>
        <item x="433"/>
        <item x="332"/>
        <item x="379"/>
        <item x="360"/>
        <item x="414"/>
        <item x="48"/>
        <item x="112"/>
        <item x="24"/>
        <item x="229"/>
        <item x="230"/>
        <item x="30"/>
        <item x="111"/>
        <item x="305"/>
        <item x="561"/>
        <item x="816"/>
        <item x="650"/>
        <item x="458"/>
        <item x="691"/>
        <item x="457"/>
        <item x="455"/>
        <item x="69"/>
        <item x="75"/>
        <item x="287"/>
        <item x="614"/>
        <item x="286"/>
        <item x="606"/>
        <item x="204"/>
        <item x="192"/>
        <item x="826"/>
        <item x="702"/>
        <item x="710"/>
        <item x="830"/>
        <item x="668"/>
        <item x="652"/>
        <item x="18"/>
        <item x="108"/>
        <item x="640"/>
        <item x="899"/>
        <item x="349"/>
        <item x="162"/>
        <item x="264"/>
        <item x="482"/>
        <item x="883"/>
        <item x="780"/>
        <item x="64"/>
        <item x="117"/>
        <item x="267"/>
        <item x="266"/>
        <item x="364"/>
        <item x="548"/>
        <item x="715"/>
        <item x="61"/>
        <item x="483"/>
        <item x="138"/>
        <item x="342"/>
        <item x="320"/>
        <item x="319"/>
        <item x="484"/>
        <item x="38"/>
        <item x="109"/>
        <item x="76"/>
        <item x="200"/>
        <item x="5"/>
        <item x="134"/>
        <item x="156"/>
        <item x="496"/>
        <item x="154"/>
        <item x="187"/>
        <item x="202"/>
        <item x="462"/>
        <item x="29"/>
        <item x="494"/>
        <item x="621"/>
        <item x="934"/>
        <item x="793"/>
        <item x="797"/>
        <item x="479"/>
        <item x="931"/>
        <item x="354"/>
        <item x="617"/>
        <item x="470"/>
        <item x="451"/>
        <item x="541"/>
        <item x="49"/>
        <item x="113"/>
        <item x="556"/>
        <item x="557"/>
        <item x="804"/>
        <item x="395"/>
        <item x="736"/>
        <item x="936"/>
        <item x="539"/>
        <item x="71"/>
        <item x="742"/>
        <item x="634"/>
        <item x="633"/>
        <item x="573"/>
        <item x="336"/>
        <item x="189"/>
        <item x="310"/>
        <item x="199"/>
        <item x="805"/>
        <item x="695"/>
        <item x="523"/>
        <item x="622"/>
        <item x="827"/>
        <item x="549"/>
        <item x="550"/>
        <item x="459"/>
        <item x="55"/>
        <item x="56"/>
        <item x="781"/>
        <item x="530"/>
        <item x="923"/>
        <item x="517"/>
        <item x="560"/>
        <item x="518"/>
        <item x="531"/>
        <item x="480"/>
        <item x="632"/>
        <item x="21"/>
        <item x="110"/>
        <item x="247"/>
        <item x="553"/>
        <item x="569"/>
        <item x="488"/>
        <item x="491"/>
        <item x="567"/>
        <item x="485"/>
        <item x="486"/>
        <item x="525"/>
        <item x="919"/>
        <item x="885"/>
        <item x="245"/>
        <item x="33"/>
        <item x="140"/>
        <item x="745"/>
        <item x="502"/>
        <item x="562"/>
        <item x="635"/>
        <item x="636"/>
        <item x="86"/>
        <item x="14"/>
        <item x="141"/>
        <item x="335"/>
        <item x="895"/>
        <item x="175"/>
        <item x="222"/>
        <item x="533"/>
        <item x="801"/>
        <item x="393"/>
        <item x="316"/>
        <item x="849"/>
        <item x="330"/>
        <item x="255"/>
        <item x="803"/>
        <item x="683"/>
        <item x="87"/>
        <item x="314"/>
        <item x="254"/>
        <item x="383"/>
        <item x="248"/>
        <item x="894"/>
        <item x="312"/>
        <item x="321"/>
        <item x="720"/>
        <item x="716"/>
        <item x="759"/>
        <item x="692"/>
        <item x="357"/>
        <item x="574"/>
        <item x="471"/>
        <item x="714"/>
        <item x="306"/>
        <item x="834"/>
        <item x="618"/>
        <item x="580"/>
        <item x="769"/>
        <item x="369"/>
        <item x="83"/>
        <item x="374"/>
        <item x="23"/>
        <item x="147"/>
        <item x="322"/>
        <item x="642"/>
        <item x="811"/>
        <item x="40"/>
        <item x="133"/>
        <item x="252"/>
        <item x="191"/>
        <item x="182"/>
        <item x="181"/>
        <item x="463"/>
        <item x="619"/>
        <item x="185"/>
        <item x="682"/>
        <item x="935"/>
        <item x="540"/>
        <item x="768"/>
        <item x="297"/>
        <item x="740"/>
        <item x="328"/>
        <item x="452"/>
        <item x="620"/>
        <item x="228"/>
        <item x="261"/>
        <item x="917"/>
        <item x="666"/>
        <item x="274"/>
        <item x="708"/>
        <item x="279"/>
        <item x="399"/>
        <item x="396"/>
        <item x="398"/>
        <item x="397"/>
        <item x="262"/>
        <item x="288"/>
        <item x="74"/>
        <item x="282"/>
        <item x="25"/>
        <item x="104"/>
        <item x="761"/>
        <item x="566"/>
        <item x="10"/>
        <item x="106"/>
        <item x="686"/>
        <item x="11"/>
        <item x="95"/>
        <item x="665"/>
        <item x="832"/>
        <item x="807"/>
        <item x="778"/>
        <item x="841"/>
        <item x="810"/>
        <item x="809"/>
        <item x="924"/>
        <item x="901"/>
        <item x="46"/>
        <item x="129"/>
        <item x="183"/>
        <item x="242"/>
        <item x="293"/>
        <item x="377"/>
        <item x="748"/>
        <item x="352"/>
        <item x="263"/>
        <item x="151"/>
        <item x="547"/>
        <item x="713"/>
        <item x="163"/>
        <item x="31"/>
        <item x="237"/>
        <item x="160"/>
        <item x="159"/>
        <item x="821"/>
        <item x="70"/>
        <item x="345"/>
        <item x="236"/>
        <item x="446"/>
        <item x="344"/>
        <item x="717"/>
        <item x="815"/>
        <item x="9"/>
        <item x="101"/>
        <item x="176"/>
        <item x="928"/>
        <item x="846"/>
        <item x="738"/>
        <item x="382"/>
        <item x="739"/>
        <item x="302"/>
        <item x="465"/>
        <item x="870"/>
        <item x="456"/>
        <item x="466"/>
        <item x="60"/>
        <item x="912"/>
        <item x="874"/>
        <item x="546"/>
        <item x="3"/>
        <item x="126"/>
        <item x="845"/>
        <item x="915"/>
        <item x="861"/>
        <item x="506"/>
        <item x="701"/>
        <item x="725"/>
        <item x="367"/>
        <item x="908"/>
        <item x="503"/>
        <item x="532"/>
        <item x="225"/>
        <item x="521"/>
        <item x="555"/>
        <item x="422"/>
        <item x="921"/>
        <item x="405"/>
        <item x="882"/>
        <item x="280"/>
        <item x="384"/>
        <item x="378"/>
        <item x="232"/>
        <item x="66"/>
        <item x="233"/>
        <item x="760"/>
        <item x="863"/>
        <item x="880"/>
        <item x="223"/>
        <item x="526"/>
        <item x="813"/>
        <item x="510"/>
      </items>
    </pivotField>
    <pivotField name="კონტრაგენტის ORIS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ნომერი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</pivotFields>
  <rowFields>
    <field x="1"/>
    <field x="18"/>
    <field x="6"/>
  </rowFields>
  <dataFields>
    <dataField name="SUM of თანხა :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s://drive.google.com/open?id=17Uk7dIz0VBDs7FRg4UIvRbDaq0hfdb0X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54.5"/>
    <col customWidth="1" min="5" max="5" width="11.0"/>
    <col customWidth="1" min="6" max="2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3" t="s">
        <v>17</v>
      </c>
    </row>
    <row r="2">
      <c r="A2" s="4">
        <v>44342.728477384255</v>
      </c>
      <c r="B2" s="3" t="s">
        <v>18</v>
      </c>
      <c r="C2" s="3" t="s">
        <v>19</v>
      </c>
      <c r="D2" s="3" t="s">
        <v>20</v>
      </c>
      <c r="E2" s="3">
        <v>43767.0</v>
      </c>
      <c r="F2" s="3">
        <v>350000.0</v>
      </c>
      <c r="G2" s="3" t="s">
        <v>21</v>
      </c>
      <c r="H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Q2" s="3" t="s">
        <v>29</v>
      </c>
      <c r="S2" s="5" t="str">
        <f t="array" ref="S2:S465">if(A2:A465&lt;&gt;"",left(M2:M465,iferror(search("(+)",M2:M465),search("(-)",M2:M465))-2)&amp;" "&amp;MID(M2:M465,SEARCH("|",M2:M465),1)&amp;" "&amp;left(B2:B465,SEARCH("(ს.კ.",B2:B465)-1)&amp;" "&amp;MID(M2:M465,SEARCH("|",M2:M465),1)&amp;" "&amp;TEXT(F2:F465,"#,##0.00")&amp;" "&amp;G2:G465&amp;" "&amp;MID(M2:M465,SEARCH("|",M2:M465),1)&amp;" "&amp;TEXT(E2:E465,"DD.MM.YYYY"),"")</f>
        <v>Biota Park | 1.1.1. | ოლიმპ ჯორჯია  | 350,000.00 USD | 29.10.2019</v>
      </c>
    </row>
    <row r="3">
      <c r="A3" s="4">
        <v>44342.72850405093</v>
      </c>
      <c r="B3" s="3" t="s">
        <v>30</v>
      </c>
      <c r="C3" s="3" t="s">
        <v>31</v>
      </c>
      <c r="D3" s="3" t="s">
        <v>20</v>
      </c>
      <c r="E3" s="3">
        <v>43762.0</v>
      </c>
      <c r="F3" s="3">
        <v>23100.0</v>
      </c>
      <c r="G3" s="3" t="s">
        <v>21</v>
      </c>
      <c r="H3" s="3" t="s">
        <v>22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27</v>
      </c>
      <c r="O3" s="3" t="s">
        <v>36</v>
      </c>
      <c r="Q3" s="3" t="s">
        <v>29</v>
      </c>
      <c r="S3" s="1" t="s">
        <v>37</v>
      </c>
    </row>
    <row r="4">
      <c r="A4" s="4">
        <v>44342.72852833333</v>
      </c>
      <c r="B4" s="3" t="s">
        <v>38</v>
      </c>
      <c r="C4" s="3" t="s">
        <v>39</v>
      </c>
      <c r="D4" s="3" t="s">
        <v>20</v>
      </c>
      <c r="E4" s="3">
        <v>43767.0</v>
      </c>
      <c r="F4" s="3">
        <v>42500.0</v>
      </c>
      <c r="G4" s="3" t="s">
        <v>21</v>
      </c>
      <c r="H4" s="3" t="s">
        <v>22</v>
      </c>
      <c r="K4" s="3" t="s">
        <v>40</v>
      </c>
      <c r="L4" s="3" t="s">
        <v>41</v>
      </c>
      <c r="M4" s="3" t="s">
        <v>42</v>
      </c>
      <c r="N4" s="3" t="s">
        <v>27</v>
      </c>
      <c r="O4" s="3" t="s">
        <v>43</v>
      </c>
      <c r="Q4" s="3" t="s">
        <v>29</v>
      </c>
      <c r="S4" s="1" t="s">
        <v>44</v>
      </c>
    </row>
    <row r="5">
      <c r="A5" s="4">
        <v>44342.72855267361</v>
      </c>
      <c r="B5" s="3" t="s">
        <v>45</v>
      </c>
      <c r="C5" s="3" t="s">
        <v>46</v>
      </c>
      <c r="D5" s="3" t="s">
        <v>20</v>
      </c>
      <c r="E5" s="3">
        <v>43724.0</v>
      </c>
      <c r="F5" s="3">
        <v>48500.0</v>
      </c>
      <c r="G5" s="3" t="s">
        <v>21</v>
      </c>
      <c r="H5" s="3" t="s">
        <v>22</v>
      </c>
      <c r="J5" s="3" t="s">
        <v>47</v>
      </c>
      <c r="K5" s="3" t="s">
        <v>48</v>
      </c>
      <c r="L5" s="3" t="s">
        <v>49</v>
      </c>
      <c r="M5" s="3" t="s">
        <v>50</v>
      </c>
      <c r="N5" s="3" t="s">
        <v>27</v>
      </c>
      <c r="O5" s="3" t="s">
        <v>51</v>
      </c>
      <c r="Q5" s="3" t="s">
        <v>29</v>
      </c>
      <c r="S5" s="1" t="s">
        <v>52</v>
      </c>
    </row>
    <row r="6">
      <c r="A6" s="4">
        <v>44342.72857759259</v>
      </c>
      <c r="B6" s="3" t="s">
        <v>53</v>
      </c>
      <c r="C6" s="3" t="s">
        <v>54</v>
      </c>
      <c r="D6" s="3" t="s">
        <v>20</v>
      </c>
      <c r="E6" s="3">
        <v>43734.0</v>
      </c>
      <c r="F6" s="3">
        <v>28000.0</v>
      </c>
      <c r="G6" s="3" t="s">
        <v>21</v>
      </c>
      <c r="H6" s="3" t="s">
        <v>22</v>
      </c>
      <c r="K6" s="3" t="s">
        <v>55</v>
      </c>
      <c r="L6" s="3" t="s">
        <v>56</v>
      </c>
      <c r="M6" s="3" t="s">
        <v>57</v>
      </c>
      <c r="N6" s="3" t="s">
        <v>27</v>
      </c>
      <c r="O6" s="3" t="s">
        <v>58</v>
      </c>
      <c r="Q6" s="3" t="s">
        <v>29</v>
      </c>
      <c r="S6" s="1" t="s">
        <v>59</v>
      </c>
    </row>
    <row r="7">
      <c r="A7" s="4">
        <v>44342.72860324074</v>
      </c>
      <c r="B7" s="3" t="s">
        <v>60</v>
      </c>
      <c r="C7" s="3" t="s">
        <v>61</v>
      </c>
      <c r="D7" s="3" t="s">
        <v>20</v>
      </c>
      <c r="E7" s="3">
        <v>43672.0</v>
      </c>
      <c r="F7" s="3">
        <v>24000.0</v>
      </c>
      <c r="G7" s="3" t="s">
        <v>21</v>
      </c>
      <c r="H7" s="3" t="s">
        <v>22</v>
      </c>
      <c r="K7" s="3" t="s">
        <v>62</v>
      </c>
      <c r="L7" s="3" t="s">
        <v>63</v>
      </c>
      <c r="M7" s="3" t="s">
        <v>64</v>
      </c>
      <c r="N7" s="3" t="s">
        <v>27</v>
      </c>
      <c r="O7" s="3" t="s">
        <v>65</v>
      </c>
      <c r="Q7" s="3" t="s">
        <v>29</v>
      </c>
      <c r="S7" s="1" t="s">
        <v>66</v>
      </c>
    </row>
    <row r="8">
      <c r="A8" s="4">
        <v>44342.72862770833</v>
      </c>
      <c r="B8" s="3" t="s">
        <v>67</v>
      </c>
      <c r="C8" s="3" t="s">
        <v>68</v>
      </c>
      <c r="D8" s="3" t="s">
        <v>20</v>
      </c>
      <c r="E8" s="3">
        <v>43633.0</v>
      </c>
      <c r="F8" s="3">
        <v>57000.0</v>
      </c>
      <c r="G8" s="3" t="s">
        <v>21</v>
      </c>
      <c r="H8" s="3" t="s">
        <v>22</v>
      </c>
      <c r="K8" s="3" t="s">
        <v>69</v>
      </c>
      <c r="L8" s="3" t="s">
        <v>70</v>
      </c>
      <c r="M8" s="3" t="s">
        <v>71</v>
      </c>
      <c r="N8" s="3" t="s">
        <v>27</v>
      </c>
      <c r="O8" s="3" t="s">
        <v>72</v>
      </c>
      <c r="Q8" s="3" t="s">
        <v>29</v>
      </c>
      <c r="S8" s="1" t="s">
        <v>73</v>
      </c>
    </row>
    <row r="9">
      <c r="A9" s="4">
        <v>44342.728653240745</v>
      </c>
      <c r="B9" s="3" t="s">
        <v>74</v>
      </c>
      <c r="C9" s="3" t="s">
        <v>75</v>
      </c>
      <c r="D9" s="3" t="s">
        <v>20</v>
      </c>
      <c r="E9" s="3">
        <v>43608.0</v>
      </c>
      <c r="F9" s="3">
        <v>104500.0</v>
      </c>
      <c r="G9" s="3" t="s">
        <v>21</v>
      </c>
      <c r="H9" s="3" t="s">
        <v>22</v>
      </c>
      <c r="K9" s="3" t="s">
        <v>76</v>
      </c>
      <c r="L9" s="3" t="s">
        <v>77</v>
      </c>
      <c r="M9" s="3" t="s">
        <v>78</v>
      </c>
      <c r="N9" s="3" t="s">
        <v>27</v>
      </c>
      <c r="O9" s="3" t="s">
        <v>79</v>
      </c>
      <c r="Q9" s="3" t="s">
        <v>29</v>
      </c>
      <c r="S9" s="1" t="s">
        <v>80</v>
      </c>
    </row>
    <row r="10">
      <c r="A10" s="4">
        <v>44342.72867758102</v>
      </c>
      <c r="B10" s="3" t="s">
        <v>81</v>
      </c>
      <c r="C10" s="3" t="s">
        <v>82</v>
      </c>
      <c r="D10" s="3" t="s">
        <v>20</v>
      </c>
      <c r="E10" s="3">
        <v>43622.0</v>
      </c>
      <c r="F10" s="3">
        <v>31000.0</v>
      </c>
      <c r="G10" s="3" t="s">
        <v>21</v>
      </c>
      <c r="H10" s="3" t="s">
        <v>22</v>
      </c>
      <c r="J10" s="3" t="s">
        <v>83</v>
      </c>
      <c r="K10" s="3" t="s">
        <v>84</v>
      </c>
      <c r="L10" s="3" t="s">
        <v>85</v>
      </c>
      <c r="M10" s="3" t="s">
        <v>86</v>
      </c>
      <c r="N10" s="3" t="s">
        <v>27</v>
      </c>
      <c r="O10" s="3" t="s">
        <v>87</v>
      </c>
      <c r="Q10" s="3" t="s">
        <v>29</v>
      </c>
      <c r="S10" s="1" t="s">
        <v>88</v>
      </c>
    </row>
    <row r="11">
      <c r="A11" s="4">
        <v>44342.728701493055</v>
      </c>
      <c r="B11" s="3" t="s">
        <v>89</v>
      </c>
      <c r="C11" s="3" t="s">
        <v>90</v>
      </c>
      <c r="D11" s="3" t="s">
        <v>20</v>
      </c>
      <c r="E11" s="3">
        <v>43607.0</v>
      </c>
      <c r="F11" s="3">
        <v>340000.0</v>
      </c>
      <c r="G11" s="3" t="s">
        <v>21</v>
      </c>
      <c r="H11" s="3" t="s">
        <v>22</v>
      </c>
      <c r="K11" s="3" t="s">
        <v>91</v>
      </c>
      <c r="L11" s="3" t="s">
        <v>92</v>
      </c>
      <c r="M11" s="3" t="s">
        <v>93</v>
      </c>
      <c r="N11" s="3" t="s">
        <v>27</v>
      </c>
      <c r="O11" s="3" t="s">
        <v>94</v>
      </c>
      <c r="Q11" s="3" t="s">
        <v>29</v>
      </c>
      <c r="S11" s="1" t="s">
        <v>95</v>
      </c>
    </row>
    <row r="12">
      <c r="A12" s="4">
        <v>44342.728725821755</v>
      </c>
      <c r="B12" s="3" t="s">
        <v>96</v>
      </c>
      <c r="C12" s="3" t="s">
        <v>97</v>
      </c>
      <c r="D12" s="3" t="s">
        <v>20</v>
      </c>
      <c r="E12" s="3">
        <v>43460.0</v>
      </c>
      <c r="F12" s="3">
        <v>160000.0</v>
      </c>
      <c r="G12" s="3" t="s">
        <v>21</v>
      </c>
      <c r="H12" s="3" t="s">
        <v>22</v>
      </c>
      <c r="K12" s="3" t="s">
        <v>98</v>
      </c>
      <c r="L12" s="3" t="s">
        <v>99</v>
      </c>
      <c r="M12" s="3" t="s">
        <v>100</v>
      </c>
      <c r="N12" s="3" t="s">
        <v>27</v>
      </c>
      <c r="O12" s="3" t="s">
        <v>101</v>
      </c>
      <c r="Q12" s="3" t="s">
        <v>29</v>
      </c>
      <c r="S12" s="1" t="s">
        <v>102</v>
      </c>
    </row>
    <row r="13">
      <c r="A13" s="4">
        <v>44342.728751030096</v>
      </c>
      <c r="B13" s="3" t="s">
        <v>103</v>
      </c>
      <c r="C13" s="3" t="s">
        <v>104</v>
      </c>
      <c r="D13" s="3" t="s">
        <v>20</v>
      </c>
      <c r="E13" s="3">
        <v>43479.0</v>
      </c>
      <c r="F13" s="3">
        <v>28650.0</v>
      </c>
      <c r="G13" s="3" t="s">
        <v>21</v>
      </c>
      <c r="H13" s="3" t="s">
        <v>22</v>
      </c>
      <c r="K13" s="3" t="s">
        <v>105</v>
      </c>
      <c r="L13" s="3" t="s">
        <v>106</v>
      </c>
      <c r="M13" s="3" t="s">
        <v>107</v>
      </c>
      <c r="N13" s="3" t="s">
        <v>27</v>
      </c>
      <c r="O13" s="3" t="s">
        <v>108</v>
      </c>
      <c r="Q13" s="3" t="s">
        <v>29</v>
      </c>
      <c r="S13" s="1" t="s">
        <v>109</v>
      </c>
    </row>
    <row r="14">
      <c r="A14" s="4">
        <v>44342.728777094904</v>
      </c>
      <c r="B14" s="3" t="s">
        <v>110</v>
      </c>
      <c r="C14" s="3" t="s">
        <v>111</v>
      </c>
      <c r="D14" s="3" t="s">
        <v>20</v>
      </c>
      <c r="E14" s="3">
        <v>43363.0</v>
      </c>
      <c r="F14" s="3">
        <v>1046340.0</v>
      </c>
      <c r="G14" s="3" t="s">
        <v>21</v>
      </c>
      <c r="H14" s="3" t="s">
        <v>22</v>
      </c>
      <c r="J14" s="3" t="s">
        <v>112</v>
      </c>
      <c r="K14" s="3" t="s">
        <v>113</v>
      </c>
      <c r="L14" s="3" t="s">
        <v>114</v>
      </c>
      <c r="M14" s="3" t="s">
        <v>115</v>
      </c>
      <c r="N14" s="3" t="s">
        <v>27</v>
      </c>
      <c r="O14" s="3" t="s">
        <v>116</v>
      </c>
      <c r="Q14" s="3" t="s">
        <v>29</v>
      </c>
      <c r="S14" s="1" t="s">
        <v>117</v>
      </c>
    </row>
    <row r="15">
      <c r="A15" s="4">
        <v>44342.7288019213</v>
      </c>
      <c r="B15" s="3" t="s">
        <v>118</v>
      </c>
      <c r="C15" s="3" t="s">
        <v>119</v>
      </c>
      <c r="D15" s="3" t="s">
        <v>20</v>
      </c>
      <c r="E15" s="3">
        <v>43461.0</v>
      </c>
      <c r="F15" s="3">
        <v>73000.0</v>
      </c>
      <c r="G15" s="3" t="s">
        <v>21</v>
      </c>
      <c r="H15" s="3" t="s">
        <v>22</v>
      </c>
      <c r="J15" s="3" t="s">
        <v>120</v>
      </c>
      <c r="K15" s="3" t="s">
        <v>121</v>
      </c>
      <c r="L15" s="3" t="s">
        <v>122</v>
      </c>
      <c r="M15" s="3" t="s">
        <v>123</v>
      </c>
      <c r="N15" s="3" t="s">
        <v>27</v>
      </c>
      <c r="O15" s="3" t="s">
        <v>124</v>
      </c>
      <c r="Q15" s="3" t="s">
        <v>29</v>
      </c>
      <c r="S15" s="1" t="s">
        <v>125</v>
      </c>
    </row>
    <row r="16">
      <c r="A16" s="4">
        <v>44342.728826412036</v>
      </c>
      <c r="B16" s="3" t="s">
        <v>126</v>
      </c>
      <c r="C16" s="3" t="s">
        <v>127</v>
      </c>
      <c r="D16" s="3" t="s">
        <v>20</v>
      </c>
      <c r="E16" s="3">
        <v>43816.0</v>
      </c>
      <c r="F16" s="3">
        <v>114550.0</v>
      </c>
      <c r="G16" s="3" t="s">
        <v>21</v>
      </c>
      <c r="H16" s="3" t="s">
        <v>22</v>
      </c>
      <c r="J16" s="3" t="s">
        <v>128</v>
      </c>
      <c r="K16" s="3" t="s">
        <v>129</v>
      </c>
      <c r="L16" s="3" t="s">
        <v>130</v>
      </c>
      <c r="M16" s="3" t="s">
        <v>131</v>
      </c>
      <c r="N16" s="3" t="s">
        <v>27</v>
      </c>
      <c r="O16" s="3" t="s">
        <v>132</v>
      </c>
      <c r="Q16" s="3" t="s">
        <v>29</v>
      </c>
      <c r="S16" s="1" t="s">
        <v>133</v>
      </c>
    </row>
    <row r="17">
      <c r="A17" s="4">
        <v>44342.728850810185</v>
      </c>
      <c r="B17" s="3" t="s">
        <v>134</v>
      </c>
      <c r="C17" s="3" t="s">
        <v>135</v>
      </c>
      <c r="D17" s="3" t="s">
        <v>20</v>
      </c>
      <c r="E17" s="3">
        <v>42948.0</v>
      </c>
      <c r="F17" s="3">
        <v>97000.0</v>
      </c>
      <c r="G17" s="3" t="s">
        <v>136</v>
      </c>
      <c r="H17" s="3" t="s">
        <v>22</v>
      </c>
      <c r="K17" s="3" t="s">
        <v>137</v>
      </c>
      <c r="L17" s="3" t="s">
        <v>138</v>
      </c>
      <c r="M17" s="3" t="s">
        <v>139</v>
      </c>
      <c r="N17" s="3" t="s">
        <v>27</v>
      </c>
      <c r="O17" s="3" t="s">
        <v>140</v>
      </c>
      <c r="Q17" s="3" t="s">
        <v>29</v>
      </c>
      <c r="S17" s="1" t="s">
        <v>141</v>
      </c>
    </row>
    <row r="18">
      <c r="A18" s="4">
        <v>44342.728874583336</v>
      </c>
      <c r="B18" s="3" t="s">
        <v>142</v>
      </c>
      <c r="C18" s="3" t="s">
        <v>143</v>
      </c>
      <c r="D18" s="3" t="s">
        <v>20</v>
      </c>
      <c r="E18" s="3">
        <v>42923.0</v>
      </c>
      <c r="F18" s="3">
        <v>161000.0</v>
      </c>
      <c r="G18" s="3" t="s">
        <v>21</v>
      </c>
      <c r="H18" s="3" t="s">
        <v>22</v>
      </c>
      <c r="K18" s="3" t="s">
        <v>144</v>
      </c>
      <c r="L18" s="3" t="s">
        <v>145</v>
      </c>
      <c r="M18" s="3" t="s">
        <v>146</v>
      </c>
      <c r="N18" s="3" t="s">
        <v>27</v>
      </c>
      <c r="O18" s="3" t="s">
        <v>147</v>
      </c>
      <c r="Q18" s="3" t="s">
        <v>29</v>
      </c>
      <c r="S18" s="1" t="s">
        <v>148</v>
      </c>
    </row>
    <row r="19">
      <c r="A19" s="4">
        <v>44342.72890008102</v>
      </c>
      <c r="B19" s="3" t="s">
        <v>149</v>
      </c>
      <c r="C19" s="3" t="s">
        <v>150</v>
      </c>
      <c r="D19" s="3" t="s">
        <v>20</v>
      </c>
      <c r="E19" s="3">
        <v>42536.0</v>
      </c>
      <c r="F19" s="3">
        <v>23924.0</v>
      </c>
      <c r="G19" s="3" t="s">
        <v>21</v>
      </c>
      <c r="H19" s="3" t="s">
        <v>22</v>
      </c>
      <c r="K19" s="3" t="s">
        <v>151</v>
      </c>
      <c r="L19" s="3" t="s">
        <v>152</v>
      </c>
      <c r="M19" s="3" t="s">
        <v>153</v>
      </c>
      <c r="N19" s="3" t="s">
        <v>27</v>
      </c>
      <c r="O19" s="3" t="s">
        <v>154</v>
      </c>
      <c r="Q19" s="3" t="s">
        <v>29</v>
      </c>
      <c r="S19" s="1" t="s">
        <v>155</v>
      </c>
    </row>
    <row r="20">
      <c r="A20" s="4">
        <v>44342.72892421296</v>
      </c>
      <c r="B20" s="3" t="s">
        <v>156</v>
      </c>
      <c r="C20" s="3" t="s">
        <v>157</v>
      </c>
      <c r="D20" s="3" t="s">
        <v>20</v>
      </c>
      <c r="E20" s="3">
        <v>42885.0</v>
      </c>
      <c r="F20" s="3">
        <v>150000.0</v>
      </c>
      <c r="G20" s="3" t="s">
        <v>21</v>
      </c>
      <c r="H20" s="3" t="s">
        <v>22</v>
      </c>
      <c r="K20" s="3" t="s">
        <v>158</v>
      </c>
      <c r="L20" s="3" t="s">
        <v>159</v>
      </c>
      <c r="M20" s="3" t="s">
        <v>160</v>
      </c>
      <c r="N20" s="3" t="s">
        <v>27</v>
      </c>
      <c r="O20" s="3" t="s">
        <v>161</v>
      </c>
      <c r="Q20" s="3" t="s">
        <v>29</v>
      </c>
      <c r="S20" s="1" t="s">
        <v>162</v>
      </c>
    </row>
    <row r="21">
      <c r="A21" s="4">
        <v>44342.72894851852</v>
      </c>
      <c r="B21" s="3" t="s">
        <v>163</v>
      </c>
      <c r="C21" s="3" t="s">
        <v>164</v>
      </c>
      <c r="D21" s="3" t="s">
        <v>20</v>
      </c>
      <c r="E21" s="3">
        <v>43460.0</v>
      </c>
      <c r="F21" s="3">
        <v>70360.0</v>
      </c>
      <c r="G21" s="3" t="s">
        <v>21</v>
      </c>
      <c r="H21" s="3" t="s">
        <v>22</v>
      </c>
      <c r="K21" s="3" t="s">
        <v>165</v>
      </c>
      <c r="L21" s="3" t="s">
        <v>166</v>
      </c>
      <c r="M21" s="3" t="s">
        <v>167</v>
      </c>
      <c r="N21" s="3" t="s">
        <v>27</v>
      </c>
      <c r="O21" s="3" t="s">
        <v>168</v>
      </c>
      <c r="Q21" s="3" t="s">
        <v>29</v>
      </c>
      <c r="S21" s="1" t="s">
        <v>169</v>
      </c>
    </row>
    <row r="22">
      <c r="A22" s="4">
        <v>44342.72897322917</v>
      </c>
      <c r="B22" s="3" t="s">
        <v>30</v>
      </c>
      <c r="C22" s="3" t="s">
        <v>170</v>
      </c>
      <c r="D22" s="3" t="s">
        <v>20</v>
      </c>
      <c r="E22" s="3">
        <v>43460.0</v>
      </c>
      <c r="F22" s="3">
        <v>155520.0</v>
      </c>
      <c r="G22" s="3" t="s">
        <v>21</v>
      </c>
      <c r="H22" s="3" t="s">
        <v>22</v>
      </c>
      <c r="K22" s="3" t="s">
        <v>171</v>
      </c>
      <c r="L22" s="3" t="s">
        <v>172</v>
      </c>
      <c r="M22" s="3" t="s">
        <v>173</v>
      </c>
      <c r="N22" s="3" t="s">
        <v>27</v>
      </c>
      <c r="O22" s="3" t="s">
        <v>36</v>
      </c>
      <c r="Q22" s="3" t="s">
        <v>29</v>
      </c>
      <c r="S22" s="1" t="s">
        <v>174</v>
      </c>
    </row>
    <row r="23">
      <c r="A23" s="4">
        <v>44342.72899693287</v>
      </c>
      <c r="B23" s="3" t="s">
        <v>53</v>
      </c>
      <c r="C23" s="3" t="s">
        <v>175</v>
      </c>
      <c r="D23" s="3" t="s">
        <v>20</v>
      </c>
      <c r="E23" s="3">
        <v>43248.0</v>
      </c>
      <c r="F23" s="3">
        <v>370000.0</v>
      </c>
      <c r="G23" s="3" t="s">
        <v>21</v>
      </c>
      <c r="H23" s="3" t="s">
        <v>22</v>
      </c>
      <c r="J23" s="3" t="s">
        <v>176</v>
      </c>
      <c r="K23" s="3" t="s">
        <v>177</v>
      </c>
      <c r="L23" s="3" t="s">
        <v>178</v>
      </c>
      <c r="M23" s="3" t="s">
        <v>179</v>
      </c>
      <c r="N23" s="3" t="s">
        <v>27</v>
      </c>
      <c r="O23" s="3" t="s">
        <v>58</v>
      </c>
      <c r="Q23" s="3" t="s">
        <v>29</v>
      </c>
      <c r="S23" s="1" t="s">
        <v>180</v>
      </c>
    </row>
    <row r="24">
      <c r="A24" s="4">
        <v>44342.729022060186</v>
      </c>
      <c r="B24" s="3" t="s">
        <v>181</v>
      </c>
      <c r="C24" s="3" t="s">
        <v>182</v>
      </c>
      <c r="D24" s="3" t="s">
        <v>20</v>
      </c>
      <c r="E24" s="3">
        <v>42598.0</v>
      </c>
      <c r="F24" s="3">
        <v>53454.0</v>
      </c>
      <c r="G24" s="3" t="s">
        <v>21</v>
      </c>
      <c r="H24" s="3" t="s">
        <v>22</v>
      </c>
      <c r="K24" s="3" t="s">
        <v>183</v>
      </c>
      <c r="L24" s="3" t="s">
        <v>184</v>
      </c>
      <c r="M24" s="3" t="s">
        <v>185</v>
      </c>
      <c r="N24" s="3" t="s">
        <v>27</v>
      </c>
      <c r="O24" s="3" t="s">
        <v>186</v>
      </c>
      <c r="Q24" s="3" t="s">
        <v>29</v>
      </c>
      <c r="S24" s="1" t="s">
        <v>187</v>
      </c>
    </row>
    <row r="25">
      <c r="A25" s="4">
        <v>44342.72904821759</v>
      </c>
      <c r="B25" s="3" t="s">
        <v>188</v>
      </c>
      <c r="C25" s="3" t="s">
        <v>189</v>
      </c>
      <c r="D25" s="3" t="s">
        <v>20</v>
      </c>
      <c r="E25" s="3">
        <v>42536.0</v>
      </c>
      <c r="F25" s="3">
        <v>50206.0</v>
      </c>
      <c r="G25" s="3" t="s">
        <v>21</v>
      </c>
      <c r="H25" s="3" t="s">
        <v>22</v>
      </c>
      <c r="K25" s="3" t="s">
        <v>190</v>
      </c>
      <c r="L25" s="3" t="s">
        <v>191</v>
      </c>
      <c r="M25" s="3" t="s">
        <v>192</v>
      </c>
      <c r="N25" s="3" t="s">
        <v>27</v>
      </c>
      <c r="O25" s="3" t="s">
        <v>193</v>
      </c>
      <c r="Q25" s="3" t="s">
        <v>29</v>
      </c>
      <c r="S25" s="1" t="s">
        <v>194</v>
      </c>
    </row>
    <row r="26">
      <c r="A26" s="4">
        <v>44342.729073912036</v>
      </c>
      <c r="B26" s="3" t="s">
        <v>195</v>
      </c>
      <c r="C26" s="3" t="s">
        <v>196</v>
      </c>
      <c r="D26" s="3" t="s">
        <v>20</v>
      </c>
      <c r="E26" s="3">
        <v>42647.0</v>
      </c>
      <c r="F26" s="3">
        <v>157608.67</v>
      </c>
      <c r="G26" s="3" t="s">
        <v>21</v>
      </c>
      <c r="H26" s="3" t="s">
        <v>22</v>
      </c>
      <c r="K26" s="3" t="s">
        <v>197</v>
      </c>
      <c r="L26" s="3" t="s">
        <v>198</v>
      </c>
      <c r="M26" s="3" t="s">
        <v>199</v>
      </c>
      <c r="N26" s="3" t="s">
        <v>27</v>
      </c>
      <c r="O26" s="3" t="s">
        <v>200</v>
      </c>
      <c r="Q26" s="3" t="s">
        <v>29</v>
      </c>
      <c r="S26" s="1" t="s">
        <v>201</v>
      </c>
    </row>
    <row r="27">
      <c r="A27" s="4">
        <v>44342.729098854164</v>
      </c>
      <c r="B27" s="3" t="s">
        <v>202</v>
      </c>
      <c r="C27" s="3" t="s">
        <v>203</v>
      </c>
      <c r="D27" s="3" t="s">
        <v>20</v>
      </c>
      <c r="E27" s="3">
        <v>42723.0</v>
      </c>
      <c r="F27" s="3">
        <v>325000.0</v>
      </c>
      <c r="G27" s="3" t="s">
        <v>21</v>
      </c>
      <c r="H27" s="3" t="s">
        <v>22</v>
      </c>
      <c r="K27" s="3" t="s">
        <v>204</v>
      </c>
      <c r="L27" s="3" t="s">
        <v>205</v>
      </c>
      <c r="M27" s="3" t="s">
        <v>206</v>
      </c>
      <c r="N27" s="3" t="s">
        <v>27</v>
      </c>
      <c r="O27" s="3" t="s">
        <v>207</v>
      </c>
      <c r="Q27" s="3" t="s">
        <v>29</v>
      </c>
      <c r="S27" s="1" t="s">
        <v>208</v>
      </c>
    </row>
    <row r="28">
      <c r="A28" s="4">
        <v>44342.72912513889</v>
      </c>
      <c r="B28" s="3" t="s">
        <v>67</v>
      </c>
      <c r="C28" s="3" t="s">
        <v>209</v>
      </c>
      <c r="D28" s="3" t="s">
        <v>20</v>
      </c>
      <c r="E28" s="3">
        <v>42641.0</v>
      </c>
      <c r="F28" s="3">
        <v>25000.0</v>
      </c>
      <c r="G28" s="3" t="s">
        <v>21</v>
      </c>
      <c r="H28" s="3" t="s">
        <v>22</v>
      </c>
      <c r="K28" s="3" t="s">
        <v>210</v>
      </c>
      <c r="L28" s="3" t="s">
        <v>211</v>
      </c>
      <c r="M28" s="3" t="s">
        <v>212</v>
      </c>
      <c r="N28" s="3" t="s">
        <v>27</v>
      </c>
      <c r="O28" s="3" t="s">
        <v>72</v>
      </c>
      <c r="Q28" s="3" t="s">
        <v>29</v>
      </c>
      <c r="S28" s="1" t="s">
        <v>213</v>
      </c>
    </row>
    <row r="29">
      <c r="A29" s="4">
        <v>44342.72915061342</v>
      </c>
      <c r="B29" s="3" t="s">
        <v>214</v>
      </c>
      <c r="C29" s="3" t="s">
        <v>215</v>
      </c>
      <c r="D29" s="3" t="s">
        <v>20</v>
      </c>
      <c r="E29" s="3">
        <v>42485.0</v>
      </c>
      <c r="F29" s="3">
        <v>36577.0</v>
      </c>
      <c r="G29" s="3" t="s">
        <v>21</v>
      </c>
      <c r="H29" s="3" t="s">
        <v>22</v>
      </c>
      <c r="K29" s="3" t="s">
        <v>216</v>
      </c>
      <c r="L29" s="3" t="s">
        <v>217</v>
      </c>
      <c r="M29" s="3" t="s">
        <v>218</v>
      </c>
      <c r="N29" s="3" t="s">
        <v>27</v>
      </c>
      <c r="O29" s="3" t="s">
        <v>219</v>
      </c>
      <c r="Q29" s="3" t="s">
        <v>29</v>
      </c>
      <c r="S29" s="1" t="s">
        <v>220</v>
      </c>
    </row>
    <row r="30">
      <c r="A30" s="4">
        <v>44342.72917740741</v>
      </c>
      <c r="B30" s="3" t="s">
        <v>221</v>
      </c>
      <c r="C30" s="3" t="s">
        <v>222</v>
      </c>
      <c r="D30" s="3" t="s">
        <v>20</v>
      </c>
      <c r="E30" s="3">
        <v>42355.0</v>
      </c>
      <c r="F30" s="3">
        <v>527700.0</v>
      </c>
      <c r="G30" s="3" t="s">
        <v>21</v>
      </c>
      <c r="H30" s="3" t="s">
        <v>22</v>
      </c>
      <c r="K30" s="3" t="s">
        <v>223</v>
      </c>
      <c r="L30" s="3" t="s">
        <v>224</v>
      </c>
      <c r="M30" s="3" t="s">
        <v>225</v>
      </c>
      <c r="N30" s="3" t="s">
        <v>27</v>
      </c>
      <c r="O30" s="3" t="s">
        <v>226</v>
      </c>
      <c r="Q30" s="3" t="s">
        <v>29</v>
      </c>
      <c r="S30" s="1" t="s">
        <v>227</v>
      </c>
    </row>
    <row r="31">
      <c r="A31" s="4">
        <v>44342.72920390047</v>
      </c>
      <c r="B31" s="3" t="s">
        <v>228</v>
      </c>
      <c r="C31" s="3" t="s">
        <v>229</v>
      </c>
      <c r="D31" s="3" t="s">
        <v>230</v>
      </c>
      <c r="E31" s="3">
        <v>43831.0</v>
      </c>
      <c r="F31" s="3">
        <v>1.0</v>
      </c>
      <c r="G31" s="3" t="s">
        <v>136</v>
      </c>
      <c r="H31" s="3" t="s">
        <v>22</v>
      </c>
      <c r="K31" s="3" t="s">
        <v>231</v>
      </c>
      <c r="L31" s="3" t="s">
        <v>232</v>
      </c>
      <c r="M31" s="3" t="s">
        <v>233</v>
      </c>
      <c r="N31" s="3" t="s">
        <v>234</v>
      </c>
      <c r="O31" s="3" t="s">
        <v>235</v>
      </c>
      <c r="Q31" s="3" t="s">
        <v>29</v>
      </c>
      <c r="S31" s="1" t="s">
        <v>236</v>
      </c>
    </row>
    <row r="32">
      <c r="A32" s="4">
        <v>44342.72923010417</v>
      </c>
      <c r="B32" s="3" t="s">
        <v>195</v>
      </c>
      <c r="C32" s="3" t="s">
        <v>237</v>
      </c>
      <c r="D32" s="3" t="s">
        <v>20</v>
      </c>
      <c r="E32" s="3">
        <v>43742.0</v>
      </c>
      <c r="F32" s="3">
        <v>78804.33</v>
      </c>
      <c r="G32" s="3" t="s">
        <v>21</v>
      </c>
      <c r="H32" s="3" t="s">
        <v>22</v>
      </c>
      <c r="K32" s="3" t="s">
        <v>238</v>
      </c>
      <c r="L32" s="3" t="s">
        <v>239</v>
      </c>
      <c r="M32" s="3" t="s">
        <v>240</v>
      </c>
      <c r="N32" s="3" t="s">
        <v>27</v>
      </c>
      <c r="O32" s="3" t="s">
        <v>200</v>
      </c>
      <c r="Q32" s="3" t="s">
        <v>29</v>
      </c>
      <c r="S32" s="1" t="s">
        <v>241</v>
      </c>
    </row>
    <row r="33">
      <c r="A33" s="4">
        <v>44342.729253854166</v>
      </c>
      <c r="B33" s="3" t="s">
        <v>242</v>
      </c>
      <c r="C33" s="3" t="s">
        <v>243</v>
      </c>
      <c r="D33" s="3" t="s">
        <v>20</v>
      </c>
      <c r="E33" s="3">
        <v>43059.0</v>
      </c>
      <c r="F33" s="3">
        <v>3273908.0</v>
      </c>
      <c r="G33" s="3" t="s">
        <v>21</v>
      </c>
      <c r="H33" s="3" t="s">
        <v>22</v>
      </c>
      <c r="J33" s="3" t="s">
        <v>244</v>
      </c>
      <c r="K33" s="3" t="s">
        <v>245</v>
      </c>
      <c r="L33" s="3" t="s">
        <v>246</v>
      </c>
      <c r="M33" s="3" t="s">
        <v>247</v>
      </c>
      <c r="N33" s="3" t="s">
        <v>27</v>
      </c>
      <c r="O33" s="3" t="s">
        <v>248</v>
      </c>
      <c r="Q33" s="3" t="s">
        <v>29</v>
      </c>
      <c r="S33" s="1" t="s">
        <v>249</v>
      </c>
    </row>
    <row r="34">
      <c r="A34" s="4">
        <v>44342.729277962964</v>
      </c>
      <c r="B34" s="3" t="s">
        <v>250</v>
      </c>
      <c r="C34" s="3" t="s">
        <v>251</v>
      </c>
      <c r="D34" s="3" t="s">
        <v>20</v>
      </c>
      <c r="E34" s="3">
        <v>43354.0</v>
      </c>
      <c r="F34" s="3">
        <v>1194345.0</v>
      </c>
      <c r="G34" s="3" t="s">
        <v>21</v>
      </c>
      <c r="H34" s="3" t="s">
        <v>22</v>
      </c>
      <c r="J34" s="3" t="s">
        <v>252</v>
      </c>
      <c r="K34" s="3" t="s">
        <v>253</v>
      </c>
      <c r="L34" s="3" t="s">
        <v>254</v>
      </c>
      <c r="M34" s="3" t="s">
        <v>255</v>
      </c>
      <c r="N34" s="3" t="s">
        <v>27</v>
      </c>
      <c r="O34" s="3" t="s">
        <v>256</v>
      </c>
      <c r="Q34" s="3" t="s">
        <v>29</v>
      </c>
      <c r="S34" s="1" t="s">
        <v>257</v>
      </c>
    </row>
    <row r="35">
      <c r="A35" s="4">
        <v>44342.72930387731</v>
      </c>
      <c r="B35" s="3" t="s">
        <v>258</v>
      </c>
      <c r="C35" s="3" t="s">
        <v>259</v>
      </c>
      <c r="D35" s="3" t="s">
        <v>20</v>
      </c>
      <c r="E35" s="3">
        <v>43886.0</v>
      </c>
      <c r="F35" s="3">
        <v>26000.0</v>
      </c>
      <c r="G35" s="3" t="s">
        <v>21</v>
      </c>
      <c r="H35" s="3" t="s">
        <v>22</v>
      </c>
      <c r="J35" s="3" t="s">
        <v>260</v>
      </c>
      <c r="K35" s="3" t="s">
        <v>261</v>
      </c>
      <c r="L35" s="3" t="s">
        <v>262</v>
      </c>
      <c r="M35" s="3" t="s">
        <v>263</v>
      </c>
      <c r="N35" s="3" t="s">
        <v>27</v>
      </c>
      <c r="O35" s="3" t="s">
        <v>264</v>
      </c>
      <c r="Q35" s="3" t="s">
        <v>29</v>
      </c>
      <c r="S35" s="1" t="s">
        <v>265</v>
      </c>
    </row>
    <row r="36">
      <c r="A36" s="4">
        <v>44342.72932989583</v>
      </c>
      <c r="B36" s="3" t="s">
        <v>266</v>
      </c>
      <c r="C36" s="3" t="s">
        <v>267</v>
      </c>
      <c r="D36" s="3" t="s">
        <v>20</v>
      </c>
      <c r="E36" s="3">
        <v>43699.0</v>
      </c>
      <c r="F36" s="3">
        <v>20000.0</v>
      </c>
      <c r="G36" s="3" t="s">
        <v>21</v>
      </c>
      <c r="H36" s="3" t="s">
        <v>22</v>
      </c>
      <c r="K36" s="3" t="s">
        <v>268</v>
      </c>
      <c r="L36" s="3" t="s">
        <v>269</v>
      </c>
      <c r="M36" s="3" t="s">
        <v>270</v>
      </c>
      <c r="N36" s="3" t="s">
        <v>27</v>
      </c>
      <c r="O36" s="3" t="s">
        <v>271</v>
      </c>
      <c r="Q36" s="3" t="s">
        <v>29</v>
      </c>
      <c r="S36" s="1" t="s">
        <v>272</v>
      </c>
    </row>
    <row r="37">
      <c r="A37" s="4">
        <v>44342.72935540509</v>
      </c>
      <c r="B37" s="3" t="s">
        <v>38</v>
      </c>
      <c r="C37" s="3" t="s">
        <v>273</v>
      </c>
      <c r="D37" s="3" t="s">
        <v>20</v>
      </c>
      <c r="E37" s="3">
        <v>43477.0</v>
      </c>
      <c r="F37" s="3">
        <v>11000.0</v>
      </c>
      <c r="G37" s="3" t="s">
        <v>136</v>
      </c>
      <c r="H37" s="3" t="s">
        <v>22</v>
      </c>
      <c r="K37" s="3" t="s">
        <v>274</v>
      </c>
      <c r="L37" s="3" t="s">
        <v>275</v>
      </c>
      <c r="M37" s="3" t="s">
        <v>276</v>
      </c>
      <c r="N37" s="3" t="s">
        <v>27</v>
      </c>
      <c r="O37" s="3" t="s">
        <v>43</v>
      </c>
      <c r="Q37" s="3" t="s">
        <v>29</v>
      </c>
      <c r="S37" s="1" t="s">
        <v>277</v>
      </c>
    </row>
    <row r="38">
      <c r="A38" s="4">
        <v>44342.72938047454</v>
      </c>
      <c r="B38" s="3" t="s">
        <v>278</v>
      </c>
      <c r="C38" s="3" t="s">
        <v>279</v>
      </c>
      <c r="D38" s="3" t="s">
        <v>20</v>
      </c>
      <c r="E38" s="3">
        <v>43896.0</v>
      </c>
      <c r="F38" s="3">
        <v>10610.0</v>
      </c>
      <c r="G38" s="3" t="s">
        <v>21</v>
      </c>
      <c r="H38" s="3" t="s">
        <v>22</v>
      </c>
      <c r="K38" s="3" t="s">
        <v>280</v>
      </c>
      <c r="L38" s="3" t="s">
        <v>281</v>
      </c>
      <c r="M38" s="3" t="s">
        <v>282</v>
      </c>
      <c r="N38" s="3" t="s">
        <v>27</v>
      </c>
      <c r="O38" s="3" t="s">
        <v>283</v>
      </c>
      <c r="Q38" s="3" t="s">
        <v>29</v>
      </c>
      <c r="S38" s="1" t="s">
        <v>284</v>
      </c>
    </row>
    <row r="39">
      <c r="A39" s="4">
        <v>44342.72940454861</v>
      </c>
      <c r="B39" s="3" t="s">
        <v>285</v>
      </c>
      <c r="C39" s="3" t="s">
        <v>286</v>
      </c>
      <c r="D39" s="3" t="s">
        <v>20</v>
      </c>
      <c r="E39" s="3">
        <v>43677.0</v>
      </c>
      <c r="F39" s="3">
        <v>26400.0</v>
      </c>
      <c r="G39" s="3" t="s">
        <v>21</v>
      </c>
      <c r="H39" s="3" t="s">
        <v>22</v>
      </c>
      <c r="K39" s="3" t="s">
        <v>287</v>
      </c>
      <c r="L39" s="3" t="s">
        <v>288</v>
      </c>
      <c r="M39" s="3" t="s">
        <v>289</v>
      </c>
      <c r="N39" s="3" t="s">
        <v>27</v>
      </c>
      <c r="O39" s="3" t="s">
        <v>290</v>
      </c>
      <c r="Q39" s="3" t="s">
        <v>29</v>
      </c>
      <c r="S39" s="1" t="s">
        <v>291</v>
      </c>
    </row>
    <row r="40">
      <c r="A40" s="4">
        <v>44342.729429479165</v>
      </c>
      <c r="B40" s="3" t="s">
        <v>242</v>
      </c>
      <c r="C40" s="3" t="s">
        <v>292</v>
      </c>
      <c r="D40" s="3" t="s">
        <v>20</v>
      </c>
      <c r="E40" s="3">
        <v>43788.0</v>
      </c>
      <c r="F40" s="3">
        <v>30000.0</v>
      </c>
      <c r="G40" s="3" t="s">
        <v>21</v>
      </c>
      <c r="H40" s="3" t="s">
        <v>22</v>
      </c>
      <c r="K40" s="3" t="s">
        <v>293</v>
      </c>
      <c r="L40" s="3" t="s">
        <v>294</v>
      </c>
      <c r="M40" s="3" t="s">
        <v>295</v>
      </c>
      <c r="N40" s="3" t="s">
        <v>27</v>
      </c>
      <c r="O40" s="3" t="s">
        <v>248</v>
      </c>
      <c r="Q40" s="3" t="s">
        <v>29</v>
      </c>
      <c r="S40" s="1" t="s">
        <v>296</v>
      </c>
    </row>
    <row r="41">
      <c r="A41" s="4">
        <v>44342.729453368054</v>
      </c>
      <c r="B41" s="3" t="s">
        <v>38</v>
      </c>
      <c r="C41" s="3" t="s">
        <v>297</v>
      </c>
      <c r="D41" s="3" t="s">
        <v>20</v>
      </c>
      <c r="E41" s="3">
        <v>43719.0</v>
      </c>
      <c r="F41" s="3">
        <v>83750.0</v>
      </c>
      <c r="G41" s="3" t="s">
        <v>21</v>
      </c>
      <c r="H41" s="3" t="s">
        <v>22</v>
      </c>
      <c r="J41" s="3" t="s">
        <v>298</v>
      </c>
      <c r="K41" s="3" t="s">
        <v>299</v>
      </c>
      <c r="L41" s="3" t="s">
        <v>300</v>
      </c>
      <c r="M41" s="3" t="s">
        <v>301</v>
      </c>
      <c r="N41" s="3" t="s">
        <v>27</v>
      </c>
      <c r="O41" s="3" t="s">
        <v>43</v>
      </c>
      <c r="Q41" s="3" t="s">
        <v>29</v>
      </c>
      <c r="S41" s="1" t="s">
        <v>302</v>
      </c>
    </row>
    <row r="42">
      <c r="A42" s="4">
        <v>44342.72947842593</v>
      </c>
      <c r="B42" s="3" t="s">
        <v>303</v>
      </c>
      <c r="C42" s="3" t="s">
        <v>304</v>
      </c>
      <c r="D42" s="3" t="s">
        <v>20</v>
      </c>
      <c r="E42" s="3">
        <v>43769.0</v>
      </c>
      <c r="F42" s="3">
        <v>24000.0</v>
      </c>
      <c r="G42" s="3" t="s">
        <v>21</v>
      </c>
      <c r="H42" s="3" t="s">
        <v>22</v>
      </c>
      <c r="K42" s="3" t="s">
        <v>305</v>
      </c>
      <c r="L42" s="3" t="s">
        <v>306</v>
      </c>
      <c r="M42" s="3" t="s">
        <v>307</v>
      </c>
      <c r="N42" s="3" t="s">
        <v>27</v>
      </c>
      <c r="O42" s="3" t="s">
        <v>308</v>
      </c>
      <c r="Q42" s="3" t="s">
        <v>29</v>
      </c>
      <c r="S42" s="1" t="s">
        <v>309</v>
      </c>
    </row>
    <row r="43">
      <c r="A43" s="4">
        <v>44342.72950277777</v>
      </c>
      <c r="B43" s="3" t="s">
        <v>38</v>
      </c>
      <c r="C43" s="3" t="s">
        <v>310</v>
      </c>
      <c r="D43" s="3" t="s">
        <v>20</v>
      </c>
      <c r="E43" s="3">
        <v>43804.0</v>
      </c>
      <c r="F43" s="3">
        <v>16300.0</v>
      </c>
      <c r="G43" s="3" t="s">
        <v>21</v>
      </c>
      <c r="H43" s="3" t="s">
        <v>22</v>
      </c>
      <c r="K43" s="3" t="s">
        <v>311</v>
      </c>
      <c r="L43" s="3" t="s">
        <v>312</v>
      </c>
      <c r="M43" s="3" t="s">
        <v>313</v>
      </c>
      <c r="N43" s="3" t="s">
        <v>27</v>
      </c>
      <c r="O43" s="3" t="s">
        <v>43</v>
      </c>
      <c r="Q43" s="3" t="s">
        <v>29</v>
      </c>
      <c r="S43" s="1" t="s">
        <v>314</v>
      </c>
    </row>
    <row r="44">
      <c r="A44" s="4">
        <v>44342.72952685185</v>
      </c>
      <c r="B44" s="3" t="s">
        <v>315</v>
      </c>
      <c r="C44" s="3" t="s">
        <v>316</v>
      </c>
      <c r="D44" s="3" t="s">
        <v>20</v>
      </c>
      <c r="E44" s="3">
        <v>43228.0</v>
      </c>
      <c r="F44" s="3">
        <v>353218.0</v>
      </c>
      <c r="G44" s="3" t="s">
        <v>21</v>
      </c>
      <c r="H44" s="3" t="s">
        <v>22</v>
      </c>
      <c r="K44" s="3" t="s">
        <v>317</v>
      </c>
      <c r="L44" s="3" t="s">
        <v>318</v>
      </c>
      <c r="M44" s="3" t="s">
        <v>319</v>
      </c>
      <c r="N44" s="3" t="s">
        <v>27</v>
      </c>
      <c r="O44" s="3" t="s">
        <v>320</v>
      </c>
      <c r="Q44" s="3" t="s">
        <v>29</v>
      </c>
      <c r="S44" s="1" t="s">
        <v>321</v>
      </c>
    </row>
    <row r="45">
      <c r="A45" s="4">
        <v>44342.72955221064</v>
      </c>
      <c r="B45" s="3" t="s">
        <v>322</v>
      </c>
      <c r="C45" s="3" t="s">
        <v>323</v>
      </c>
      <c r="D45" s="3" t="s">
        <v>20</v>
      </c>
      <c r="E45" s="3">
        <v>43732.0</v>
      </c>
      <c r="F45" s="3">
        <v>81000.0</v>
      </c>
      <c r="G45" s="3" t="s">
        <v>21</v>
      </c>
      <c r="H45" s="3" t="s">
        <v>22</v>
      </c>
      <c r="K45" s="3" t="s">
        <v>324</v>
      </c>
      <c r="L45" s="3" t="s">
        <v>325</v>
      </c>
      <c r="M45" s="3" t="s">
        <v>326</v>
      </c>
      <c r="N45" s="3" t="s">
        <v>27</v>
      </c>
      <c r="O45" s="3" t="s">
        <v>327</v>
      </c>
      <c r="Q45" s="3" t="s">
        <v>29</v>
      </c>
      <c r="S45" s="1" t="s">
        <v>328</v>
      </c>
    </row>
    <row r="46">
      <c r="A46" s="4">
        <v>44342.72957783565</v>
      </c>
      <c r="B46" s="3" t="s">
        <v>322</v>
      </c>
      <c r="C46" s="3" t="s">
        <v>329</v>
      </c>
      <c r="D46" s="3" t="s">
        <v>20</v>
      </c>
      <c r="E46" s="3">
        <v>43589.0</v>
      </c>
      <c r="F46" s="3">
        <v>139932.66</v>
      </c>
      <c r="G46" s="3" t="s">
        <v>21</v>
      </c>
      <c r="H46" s="3" t="s">
        <v>22</v>
      </c>
      <c r="K46" s="3" t="s">
        <v>330</v>
      </c>
      <c r="L46" s="3" t="s">
        <v>331</v>
      </c>
      <c r="M46" s="3" t="s">
        <v>332</v>
      </c>
      <c r="N46" s="3" t="s">
        <v>27</v>
      </c>
      <c r="O46" s="3" t="s">
        <v>327</v>
      </c>
      <c r="Q46" s="3" t="s">
        <v>29</v>
      </c>
      <c r="S46" s="1" t="s">
        <v>333</v>
      </c>
    </row>
    <row r="47">
      <c r="A47" s="4">
        <v>44342.72960209491</v>
      </c>
      <c r="B47" s="3" t="s">
        <v>334</v>
      </c>
      <c r="C47" s="3" t="s">
        <v>335</v>
      </c>
      <c r="D47" s="3" t="s">
        <v>230</v>
      </c>
      <c r="E47" s="3">
        <v>43831.0</v>
      </c>
      <c r="F47" s="3">
        <v>100.0</v>
      </c>
      <c r="G47" s="3" t="s">
        <v>136</v>
      </c>
      <c r="H47" s="3" t="s">
        <v>22</v>
      </c>
      <c r="K47" s="3" t="s">
        <v>336</v>
      </c>
      <c r="L47" s="3" t="s">
        <v>337</v>
      </c>
      <c r="M47" s="3" t="s">
        <v>338</v>
      </c>
      <c r="N47" s="3" t="s">
        <v>234</v>
      </c>
      <c r="O47" s="3" t="s">
        <v>339</v>
      </c>
      <c r="Q47" s="3" t="s">
        <v>29</v>
      </c>
      <c r="S47" s="1" t="s">
        <v>340</v>
      </c>
    </row>
    <row r="48">
      <c r="A48" s="4">
        <v>44342.729626099535</v>
      </c>
      <c r="B48" s="3" t="s">
        <v>341</v>
      </c>
      <c r="C48" s="3" t="s">
        <v>342</v>
      </c>
      <c r="D48" s="3" t="s">
        <v>20</v>
      </c>
      <c r="E48" s="3">
        <v>43546.0</v>
      </c>
      <c r="F48" s="3">
        <v>82900.0</v>
      </c>
      <c r="G48" s="3" t="s">
        <v>21</v>
      </c>
      <c r="H48" s="3" t="s">
        <v>22</v>
      </c>
      <c r="K48" s="3" t="s">
        <v>343</v>
      </c>
      <c r="L48" s="3" t="s">
        <v>344</v>
      </c>
      <c r="M48" s="3" t="s">
        <v>345</v>
      </c>
      <c r="N48" s="3" t="s">
        <v>27</v>
      </c>
      <c r="O48" s="3" t="s">
        <v>346</v>
      </c>
      <c r="Q48" s="3" t="s">
        <v>29</v>
      </c>
      <c r="S48" s="1" t="s">
        <v>347</v>
      </c>
    </row>
    <row r="49">
      <c r="A49" s="4">
        <v>44342.72964962963</v>
      </c>
      <c r="B49" s="3" t="s">
        <v>348</v>
      </c>
      <c r="C49" s="3" t="s">
        <v>349</v>
      </c>
      <c r="D49" s="3" t="s">
        <v>20</v>
      </c>
      <c r="E49" s="3">
        <v>43711.0</v>
      </c>
      <c r="F49" s="3">
        <v>180540.0</v>
      </c>
      <c r="G49" s="3" t="s">
        <v>350</v>
      </c>
      <c r="H49" s="3" t="s">
        <v>22</v>
      </c>
      <c r="K49" s="3" t="s">
        <v>351</v>
      </c>
      <c r="L49" s="3" t="s">
        <v>352</v>
      </c>
      <c r="M49" s="3" t="s">
        <v>353</v>
      </c>
      <c r="N49" s="3" t="s">
        <v>27</v>
      </c>
      <c r="O49" s="3" t="s">
        <v>354</v>
      </c>
      <c r="Q49" s="3" t="s">
        <v>29</v>
      </c>
      <c r="S49" s="1" t="s">
        <v>355</v>
      </c>
    </row>
    <row r="50">
      <c r="A50" s="4">
        <v>44342.72967587963</v>
      </c>
      <c r="B50" s="3" t="s">
        <v>356</v>
      </c>
      <c r="C50" s="3" t="s">
        <v>357</v>
      </c>
      <c r="D50" s="3" t="s">
        <v>358</v>
      </c>
      <c r="E50" s="6">
        <v>43124.0</v>
      </c>
      <c r="F50" s="3">
        <v>416156.43</v>
      </c>
      <c r="G50" s="3" t="s">
        <v>21</v>
      </c>
      <c r="H50" s="3" t="s">
        <v>22</v>
      </c>
      <c r="K50" s="3" t="s">
        <v>359</v>
      </c>
      <c r="L50" s="3" t="s">
        <v>360</v>
      </c>
      <c r="M50" s="3" t="s">
        <v>361</v>
      </c>
      <c r="N50" s="3" t="s">
        <v>362</v>
      </c>
      <c r="O50" s="3" t="s">
        <v>363</v>
      </c>
      <c r="Q50" s="3" t="s">
        <v>29</v>
      </c>
      <c r="S50" s="1" t="s">
        <v>364</v>
      </c>
    </row>
    <row r="51">
      <c r="A51" s="4">
        <v>44342.72970113426</v>
      </c>
      <c r="B51" s="3" t="s">
        <v>365</v>
      </c>
      <c r="C51" s="3" t="s">
        <v>366</v>
      </c>
      <c r="D51" s="3" t="s">
        <v>20</v>
      </c>
      <c r="E51" s="3">
        <v>43571.0</v>
      </c>
      <c r="F51" s="3">
        <v>36200.0</v>
      </c>
      <c r="G51" s="3" t="s">
        <v>21</v>
      </c>
      <c r="H51" s="3" t="s">
        <v>22</v>
      </c>
      <c r="K51" s="3" t="s">
        <v>367</v>
      </c>
      <c r="L51" s="3" t="s">
        <v>368</v>
      </c>
      <c r="M51" s="3" t="s">
        <v>369</v>
      </c>
      <c r="N51" s="3" t="s">
        <v>27</v>
      </c>
      <c r="O51" s="3" t="s">
        <v>370</v>
      </c>
      <c r="Q51" s="3" t="s">
        <v>29</v>
      </c>
      <c r="S51" s="1" t="s">
        <v>371</v>
      </c>
    </row>
    <row r="52">
      <c r="A52" s="4">
        <v>44342.729725833335</v>
      </c>
      <c r="B52" s="3" t="s">
        <v>372</v>
      </c>
      <c r="C52" s="3" t="s">
        <v>373</v>
      </c>
      <c r="D52" s="3" t="s">
        <v>20</v>
      </c>
      <c r="E52" s="3">
        <v>43566.0</v>
      </c>
      <c r="F52" s="3">
        <v>37760.0</v>
      </c>
      <c r="G52" s="3" t="s">
        <v>21</v>
      </c>
      <c r="H52" s="3" t="s">
        <v>22</v>
      </c>
      <c r="K52" s="3" t="s">
        <v>374</v>
      </c>
      <c r="L52" s="3" t="s">
        <v>375</v>
      </c>
      <c r="M52" s="3" t="s">
        <v>376</v>
      </c>
      <c r="N52" s="3" t="s">
        <v>27</v>
      </c>
      <c r="O52" s="3" t="s">
        <v>377</v>
      </c>
      <c r="Q52" s="3" t="s">
        <v>29</v>
      </c>
      <c r="S52" s="1" t="s">
        <v>378</v>
      </c>
    </row>
    <row r="53">
      <c r="A53" s="4">
        <v>44342.729749826394</v>
      </c>
      <c r="B53" s="3" t="s">
        <v>379</v>
      </c>
      <c r="C53" s="3" t="s">
        <v>380</v>
      </c>
      <c r="D53" s="3" t="s">
        <v>20</v>
      </c>
      <c r="E53" s="3">
        <v>43861.0</v>
      </c>
      <c r="F53" s="3">
        <v>8900.0</v>
      </c>
      <c r="G53" s="3" t="s">
        <v>21</v>
      </c>
      <c r="H53" s="3" t="s">
        <v>22</v>
      </c>
      <c r="K53" s="3" t="s">
        <v>381</v>
      </c>
      <c r="L53" s="3" t="s">
        <v>382</v>
      </c>
      <c r="M53" s="3" t="s">
        <v>383</v>
      </c>
      <c r="N53" s="3" t="s">
        <v>27</v>
      </c>
      <c r="O53" s="3" t="s">
        <v>384</v>
      </c>
      <c r="Q53" s="3" t="s">
        <v>29</v>
      </c>
      <c r="S53" s="1" t="s">
        <v>385</v>
      </c>
    </row>
    <row r="54">
      <c r="A54" s="4">
        <v>44342.729773831015</v>
      </c>
      <c r="B54" s="3" t="s">
        <v>386</v>
      </c>
      <c r="C54" s="3" t="s">
        <v>387</v>
      </c>
      <c r="D54" s="3" t="s">
        <v>20</v>
      </c>
      <c r="E54" s="3">
        <v>43348.0</v>
      </c>
      <c r="F54" s="3">
        <v>650000.0</v>
      </c>
      <c r="G54" s="3" t="s">
        <v>21</v>
      </c>
      <c r="H54" s="3" t="s">
        <v>22</v>
      </c>
      <c r="K54" s="3" t="s">
        <v>388</v>
      </c>
      <c r="L54" s="3" t="s">
        <v>389</v>
      </c>
      <c r="M54" s="3" t="s">
        <v>390</v>
      </c>
      <c r="N54" s="3" t="s">
        <v>27</v>
      </c>
      <c r="O54" s="3" t="s">
        <v>391</v>
      </c>
      <c r="Q54" s="3" t="s">
        <v>29</v>
      </c>
      <c r="S54" s="1" t="s">
        <v>392</v>
      </c>
    </row>
    <row r="55">
      <c r="A55" s="4">
        <v>44342.729799305554</v>
      </c>
      <c r="B55" s="3" t="s">
        <v>393</v>
      </c>
      <c r="C55" s="3" t="s">
        <v>394</v>
      </c>
      <c r="D55" s="3" t="s">
        <v>358</v>
      </c>
      <c r="E55" s="3">
        <v>43595.0</v>
      </c>
      <c r="F55" s="3">
        <v>109423.76</v>
      </c>
      <c r="G55" s="3" t="s">
        <v>136</v>
      </c>
      <c r="H55" s="3" t="s">
        <v>22</v>
      </c>
      <c r="K55" s="3" t="s">
        <v>395</v>
      </c>
      <c r="L55" s="3" t="s">
        <v>396</v>
      </c>
      <c r="M55" s="3" t="s">
        <v>397</v>
      </c>
      <c r="N55" s="3" t="s">
        <v>362</v>
      </c>
      <c r="O55" s="3" t="s">
        <v>398</v>
      </c>
      <c r="Q55" s="3" t="s">
        <v>29</v>
      </c>
      <c r="S55" s="1" t="s">
        <v>399</v>
      </c>
    </row>
    <row r="56">
      <c r="A56" s="4">
        <v>44342.72982425926</v>
      </c>
      <c r="B56" s="3" t="s">
        <v>393</v>
      </c>
      <c r="C56" s="3" t="s">
        <v>400</v>
      </c>
      <c r="D56" s="3" t="s">
        <v>358</v>
      </c>
      <c r="E56" s="3">
        <v>43602.0</v>
      </c>
      <c r="F56" s="3">
        <v>11810.0</v>
      </c>
      <c r="G56" s="3" t="s">
        <v>21</v>
      </c>
      <c r="H56" s="3" t="s">
        <v>22</v>
      </c>
      <c r="K56" s="3" t="s">
        <v>401</v>
      </c>
      <c r="L56" s="3" t="s">
        <v>402</v>
      </c>
      <c r="M56" s="3" t="s">
        <v>403</v>
      </c>
      <c r="N56" s="3" t="s">
        <v>362</v>
      </c>
      <c r="O56" s="3" t="s">
        <v>398</v>
      </c>
      <c r="Q56" s="3" t="s">
        <v>29</v>
      </c>
      <c r="S56" s="1" t="s">
        <v>404</v>
      </c>
    </row>
    <row r="57">
      <c r="A57" s="4">
        <v>44342.72984846064</v>
      </c>
      <c r="B57" s="3" t="s">
        <v>393</v>
      </c>
      <c r="C57" s="3" t="s">
        <v>405</v>
      </c>
      <c r="D57" s="3" t="s">
        <v>358</v>
      </c>
      <c r="E57" s="3">
        <v>43633.0</v>
      </c>
      <c r="F57" s="3">
        <v>319728.97</v>
      </c>
      <c r="G57" s="3" t="s">
        <v>21</v>
      </c>
      <c r="H57" s="3" t="s">
        <v>22</v>
      </c>
      <c r="K57" s="3" t="s">
        <v>406</v>
      </c>
      <c r="L57" s="3" t="s">
        <v>407</v>
      </c>
      <c r="M57" s="3" t="s">
        <v>408</v>
      </c>
      <c r="N57" s="3" t="s">
        <v>362</v>
      </c>
      <c r="O57" s="3" t="s">
        <v>398</v>
      </c>
      <c r="Q57" s="3" t="s">
        <v>29</v>
      </c>
      <c r="S57" s="1" t="s">
        <v>409</v>
      </c>
    </row>
    <row r="58">
      <c r="A58" s="4">
        <v>44342.729873171294</v>
      </c>
      <c r="B58" s="3" t="s">
        <v>393</v>
      </c>
      <c r="C58" s="3" t="s">
        <v>410</v>
      </c>
      <c r="D58" s="3" t="s">
        <v>358</v>
      </c>
      <c r="E58" s="3">
        <v>43693.0</v>
      </c>
      <c r="F58" s="3">
        <v>11636.28</v>
      </c>
      <c r="G58" s="3" t="s">
        <v>21</v>
      </c>
      <c r="H58" s="3" t="s">
        <v>22</v>
      </c>
      <c r="K58" s="3" t="s">
        <v>411</v>
      </c>
      <c r="L58" s="3" t="s">
        <v>412</v>
      </c>
      <c r="M58" s="3" t="s">
        <v>413</v>
      </c>
      <c r="N58" s="3" t="s">
        <v>362</v>
      </c>
      <c r="O58" s="3" t="s">
        <v>398</v>
      </c>
      <c r="Q58" s="3" t="s">
        <v>29</v>
      </c>
      <c r="S58" s="1" t="s">
        <v>414</v>
      </c>
    </row>
    <row r="59">
      <c r="A59" s="4">
        <v>44342.72992332176</v>
      </c>
      <c r="B59" s="3" t="s">
        <v>393</v>
      </c>
      <c r="C59" s="3" t="s">
        <v>415</v>
      </c>
      <c r="D59" s="3" t="s">
        <v>358</v>
      </c>
      <c r="E59" s="3">
        <v>43597.0</v>
      </c>
      <c r="F59" s="3">
        <v>2872.57</v>
      </c>
      <c r="G59" s="3" t="s">
        <v>21</v>
      </c>
      <c r="H59" s="3" t="s">
        <v>22</v>
      </c>
      <c r="K59" s="3" t="s">
        <v>416</v>
      </c>
      <c r="L59" s="3" t="s">
        <v>417</v>
      </c>
      <c r="M59" s="3" t="s">
        <v>418</v>
      </c>
      <c r="N59" s="3" t="s">
        <v>362</v>
      </c>
      <c r="O59" s="3" t="s">
        <v>398</v>
      </c>
      <c r="Q59" s="3" t="s">
        <v>29</v>
      </c>
      <c r="S59" s="1" t="s">
        <v>419</v>
      </c>
    </row>
    <row r="60">
      <c r="A60" s="4">
        <v>44342.729897847224</v>
      </c>
      <c r="B60" s="3" t="s">
        <v>393</v>
      </c>
      <c r="C60" s="3" t="s">
        <v>420</v>
      </c>
      <c r="D60" s="3" t="s">
        <v>358</v>
      </c>
      <c r="E60" s="3">
        <v>43759.0</v>
      </c>
      <c r="F60" s="3">
        <v>2244.12</v>
      </c>
      <c r="G60" s="3" t="s">
        <v>21</v>
      </c>
      <c r="H60" s="3" t="s">
        <v>22</v>
      </c>
      <c r="K60" s="3" t="s">
        <v>421</v>
      </c>
      <c r="L60" s="3" t="s">
        <v>422</v>
      </c>
      <c r="M60" s="3" t="s">
        <v>423</v>
      </c>
      <c r="N60" s="3" t="s">
        <v>362</v>
      </c>
      <c r="O60" s="3" t="s">
        <v>398</v>
      </c>
      <c r="Q60" s="3" t="s">
        <v>29</v>
      </c>
      <c r="S60" s="1" t="s">
        <v>424</v>
      </c>
    </row>
    <row r="61">
      <c r="A61" s="4">
        <v>44342.7299719213</v>
      </c>
      <c r="B61" s="3" t="s">
        <v>393</v>
      </c>
      <c r="C61" s="3" t="s">
        <v>425</v>
      </c>
      <c r="D61" s="3" t="s">
        <v>358</v>
      </c>
      <c r="E61" s="3">
        <v>43882.0</v>
      </c>
      <c r="F61" s="3">
        <v>10000.0</v>
      </c>
      <c r="G61" s="3" t="s">
        <v>136</v>
      </c>
      <c r="H61" s="3" t="s">
        <v>22</v>
      </c>
      <c r="K61" s="3" t="s">
        <v>426</v>
      </c>
      <c r="L61" s="3" t="s">
        <v>427</v>
      </c>
      <c r="M61" s="3" t="s">
        <v>428</v>
      </c>
      <c r="N61" s="3" t="s">
        <v>362</v>
      </c>
      <c r="O61" s="3" t="s">
        <v>398</v>
      </c>
      <c r="Q61" s="3" t="s">
        <v>29</v>
      </c>
      <c r="S61" s="1" t="s">
        <v>429</v>
      </c>
    </row>
    <row r="62">
      <c r="A62" s="4">
        <v>44342.72994770833</v>
      </c>
      <c r="B62" s="3" t="s">
        <v>393</v>
      </c>
      <c r="C62" s="3" t="s">
        <v>430</v>
      </c>
      <c r="D62" s="3" t="s">
        <v>358</v>
      </c>
      <c r="E62" s="3">
        <v>43815.0</v>
      </c>
      <c r="F62" s="3">
        <v>881.46</v>
      </c>
      <c r="G62" s="3" t="s">
        <v>350</v>
      </c>
      <c r="H62" s="3" t="s">
        <v>22</v>
      </c>
      <c r="K62" s="3" t="s">
        <v>431</v>
      </c>
      <c r="L62" s="3" t="s">
        <v>432</v>
      </c>
      <c r="M62" s="3" t="s">
        <v>433</v>
      </c>
      <c r="N62" s="3" t="s">
        <v>362</v>
      </c>
      <c r="O62" s="3" t="s">
        <v>398</v>
      </c>
      <c r="Q62" s="3" t="s">
        <v>29</v>
      </c>
      <c r="S62" s="1" t="s">
        <v>434</v>
      </c>
    </row>
    <row r="63">
      <c r="A63" s="4">
        <v>44342.72999732639</v>
      </c>
      <c r="B63" s="3" t="s">
        <v>393</v>
      </c>
      <c r="C63" s="3" t="s">
        <v>435</v>
      </c>
      <c r="D63" s="3" t="s">
        <v>358</v>
      </c>
      <c r="E63" s="3">
        <v>43894.0</v>
      </c>
      <c r="F63" s="3">
        <v>87484.25</v>
      </c>
      <c r="G63" s="3" t="s">
        <v>21</v>
      </c>
      <c r="H63" s="3" t="s">
        <v>22</v>
      </c>
      <c r="K63" s="3" t="s">
        <v>436</v>
      </c>
      <c r="L63" s="3" t="s">
        <v>437</v>
      </c>
      <c r="M63" s="3" t="s">
        <v>438</v>
      </c>
      <c r="N63" s="3" t="s">
        <v>362</v>
      </c>
      <c r="O63" s="3" t="s">
        <v>398</v>
      </c>
      <c r="Q63" s="3" t="s">
        <v>29</v>
      </c>
      <c r="S63" s="1" t="s">
        <v>439</v>
      </c>
    </row>
    <row r="64">
      <c r="A64" s="4">
        <v>44342.73002239583</v>
      </c>
      <c r="B64" s="3" t="s">
        <v>393</v>
      </c>
      <c r="C64" s="3" t="s">
        <v>440</v>
      </c>
      <c r="D64" s="3" t="s">
        <v>358</v>
      </c>
      <c r="E64" s="3">
        <v>43900.0</v>
      </c>
      <c r="F64" s="3">
        <v>56818.84</v>
      </c>
      <c r="G64" s="3" t="s">
        <v>21</v>
      </c>
      <c r="H64" s="3" t="s">
        <v>22</v>
      </c>
      <c r="K64" s="3" t="s">
        <v>441</v>
      </c>
      <c r="L64" s="3" t="s">
        <v>442</v>
      </c>
      <c r="M64" s="3" t="s">
        <v>443</v>
      </c>
      <c r="N64" s="3" t="s">
        <v>362</v>
      </c>
      <c r="O64" s="3" t="s">
        <v>398</v>
      </c>
      <c r="Q64" s="3" t="s">
        <v>29</v>
      </c>
      <c r="S64" s="1" t="s">
        <v>444</v>
      </c>
    </row>
    <row r="65">
      <c r="A65" s="4">
        <v>44342.73005005787</v>
      </c>
      <c r="B65" s="3" t="s">
        <v>393</v>
      </c>
      <c r="C65" s="3" t="s">
        <v>445</v>
      </c>
      <c r="D65" s="3" t="s">
        <v>358</v>
      </c>
      <c r="E65" s="3">
        <v>43903.0</v>
      </c>
      <c r="F65" s="3">
        <v>8684.86</v>
      </c>
      <c r="G65" s="3" t="s">
        <v>21</v>
      </c>
      <c r="H65" s="3" t="s">
        <v>22</v>
      </c>
      <c r="K65" s="3" t="s">
        <v>446</v>
      </c>
      <c r="L65" s="3" t="s">
        <v>447</v>
      </c>
      <c r="M65" s="3" t="s">
        <v>448</v>
      </c>
      <c r="N65" s="3" t="s">
        <v>362</v>
      </c>
      <c r="O65" s="3" t="s">
        <v>398</v>
      </c>
      <c r="Q65" s="3" t="s">
        <v>29</v>
      </c>
      <c r="S65" s="1" t="s">
        <v>449</v>
      </c>
    </row>
    <row r="66">
      <c r="A66" s="4">
        <v>44342.73007460649</v>
      </c>
      <c r="B66" s="3" t="s">
        <v>110</v>
      </c>
      <c r="C66" s="3" t="s">
        <v>450</v>
      </c>
      <c r="D66" s="3" t="s">
        <v>20</v>
      </c>
      <c r="E66" s="3">
        <v>44170.0</v>
      </c>
      <c r="F66" s="3">
        <v>20800.0</v>
      </c>
      <c r="G66" s="3" t="s">
        <v>21</v>
      </c>
      <c r="H66" s="3" t="s">
        <v>22</v>
      </c>
      <c r="K66" s="3" t="s">
        <v>451</v>
      </c>
      <c r="L66" s="3" t="s">
        <v>452</v>
      </c>
      <c r="M66" s="3" t="s">
        <v>453</v>
      </c>
      <c r="N66" s="3" t="s">
        <v>27</v>
      </c>
      <c r="O66" s="3" t="s">
        <v>116</v>
      </c>
      <c r="Q66" s="3" t="s">
        <v>29</v>
      </c>
      <c r="S66" s="1" t="s">
        <v>454</v>
      </c>
    </row>
    <row r="67">
      <c r="A67" s="4">
        <v>44342.73009892361</v>
      </c>
      <c r="B67" s="3" t="s">
        <v>322</v>
      </c>
      <c r="C67" s="3" t="s">
        <v>455</v>
      </c>
      <c r="D67" s="3" t="s">
        <v>20</v>
      </c>
      <c r="E67" s="3">
        <v>43955.0</v>
      </c>
      <c r="F67" s="3">
        <v>107760.0</v>
      </c>
      <c r="G67" s="3" t="s">
        <v>21</v>
      </c>
      <c r="H67" s="3" t="s">
        <v>22</v>
      </c>
      <c r="J67" s="3" t="s">
        <v>456</v>
      </c>
      <c r="K67" s="3" t="s">
        <v>457</v>
      </c>
      <c r="L67" s="3" t="s">
        <v>458</v>
      </c>
      <c r="M67" s="3" t="s">
        <v>459</v>
      </c>
      <c r="N67" s="3" t="s">
        <v>27</v>
      </c>
      <c r="O67" s="3" t="s">
        <v>327</v>
      </c>
      <c r="Q67" s="3" t="s">
        <v>29</v>
      </c>
      <c r="S67" s="1" t="s">
        <v>460</v>
      </c>
    </row>
    <row r="68">
      <c r="A68" s="4">
        <v>44342.730124953705</v>
      </c>
      <c r="B68" s="3" t="s">
        <v>461</v>
      </c>
      <c r="C68" s="3" t="s">
        <v>462</v>
      </c>
      <c r="D68" s="3" t="s">
        <v>230</v>
      </c>
      <c r="E68" s="3">
        <v>43800.0</v>
      </c>
      <c r="F68" s="3">
        <v>1800.0</v>
      </c>
      <c r="G68" s="3" t="s">
        <v>136</v>
      </c>
      <c r="H68" s="3" t="s">
        <v>22</v>
      </c>
      <c r="K68" s="3" t="s">
        <v>463</v>
      </c>
      <c r="L68" s="3" t="s">
        <v>464</v>
      </c>
      <c r="M68" s="3" t="s">
        <v>465</v>
      </c>
      <c r="N68" s="3" t="s">
        <v>234</v>
      </c>
      <c r="O68" s="3" t="s">
        <v>466</v>
      </c>
      <c r="Q68" s="3" t="s">
        <v>29</v>
      </c>
      <c r="S68" s="1" t="s">
        <v>467</v>
      </c>
    </row>
    <row r="69">
      <c r="A69" s="4">
        <v>44342.73015004629</v>
      </c>
      <c r="B69" s="3" t="s">
        <v>468</v>
      </c>
      <c r="C69" s="3" t="s">
        <v>469</v>
      </c>
      <c r="D69" s="3" t="s">
        <v>230</v>
      </c>
      <c r="E69" s="3">
        <v>43617.0</v>
      </c>
      <c r="F69" s="3">
        <v>300.0</v>
      </c>
      <c r="G69" s="3" t="s">
        <v>21</v>
      </c>
      <c r="H69" s="3" t="s">
        <v>22</v>
      </c>
      <c r="K69" s="3" t="s">
        <v>470</v>
      </c>
      <c r="L69" s="3" t="s">
        <v>471</v>
      </c>
      <c r="M69" s="3" t="s">
        <v>472</v>
      </c>
      <c r="N69" s="3" t="s">
        <v>234</v>
      </c>
      <c r="O69" s="3" t="s">
        <v>473</v>
      </c>
      <c r="Q69" s="3" t="s">
        <v>29</v>
      </c>
      <c r="S69" s="1" t="s">
        <v>474</v>
      </c>
    </row>
    <row r="70">
      <c r="A70" s="4">
        <v>44342.7301753125</v>
      </c>
      <c r="B70" s="3" t="s">
        <v>475</v>
      </c>
      <c r="C70" s="3" t="s">
        <v>476</v>
      </c>
      <c r="D70" s="3" t="s">
        <v>230</v>
      </c>
      <c r="E70" s="3">
        <v>43586.0</v>
      </c>
      <c r="F70" s="3">
        <v>200.0</v>
      </c>
      <c r="G70" s="3" t="s">
        <v>136</v>
      </c>
      <c r="H70" s="3" t="s">
        <v>22</v>
      </c>
      <c r="K70" s="3" t="s">
        <v>477</v>
      </c>
      <c r="L70" s="3" t="s">
        <v>478</v>
      </c>
      <c r="M70" s="3" t="s">
        <v>479</v>
      </c>
      <c r="N70" s="3" t="s">
        <v>234</v>
      </c>
      <c r="O70" s="3" t="s">
        <v>480</v>
      </c>
      <c r="Q70" s="3" t="s">
        <v>29</v>
      </c>
      <c r="S70" s="1" t="s">
        <v>481</v>
      </c>
    </row>
    <row r="71">
      <c r="A71" s="4">
        <v>44342.730200729166</v>
      </c>
      <c r="B71" s="3" t="s">
        <v>482</v>
      </c>
      <c r="C71" s="3" t="s">
        <v>483</v>
      </c>
      <c r="D71" s="3" t="s">
        <v>230</v>
      </c>
      <c r="E71" s="3">
        <v>43497.0</v>
      </c>
      <c r="F71" s="3">
        <v>750.0</v>
      </c>
      <c r="G71" s="3" t="s">
        <v>136</v>
      </c>
      <c r="H71" s="3" t="s">
        <v>22</v>
      </c>
      <c r="K71" s="3" t="s">
        <v>484</v>
      </c>
      <c r="L71" s="3" t="s">
        <v>485</v>
      </c>
      <c r="M71" s="3" t="s">
        <v>486</v>
      </c>
      <c r="N71" s="3" t="s">
        <v>234</v>
      </c>
      <c r="O71" s="3" t="s">
        <v>487</v>
      </c>
      <c r="Q71" s="3" t="s">
        <v>29</v>
      </c>
      <c r="S71" s="1" t="s">
        <v>488</v>
      </c>
    </row>
    <row r="72">
      <c r="A72" s="4">
        <v>44342.73022631944</v>
      </c>
      <c r="B72" s="3" t="s">
        <v>89</v>
      </c>
      <c r="C72" s="3" t="s">
        <v>489</v>
      </c>
      <c r="D72" s="3" t="s">
        <v>230</v>
      </c>
      <c r="E72" s="3">
        <v>43539.0</v>
      </c>
      <c r="F72" s="3">
        <v>1500.0</v>
      </c>
      <c r="G72" s="3" t="s">
        <v>136</v>
      </c>
      <c r="H72" s="3" t="s">
        <v>22</v>
      </c>
      <c r="J72" s="3" t="s">
        <v>490</v>
      </c>
      <c r="K72" s="3" t="s">
        <v>491</v>
      </c>
      <c r="L72" s="3" t="s">
        <v>492</v>
      </c>
      <c r="M72" s="3" t="s">
        <v>493</v>
      </c>
      <c r="N72" s="3" t="s">
        <v>234</v>
      </c>
      <c r="O72" s="3" t="s">
        <v>94</v>
      </c>
      <c r="Q72" s="3" t="s">
        <v>29</v>
      </c>
      <c r="S72" s="1" t="s">
        <v>494</v>
      </c>
    </row>
    <row r="73">
      <c r="A73" s="4">
        <v>44342.73025202546</v>
      </c>
      <c r="B73" s="3" t="s">
        <v>495</v>
      </c>
      <c r="C73" s="3" t="s">
        <v>496</v>
      </c>
      <c r="D73" s="3" t="s">
        <v>230</v>
      </c>
      <c r="E73" s="3">
        <v>43435.0</v>
      </c>
      <c r="F73" s="3">
        <v>1645.0</v>
      </c>
      <c r="G73" s="3" t="s">
        <v>21</v>
      </c>
      <c r="H73" s="3" t="s">
        <v>22</v>
      </c>
      <c r="J73" s="3" t="s">
        <v>497</v>
      </c>
      <c r="K73" s="3" t="s">
        <v>498</v>
      </c>
      <c r="L73" s="3" t="s">
        <v>499</v>
      </c>
      <c r="M73" s="3" t="s">
        <v>500</v>
      </c>
      <c r="N73" s="3" t="s">
        <v>234</v>
      </c>
      <c r="O73" s="3" t="s">
        <v>501</v>
      </c>
      <c r="Q73" s="3" t="s">
        <v>29</v>
      </c>
      <c r="S73" s="1" t="s">
        <v>502</v>
      </c>
    </row>
    <row r="74">
      <c r="A74" s="4">
        <v>44342.730277939816</v>
      </c>
      <c r="B74" s="3" t="s">
        <v>503</v>
      </c>
      <c r="C74" s="3" t="s">
        <v>504</v>
      </c>
      <c r="D74" s="3" t="s">
        <v>230</v>
      </c>
      <c r="E74" s="3">
        <v>43462.0</v>
      </c>
      <c r="F74" s="3">
        <v>1000.0</v>
      </c>
      <c r="G74" s="3" t="s">
        <v>136</v>
      </c>
      <c r="H74" s="3" t="s">
        <v>22</v>
      </c>
      <c r="K74" s="3" t="s">
        <v>505</v>
      </c>
      <c r="L74" s="3" t="s">
        <v>506</v>
      </c>
      <c r="M74" s="3" t="s">
        <v>507</v>
      </c>
      <c r="N74" s="3" t="s">
        <v>234</v>
      </c>
      <c r="O74" s="3" t="s">
        <v>508</v>
      </c>
      <c r="Q74" s="3" t="s">
        <v>29</v>
      </c>
      <c r="S74" s="1" t="s">
        <v>509</v>
      </c>
    </row>
    <row r="75">
      <c r="A75" s="4">
        <v>44342.730303703705</v>
      </c>
      <c r="B75" s="3" t="s">
        <v>482</v>
      </c>
      <c r="C75" s="3" t="s">
        <v>510</v>
      </c>
      <c r="D75" s="3" t="s">
        <v>230</v>
      </c>
      <c r="E75" s="3">
        <v>43862.0</v>
      </c>
      <c r="F75" s="3">
        <v>1.0</v>
      </c>
      <c r="G75" s="3" t="s">
        <v>136</v>
      </c>
      <c r="H75" s="3" t="s">
        <v>22</v>
      </c>
      <c r="J75" s="3" t="s">
        <v>511</v>
      </c>
      <c r="K75" s="3" t="s">
        <v>512</v>
      </c>
      <c r="L75" s="3" t="s">
        <v>513</v>
      </c>
      <c r="M75" s="3" t="s">
        <v>514</v>
      </c>
      <c r="N75" s="3" t="s">
        <v>234</v>
      </c>
      <c r="O75" s="3" t="s">
        <v>487</v>
      </c>
      <c r="Q75" s="3" t="s">
        <v>29</v>
      </c>
      <c r="S75" s="1" t="s">
        <v>515</v>
      </c>
    </row>
    <row r="76">
      <c r="A76" s="4">
        <v>44342.73032939815</v>
      </c>
      <c r="B76" s="3" t="s">
        <v>516</v>
      </c>
      <c r="C76" s="3" t="s">
        <v>517</v>
      </c>
      <c r="D76" s="3" t="s">
        <v>518</v>
      </c>
      <c r="E76" s="6">
        <v>44075.0</v>
      </c>
      <c r="F76" s="3">
        <v>1.0</v>
      </c>
      <c r="G76" s="3" t="s">
        <v>136</v>
      </c>
      <c r="H76" s="3" t="s">
        <v>22</v>
      </c>
      <c r="J76" s="3" t="s">
        <v>519</v>
      </c>
      <c r="K76" s="3" t="s">
        <v>520</v>
      </c>
      <c r="L76" s="3" t="s">
        <v>521</v>
      </c>
      <c r="M76" s="3" t="s">
        <v>522</v>
      </c>
      <c r="N76" s="3" t="s">
        <v>523</v>
      </c>
      <c r="O76" s="3" t="s">
        <v>524</v>
      </c>
      <c r="Q76" s="3" t="s">
        <v>29</v>
      </c>
      <c r="S76" s="1" t="s">
        <v>525</v>
      </c>
    </row>
    <row r="77">
      <c r="A77" s="4">
        <v>44342.730354479165</v>
      </c>
      <c r="B77" s="3" t="s">
        <v>526</v>
      </c>
      <c r="C77" s="3" t="s">
        <v>527</v>
      </c>
      <c r="D77" s="3" t="s">
        <v>230</v>
      </c>
      <c r="E77" s="3">
        <v>43831.0</v>
      </c>
      <c r="F77" s="3">
        <v>1.0</v>
      </c>
      <c r="G77" s="3" t="s">
        <v>136</v>
      </c>
      <c r="H77" s="3" t="s">
        <v>22</v>
      </c>
      <c r="K77" s="3" t="s">
        <v>528</v>
      </c>
      <c r="L77" s="3" t="s">
        <v>529</v>
      </c>
      <c r="M77" s="3" t="s">
        <v>530</v>
      </c>
      <c r="N77" s="3" t="s">
        <v>234</v>
      </c>
      <c r="O77" s="3" t="s">
        <v>531</v>
      </c>
      <c r="Q77" s="3" t="s">
        <v>29</v>
      </c>
      <c r="S77" s="1" t="s">
        <v>532</v>
      </c>
    </row>
    <row r="78">
      <c r="A78" s="4">
        <v>44342.73037978009</v>
      </c>
      <c r="B78" s="3" t="s">
        <v>242</v>
      </c>
      <c r="C78" s="3" t="s">
        <v>533</v>
      </c>
      <c r="D78" s="3" t="s">
        <v>230</v>
      </c>
      <c r="E78" s="3">
        <v>43831.0</v>
      </c>
      <c r="F78" s="3">
        <v>1.0</v>
      </c>
      <c r="G78" s="3" t="s">
        <v>136</v>
      </c>
      <c r="H78" s="3" t="s">
        <v>22</v>
      </c>
      <c r="K78" s="3" t="s">
        <v>534</v>
      </c>
      <c r="L78" s="3" t="s">
        <v>535</v>
      </c>
      <c r="M78" s="3" t="s">
        <v>536</v>
      </c>
      <c r="N78" s="3" t="s">
        <v>234</v>
      </c>
      <c r="O78" s="3" t="s">
        <v>248</v>
      </c>
      <c r="Q78" s="3" t="s">
        <v>29</v>
      </c>
      <c r="S78" s="1" t="s">
        <v>537</v>
      </c>
    </row>
    <row r="79">
      <c r="A79" s="4">
        <v>44342.73040480324</v>
      </c>
      <c r="B79" s="3" t="s">
        <v>538</v>
      </c>
      <c r="C79" s="3" t="s">
        <v>539</v>
      </c>
      <c r="D79" s="3" t="s">
        <v>20</v>
      </c>
      <c r="E79" s="3">
        <v>43122.0</v>
      </c>
      <c r="F79" s="3">
        <v>132998.0</v>
      </c>
      <c r="G79" s="3" t="s">
        <v>21</v>
      </c>
      <c r="H79" s="3" t="s">
        <v>22</v>
      </c>
      <c r="K79" s="3" t="s">
        <v>540</v>
      </c>
      <c r="L79" s="3" t="s">
        <v>541</v>
      </c>
      <c r="M79" s="3" t="s">
        <v>542</v>
      </c>
      <c r="N79" s="3" t="s">
        <v>27</v>
      </c>
      <c r="O79" s="3" t="s">
        <v>543</v>
      </c>
      <c r="Q79" s="3" t="s">
        <v>29</v>
      </c>
      <c r="S79" s="1" t="s">
        <v>544</v>
      </c>
    </row>
    <row r="80">
      <c r="A80" s="4">
        <v>44342.73042961805</v>
      </c>
      <c r="B80" s="3" t="s">
        <v>545</v>
      </c>
      <c r="C80" s="3" t="s">
        <v>546</v>
      </c>
      <c r="D80" s="3" t="s">
        <v>230</v>
      </c>
      <c r="E80" s="3">
        <v>43831.0</v>
      </c>
      <c r="F80" s="3">
        <v>1.0</v>
      </c>
      <c r="G80" s="3" t="s">
        <v>136</v>
      </c>
      <c r="H80" s="3" t="s">
        <v>22</v>
      </c>
      <c r="K80" s="3" t="s">
        <v>547</v>
      </c>
      <c r="L80" s="3" t="s">
        <v>548</v>
      </c>
      <c r="M80" s="3" t="s">
        <v>549</v>
      </c>
      <c r="N80" s="3" t="s">
        <v>234</v>
      </c>
      <c r="O80" s="3" t="s">
        <v>550</v>
      </c>
      <c r="Q80" s="3" t="s">
        <v>29</v>
      </c>
      <c r="S80" s="1" t="s">
        <v>551</v>
      </c>
    </row>
    <row r="81">
      <c r="A81" s="4">
        <v>44342.730454282406</v>
      </c>
      <c r="B81" s="3" t="s">
        <v>552</v>
      </c>
      <c r="C81" s="3" t="s">
        <v>553</v>
      </c>
      <c r="D81" s="3" t="s">
        <v>230</v>
      </c>
      <c r="E81" s="3">
        <v>43831.0</v>
      </c>
      <c r="F81" s="3">
        <v>1.0</v>
      </c>
      <c r="G81" s="3" t="s">
        <v>136</v>
      </c>
      <c r="H81" s="3" t="s">
        <v>22</v>
      </c>
      <c r="K81" s="3" t="s">
        <v>554</v>
      </c>
      <c r="L81" s="3" t="s">
        <v>555</v>
      </c>
      <c r="M81" s="3" t="s">
        <v>556</v>
      </c>
      <c r="N81" s="3" t="s">
        <v>234</v>
      </c>
      <c r="O81" s="3" t="s">
        <v>557</v>
      </c>
      <c r="Q81" s="3" t="s">
        <v>29</v>
      </c>
      <c r="S81" s="1" t="s">
        <v>558</v>
      </c>
    </row>
    <row r="82">
      <c r="A82" s="4">
        <v>44342.73047980324</v>
      </c>
      <c r="B82" s="3" t="s">
        <v>559</v>
      </c>
      <c r="C82" s="3" t="s">
        <v>560</v>
      </c>
      <c r="D82" s="3" t="s">
        <v>230</v>
      </c>
      <c r="E82" s="3">
        <v>43466.0</v>
      </c>
      <c r="F82" s="3">
        <v>1200.0</v>
      </c>
      <c r="G82" s="3" t="s">
        <v>136</v>
      </c>
      <c r="H82" s="3" t="s">
        <v>22</v>
      </c>
      <c r="K82" s="3" t="s">
        <v>561</v>
      </c>
      <c r="L82" s="3" t="s">
        <v>562</v>
      </c>
      <c r="M82" s="3" t="s">
        <v>563</v>
      </c>
      <c r="N82" s="3" t="s">
        <v>234</v>
      </c>
      <c r="O82" s="3" t="s">
        <v>564</v>
      </c>
      <c r="Q82" s="3" t="s">
        <v>29</v>
      </c>
      <c r="S82" s="1" t="s">
        <v>565</v>
      </c>
    </row>
    <row r="83">
      <c r="A83" s="4">
        <v>44342.73050447917</v>
      </c>
      <c r="B83" s="3" t="s">
        <v>566</v>
      </c>
      <c r="C83" s="3" t="s">
        <v>560</v>
      </c>
      <c r="D83" s="3" t="s">
        <v>230</v>
      </c>
      <c r="E83" s="3">
        <v>43471.0</v>
      </c>
      <c r="F83" s="3">
        <v>10.0</v>
      </c>
      <c r="G83" s="3" t="s">
        <v>136</v>
      </c>
      <c r="H83" s="3" t="s">
        <v>22</v>
      </c>
      <c r="K83" s="3" t="s">
        <v>567</v>
      </c>
      <c r="L83" s="3" t="s">
        <v>568</v>
      </c>
      <c r="M83" s="3" t="s">
        <v>569</v>
      </c>
      <c r="N83" s="3" t="s">
        <v>234</v>
      </c>
      <c r="O83" s="3" t="s">
        <v>570</v>
      </c>
      <c r="Q83" s="3" t="s">
        <v>29</v>
      </c>
      <c r="S83" s="1" t="s">
        <v>571</v>
      </c>
    </row>
    <row r="84">
      <c r="A84" s="4">
        <v>44342.73053008102</v>
      </c>
      <c r="B84" s="3" t="s">
        <v>572</v>
      </c>
      <c r="C84" s="3" t="s">
        <v>573</v>
      </c>
      <c r="D84" s="3" t="s">
        <v>20</v>
      </c>
      <c r="E84" s="3">
        <v>44170.0</v>
      </c>
      <c r="F84" s="3">
        <v>136600.0</v>
      </c>
      <c r="G84" s="3" t="s">
        <v>21</v>
      </c>
      <c r="H84" s="3" t="s">
        <v>22</v>
      </c>
      <c r="J84" s="3" t="s">
        <v>574</v>
      </c>
      <c r="K84" s="3" t="s">
        <v>575</v>
      </c>
      <c r="L84" s="3" t="s">
        <v>576</v>
      </c>
      <c r="M84" s="3" t="s">
        <v>577</v>
      </c>
      <c r="N84" s="3" t="s">
        <v>27</v>
      </c>
      <c r="O84" s="3" t="s">
        <v>578</v>
      </c>
      <c r="Q84" s="3" t="s">
        <v>29</v>
      </c>
      <c r="S84" s="1" t="s">
        <v>579</v>
      </c>
    </row>
    <row r="85">
      <c r="A85" s="4">
        <v>44342.73055489583</v>
      </c>
      <c r="B85" s="3" t="s">
        <v>580</v>
      </c>
      <c r="C85" s="3" t="s">
        <v>581</v>
      </c>
      <c r="D85" s="3" t="s">
        <v>358</v>
      </c>
      <c r="E85" s="3">
        <v>43990.0</v>
      </c>
      <c r="F85" s="3">
        <v>55680.0</v>
      </c>
      <c r="G85" s="3" t="s">
        <v>350</v>
      </c>
      <c r="H85" s="3" t="s">
        <v>22</v>
      </c>
      <c r="K85" s="3" t="s">
        <v>582</v>
      </c>
      <c r="L85" s="3" t="s">
        <v>583</v>
      </c>
      <c r="M85" s="3" t="s">
        <v>584</v>
      </c>
      <c r="N85" s="3" t="s">
        <v>362</v>
      </c>
      <c r="O85" s="3" t="s">
        <v>585</v>
      </c>
      <c r="Q85" s="3" t="s">
        <v>29</v>
      </c>
      <c r="S85" s="1" t="s">
        <v>586</v>
      </c>
    </row>
    <row r="86">
      <c r="A86" s="4">
        <v>44342.73058048611</v>
      </c>
      <c r="B86" s="3" t="s">
        <v>587</v>
      </c>
      <c r="C86" s="3" t="s">
        <v>510</v>
      </c>
      <c r="D86" s="3" t="s">
        <v>230</v>
      </c>
      <c r="E86" s="3">
        <v>43497.0</v>
      </c>
      <c r="F86" s="3">
        <v>3500.0</v>
      </c>
      <c r="G86" s="3" t="s">
        <v>21</v>
      </c>
      <c r="H86" s="3" t="s">
        <v>22</v>
      </c>
      <c r="K86" s="3" t="s">
        <v>588</v>
      </c>
      <c r="L86" s="3" t="s">
        <v>589</v>
      </c>
      <c r="M86" s="3" t="s">
        <v>590</v>
      </c>
      <c r="N86" s="3" t="s">
        <v>234</v>
      </c>
      <c r="O86" s="3" t="s">
        <v>591</v>
      </c>
      <c r="Q86" s="3" t="s">
        <v>29</v>
      </c>
      <c r="S86" s="1" t="s">
        <v>592</v>
      </c>
    </row>
    <row r="87">
      <c r="A87" s="4">
        <v>44342.73060491898</v>
      </c>
      <c r="B87" s="3" t="s">
        <v>593</v>
      </c>
      <c r="C87" s="3" t="s">
        <v>222</v>
      </c>
      <c r="D87" s="3" t="s">
        <v>230</v>
      </c>
      <c r="E87" s="3">
        <v>43146.0</v>
      </c>
      <c r="F87" s="3">
        <v>1400.0</v>
      </c>
      <c r="G87" s="3" t="s">
        <v>21</v>
      </c>
      <c r="H87" s="3" t="s">
        <v>22</v>
      </c>
      <c r="K87" s="3" t="s">
        <v>594</v>
      </c>
      <c r="L87" s="3" t="s">
        <v>595</v>
      </c>
      <c r="M87" s="3" t="s">
        <v>596</v>
      </c>
      <c r="N87" s="3" t="s">
        <v>234</v>
      </c>
      <c r="O87" s="3" t="s">
        <v>597</v>
      </c>
      <c r="Q87" s="3" t="s">
        <v>29</v>
      </c>
      <c r="S87" s="1" t="s">
        <v>598</v>
      </c>
    </row>
    <row r="88">
      <c r="A88" s="4">
        <v>44342.73063153935</v>
      </c>
      <c r="B88" s="3" t="s">
        <v>599</v>
      </c>
      <c r="C88" s="3" t="s">
        <v>600</v>
      </c>
      <c r="D88" s="3" t="s">
        <v>358</v>
      </c>
      <c r="E88" s="3">
        <v>43999.0</v>
      </c>
      <c r="F88" s="3">
        <v>8214.0</v>
      </c>
      <c r="G88" s="3" t="s">
        <v>21</v>
      </c>
      <c r="H88" s="3" t="s">
        <v>22</v>
      </c>
      <c r="K88" s="3" t="s">
        <v>601</v>
      </c>
      <c r="L88" s="3" t="s">
        <v>602</v>
      </c>
      <c r="M88" s="3" t="s">
        <v>603</v>
      </c>
      <c r="N88" s="3" t="s">
        <v>362</v>
      </c>
      <c r="O88" s="3" t="s">
        <v>604</v>
      </c>
      <c r="Q88" s="3" t="s">
        <v>29</v>
      </c>
      <c r="S88" s="1" t="s">
        <v>605</v>
      </c>
    </row>
    <row r="89">
      <c r="A89" s="4">
        <v>44342.73065603009</v>
      </c>
      <c r="B89" s="3" t="s">
        <v>482</v>
      </c>
      <c r="C89" s="3" t="s">
        <v>606</v>
      </c>
      <c r="D89" s="3" t="s">
        <v>230</v>
      </c>
      <c r="E89" s="3">
        <v>43497.0</v>
      </c>
      <c r="F89" s="3">
        <v>250.0</v>
      </c>
      <c r="G89" s="3" t="s">
        <v>136</v>
      </c>
      <c r="H89" s="3" t="s">
        <v>22</v>
      </c>
      <c r="K89" s="3" t="s">
        <v>484</v>
      </c>
      <c r="L89" s="3" t="s">
        <v>607</v>
      </c>
      <c r="M89" s="3" t="s">
        <v>608</v>
      </c>
      <c r="N89" s="3" t="s">
        <v>234</v>
      </c>
      <c r="O89" s="3" t="s">
        <v>487</v>
      </c>
      <c r="Q89" s="3" t="s">
        <v>29</v>
      </c>
      <c r="S89" s="1" t="s">
        <v>609</v>
      </c>
    </row>
    <row r="90">
      <c r="A90" s="4">
        <v>44342.7306809375</v>
      </c>
      <c r="B90" s="3" t="s">
        <v>482</v>
      </c>
      <c r="C90" s="3" t="s">
        <v>610</v>
      </c>
      <c r="D90" s="3" t="s">
        <v>230</v>
      </c>
      <c r="E90" s="3">
        <v>43497.0</v>
      </c>
      <c r="F90" s="3">
        <v>500.0</v>
      </c>
      <c r="G90" s="3" t="s">
        <v>136</v>
      </c>
      <c r="H90" s="3" t="s">
        <v>22</v>
      </c>
      <c r="K90" s="3" t="s">
        <v>484</v>
      </c>
      <c r="L90" s="3" t="s">
        <v>611</v>
      </c>
      <c r="M90" s="3" t="s">
        <v>612</v>
      </c>
      <c r="N90" s="3" t="s">
        <v>234</v>
      </c>
      <c r="O90" s="3" t="s">
        <v>487</v>
      </c>
      <c r="Q90" s="3" t="s">
        <v>29</v>
      </c>
      <c r="S90" s="1" t="s">
        <v>613</v>
      </c>
    </row>
    <row r="91">
      <c r="A91" s="4">
        <v>44342.73070688658</v>
      </c>
      <c r="B91" s="3" t="s">
        <v>475</v>
      </c>
      <c r="C91" s="3" t="s">
        <v>614</v>
      </c>
      <c r="D91" s="3" t="s">
        <v>230</v>
      </c>
      <c r="E91" s="3">
        <v>43617.0</v>
      </c>
      <c r="F91" s="3">
        <v>300.0</v>
      </c>
      <c r="G91" s="3" t="s">
        <v>136</v>
      </c>
      <c r="H91" s="3" t="s">
        <v>22</v>
      </c>
      <c r="K91" s="3" t="s">
        <v>615</v>
      </c>
      <c r="L91" s="3" t="s">
        <v>616</v>
      </c>
      <c r="M91" s="3" t="s">
        <v>617</v>
      </c>
      <c r="N91" s="3" t="s">
        <v>234</v>
      </c>
      <c r="O91" s="3" t="s">
        <v>480</v>
      </c>
      <c r="Q91" s="3" t="s">
        <v>29</v>
      </c>
      <c r="S91" s="1" t="s">
        <v>618</v>
      </c>
    </row>
    <row r="92">
      <c r="A92" s="4">
        <v>44342.73073113426</v>
      </c>
      <c r="B92" s="3" t="s">
        <v>67</v>
      </c>
      <c r="C92" s="3" t="s">
        <v>619</v>
      </c>
      <c r="D92" s="3" t="s">
        <v>230</v>
      </c>
      <c r="E92" s="3">
        <v>43592.0</v>
      </c>
      <c r="F92" s="3">
        <v>400.0</v>
      </c>
      <c r="G92" s="3" t="s">
        <v>136</v>
      </c>
      <c r="H92" s="3" t="s">
        <v>22</v>
      </c>
      <c r="K92" s="3" t="s">
        <v>620</v>
      </c>
      <c r="L92" s="3" t="s">
        <v>621</v>
      </c>
      <c r="M92" s="3" t="s">
        <v>622</v>
      </c>
      <c r="N92" s="3" t="s">
        <v>234</v>
      </c>
      <c r="O92" s="3" t="s">
        <v>72</v>
      </c>
      <c r="Q92" s="3" t="s">
        <v>29</v>
      </c>
      <c r="S92" s="1" t="s">
        <v>623</v>
      </c>
    </row>
    <row r="93">
      <c r="A93" s="4">
        <v>44342.73075715278</v>
      </c>
      <c r="B93" s="3" t="s">
        <v>624</v>
      </c>
      <c r="C93" s="3" t="s">
        <v>625</v>
      </c>
      <c r="D93" s="3" t="s">
        <v>230</v>
      </c>
      <c r="E93" s="3">
        <v>44013.0</v>
      </c>
      <c r="F93" s="3">
        <v>3000.0</v>
      </c>
      <c r="G93" s="3" t="s">
        <v>136</v>
      </c>
      <c r="H93" s="3" t="s">
        <v>22</v>
      </c>
      <c r="J93" s="3" t="s">
        <v>626</v>
      </c>
      <c r="K93" s="3" t="s">
        <v>627</v>
      </c>
      <c r="L93" s="3" t="s">
        <v>628</v>
      </c>
      <c r="M93" s="3" t="s">
        <v>629</v>
      </c>
      <c r="N93" s="3" t="s">
        <v>234</v>
      </c>
      <c r="O93" s="3" t="s">
        <v>630</v>
      </c>
      <c r="Q93" s="3" t="s">
        <v>29</v>
      </c>
      <c r="S93" s="1" t="s">
        <v>631</v>
      </c>
    </row>
    <row r="94">
      <c r="A94" s="4">
        <v>44342.730782060185</v>
      </c>
      <c r="B94" s="3" t="s">
        <v>632</v>
      </c>
      <c r="C94" s="3" t="s">
        <v>633</v>
      </c>
      <c r="D94" s="3" t="s">
        <v>230</v>
      </c>
      <c r="E94" s="3">
        <v>44014.0</v>
      </c>
      <c r="F94" s="3">
        <v>500.0</v>
      </c>
      <c r="G94" s="3" t="s">
        <v>136</v>
      </c>
      <c r="H94" s="3" t="s">
        <v>22</v>
      </c>
      <c r="J94" s="3" t="s">
        <v>634</v>
      </c>
      <c r="K94" s="3" t="s">
        <v>635</v>
      </c>
      <c r="L94" s="3" t="s">
        <v>636</v>
      </c>
      <c r="M94" s="3" t="s">
        <v>637</v>
      </c>
      <c r="N94" s="3" t="s">
        <v>234</v>
      </c>
      <c r="O94" s="3" t="s">
        <v>638</v>
      </c>
      <c r="Q94" s="3" t="s">
        <v>29</v>
      </c>
      <c r="S94" s="1" t="s">
        <v>639</v>
      </c>
    </row>
    <row r="95">
      <c r="A95" s="4">
        <v>44342.730807685184</v>
      </c>
      <c r="B95" s="3" t="s">
        <v>640</v>
      </c>
      <c r="C95" s="3" t="s">
        <v>641</v>
      </c>
      <c r="D95" s="3" t="s">
        <v>20</v>
      </c>
      <c r="E95" s="3">
        <v>44013.0</v>
      </c>
      <c r="F95" s="3">
        <v>48000.0</v>
      </c>
      <c r="G95" s="3" t="s">
        <v>21</v>
      </c>
      <c r="H95" s="3" t="s">
        <v>22</v>
      </c>
      <c r="J95" s="3" t="s">
        <v>642</v>
      </c>
      <c r="K95" s="3" t="s">
        <v>643</v>
      </c>
      <c r="L95" s="3" t="s">
        <v>644</v>
      </c>
      <c r="M95" s="3" t="s">
        <v>645</v>
      </c>
      <c r="N95" s="3" t="s">
        <v>27</v>
      </c>
      <c r="O95" s="3" t="s">
        <v>646</v>
      </c>
      <c r="Q95" s="3" t="s">
        <v>29</v>
      </c>
      <c r="S95" s="1" t="s">
        <v>647</v>
      </c>
    </row>
    <row r="96">
      <c r="A96" s="4">
        <v>44342.73083263889</v>
      </c>
      <c r="B96" s="3" t="s">
        <v>393</v>
      </c>
      <c r="C96" s="3" t="s">
        <v>648</v>
      </c>
      <c r="D96" s="3" t="s">
        <v>358</v>
      </c>
      <c r="E96" s="3">
        <v>43983.0</v>
      </c>
      <c r="F96" s="3">
        <v>4580.94</v>
      </c>
      <c r="G96" s="3" t="s">
        <v>21</v>
      </c>
      <c r="H96" s="3" t="s">
        <v>22</v>
      </c>
      <c r="K96" s="3" t="s">
        <v>649</v>
      </c>
      <c r="L96" s="3" t="s">
        <v>650</v>
      </c>
      <c r="M96" s="3" t="s">
        <v>651</v>
      </c>
      <c r="N96" s="3" t="s">
        <v>362</v>
      </c>
      <c r="O96" s="3" t="s">
        <v>398</v>
      </c>
      <c r="Q96" s="3" t="s">
        <v>29</v>
      </c>
      <c r="S96" s="1" t="s">
        <v>652</v>
      </c>
    </row>
    <row r="97">
      <c r="A97" s="4">
        <v>44342.730858703704</v>
      </c>
      <c r="B97" s="3" t="s">
        <v>103</v>
      </c>
      <c r="C97" s="3" t="s">
        <v>104</v>
      </c>
      <c r="D97" s="3" t="s">
        <v>230</v>
      </c>
      <c r="E97" s="3">
        <v>44013.0</v>
      </c>
      <c r="F97" s="3">
        <v>1.0</v>
      </c>
      <c r="G97" s="3" t="s">
        <v>136</v>
      </c>
      <c r="H97" s="3" t="s">
        <v>22</v>
      </c>
      <c r="K97" s="3" t="s">
        <v>653</v>
      </c>
      <c r="L97" s="3" t="s">
        <v>654</v>
      </c>
      <c r="M97" s="3" t="s">
        <v>655</v>
      </c>
      <c r="N97" s="3" t="s">
        <v>234</v>
      </c>
      <c r="O97" s="3" t="s">
        <v>108</v>
      </c>
      <c r="Q97" s="3" t="s">
        <v>29</v>
      </c>
      <c r="S97" s="1" t="s">
        <v>656</v>
      </c>
    </row>
    <row r="98">
      <c r="A98" s="4">
        <v>44342.73088454861</v>
      </c>
      <c r="B98" s="3" t="s">
        <v>657</v>
      </c>
      <c r="C98" s="3" t="s">
        <v>658</v>
      </c>
      <c r="D98" s="3" t="s">
        <v>358</v>
      </c>
      <c r="E98" s="3">
        <v>44004.0</v>
      </c>
      <c r="F98" s="3">
        <v>9885.0</v>
      </c>
      <c r="G98" s="3" t="s">
        <v>136</v>
      </c>
      <c r="H98" s="3" t="s">
        <v>22</v>
      </c>
      <c r="K98" s="3" t="s">
        <v>659</v>
      </c>
      <c r="L98" s="3" t="s">
        <v>660</v>
      </c>
      <c r="M98" s="3" t="s">
        <v>661</v>
      </c>
      <c r="N98" s="3" t="s">
        <v>362</v>
      </c>
      <c r="O98" s="3" t="s">
        <v>662</v>
      </c>
      <c r="Q98" s="3" t="s">
        <v>29</v>
      </c>
      <c r="S98" s="1" t="s">
        <v>663</v>
      </c>
    </row>
    <row r="99">
      <c r="A99" s="4">
        <v>44342.73090928241</v>
      </c>
      <c r="B99" s="3" t="s">
        <v>285</v>
      </c>
      <c r="C99" s="3" t="s">
        <v>286</v>
      </c>
      <c r="D99" s="3" t="s">
        <v>230</v>
      </c>
      <c r="E99" s="3">
        <v>43891.0</v>
      </c>
      <c r="F99" s="3">
        <v>1.0</v>
      </c>
      <c r="G99" s="3" t="s">
        <v>136</v>
      </c>
      <c r="H99" s="3" t="s">
        <v>22</v>
      </c>
      <c r="K99" s="3" t="s">
        <v>664</v>
      </c>
      <c r="L99" s="3" t="s">
        <v>665</v>
      </c>
      <c r="M99" s="3" t="s">
        <v>666</v>
      </c>
      <c r="N99" s="3" t="s">
        <v>234</v>
      </c>
      <c r="O99" s="3" t="s">
        <v>290</v>
      </c>
      <c r="Q99" s="3" t="s">
        <v>29</v>
      </c>
      <c r="S99" s="1" t="s">
        <v>667</v>
      </c>
    </row>
    <row r="100">
      <c r="A100" s="4">
        <v>44342.7309347338</v>
      </c>
      <c r="B100" s="3" t="s">
        <v>134</v>
      </c>
      <c r="C100" s="3" t="s">
        <v>668</v>
      </c>
      <c r="D100" s="3" t="s">
        <v>230</v>
      </c>
      <c r="E100" s="3">
        <v>44019.0</v>
      </c>
      <c r="F100" s="3">
        <v>1.0</v>
      </c>
      <c r="G100" s="3" t="s">
        <v>136</v>
      </c>
      <c r="H100" s="3" t="s">
        <v>22</v>
      </c>
      <c r="K100" s="3" t="s">
        <v>669</v>
      </c>
      <c r="L100" s="3" t="s">
        <v>670</v>
      </c>
      <c r="M100" s="3" t="s">
        <v>671</v>
      </c>
      <c r="N100" s="3" t="s">
        <v>234</v>
      </c>
      <c r="O100" s="3" t="s">
        <v>140</v>
      </c>
      <c r="Q100" s="3" t="s">
        <v>29</v>
      </c>
      <c r="S100" s="1" t="s">
        <v>672</v>
      </c>
    </row>
    <row r="101">
      <c r="A101" s="4">
        <v>44342.730960879635</v>
      </c>
      <c r="B101" s="3" t="s">
        <v>30</v>
      </c>
      <c r="C101" s="3" t="s">
        <v>170</v>
      </c>
      <c r="D101" s="3" t="s">
        <v>230</v>
      </c>
      <c r="E101" s="3">
        <v>43102.0</v>
      </c>
      <c r="F101" s="3">
        <v>1.0</v>
      </c>
      <c r="G101" s="3" t="s">
        <v>136</v>
      </c>
      <c r="H101" s="3" t="s">
        <v>22</v>
      </c>
      <c r="K101" s="3" t="s">
        <v>673</v>
      </c>
      <c r="L101" s="3" t="s">
        <v>674</v>
      </c>
      <c r="M101" s="3" t="s">
        <v>675</v>
      </c>
      <c r="N101" s="3" t="s">
        <v>234</v>
      </c>
      <c r="O101" s="3" t="s">
        <v>36</v>
      </c>
      <c r="Q101" s="3" t="s">
        <v>29</v>
      </c>
      <c r="S101" s="1" t="s">
        <v>676</v>
      </c>
    </row>
    <row r="102">
      <c r="A102" s="4">
        <v>44342.730987939816</v>
      </c>
      <c r="B102" s="3" t="s">
        <v>677</v>
      </c>
      <c r="C102" s="3" t="s">
        <v>222</v>
      </c>
      <c r="D102" s="3" t="s">
        <v>230</v>
      </c>
      <c r="E102" s="3">
        <v>43647.0</v>
      </c>
      <c r="F102" s="3">
        <v>1.0</v>
      </c>
      <c r="G102" s="3" t="s">
        <v>21</v>
      </c>
      <c r="H102" s="3" t="s">
        <v>22</v>
      </c>
      <c r="K102" s="3" t="s">
        <v>678</v>
      </c>
      <c r="L102" s="3" t="s">
        <v>679</v>
      </c>
      <c r="M102" s="3" t="s">
        <v>680</v>
      </c>
      <c r="N102" s="3" t="s">
        <v>234</v>
      </c>
      <c r="O102" s="3" t="s">
        <v>681</v>
      </c>
      <c r="Q102" s="3" t="s">
        <v>29</v>
      </c>
      <c r="S102" s="1" t="s">
        <v>682</v>
      </c>
    </row>
    <row r="103">
      <c r="A103" s="4">
        <v>44342.731013275465</v>
      </c>
      <c r="B103" s="3" t="s">
        <v>89</v>
      </c>
      <c r="C103" s="3" t="s">
        <v>683</v>
      </c>
      <c r="D103" s="3" t="s">
        <v>230</v>
      </c>
      <c r="E103" s="3">
        <v>44013.0</v>
      </c>
      <c r="F103" s="3">
        <v>1.0</v>
      </c>
      <c r="G103" s="3" t="s">
        <v>136</v>
      </c>
      <c r="H103" s="3" t="s">
        <v>22</v>
      </c>
      <c r="K103" s="3" t="s">
        <v>684</v>
      </c>
      <c r="L103" s="3" t="s">
        <v>685</v>
      </c>
      <c r="M103" s="3" t="s">
        <v>686</v>
      </c>
      <c r="N103" s="3" t="s">
        <v>234</v>
      </c>
      <c r="O103" s="3" t="s">
        <v>94</v>
      </c>
      <c r="Q103" s="3" t="s">
        <v>29</v>
      </c>
      <c r="S103" s="1" t="s">
        <v>687</v>
      </c>
    </row>
    <row r="104">
      <c r="A104" s="4">
        <v>44342.731038564816</v>
      </c>
      <c r="B104" s="3" t="s">
        <v>181</v>
      </c>
      <c r="C104" s="3" t="s">
        <v>182</v>
      </c>
      <c r="D104" s="3" t="s">
        <v>230</v>
      </c>
      <c r="E104" s="3">
        <v>43831.0</v>
      </c>
      <c r="F104" s="3">
        <v>1.0</v>
      </c>
      <c r="G104" s="3" t="s">
        <v>136</v>
      </c>
      <c r="H104" s="3" t="s">
        <v>22</v>
      </c>
      <c r="K104" s="3" t="s">
        <v>688</v>
      </c>
      <c r="L104" s="3" t="s">
        <v>689</v>
      </c>
      <c r="M104" s="3" t="s">
        <v>690</v>
      </c>
      <c r="N104" s="3" t="s">
        <v>234</v>
      </c>
      <c r="O104" s="3" t="s">
        <v>186</v>
      </c>
      <c r="Q104" s="3" t="s">
        <v>29</v>
      </c>
      <c r="S104" s="1" t="s">
        <v>691</v>
      </c>
    </row>
    <row r="105">
      <c r="A105" s="4">
        <v>44342.73106417824</v>
      </c>
      <c r="B105" s="3" t="s">
        <v>67</v>
      </c>
      <c r="C105" s="3" t="s">
        <v>209</v>
      </c>
      <c r="D105" s="3" t="s">
        <v>230</v>
      </c>
      <c r="E105" s="3">
        <v>43586.0</v>
      </c>
      <c r="F105" s="3">
        <v>1.0</v>
      </c>
      <c r="G105" s="3" t="s">
        <v>136</v>
      </c>
      <c r="H105" s="3" t="s">
        <v>22</v>
      </c>
      <c r="J105" s="3" t="s">
        <v>692</v>
      </c>
      <c r="K105" s="3" t="s">
        <v>693</v>
      </c>
      <c r="L105" s="3" t="s">
        <v>694</v>
      </c>
      <c r="M105" s="3" t="s">
        <v>695</v>
      </c>
      <c r="N105" s="3" t="s">
        <v>234</v>
      </c>
      <c r="O105" s="3" t="s">
        <v>72</v>
      </c>
      <c r="Q105" s="3" t="s">
        <v>29</v>
      </c>
      <c r="S105" s="1" t="s">
        <v>696</v>
      </c>
    </row>
    <row r="106">
      <c r="A106" s="4">
        <v>44342.73108834491</v>
      </c>
      <c r="B106" s="3" t="s">
        <v>697</v>
      </c>
      <c r="C106" s="3" t="s">
        <v>203</v>
      </c>
      <c r="D106" s="3" t="s">
        <v>230</v>
      </c>
      <c r="E106" s="3">
        <v>43466.0</v>
      </c>
      <c r="F106" s="3">
        <v>1.0</v>
      </c>
      <c r="G106" s="3" t="s">
        <v>21</v>
      </c>
      <c r="H106" s="3" t="s">
        <v>22</v>
      </c>
      <c r="K106" s="3" t="s">
        <v>698</v>
      </c>
      <c r="L106" s="3" t="s">
        <v>699</v>
      </c>
      <c r="M106" s="3" t="s">
        <v>700</v>
      </c>
      <c r="N106" s="3" t="s">
        <v>234</v>
      </c>
      <c r="O106" s="3" t="s">
        <v>701</v>
      </c>
      <c r="Q106" s="3" t="s">
        <v>29</v>
      </c>
      <c r="S106" s="1" t="s">
        <v>702</v>
      </c>
    </row>
    <row r="107">
      <c r="A107" s="4">
        <v>44342.73111317129</v>
      </c>
      <c r="B107" s="3" t="s">
        <v>703</v>
      </c>
      <c r="C107" s="3" t="s">
        <v>215</v>
      </c>
      <c r="D107" s="3" t="s">
        <v>230</v>
      </c>
      <c r="E107" s="3">
        <v>43132.0</v>
      </c>
      <c r="F107" s="3">
        <v>1.0</v>
      </c>
      <c r="G107" s="3" t="s">
        <v>136</v>
      </c>
      <c r="H107" s="3" t="s">
        <v>22</v>
      </c>
      <c r="K107" s="3" t="s">
        <v>704</v>
      </c>
      <c r="L107" s="3" t="s">
        <v>705</v>
      </c>
      <c r="M107" s="3" t="s">
        <v>706</v>
      </c>
      <c r="N107" s="3" t="s">
        <v>234</v>
      </c>
      <c r="O107" s="3" t="s">
        <v>707</v>
      </c>
      <c r="Q107" s="3" t="s">
        <v>29</v>
      </c>
      <c r="S107" s="1" t="s">
        <v>708</v>
      </c>
    </row>
    <row r="108">
      <c r="A108" s="4">
        <v>44342.73113724537</v>
      </c>
      <c r="B108" s="3" t="s">
        <v>96</v>
      </c>
      <c r="C108" s="3" t="s">
        <v>97</v>
      </c>
      <c r="D108" s="3" t="s">
        <v>230</v>
      </c>
      <c r="E108" s="3">
        <v>43957.0</v>
      </c>
      <c r="F108" s="3">
        <v>1.0</v>
      </c>
      <c r="G108" s="3" t="s">
        <v>136</v>
      </c>
      <c r="H108" s="3" t="s">
        <v>22</v>
      </c>
      <c r="K108" s="3" t="s">
        <v>709</v>
      </c>
      <c r="L108" s="3" t="s">
        <v>710</v>
      </c>
      <c r="M108" s="3" t="s">
        <v>711</v>
      </c>
      <c r="N108" s="3" t="s">
        <v>234</v>
      </c>
      <c r="O108" s="3" t="s">
        <v>101</v>
      </c>
      <c r="Q108" s="3" t="s">
        <v>29</v>
      </c>
      <c r="S108" s="1" t="s">
        <v>712</v>
      </c>
    </row>
    <row r="109">
      <c r="A109" s="4">
        <v>44342.73116282407</v>
      </c>
      <c r="B109" s="3" t="s">
        <v>67</v>
      </c>
      <c r="C109" s="3" t="s">
        <v>68</v>
      </c>
      <c r="D109" s="3" t="s">
        <v>230</v>
      </c>
      <c r="E109" s="3">
        <v>43633.0</v>
      </c>
      <c r="F109" s="3">
        <v>1.0</v>
      </c>
      <c r="G109" s="3" t="s">
        <v>136</v>
      </c>
      <c r="H109" s="3" t="s">
        <v>22</v>
      </c>
      <c r="K109" s="3" t="s">
        <v>713</v>
      </c>
      <c r="L109" s="3" t="s">
        <v>714</v>
      </c>
      <c r="M109" s="3" t="s">
        <v>715</v>
      </c>
      <c r="N109" s="3" t="s">
        <v>234</v>
      </c>
      <c r="O109" s="3" t="s">
        <v>72</v>
      </c>
      <c r="Q109" s="3" t="s">
        <v>29</v>
      </c>
      <c r="S109" s="1" t="s">
        <v>716</v>
      </c>
    </row>
    <row r="110">
      <c r="A110" s="4">
        <v>44342.73118761574</v>
      </c>
      <c r="B110" s="3" t="s">
        <v>156</v>
      </c>
      <c r="C110" s="3" t="s">
        <v>157</v>
      </c>
      <c r="D110" s="3" t="s">
        <v>230</v>
      </c>
      <c r="E110" s="3">
        <v>43311.0</v>
      </c>
      <c r="F110" s="3">
        <v>1.0</v>
      </c>
      <c r="G110" s="3" t="s">
        <v>21</v>
      </c>
      <c r="H110" s="3" t="s">
        <v>22</v>
      </c>
      <c r="K110" s="3" t="s">
        <v>717</v>
      </c>
      <c r="L110" s="3" t="s">
        <v>718</v>
      </c>
      <c r="M110" s="3" t="s">
        <v>719</v>
      </c>
      <c r="N110" s="3" t="s">
        <v>234</v>
      </c>
      <c r="O110" s="3" t="s">
        <v>161</v>
      </c>
      <c r="Q110" s="3" t="s">
        <v>29</v>
      </c>
      <c r="S110" s="1" t="s">
        <v>720</v>
      </c>
    </row>
    <row r="111">
      <c r="A111" s="4">
        <v>44342.73121252315</v>
      </c>
      <c r="B111" s="3" t="s">
        <v>242</v>
      </c>
      <c r="C111" s="3" t="s">
        <v>292</v>
      </c>
      <c r="D111" s="3" t="s">
        <v>230</v>
      </c>
      <c r="E111" s="3">
        <v>43788.0</v>
      </c>
      <c r="F111" s="3">
        <v>1.0</v>
      </c>
      <c r="G111" s="3" t="s">
        <v>21</v>
      </c>
      <c r="H111" s="3" t="s">
        <v>22</v>
      </c>
      <c r="K111" s="3" t="s">
        <v>721</v>
      </c>
      <c r="L111" s="3" t="s">
        <v>722</v>
      </c>
      <c r="M111" s="3" t="s">
        <v>723</v>
      </c>
      <c r="N111" s="3" t="s">
        <v>234</v>
      </c>
      <c r="O111" s="3" t="s">
        <v>248</v>
      </c>
      <c r="Q111" s="3" t="s">
        <v>29</v>
      </c>
      <c r="S111" s="1" t="s">
        <v>724</v>
      </c>
    </row>
    <row r="112">
      <c r="A112" s="4">
        <v>44342.731237175925</v>
      </c>
      <c r="B112" s="3" t="s">
        <v>725</v>
      </c>
      <c r="C112" s="3" t="s">
        <v>175</v>
      </c>
      <c r="D112" s="3" t="s">
        <v>230</v>
      </c>
      <c r="E112" s="3">
        <v>43879.0</v>
      </c>
      <c r="F112" s="3">
        <v>1.0</v>
      </c>
      <c r="G112" s="3" t="s">
        <v>21</v>
      </c>
      <c r="H112" s="3" t="s">
        <v>22</v>
      </c>
      <c r="K112" s="3" t="s">
        <v>726</v>
      </c>
      <c r="L112" s="3" t="s">
        <v>727</v>
      </c>
      <c r="M112" s="3" t="s">
        <v>728</v>
      </c>
      <c r="N112" s="3" t="s">
        <v>234</v>
      </c>
      <c r="O112" s="3" t="s">
        <v>729</v>
      </c>
      <c r="Q112" s="3" t="s">
        <v>29</v>
      </c>
      <c r="S112" s="1" t="s">
        <v>730</v>
      </c>
    </row>
    <row r="113">
      <c r="A113" s="4">
        <v>44342.73126231482</v>
      </c>
      <c r="B113" s="3" t="s">
        <v>731</v>
      </c>
      <c r="C113" s="3" t="s">
        <v>237</v>
      </c>
      <c r="D113" s="3" t="s">
        <v>230</v>
      </c>
      <c r="E113" s="3">
        <v>43770.0</v>
      </c>
      <c r="F113" s="3">
        <v>1.0</v>
      </c>
      <c r="G113" s="3" t="s">
        <v>21</v>
      </c>
      <c r="H113" s="3" t="s">
        <v>22</v>
      </c>
      <c r="K113" s="3" t="s">
        <v>732</v>
      </c>
      <c r="L113" s="3" t="s">
        <v>733</v>
      </c>
      <c r="M113" s="3" t="s">
        <v>734</v>
      </c>
      <c r="N113" s="3" t="s">
        <v>234</v>
      </c>
      <c r="O113" s="3" t="s">
        <v>735</v>
      </c>
      <c r="Q113" s="3" t="s">
        <v>29</v>
      </c>
      <c r="S113" s="1" t="s">
        <v>736</v>
      </c>
    </row>
    <row r="114">
      <c r="A114" s="4">
        <v>44342.73128715278</v>
      </c>
      <c r="B114" s="3" t="s">
        <v>356</v>
      </c>
      <c r="C114" s="3" t="s">
        <v>737</v>
      </c>
      <c r="D114" s="3" t="s">
        <v>230</v>
      </c>
      <c r="E114" s="6">
        <v>43586.0</v>
      </c>
      <c r="F114" s="3">
        <v>1.0</v>
      </c>
      <c r="G114" s="3" t="s">
        <v>21</v>
      </c>
      <c r="H114" s="3" t="s">
        <v>22</v>
      </c>
      <c r="K114" s="3" t="s">
        <v>738</v>
      </c>
      <c r="L114" s="3" t="s">
        <v>739</v>
      </c>
      <c r="M114" s="3" t="s">
        <v>740</v>
      </c>
      <c r="N114" s="3" t="s">
        <v>234</v>
      </c>
      <c r="O114" s="3" t="s">
        <v>363</v>
      </c>
      <c r="Q114" s="3" t="s">
        <v>29</v>
      </c>
      <c r="S114" s="1" t="s">
        <v>741</v>
      </c>
    </row>
    <row r="115">
      <c r="A115" s="4">
        <v>44342.73131215278</v>
      </c>
      <c r="B115" s="3" t="s">
        <v>365</v>
      </c>
      <c r="C115" s="3" t="s">
        <v>366</v>
      </c>
      <c r="D115" s="3" t="s">
        <v>230</v>
      </c>
      <c r="E115" s="3">
        <v>43571.0</v>
      </c>
      <c r="F115" s="3">
        <v>1.0</v>
      </c>
      <c r="G115" s="3" t="s">
        <v>21</v>
      </c>
      <c r="H115" s="3" t="s">
        <v>22</v>
      </c>
      <c r="K115" s="3" t="s">
        <v>742</v>
      </c>
      <c r="L115" s="3" t="s">
        <v>743</v>
      </c>
      <c r="M115" s="3" t="s">
        <v>744</v>
      </c>
      <c r="N115" s="3" t="s">
        <v>234</v>
      </c>
      <c r="O115" s="3" t="s">
        <v>370</v>
      </c>
      <c r="Q115" s="3" t="s">
        <v>29</v>
      </c>
      <c r="S115" s="1" t="s">
        <v>745</v>
      </c>
    </row>
    <row r="116">
      <c r="A116" s="4">
        <v>44342.731336956014</v>
      </c>
      <c r="B116" s="3" t="s">
        <v>142</v>
      </c>
      <c r="C116" s="3" t="s">
        <v>143</v>
      </c>
      <c r="D116" s="3" t="s">
        <v>230</v>
      </c>
      <c r="E116" s="3">
        <v>43108.0</v>
      </c>
      <c r="F116" s="3">
        <v>1.0</v>
      </c>
      <c r="G116" s="3" t="s">
        <v>136</v>
      </c>
      <c r="H116" s="3" t="s">
        <v>22</v>
      </c>
      <c r="K116" s="3" t="s">
        <v>746</v>
      </c>
      <c r="L116" s="3" t="s">
        <v>747</v>
      </c>
      <c r="M116" s="3" t="s">
        <v>748</v>
      </c>
      <c r="N116" s="3" t="s">
        <v>234</v>
      </c>
      <c r="O116" s="3" t="s">
        <v>147</v>
      </c>
      <c r="Q116" s="3" t="s">
        <v>29</v>
      </c>
      <c r="S116" s="1" t="s">
        <v>749</v>
      </c>
    </row>
    <row r="117">
      <c r="A117" s="4">
        <v>44342.731362210645</v>
      </c>
      <c r="B117" s="3" t="s">
        <v>110</v>
      </c>
      <c r="C117" s="3" t="s">
        <v>111</v>
      </c>
      <c r="D117" s="3" t="s">
        <v>230</v>
      </c>
      <c r="E117" s="3">
        <v>44075.0</v>
      </c>
      <c r="F117" s="3">
        <v>1.0</v>
      </c>
      <c r="G117" s="3" t="s">
        <v>21</v>
      </c>
      <c r="H117" s="3" t="s">
        <v>22</v>
      </c>
      <c r="J117" s="3" t="s">
        <v>750</v>
      </c>
      <c r="K117" s="3" t="s">
        <v>751</v>
      </c>
      <c r="L117" s="3" t="s">
        <v>752</v>
      </c>
      <c r="M117" s="3" t="s">
        <v>753</v>
      </c>
      <c r="N117" s="3" t="s">
        <v>234</v>
      </c>
      <c r="O117" s="3" t="s">
        <v>116</v>
      </c>
      <c r="Q117" s="3" t="s">
        <v>29</v>
      </c>
      <c r="S117" s="1" t="s">
        <v>754</v>
      </c>
    </row>
    <row r="118">
      <c r="A118" s="4">
        <v>44342.731386354164</v>
      </c>
      <c r="B118" s="3" t="s">
        <v>142</v>
      </c>
      <c r="C118" s="3" t="s">
        <v>755</v>
      </c>
      <c r="D118" s="3" t="s">
        <v>756</v>
      </c>
      <c r="E118" s="3">
        <v>44013.0</v>
      </c>
      <c r="F118" s="3">
        <v>2000.0</v>
      </c>
      <c r="G118" s="3" t="s">
        <v>136</v>
      </c>
      <c r="H118" s="3" t="s">
        <v>22</v>
      </c>
      <c r="K118" s="3" t="s">
        <v>757</v>
      </c>
      <c r="L118" s="3" t="s">
        <v>758</v>
      </c>
      <c r="M118" s="3" t="s">
        <v>759</v>
      </c>
      <c r="N118" s="3" t="s">
        <v>760</v>
      </c>
      <c r="O118" s="3" t="s">
        <v>147</v>
      </c>
      <c r="Q118" s="3" t="s">
        <v>29</v>
      </c>
      <c r="S118" s="1" t="s">
        <v>761</v>
      </c>
    </row>
    <row r="119">
      <c r="A119" s="4">
        <v>44342.73141129629</v>
      </c>
      <c r="B119" s="3" t="s">
        <v>110</v>
      </c>
      <c r="C119" s="3" t="s">
        <v>450</v>
      </c>
      <c r="D119" s="3" t="s">
        <v>230</v>
      </c>
      <c r="E119" s="3">
        <v>44170.0</v>
      </c>
      <c r="F119" s="3">
        <v>1.0</v>
      </c>
      <c r="G119" s="3" t="s">
        <v>21</v>
      </c>
      <c r="H119" s="3" t="s">
        <v>22</v>
      </c>
      <c r="K119" s="3" t="s">
        <v>762</v>
      </c>
      <c r="L119" s="3" t="s">
        <v>763</v>
      </c>
      <c r="M119" s="3" t="s">
        <v>764</v>
      </c>
      <c r="N119" s="3" t="s">
        <v>234</v>
      </c>
      <c r="O119" s="3" t="s">
        <v>116</v>
      </c>
      <c r="Q119" s="3" t="s">
        <v>29</v>
      </c>
      <c r="S119" s="1" t="s">
        <v>765</v>
      </c>
    </row>
    <row r="120">
      <c r="A120" s="4">
        <v>44342.73143721065</v>
      </c>
      <c r="B120" s="3" t="s">
        <v>81</v>
      </c>
      <c r="C120" s="3" t="s">
        <v>82</v>
      </c>
      <c r="D120" s="3" t="s">
        <v>230</v>
      </c>
      <c r="E120" s="3">
        <v>43622.0</v>
      </c>
      <c r="F120" s="3">
        <v>1.0</v>
      </c>
      <c r="G120" s="3" t="s">
        <v>21</v>
      </c>
      <c r="H120" s="3" t="s">
        <v>22</v>
      </c>
      <c r="K120" s="3" t="s">
        <v>766</v>
      </c>
      <c r="L120" s="3" t="s">
        <v>767</v>
      </c>
      <c r="M120" s="3" t="s">
        <v>768</v>
      </c>
      <c r="N120" s="3" t="s">
        <v>234</v>
      </c>
      <c r="O120" s="3" t="s">
        <v>87</v>
      </c>
      <c r="Q120" s="3" t="s">
        <v>29</v>
      </c>
      <c r="S120" s="1" t="s">
        <v>769</v>
      </c>
    </row>
    <row r="121">
      <c r="A121" s="4">
        <v>44342.73146333333</v>
      </c>
      <c r="B121" s="3" t="s">
        <v>322</v>
      </c>
      <c r="C121" s="3" t="s">
        <v>329</v>
      </c>
      <c r="D121" s="3" t="s">
        <v>230</v>
      </c>
      <c r="E121" s="3">
        <v>43589.0</v>
      </c>
      <c r="F121" s="3">
        <v>1.0</v>
      </c>
      <c r="G121" s="3" t="s">
        <v>21</v>
      </c>
      <c r="H121" s="3" t="s">
        <v>22</v>
      </c>
      <c r="K121" s="3" t="s">
        <v>770</v>
      </c>
      <c r="L121" s="3" t="s">
        <v>771</v>
      </c>
      <c r="M121" s="3" t="s">
        <v>772</v>
      </c>
      <c r="N121" s="3" t="s">
        <v>234</v>
      </c>
      <c r="O121" s="3" t="s">
        <v>327</v>
      </c>
      <c r="Q121" s="3" t="s">
        <v>29</v>
      </c>
      <c r="S121" s="1" t="s">
        <v>773</v>
      </c>
    </row>
    <row r="122">
      <c r="A122" s="4">
        <v>44342.731489108795</v>
      </c>
      <c r="B122" s="3" t="s">
        <v>774</v>
      </c>
      <c r="C122" s="3" t="s">
        <v>455</v>
      </c>
      <c r="D122" s="3" t="s">
        <v>230</v>
      </c>
      <c r="E122" s="3">
        <v>43956.0</v>
      </c>
      <c r="F122" s="3">
        <v>1.0</v>
      </c>
      <c r="G122" s="3" t="s">
        <v>21</v>
      </c>
      <c r="H122" s="3" t="s">
        <v>22</v>
      </c>
      <c r="J122" s="3" t="s">
        <v>775</v>
      </c>
      <c r="K122" s="3" t="s">
        <v>776</v>
      </c>
      <c r="L122" s="3" t="s">
        <v>777</v>
      </c>
      <c r="M122" s="3" t="s">
        <v>778</v>
      </c>
      <c r="N122" s="3" t="s">
        <v>234</v>
      </c>
      <c r="O122" s="3" t="s">
        <v>779</v>
      </c>
      <c r="Q122" s="3" t="s">
        <v>29</v>
      </c>
      <c r="S122" s="1" t="s">
        <v>780</v>
      </c>
    </row>
    <row r="123">
      <c r="A123" s="4">
        <v>44342.73151416666</v>
      </c>
      <c r="B123" s="3" t="s">
        <v>118</v>
      </c>
      <c r="C123" s="3" t="s">
        <v>119</v>
      </c>
      <c r="D123" s="3" t="s">
        <v>230</v>
      </c>
      <c r="E123" s="3">
        <v>43461.0</v>
      </c>
      <c r="F123" s="3">
        <v>1.0</v>
      </c>
      <c r="G123" s="3" t="s">
        <v>21</v>
      </c>
      <c r="H123" s="3" t="s">
        <v>22</v>
      </c>
      <c r="K123" s="3" t="s">
        <v>781</v>
      </c>
      <c r="L123" s="3" t="s">
        <v>782</v>
      </c>
      <c r="M123" s="3" t="s">
        <v>783</v>
      </c>
      <c r="N123" s="3" t="s">
        <v>234</v>
      </c>
      <c r="O123" s="3" t="s">
        <v>124</v>
      </c>
      <c r="Q123" s="3" t="s">
        <v>29</v>
      </c>
      <c r="S123" s="1" t="s">
        <v>784</v>
      </c>
    </row>
    <row r="124">
      <c r="A124" s="4">
        <v>44342.731539409724</v>
      </c>
      <c r="B124" s="3" t="s">
        <v>785</v>
      </c>
      <c r="C124" s="3" t="s">
        <v>75</v>
      </c>
      <c r="D124" s="3" t="s">
        <v>230</v>
      </c>
      <c r="E124" s="3">
        <v>43608.0</v>
      </c>
      <c r="F124" s="3">
        <v>1.0</v>
      </c>
      <c r="G124" s="3" t="s">
        <v>21</v>
      </c>
      <c r="H124" s="3" t="s">
        <v>22</v>
      </c>
      <c r="K124" s="3" t="s">
        <v>786</v>
      </c>
      <c r="L124" s="3" t="s">
        <v>787</v>
      </c>
      <c r="M124" s="3" t="s">
        <v>788</v>
      </c>
      <c r="N124" s="3" t="s">
        <v>234</v>
      </c>
      <c r="O124" s="3" t="s">
        <v>789</v>
      </c>
      <c r="Q124" s="3" t="s">
        <v>29</v>
      </c>
      <c r="S124" s="1" t="s">
        <v>790</v>
      </c>
    </row>
    <row r="125">
      <c r="A125" s="4">
        <v>44342.731566574075</v>
      </c>
      <c r="B125" s="3" t="s">
        <v>38</v>
      </c>
      <c r="C125" s="3" t="s">
        <v>39</v>
      </c>
      <c r="D125" s="3" t="s">
        <v>230</v>
      </c>
      <c r="E125" s="3">
        <v>43767.0</v>
      </c>
      <c r="F125" s="3">
        <v>1.0</v>
      </c>
      <c r="G125" s="3" t="s">
        <v>21</v>
      </c>
      <c r="H125" s="3" t="s">
        <v>22</v>
      </c>
      <c r="K125" s="3" t="s">
        <v>791</v>
      </c>
      <c r="L125" s="3" t="s">
        <v>792</v>
      </c>
      <c r="M125" s="3" t="s">
        <v>793</v>
      </c>
      <c r="N125" s="3" t="s">
        <v>234</v>
      </c>
      <c r="O125" s="3" t="s">
        <v>43</v>
      </c>
      <c r="Q125" s="3" t="s">
        <v>29</v>
      </c>
      <c r="S125" s="1" t="s">
        <v>794</v>
      </c>
    </row>
    <row r="126">
      <c r="A126" s="4">
        <v>44342.731592233795</v>
      </c>
      <c r="B126" s="3" t="s">
        <v>38</v>
      </c>
      <c r="C126" s="3" t="s">
        <v>297</v>
      </c>
      <c r="D126" s="3" t="s">
        <v>230</v>
      </c>
      <c r="E126" s="3">
        <v>43719.0</v>
      </c>
      <c r="F126" s="3">
        <v>1.0</v>
      </c>
      <c r="G126" s="3" t="s">
        <v>21</v>
      </c>
      <c r="H126" s="3" t="s">
        <v>22</v>
      </c>
      <c r="J126" s="3" t="s">
        <v>298</v>
      </c>
      <c r="K126" s="3" t="s">
        <v>795</v>
      </c>
      <c r="L126" s="3" t="s">
        <v>796</v>
      </c>
      <c r="M126" s="3" t="s">
        <v>797</v>
      </c>
      <c r="N126" s="3" t="s">
        <v>234</v>
      </c>
      <c r="O126" s="3" t="s">
        <v>43</v>
      </c>
      <c r="Q126" s="3" t="s">
        <v>29</v>
      </c>
      <c r="S126" s="1" t="s">
        <v>798</v>
      </c>
    </row>
    <row r="127">
      <c r="A127" s="4">
        <v>44342.73161811342</v>
      </c>
      <c r="B127" s="3" t="s">
        <v>38</v>
      </c>
      <c r="C127" s="3" t="s">
        <v>310</v>
      </c>
      <c r="D127" s="3" t="s">
        <v>230</v>
      </c>
      <c r="E127" s="3">
        <v>43804.0</v>
      </c>
      <c r="F127" s="3">
        <v>1.0</v>
      </c>
      <c r="G127" s="3" t="s">
        <v>21</v>
      </c>
      <c r="H127" s="3" t="s">
        <v>22</v>
      </c>
      <c r="K127" s="3" t="s">
        <v>799</v>
      </c>
      <c r="L127" s="3" t="s">
        <v>800</v>
      </c>
      <c r="M127" s="3" t="s">
        <v>801</v>
      </c>
      <c r="N127" s="3" t="s">
        <v>234</v>
      </c>
      <c r="O127" s="3" t="s">
        <v>43</v>
      </c>
      <c r="Q127" s="3" t="s">
        <v>29</v>
      </c>
      <c r="S127" s="1" t="s">
        <v>802</v>
      </c>
    </row>
    <row r="128">
      <c r="A128" s="4">
        <v>44342.73165018519</v>
      </c>
      <c r="B128" s="3" t="s">
        <v>45</v>
      </c>
      <c r="C128" s="3" t="s">
        <v>46</v>
      </c>
      <c r="D128" s="3" t="s">
        <v>230</v>
      </c>
      <c r="E128" s="3">
        <v>43724.0</v>
      </c>
      <c r="F128" s="3">
        <v>1.0</v>
      </c>
      <c r="G128" s="3" t="s">
        <v>21</v>
      </c>
      <c r="H128" s="3" t="s">
        <v>22</v>
      </c>
      <c r="K128" s="3" t="s">
        <v>803</v>
      </c>
      <c r="L128" s="3" t="s">
        <v>804</v>
      </c>
      <c r="M128" s="3" t="s">
        <v>805</v>
      </c>
      <c r="N128" s="3" t="s">
        <v>234</v>
      </c>
      <c r="O128" s="3" t="s">
        <v>51</v>
      </c>
      <c r="Q128" s="3" t="s">
        <v>29</v>
      </c>
      <c r="S128" s="1" t="s">
        <v>806</v>
      </c>
    </row>
    <row r="129">
      <c r="A129" s="4">
        <v>44342.73167732639</v>
      </c>
      <c r="B129" s="3" t="s">
        <v>372</v>
      </c>
      <c r="C129" s="3" t="s">
        <v>373</v>
      </c>
      <c r="D129" s="3" t="s">
        <v>230</v>
      </c>
      <c r="E129" s="3">
        <v>43566.0</v>
      </c>
      <c r="F129" s="3">
        <v>1.0</v>
      </c>
      <c r="G129" s="3" t="s">
        <v>21</v>
      </c>
      <c r="H129" s="3" t="s">
        <v>22</v>
      </c>
      <c r="K129" s="3" t="s">
        <v>807</v>
      </c>
      <c r="L129" s="3" t="s">
        <v>808</v>
      </c>
      <c r="M129" s="3" t="s">
        <v>809</v>
      </c>
      <c r="N129" s="3" t="s">
        <v>234</v>
      </c>
      <c r="O129" s="3" t="s">
        <v>377</v>
      </c>
      <c r="Q129" s="3" t="s">
        <v>29</v>
      </c>
      <c r="S129" s="1" t="s">
        <v>810</v>
      </c>
    </row>
    <row r="130">
      <c r="A130" s="4">
        <v>44342.73170471065</v>
      </c>
      <c r="B130" s="3" t="s">
        <v>163</v>
      </c>
      <c r="C130" s="3" t="s">
        <v>164</v>
      </c>
      <c r="D130" s="3" t="s">
        <v>230</v>
      </c>
      <c r="E130" s="3">
        <v>43460.0</v>
      </c>
      <c r="F130" s="3">
        <v>1.0</v>
      </c>
      <c r="G130" s="3" t="s">
        <v>21</v>
      </c>
      <c r="H130" s="3" t="s">
        <v>22</v>
      </c>
      <c r="K130" s="3" t="s">
        <v>811</v>
      </c>
      <c r="L130" s="3" t="s">
        <v>812</v>
      </c>
      <c r="M130" s="3" t="s">
        <v>813</v>
      </c>
      <c r="N130" s="3" t="s">
        <v>234</v>
      </c>
      <c r="O130" s="3" t="s">
        <v>168</v>
      </c>
      <c r="Q130" s="3" t="s">
        <v>29</v>
      </c>
      <c r="S130" s="1" t="s">
        <v>814</v>
      </c>
    </row>
    <row r="131">
      <c r="A131" s="4">
        <v>44342.731728831015</v>
      </c>
      <c r="B131" s="3" t="s">
        <v>341</v>
      </c>
      <c r="C131" s="3" t="s">
        <v>342</v>
      </c>
      <c r="D131" s="3" t="s">
        <v>230</v>
      </c>
      <c r="E131" s="3">
        <v>43546.0</v>
      </c>
      <c r="F131" s="3">
        <v>1.0</v>
      </c>
      <c r="G131" s="3" t="s">
        <v>136</v>
      </c>
      <c r="H131" s="3" t="s">
        <v>22</v>
      </c>
      <c r="K131" s="3" t="s">
        <v>815</v>
      </c>
      <c r="L131" s="3" t="s">
        <v>816</v>
      </c>
      <c r="M131" s="3" t="s">
        <v>817</v>
      </c>
      <c r="N131" s="3" t="s">
        <v>234</v>
      </c>
      <c r="O131" s="3" t="s">
        <v>346</v>
      </c>
      <c r="Q131" s="3" t="s">
        <v>29</v>
      </c>
      <c r="S131" s="1" t="s">
        <v>818</v>
      </c>
    </row>
    <row r="132">
      <c r="A132" s="4">
        <v>44342.731753935186</v>
      </c>
      <c r="B132" s="3" t="s">
        <v>30</v>
      </c>
      <c r="C132" s="3" t="s">
        <v>31</v>
      </c>
      <c r="D132" s="3" t="s">
        <v>230</v>
      </c>
      <c r="E132" s="3">
        <v>43762.0</v>
      </c>
      <c r="F132" s="3">
        <v>1.0</v>
      </c>
      <c r="G132" s="3" t="s">
        <v>21</v>
      </c>
      <c r="H132" s="3" t="s">
        <v>22</v>
      </c>
      <c r="K132" s="3" t="s">
        <v>819</v>
      </c>
      <c r="L132" s="3" t="s">
        <v>820</v>
      </c>
      <c r="M132" s="3" t="s">
        <v>821</v>
      </c>
      <c r="N132" s="3" t="s">
        <v>234</v>
      </c>
      <c r="O132" s="3" t="s">
        <v>36</v>
      </c>
      <c r="Q132" s="3" t="s">
        <v>29</v>
      </c>
      <c r="S132" s="1" t="s">
        <v>822</v>
      </c>
    </row>
    <row r="133">
      <c r="A133" s="4">
        <v>44342.731778726855</v>
      </c>
      <c r="B133" s="3" t="s">
        <v>823</v>
      </c>
      <c r="C133" s="3" t="s">
        <v>824</v>
      </c>
      <c r="D133" s="3" t="s">
        <v>230</v>
      </c>
      <c r="E133" s="3">
        <v>43824.0</v>
      </c>
      <c r="F133" s="3">
        <v>1.0</v>
      </c>
      <c r="G133" s="3" t="s">
        <v>21</v>
      </c>
      <c r="H133" s="3" t="s">
        <v>22</v>
      </c>
      <c r="K133" s="3" t="s">
        <v>825</v>
      </c>
      <c r="L133" s="3" t="s">
        <v>826</v>
      </c>
      <c r="M133" s="3" t="s">
        <v>827</v>
      </c>
      <c r="N133" s="3" t="s">
        <v>234</v>
      </c>
      <c r="O133" s="3" t="s">
        <v>828</v>
      </c>
      <c r="Q133" s="3" t="s">
        <v>29</v>
      </c>
      <c r="S133" s="1" t="s">
        <v>829</v>
      </c>
    </row>
    <row r="134">
      <c r="A134" s="4">
        <v>44342.73180594908</v>
      </c>
      <c r="B134" s="3" t="s">
        <v>830</v>
      </c>
      <c r="C134" s="3" t="s">
        <v>831</v>
      </c>
      <c r="D134" s="3" t="s">
        <v>230</v>
      </c>
      <c r="E134" s="3">
        <v>43768.0</v>
      </c>
      <c r="F134" s="3">
        <v>1.0</v>
      </c>
      <c r="G134" s="3" t="s">
        <v>21</v>
      </c>
      <c r="H134" s="3" t="s">
        <v>22</v>
      </c>
      <c r="K134" s="3" t="s">
        <v>832</v>
      </c>
      <c r="L134" s="3" t="s">
        <v>833</v>
      </c>
      <c r="M134" s="3" t="s">
        <v>834</v>
      </c>
      <c r="N134" s="3" t="s">
        <v>234</v>
      </c>
      <c r="O134" s="3" t="s">
        <v>835</v>
      </c>
      <c r="Q134" s="3" t="s">
        <v>29</v>
      </c>
      <c r="S134" s="1" t="s">
        <v>836</v>
      </c>
    </row>
    <row r="135">
      <c r="A135" s="4">
        <v>44342.73183236111</v>
      </c>
      <c r="B135" s="3" t="s">
        <v>303</v>
      </c>
      <c r="C135" s="3" t="s">
        <v>304</v>
      </c>
      <c r="D135" s="3" t="s">
        <v>230</v>
      </c>
      <c r="E135" s="3">
        <v>43769.0</v>
      </c>
      <c r="F135" s="3">
        <v>1.0</v>
      </c>
      <c r="G135" s="3" t="s">
        <v>21</v>
      </c>
      <c r="H135" s="3" t="s">
        <v>22</v>
      </c>
      <c r="K135" s="3" t="s">
        <v>837</v>
      </c>
      <c r="L135" s="3" t="s">
        <v>838</v>
      </c>
      <c r="M135" s="3" t="s">
        <v>839</v>
      </c>
      <c r="N135" s="3" t="s">
        <v>234</v>
      </c>
      <c r="O135" s="3" t="s">
        <v>308</v>
      </c>
      <c r="Q135" s="3" t="s">
        <v>29</v>
      </c>
      <c r="S135" s="1" t="s">
        <v>840</v>
      </c>
    </row>
    <row r="136">
      <c r="A136" s="4">
        <v>44342.731858796295</v>
      </c>
      <c r="B136" s="3" t="s">
        <v>60</v>
      </c>
      <c r="C136" s="3" t="s">
        <v>61</v>
      </c>
      <c r="D136" s="3" t="s">
        <v>230</v>
      </c>
      <c r="E136" s="3">
        <v>43672.0</v>
      </c>
      <c r="F136" s="3">
        <v>1.0</v>
      </c>
      <c r="G136" s="3" t="s">
        <v>21</v>
      </c>
      <c r="H136" s="3" t="s">
        <v>22</v>
      </c>
      <c r="K136" s="3" t="s">
        <v>841</v>
      </c>
      <c r="L136" s="3" t="s">
        <v>842</v>
      </c>
      <c r="M136" s="3" t="s">
        <v>843</v>
      </c>
      <c r="N136" s="3" t="s">
        <v>234</v>
      </c>
      <c r="O136" s="3" t="s">
        <v>65</v>
      </c>
      <c r="Q136" s="3" t="s">
        <v>29</v>
      </c>
      <c r="S136" s="1" t="s">
        <v>844</v>
      </c>
    </row>
    <row r="137">
      <c r="A137" s="4">
        <v>44342.731886249996</v>
      </c>
      <c r="B137" s="3" t="s">
        <v>538</v>
      </c>
      <c r="C137" s="3" t="s">
        <v>539</v>
      </c>
      <c r="D137" s="3" t="s">
        <v>230</v>
      </c>
      <c r="E137" s="3">
        <v>43122.0</v>
      </c>
      <c r="F137" s="3">
        <v>1.0</v>
      </c>
      <c r="G137" s="3" t="s">
        <v>136</v>
      </c>
      <c r="H137" s="3" t="s">
        <v>22</v>
      </c>
      <c r="K137" s="3" t="s">
        <v>845</v>
      </c>
      <c r="L137" s="3" t="s">
        <v>846</v>
      </c>
      <c r="M137" s="3" t="s">
        <v>847</v>
      </c>
      <c r="N137" s="3" t="s">
        <v>234</v>
      </c>
      <c r="O137" s="3" t="s">
        <v>543</v>
      </c>
      <c r="Q137" s="3" t="s">
        <v>29</v>
      </c>
      <c r="S137" s="1" t="s">
        <v>848</v>
      </c>
    </row>
    <row r="138">
      <c r="A138" s="4">
        <v>44342.73191577547</v>
      </c>
      <c r="B138" s="3" t="s">
        <v>18</v>
      </c>
      <c r="C138" s="3" t="s">
        <v>19</v>
      </c>
      <c r="D138" s="3" t="s">
        <v>230</v>
      </c>
      <c r="E138" s="3">
        <v>43767.0</v>
      </c>
      <c r="F138" s="3">
        <v>1.0</v>
      </c>
      <c r="G138" s="3" t="s">
        <v>21</v>
      </c>
      <c r="H138" s="3" t="s">
        <v>22</v>
      </c>
      <c r="J138" s="3" t="s">
        <v>849</v>
      </c>
      <c r="K138" s="3" t="s">
        <v>850</v>
      </c>
      <c r="L138" s="3" t="s">
        <v>851</v>
      </c>
      <c r="M138" s="3" t="s">
        <v>852</v>
      </c>
      <c r="N138" s="3" t="s">
        <v>234</v>
      </c>
      <c r="O138" s="3" t="s">
        <v>28</v>
      </c>
      <c r="Q138" s="3" t="s">
        <v>29</v>
      </c>
      <c r="S138" s="1" t="s">
        <v>853</v>
      </c>
    </row>
    <row r="139">
      <c r="A139" s="4">
        <v>44342.73194041666</v>
      </c>
      <c r="B139" s="3" t="s">
        <v>386</v>
      </c>
      <c r="C139" s="3" t="s">
        <v>387</v>
      </c>
      <c r="D139" s="3" t="s">
        <v>230</v>
      </c>
      <c r="E139" s="3">
        <v>43348.0</v>
      </c>
      <c r="F139" s="3">
        <v>1.0</v>
      </c>
      <c r="G139" s="3" t="s">
        <v>21</v>
      </c>
      <c r="H139" s="3" t="s">
        <v>22</v>
      </c>
      <c r="K139" s="3" t="s">
        <v>854</v>
      </c>
      <c r="L139" s="3" t="s">
        <v>855</v>
      </c>
      <c r="M139" s="3" t="s">
        <v>856</v>
      </c>
      <c r="N139" s="3" t="s">
        <v>234</v>
      </c>
      <c r="O139" s="3" t="s">
        <v>391</v>
      </c>
      <c r="Q139" s="3" t="s">
        <v>29</v>
      </c>
      <c r="S139" s="1" t="s">
        <v>857</v>
      </c>
    </row>
    <row r="140">
      <c r="A140" s="4">
        <v>44342.73196524306</v>
      </c>
      <c r="B140" s="3" t="s">
        <v>242</v>
      </c>
      <c r="C140" s="3" t="s">
        <v>858</v>
      </c>
      <c r="D140" s="3" t="s">
        <v>230</v>
      </c>
      <c r="E140" s="3">
        <v>44013.0</v>
      </c>
      <c r="F140" s="3">
        <v>1.0</v>
      </c>
      <c r="G140" s="3" t="s">
        <v>21</v>
      </c>
      <c r="H140" s="3" t="s">
        <v>22</v>
      </c>
      <c r="J140" s="3" t="s">
        <v>859</v>
      </c>
      <c r="K140" s="3" t="s">
        <v>860</v>
      </c>
      <c r="L140" s="3" t="s">
        <v>861</v>
      </c>
      <c r="M140" s="3" t="s">
        <v>862</v>
      </c>
      <c r="N140" s="3" t="s">
        <v>234</v>
      </c>
      <c r="O140" s="3" t="s">
        <v>248</v>
      </c>
      <c r="Q140" s="3" t="s">
        <v>29</v>
      </c>
      <c r="S140" s="1" t="s">
        <v>863</v>
      </c>
    </row>
    <row r="141">
      <c r="A141" s="4">
        <v>44342.73198993056</v>
      </c>
      <c r="B141" s="3" t="s">
        <v>725</v>
      </c>
      <c r="C141" s="3" t="s">
        <v>323</v>
      </c>
      <c r="D141" s="3" t="s">
        <v>230</v>
      </c>
      <c r="E141" s="3">
        <v>43732.0</v>
      </c>
      <c r="F141" s="3">
        <v>1.0</v>
      </c>
      <c r="G141" s="3" t="s">
        <v>21</v>
      </c>
      <c r="H141" s="3" t="s">
        <v>22</v>
      </c>
      <c r="K141" s="3" t="s">
        <v>864</v>
      </c>
      <c r="L141" s="3" t="s">
        <v>865</v>
      </c>
      <c r="M141" s="3" t="s">
        <v>866</v>
      </c>
      <c r="N141" s="3" t="s">
        <v>234</v>
      </c>
      <c r="O141" s="3" t="s">
        <v>729</v>
      </c>
      <c r="Q141" s="3" t="s">
        <v>29</v>
      </c>
      <c r="S141" s="1" t="s">
        <v>867</v>
      </c>
    </row>
    <row r="142">
      <c r="A142" s="4">
        <v>44342.7320144213</v>
      </c>
      <c r="B142" s="3" t="s">
        <v>258</v>
      </c>
      <c r="C142" s="3" t="s">
        <v>259</v>
      </c>
      <c r="D142" s="3" t="s">
        <v>230</v>
      </c>
      <c r="E142" s="3">
        <v>43886.0</v>
      </c>
      <c r="F142" s="3">
        <v>1.0</v>
      </c>
      <c r="G142" s="3" t="s">
        <v>21</v>
      </c>
      <c r="H142" s="3" t="s">
        <v>22</v>
      </c>
      <c r="K142" s="3" t="s">
        <v>868</v>
      </c>
      <c r="L142" s="3" t="s">
        <v>869</v>
      </c>
      <c r="M142" s="3" t="s">
        <v>870</v>
      </c>
      <c r="N142" s="3" t="s">
        <v>234</v>
      </c>
      <c r="O142" s="3" t="s">
        <v>264</v>
      </c>
      <c r="Q142" s="3" t="s">
        <v>29</v>
      </c>
      <c r="S142" s="1" t="s">
        <v>871</v>
      </c>
    </row>
    <row r="143">
      <c r="A143" s="4">
        <v>44342.73203935185</v>
      </c>
      <c r="B143" s="3" t="s">
        <v>126</v>
      </c>
      <c r="C143" s="3" t="s">
        <v>127</v>
      </c>
      <c r="D143" s="3" t="s">
        <v>230</v>
      </c>
      <c r="E143" s="3">
        <v>43816.0</v>
      </c>
      <c r="F143" s="3">
        <v>1.0</v>
      </c>
      <c r="G143" s="3" t="s">
        <v>21</v>
      </c>
      <c r="H143" s="3" t="s">
        <v>22</v>
      </c>
      <c r="K143" s="3" t="s">
        <v>872</v>
      </c>
      <c r="L143" s="3" t="s">
        <v>873</v>
      </c>
      <c r="M143" s="3" t="s">
        <v>874</v>
      </c>
      <c r="N143" s="3" t="s">
        <v>234</v>
      </c>
      <c r="O143" s="3" t="s">
        <v>132</v>
      </c>
      <c r="Q143" s="3" t="s">
        <v>29</v>
      </c>
      <c r="S143" s="1" t="s">
        <v>875</v>
      </c>
    </row>
    <row r="144">
      <c r="A144" s="4">
        <v>44342.73206429398</v>
      </c>
      <c r="B144" s="3" t="s">
        <v>266</v>
      </c>
      <c r="C144" s="3" t="s">
        <v>267</v>
      </c>
      <c r="D144" s="3" t="s">
        <v>230</v>
      </c>
      <c r="E144" s="3">
        <v>43699.0</v>
      </c>
      <c r="F144" s="3">
        <v>1.0</v>
      </c>
      <c r="G144" s="3" t="s">
        <v>136</v>
      </c>
      <c r="H144" s="3" t="s">
        <v>22</v>
      </c>
      <c r="K144" s="3" t="s">
        <v>876</v>
      </c>
      <c r="L144" s="3" t="s">
        <v>877</v>
      </c>
      <c r="M144" s="3" t="s">
        <v>878</v>
      </c>
      <c r="N144" s="3" t="s">
        <v>234</v>
      </c>
      <c r="O144" s="3" t="s">
        <v>271</v>
      </c>
      <c r="Q144" s="3" t="s">
        <v>29</v>
      </c>
      <c r="S144" s="1" t="s">
        <v>879</v>
      </c>
    </row>
    <row r="145">
      <c r="A145" s="4">
        <v>44342.73209160879</v>
      </c>
      <c r="B145" s="3" t="s">
        <v>572</v>
      </c>
      <c r="C145" s="3" t="s">
        <v>573</v>
      </c>
      <c r="D145" s="3" t="s">
        <v>230</v>
      </c>
      <c r="E145" s="3">
        <v>44170.0</v>
      </c>
      <c r="F145" s="3">
        <v>1.0</v>
      </c>
      <c r="G145" s="3" t="s">
        <v>21</v>
      </c>
      <c r="H145" s="3" t="s">
        <v>22</v>
      </c>
      <c r="K145" s="3" t="s">
        <v>880</v>
      </c>
      <c r="L145" s="3" t="s">
        <v>881</v>
      </c>
      <c r="M145" s="3" t="s">
        <v>882</v>
      </c>
      <c r="N145" s="3" t="s">
        <v>234</v>
      </c>
      <c r="O145" s="3" t="s">
        <v>578</v>
      </c>
      <c r="Q145" s="3" t="s">
        <v>29</v>
      </c>
      <c r="S145" s="1" t="s">
        <v>883</v>
      </c>
    </row>
    <row r="146">
      <c r="A146" s="4">
        <v>44342.73211668982</v>
      </c>
      <c r="B146" s="3" t="s">
        <v>725</v>
      </c>
      <c r="C146" s="3" t="s">
        <v>54</v>
      </c>
      <c r="D146" s="3" t="s">
        <v>230</v>
      </c>
      <c r="E146" s="3">
        <v>43734.0</v>
      </c>
      <c r="F146" s="3">
        <v>1.0</v>
      </c>
      <c r="G146" s="3" t="s">
        <v>21</v>
      </c>
      <c r="H146" s="3" t="s">
        <v>22</v>
      </c>
      <c r="K146" s="3" t="s">
        <v>884</v>
      </c>
      <c r="L146" s="3" t="s">
        <v>885</v>
      </c>
      <c r="M146" s="3" t="s">
        <v>886</v>
      </c>
      <c r="N146" s="3" t="s">
        <v>234</v>
      </c>
      <c r="O146" s="3" t="s">
        <v>729</v>
      </c>
      <c r="Q146" s="3" t="s">
        <v>29</v>
      </c>
      <c r="S146" s="1" t="s">
        <v>887</v>
      </c>
    </row>
    <row r="147">
      <c r="A147" s="4">
        <v>44342.73214407408</v>
      </c>
      <c r="B147" s="3" t="s">
        <v>250</v>
      </c>
      <c r="C147" s="3" t="s">
        <v>251</v>
      </c>
      <c r="D147" s="3" t="s">
        <v>230</v>
      </c>
      <c r="E147" s="3">
        <v>43354.0</v>
      </c>
      <c r="F147" s="3">
        <v>1.0</v>
      </c>
      <c r="G147" s="3" t="s">
        <v>21</v>
      </c>
      <c r="H147" s="3" t="s">
        <v>22</v>
      </c>
      <c r="J147" s="3" t="s">
        <v>888</v>
      </c>
      <c r="K147" s="3" t="s">
        <v>889</v>
      </c>
      <c r="L147" s="3" t="s">
        <v>890</v>
      </c>
      <c r="M147" s="3" t="s">
        <v>891</v>
      </c>
      <c r="N147" s="3" t="s">
        <v>234</v>
      </c>
      <c r="O147" s="3" t="s">
        <v>256</v>
      </c>
      <c r="Q147" s="3" t="s">
        <v>29</v>
      </c>
      <c r="S147" s="1" t="s">
        <v>892</v>
      </c>
    </row>
    <row r="148">
      <c r="A148" s="4">
        <v>44342.73216935185</v>
      </c>
      <c r="B148" s="3" t="s">
        <v>893</v>
      </c>
      <c r="C148" s="3" t="s">
        <v>349</v>
      </c>
      <c r="D148" s="3" t="s">
        <v>230</v>
      </c>
      <c r="E148" s="3">
        <v>43711.0</v>
      </c>
      <c r="F148" s="3">
        <v>1.0</v>
      </c>
      <c r="G148" s="3" t="s">
        <v>21</v>
      </c>
      <c r="H148" s="3" t="s">
        <v>22</v>
      </c>
      <c r="K148" s="3" t="s">
        <v>894</v>
      </c>
      <c r="L148" s="3" t="s">
        <v>895</v>
      </c>
      <c r="M148" s="3" t="s">
        <v>896</v>
      </c>
      <c r="N148" s="3" t="s">
        <v>234</v>
      </c>
      <c r="O148" s="3" t="s">
        <v>897</v>
      </c>
      <c r="Q148" s="3" t="s">
        <v>29</v>
      </c>
      <c r="S148" s="1" t="s">
        <v>898</v>
      </c>
    </row>
    <row r="149">
      <c r="A149" s="4">
        <v>44342.73219420139</v>
      </c>
      <c r="B149" s="3" t="s">
        <v>188</v>
      </c>
      <c r="C149" s="3" t="s">
        <v>189</v>
      </c>
      <c r="D149" s="3" t="s">
        <v>230</v>
      </c>
      <c r="E149" s="3">
        <v>42536.0</v>
      </c>
      <c r="F149" s="3">
        <v>1.0</v>
      </c>
      <c r="G149" s="3" t="s">
        <v>21</v>
      </c>
      <c r="H149" s="3" t="s">
        <v>22</v>
      </c>
      <c r="K149" s="3" t="s">
        <v>899</v>
      </c>
      <c r="L149" s="3" t="s">
        <v>900</v>
      </c>
      <c r="M149" s="3" t="s">
        <v>901</v>
      </c>
      <c r="N149" s="3" t="s">
        <v>234</v>
      </c>
      <c r="O149" s="3" t="s">
        <v>193</v>
      </c>
      <c r="Q149" s="3" t="s">
        <v>29</v>
      </c>
      <c r="S149" s="1" t="s">
        <v>902</v>
      </c>
    </row>
    <row r="150">
      <c r="A150" s="4">
        <v>44342.73221891204</v>
      </c>
      <c r="B150" s="3" t="s">
        <v>149</v>
      </c>
      <c r="C150" s="3" t="s">
        <v>150</v>
      </c>
      <c r="D150" s="3" t="s">
        <v>230</v>
      </c>
      <c r="E150" s="3">
        <v>42536.0</v>
      </c>
      <c r="F150" s="3">
        <v>1.0</v>
      </c>
      <c r="G150" s="3" t="s">
        <v>136</v>
      </c>
      <c r="H150" s="3" t="s">
        <v>22</v>
      </c>
      <c r="K150" s="3" t="s">
        <v>903</v>
      </c>
      <c r="L150" s="3" t="s">
        <v>904</v>
      </c>
      <c r="M150" s="3" t="s">
        <v>905</v>
      </c>
      <c r="N150" s="3" t="s">
        <v>234</v>
      </c>
      <c r="O150" s="3" t="s">
        <v>154</v>
      </c>
      <c r="Q150" s="3" t="s">
        <v>29</v>
      </c>
      <c r="S150" s="1" t="s">
        <v>906</v>
      </c>
    </row>
    <row r="151">
      <c r="A151" s="4">
        <v>44342.73224408565</v>
      </c>
      <c r="B151" s="3" t="s">
        <v>214</v>
      </c>
      <c r="C151" s="3" t="s">
        <v>215</v>
      </c>
      <c r="D151" s="3" t="s">
        <v>230</v>
      </c>
      <c r="E151" s="3">
        <v>43146.0</v>
      </c>
      <c r="F151" s="3">
        <v>1.0</v>
      </c>
      <c r="G151" s="3" t="s">
        <v>136</v>
      </c>
      <c r="H151" s="3" t="s">
        <v>22</v>
      </c>
      <c r="K151" s="3" t="s">
        <v>907</v>
      </c>
      <c r="L151" s="3" t="s">
        <v>908</v>
      </c>
      <c r="M151" s="3" t="s">
        <v>909</v>
      </c>
      <c r="N151" s="3" t="s">
        <v>234</v>
      </c>
      <c r="O151" s="3" t="s">
        <v>219</v>
      </c>
      <c r="Q151" s="3" t="s">
        <v>29</v>
      </c>
      <c r="S151" s="1" t="s">
        <v>910</v>
      </c>
    </row>
    <row r="152">
      <c r="A152" s="4">
        <v>44342.732268356485</v>
      </c>
      <c r="B152" s="3" t="s">
        <v>482</v>
      </c>
      <c r="C152" s="3" t="s">
        <v>911</v>
      </c>
      <c r="D152" s="3" t="s">
        <v>358</v>
      </c>
      <c r="E152" s="3">
        <v>44032.0</v>
      </c>
      <c r="F152" s="3">
        <v>5100.0</v>
      </c>
      <c r="G152" s="3" t="s">
        <v>21</v>
      </c>
      <c r="H152" s="3" t="s">
        <v>22</v>
      </c>
      <c r="K152" s="3" t="s">
        <v>912</v>
      </c>
      <c r="L152" s="3" t="s">
        <v>913</v>
      </c>
      <c r="M152" s="3" t="s">
        <v>914</v>
      </c>
      <c r="N152" s="3" t="s">
        <v>362</v>
      </c>
      <c r="O152" s="3" t="s">
        <v>487</v>
      </c>
      <c r="Q152" s="3" t="s">
        <v>29</v>
      </c>
      <c r="S152" s="1" t="s">
        <v>915</v>
      </c>
    </row>
    <row r="153">
      <c r="A153" s="4">
        <v>44342.73229356481</v>
      </c>
      <c r="B153" s="3" t="s">
        <v>393</v>
      </c>
      <c r="C153" s="3" t="s">
        <v>916</v>
      </c>
      <c r="D153" s="3" t="s">
        <v>358</v>
      </c>
      <c r="E153" s="3">
        <v>43997.0</v>
      </c>
      <c r="F153" s="3">
        <v>3658.893</v>
      </c>
      <c r="G153" s="3" t="s">
        <v>21</v>
      </c>
      <c r="H153" s="3" t="s">
        <v>22</v>
      </c>
      <c r="K153" s="3" t="s">
        <v>917</v>
      </c>
      <c r="L153" s="3" t="s">
        <v>918</v>
      </c>
      <c r="M153" s="3" t="s">
        <v>919</v>
      </c>
      <c r="N153" s="3" t="s">
        <v>362</v>
      </c>
      <c r="O153" s="3" t="s">
        <v>398</v>
      </c>
      <c r="Q153" s="3" t="s">
        <v>29</v>
      </c>
      <c r="S153" s="1" t="s">
        <v>920</v>
      </c>
    </row>
    <row r="154">
      <c r="A154" s="4">
        <v>44342.732319710645</v>
      </c>
      <c r="B154" s="3" t="s">
        <v>640</v>
      </c>
      <c r="C154" s="3" t="s">
        <v>641</v>
      </c>
      <c r="D154" s="3" t="s">
        <v>230</v>
      </c>
      <c r="E154" s="3">
        <v>44013.0</v>
      </c>
      <c r="F154" s="3">
        <v>1.0</v>
      </c>
      <c r="G154" s="3" t="s">
        <v>136</v>
      </c>
      <c r="H154" s="3" t="s">
        <v>22</v>
      </c>
      <c r="K154" s="3" t="s">
        <v>921</v>
      </c>
      <c r="L154" s="3" t="s">
        <v>922</v>
      </c>
      <c r="M154" s="3" t="s">
        <v>923</v>
      </c>
      <c r="N154" s="3" t="s">
        <v>234</v>
      </c>
      <c r="O154" s="3" t="s">
        <v>646</v>
      </c>
      <c r="Q154" s="3" t="s">
        <v>29</v>
      </c>
      <c r="S154" s="1" t="s">
        <v>924</v>
      </c>
    </row>
    <row r="155">
      <c r="A155" s="4">
        <v>44342.732343923606</v>
      </c>
      <c r="B155" s="3" t="s">
        <v>393</v>
      </c>
      <c r="C155" s="3" t="s">
        <v>925</v>
      </c>
      <c r="D155" s="3" t="s">
        <v>358</v>
      </c>
      <c r="E155" s="3">
        <v>44032.0</v>
      </c>
      <c r="F155" s="3">
        <v>124122.43</v>
      </c>
      <c r="G155" s="3" t="s">
        <v>21</v>
      </c>
      <c r="H155" s="3" t="s">
        <v>22</v>
      </c>
      <c r="K155" s="3" t="s">
        <v>926</v>
      </c>
      <c r="L155" s="3" t="s">
        <v>927</v>
      </c>
      <c r="M155" s="3" t="s">
        <v>928</v>
      </c>
      <c r="N155" s="3" t="s">
        <v>362</v>
      </c>
      <c r="O155" s="3" t="s">
        <v>398</v>
      </c>
      <c r="Q155" s="3" t="s">
        <v>29</v>
      </c>
      <c r="S155" s="1" t="s">
        <v>929</v>
      </c>
    </row>
    <row r="156">
      <c r="A156" s="4">
        <v>44342.732368530094</v>
      </c>
      <c r="B156" s="3" t="s">
        <v>930</v>
      </c>
      <c r="C156" s="3" t="s">
        <v>931</v>
      </c>
      <c r="D156" s="3" t="s">
        <v>358</v>
      </c>
      <c r="E156" s="3">
        <v>44032.0</v>
      </c>
      <c r="F156" s="3">
        <v>2812.46</v>
      </c>
      <c r="G156" s="3" t="s">
        <v>21</v>
      </c>
      <c r="H156" s="3" t="s">
        <v>22</v>
      </c>
      <c r="K156" s="3" t="s">
        <v>932</v>
      </c>
      <c r="L156" s="3" t="s">
        <v>933</v>
      </c>
      <c r="M156" s="3" t="s">
        <v>934</v>
      </c>
      <c r="N156" s="3" t="s">
        <v>362</v>
      </c>
      <c r="O156" s="3" t="s">
        <v>935</v>
      </c>
      <c r="Q156" s="3" t="s">
        <v>29</v>
      </c>
      <c r="S156" s="1" t="s">
        <v>936</v>
      </c>
    </row>
    <row r="157">
      <c r="A157" s="4">
        <v>44342.73239311343</v>
      </c>
      <c r="B157" s="3" t="s">
        <v>482</v>
      </c>
      <c r="C157" s="3" t="s">
        <v>937</v>
      </c>
      <c r="D157" s="3" t="s">
        <v>358</v>
      </c>
      <c r="E157" s="3">
        <v>44053.0</v>
      </c>
      <c r="F157" s="3">
        <v>9490.0</v>
      </c>
      <c r="G157" s="3" t="s">
        <v>136</v>
      </c>
      <c r="H157" s="3" t="s">
        <v>22</v>
      </c>
      <c r="K157" s="3" t="s">
        <v>938</v>
      </c>
      <c r="L157" s="3" t="s">
        <v>939</v>
      </c>
      <c r="M157" s="3" t="s">
        <v>940</v>
      </c>
      <c r="N157" s="3" t="s">
        <v>362</v>
      </c>
      <c r="O157" s="3" t="s">
        <v>487</v>
      </c>
      <c r="Q157" s="3" t="s">
        <v>29</v>
      </c>
      <c r="S157" s="1" t="s">
        <v>941</v>
      </c>
    </row>
    <row r="158">
      <c r="A158" s="4">
        <v>44342.732418217594</v>
      </c>
      <c r="B158" s="3" t="s">
        <v>250</v>
      </c>
      <c r="C158" s="3" t="s">
        <v>942</v>
      </c>
      <c r="D158" s="3" t="s">
        <v>20</v>
      </c>
      <c r="E158" s="3">
        <v>44054.0</v>
      </c>
      <c r="F158" s="3">
        <v>10200.0</v>
      </c>
      <c r="G158" s="3" t="s">
        <v>21</v>
      </c>
      <c r="H158" s="3" t="s">
        <v>22</v>
      </c>
      <c r="K158" s="3" t="s">
        <v>943</v>
      </c>
      <c r="L158" s="3" t="s">
        <v>944</v>
      </c>
      <c r="M158" s="3" t="s">
        <v>945</v>
      </c>
      <c r="N158" s="3" t="s">
        <v>27</v>
      </c>
      <c r="O158" s="3" t="s">
        <v>256</v>
      </c>
      <c r="Q158" s="3" t="s">
        <v>29</v>
      </c>
      <c r="S158" s="1" t="s">
        <v>946</v>
      </c>
    </row>
    <row r="159">
      <c r="A159" s="4">
        <v>44342.732443229164</v>
      </c>
      <c r="B159" s="3" t="s">
        <v>947</v>
      </c>
      <c r="C159" s="3" t="s">
        <v>948</v>
      </c>
      <c r="D159" s="3" t="s">
        <v>358</v>
      </c>
      <c r="E159" s="3">
        <v>44041.0</v>
      </c>
      <c r="F159" s="3">
        <v>11508.0</v>
      </c>
      <c r="G159" s="3" t="s">
        <v>21</v>
      </c>
      <c r="H159" s="3" t="s">
        <v>22</v>
      </c>
      <c r="J159" s="3" t="s">
        <v>949</v>
      </c>
      <c r="K159" s="3" t="s">
        <v>950</v>
      </c>
      <c r="L159" s="3" t="s">
        <v>951</v>
      </c>
      <c r="M159" s="3" t="s">
        <v>952</v>
      </c>
      <c r="N159" s="3" t="s">
        <v>362</v>
      </c>
      <c r="O159" s="3" t="s">
        <v>953</v>
      </c>
      <c r="Q159" s="3" t="s">
        <v>29</v>
      </c>
      <c r="S159" s="1" t="s">
        <v>954</v>
      </c>
    </row>
    <row r="160">
      <c r="A160" s="4">
        <v>44342.73246893518</v>
      </c>
      <c r="B160" s="3" t="s">
        <v>947</v>
      </c>
      <c r="C160" s="3" t="s">
        <v>955</v>
      </c>
      <c r="D160" s="3" t="s">
        <v>358</v>
      </c>
      <c r="E160" s="3">
        <v>44039.0</v>
      </c>
      <c r="F160" s="3">
        <v>3492.0</v>
      </c>
      <c r="G160" s="3" t="s">
        <v>136</v>
      </c>
      <c r="H160" s="3" t="s">
        <v>22</v>
      </c>
      <c r="J160" s="3" t="s">
        <v>949</v>
      </c>
      <c r="K160" s="3" t="s">
        <v>956</v>
      </c>
      <c r="L160" s="3" t="s">
        <v>957</v>
      </c>
      <c r="M160" s="3" t="s">
        <v>958</v>
      </c>
      <c r="N160" s="3" t="s">
        <v>362</v>
      </c>
      <c r="O160" s="3" t="s">
        <v>953</v>
      </c>
      <c r="Q160" s="3" t="s">
        <v>29</v>
      </c>
      <c r="S160" s="1" t="s">
        <v>959</v>
      </c>
    </row>
    <row r="161">
      <c r="A161" s="4">
        <v>44342.732494861106</v>
      </c>
      <c r="B161" s="3" t="s">
        <v>242</v>
      </c>
      <c r="C161" s="3" t="s">
        <v>960</v>
      </c>
      <c r="D161" s="3" t="s">
        <v>20</v>
      </c>
      <c r="E161" s="3">
        <v>43224.0</v>
      </c>
      <c r="F161" s="3">
        <v>5343.0</v>
      </c>
      <c r="G161" s="3" t="s">
        <v>21</v>
      </c>
      <c r="H161" s="3" t="s">
        <v>22</v>
      </c>
      <c r="K161" s="3" t="s">
        <v>961</v>
      </c>
      <c r="L161" s="3" t="s">
        <v>962</v>
      </c>
      <c r="M161" s="3" t="s">
        <v>963</v>
      </c>
      <c r="N161" s="3" t="s">
        <v>27</v>
      </c>
      <c r="O161" s="3" t="s">
        <v>248</v>
      </c>
      <c r="Q161" s="3" t="s">
        <v>29</v>
      </c>
      <c r="S161" s="1" t="s">
        <v>964</v>
      </c>
    </row>
    <row r="162">
      <c r="A162" s="4">
        <v>44342.73252143519</v>
      </c>
      <c r="B162" s="3" t="s">
        <v>242</v>
      </c>
      <c r="C162" s="3" t="s">
        <v>965</v>
      </c>
      <c r="D162" s="3" t="s">
        <v>20</v>
      </c>
      <c r="E162" s="3">
        <v>43095.0</v>
      </c>
      <c r="F162" s="3">
        <v>5343.0</v>
      </c>
      <c r="G162" s="3" t="s">
        <v>21</v>
      </c>
      <c r="H162" s="3" t="s">
        <v>22</v>
      </c>
      <c r="K162" s="3" t="s">
        <v>966</v>
      </c>
      <c r="L162" s="3" t="s">
        <v>967</v>
      </c>
      <c r="M162" s="3" t="s">
        <v>968</v>
      </c>
      <c r="N162" s="3" t="s">
        <v>27</v>
      </c>
      <c r="O162" s="3" t="s">
        <v>248</v>
      </c>
      <c r="Q162" s="3" t="s">
        <v>29</v>
      </c>
      <c r="S162" s="1" t="s">
        <v>969</v>
      </c>
    </row>
    <row r="163">
      <c r="A163" s="4">
        <v>44342.7325472338</v>
      </c>
      <c r="B163" s="3" t="s">
        <v>67</v>
      </c>
      <c r="C163" s="3" t="s">
        <v>970</v>
      </c>
      <c r="D163" s="3" t="s">
        <v>20</v>
      </c>
      <c r="E163" s="3">
        <v>43976.0</v>
      </c>
      <c r="F163" s="3">
        <v>44100.0</v>
      </c>
      <c r="G163" s="3" t="s">
        <v>21</v>
      </c>
      <c r="H163" s="3" t="s">
        <v>22</v>
      </c>
      <c r="J163" s="3" t="s">
        <v>971</v>
      </c>
      <c r="K163" s="3" t="s">
        <v>972</v>
      </c>
      <c r="L163" s="3" t="s">
        <v>973</v>
      </c>
      <c r="M163" s="3" t="s">
        <v>974</v>
      </c>
      <c r="N163" s="3" t="s">
        <v>27</v>
      </c>
      <c r="O163" s="3" t="s">
        <v>72</v>
      </c>
      <c r="Q163" s="3" t="s">
        <v>29</v>
      </c>
      <c r="S163" s="1" t="s">
        <v>975</v>
      </c>
    </row>
    <row r="164">
      <c r="A164" s="4">
        <v>44342.73257256944</v>
      </c>
      <c r="B164" s="3" t="s">
        <v>976</v>
      </c>
      <c r="C164" s="3" t="s">
        <v>977</v>
      </c>
      <c r="D164" s="3" t="s">
        <v>358</v>
      </c>
      <c r="E164" s="3">
        <v>43983.0</v>
      </c>
      <c r="F164" s="3">
        <v>5250.0</v>
      </c>
      <c r="G164" s="3" t="s">
        <v>136</v>
      </c>
      <c r="H164" s="3" t="s">
        <v>22</v>
      </c>
      <c r="K164" s="3" t="s">
        <v>978</v>
      </c>
      <c r="L164" s="3" t="s">
        <v>979</v>
      </c>
      <c r="M164" s="3" t="s">
        <v>980</v>
      </c>
      <c r="N164" s="3" t="s">
        <v>362</v>
      </c>
      <c r="O164" s="3" t="s">
        <v>981</v>
      </c>
      <c r="Q164" s="3" t="s">
        <v>29</v>
      </c>
      <c r="S164" s="1" t="s">
        <v>982</v>
      </c>
    </row>
    <row r="165">
      <c r="A165" s="4">
        <v>44342.734347233796</v>
      </c>
      <c r="B165" s="3" t="s">
        <v>242</v>
      </c>
      <c r="C165" s="3" t="s">
        <v>983</v>
      </c>
      <c r="D165" s="3" t="s">
        <v>20</v>
      </c>
      <c r="E165" s="3">
        <v>43273.0</v>
      </c>
      <c r="F165" s="3">
        <v>16000.0</v>
      </c>
      <c r="G165" s="3" t="s">
        <v>136</v>
      </c>
      <c r="H165" s="3" t="s">
        <v>22</v>
      </c>
      <c r="K165" s="3" t="s">
        <v>984</v>
      </c>
      <c r="L165" s="3" t="s">
        <v>985</v>
      </c>
      <c r="M165" s="3" t="s">
        <v>986</v>
      </c>
      <c r="N165" s="3" t="s">
        <v>27</v>
      </c>
      <c r="O165" s="3" t="s">
        <v>248</v>
      </c>
      <c r="Q165" s="3" t="s">
        <v>29</v>
      </c>
      <c r="S165" s="1" t="s">
        <v>987</v>
      </c>
    </row>
    <row r="166">
      <c r="A166" s="4">
        <v>44342.734363807875</v>
      </c>
      <c r="B166" s="3" t="s">
        <v>988</v>
      </c>
      <c r="C166" s="3" t="s">
        <v>989</v>
      </c>
      <c r="D166" s="3" t="s">
        <v>358</v>
      </c>
      <c r="E166" s="3">
        <v>44070.0</v>
      </c>
      <c r="F166" s="3">
        <v>19200.0</v>
      </c>
      <c r="G166" s="3" t="s">
        <v>136</v>
      </c>
      <c r="H166" s="3" t="s">
        <v>22</v>
      </c>
      <c r="K166" s="3" t="s">
        <v>990</v>
      </c>
      <c r="L166" s="3" t="s">
        <v>991</v>
      </c>
      <c r="M166" s="3" t="s">
        <v>992</v>
      </c>
      <c r="N166" s="3" t="s">
        <v>362</v>
      </c>
      <c r="O166" s="3" t="s">
        <v>993</v>
      </c>
      <c r="Q166" s="3" t="s">
        <v>29</v>
      </c>
      <c r="S166" s="1" t="s">
        <v>994</v>
      </c>
    </row>
    <row r="167">
      <c r="A167" s="4">
        <v>44342.73438010417</v>
      </c>
      <c r="B167" s="3" t="s">
        <v>516</v>
      </c>
      <c r="C167" s="3" t="s">
        <v>995</v>
      </c>
      <c r="D167" s="3" t="s">
        <v>358</v>
      </c>
      <c r="E167" s="6">
        <v>43878.0</v>
      </c>
      <c r="F167" s="3">
        <v>25200.0</v>
      </c>
      <c r="G167" s="3" t="s">
        <v>21</v>
      </c>
      <c r="H167" s="3" t="s">
        <v>22</v>
      </c>
      <c r="K167" s="3" t="s">
        <v>996</v>
      </c>
      <c r="L167" s="3" t="s">
        <v>997</v>
      </c>
      <c r="M167" s="3" t="s">
        <v>998</v>
      </c>
      <c r="N167" s="3" t="s">
        <v>362</v>
      </c>
      <c r="O167" s="3" t="s">
        <v>524</v>
      </c>
      <c r="Q167" s="3" t="s">
        <v>29</v>
      </c>
      <c r="S167" s="1" t="s">
        <v>999</v>
      </c>
    </row>
    <row r="168">
      <c r="A168" s="4">
        <v>44342.73439725694</v>
      </c>
      <c r="B168" s="3" t="s">
        <v>516</v>
      </c>
      <c r="C168" s="3" t="s">
        <v>1000</v>
      </c>
      <c r="D168" s="3" t="s">
        <v>358</v>
      </c>
      <c r="E168" s="6">
        <v>44005.0</v>
      </c>
      <c r="F168" s="3">
        <v>6800.0</v>
      </c>
      <c r="G168" s="3" t="s">
        <v>136</v>
      </c>
      <c r="H168" s="3" t="s">
        <v>22</v>
      </c>
      <c r="K168" s="3" t="s">
        <v>1001</v>
      </c>
      <c r="L168" s="3" t="s">
        <v>1002</v>
      </c>
      <c r="M168" s="3" t="s">
        <v>1003</v>
      </c>
      <c r="N168" s="3" t="s">
        <v>362</v>
      </c>
      <c r="O168" s="3" t="s">
        <v>524</v>
      </c>
      <c r="Q168" s="3" t="s">
        <v>29</v>
      </c>
      <c r="S168" s="1" t="s">
        <v>1004</v>
      </c>
    </row>
    <row r="169">
      <c r="A169" s="4">
        <v>44342.73441538194</v>
      </c>
      <c r="B169" s="3" t="s">
        <v>1005</v>
      </c>
      <c r="C169" s="3" t="s">
        <v>1006</v>
      </c>
      <c r="D169" s="3" t="s">
        <v>358</v>
      </c>
      <c r="E169" s="3">
        <v>43902.0</v>
      </c>
      <c r="F169" s="3">
        <v>22240.0</v>
      </c>
      <c r="G169" s="3" t="s">
        <v>136</v>
      </c>
      <c r="H169" s="3" t="s">
        <v>22</v>
      </c>
      <c r="K169" s="3" t="s">
        <v>1007</v>
      </c>
      <c r="L169" s="3" t="s">
        <v>1008</v>
      </c>
      <c r="M169" s="3" t="s">
        <v>1009</v>
      </c>
      <c r="N169" s="3" t="s">
        <v>362</v>
      </c>
      <c r="O169" s="3" t="s">
        <v>1010</v>
      </c>
      <c r="Q169" s="3" t="s">
        <v>29</v>
      </c>
      <c r="S169" s="1" t="s">
        <v>1011</v>
      </c>
    </row>
    <row r="170">
      <c r="A170" s="4">
        <v>44342.73443098379</v>
      </c>
      <c r="B170" s="3" t="s">
        <v>1012</v>
      </c>
      <c r="C170" s="3" t="s">
        <v>1013</v>
      </c>
      <c r="D170" s="3" t="s">
        <v>358</v>
      </c>
      <c r="E170" s="3">
        <v>44062.0</v>
      </c>
      <c r="F170" s="3">
        <v>7350.0</v>
      </c>
      <c r="G170" s="3" t="s">
        <v>21</v>
      </c>
      <c r="H170" s="3" t="s">
        <v>22</v>
      </c>
      <c r="K170" s="3" t="s">
        <v>1014</v>
      </c>
      <c r="L170" s="3" t="s">
        <v>1015</v>
      </c>
      <c r="M170" s="3" t="s">
        <v>1016</v>
      </c>
      <c r="N170" s="3" t="s">
        <v>362</v>
      </c>
      <c r="O170" s="3" t="s">
        <v>1017</v>
      </c>
      <c r="Q170" s="3" t="s">
        <v>29</v>
      </c>
      <c r="S170" s="1" t="s">
        <v>1018</v>
      </c>
    </row>
    <row r="171">
      <c r="A171" s="4">
        <v>44342.73444645833</v>
      </c>
      <c r="B171" s="3" t="s">
        <v>516</v>
      </c>
      <c r="C171" s="3" t="s">
        <v>1019</v>
      </c>
      <c r="D171" s="3" t="s">
        <v>358</v>
      </c>
      <c r="E171" s="6">
        <v>44084.0</v>
      </c>
      <c r="F171" s="3">
        <v>1150.0</v>
      </c>
      <c r="G171" s="3" t="s">
        <v>136</v>
      </c>
      <c r="H171" s="3" t="s">
        <v>22</v>
      </c>
      <c r="K171" s="3" t="s">
        <v>1020</v>
      </c>
      <c r="L171" s="3" t="s">
        <v>1021</v>
      </c>
      <c r="M171" s="3" t="s">
        <v>1022</v>
      </c>
      <c r="N171" s="3" t="s">
        <v>362</v>
      </c>
      <c r="O171" s="3" t="s">
        <v>524</v>
      </c>
      <c r="Q171" s="3" t="s">
        <v>29</v>
      </c>
      <c r="S171" s="1" t="s">
        <v>1023</v>
      </c>
    </row>
    <row r="172">
      <c r="A172" s="4">
        <v>44342.73446157407</v>
      </c>
      <c r="B172" s="3" t="s">
        <v>1024</v>
      </c>
      <c r="C172" s="3" t="s">
        <v>1025</v>
      </c>
      <c r="D172" s="3" t="s">
        <v>358</v>
      </c>
      <c r="E172" s="3">
        <v>44091.0</v>
      </c>
      <c r="F172" s="3">
        <v>6000.0</v>
      </c>
      <c r="G172" s="3" t="s">
        <v>136</v>
      </c>
      <c r="H172" s="3" t="s">
        <v>22</v>
      </c>
      <c r="K172" s="3" t="s">
        <v>1026</v>
      </c>
      <c r="L172" s="3" t="s">
        <v>1027</v>
      </c>
      <c r="M172" s="3" t="s">
        <v>1028</v>
      </c>
      <c r="N172" s="3" t="s">
        <v>362</v>
      </c>
      <c r="O172" s="3" t="s">
        <v>1029</v>
      </c>
      <c r="Q172" s="3" t="s">
        <v>29</v>
      </c>
      <c r="S172" s="1" t="s">
        <v>1030</v>
      </c>
    </row>
    <row r="173">
      <c r="A173" s="4">
        <v>44342.73447703704</v>
      </c>
      <c r="B173" s="3" t="s">
        <v>1031</v>
      </c>
      <c r="C173" s="3" t="s">
        <v>1032</v>
      </c>
      <c r="D173" s="3" t="s">
        <v>358</v>
      </c>
      <c r="E173" s="3">
        <v>44063.0</v>
      </c>
      <c r="F173" s="3">
        <v>824.0</v>
      </c>
      <c r="G173" s="3" t="s">
        <v>350</v>
      </c>
      <c r="H173" s="3" t="s">
        <v>22</v>
      </c>
      <c r="K173" s="3" t="s">
        <v>1033</v>
      </c>
      <c r="L173" s="3" t="s">
        <v>1034</v>
      </c>
      <c r="M173" s="3" t="s">
        <v>1035</v>
      </c>
      <c r="N173" s="3" t="s">
        <v>362</v>
      </c>
      <c r="O173" s="3" t="s">
        <v>1036</v>
      </c>
      <c r="Q173" s="3" t="s">
        <v>29</v>
      </c>
      <c r="S173" s="1" t="s">
        <v>1037</v>
      </c>
    </row>
    <row r="174">
      <c r="A174" s="4">
        <v>44342.73449219907</v>
      </c>
      <c r="B174" s="3" t="s">
        <v>393</v>
      </c>
      <c r="C174" s="3" t="s">
        <v>1038</v>
      </c>
      <c r="D174" s="3" t="s">
        <v>358</v>
      </c>
      <c r="E174" s="3">
        <v>44095.0</v>
      </c>
      <c r="F174" s="3">
        <v>2458.27</v>
      </c>
      <c r="G174" s="3" t="s">
        <v>21</v>
      </c>
      <c r="H174" s="3" t="s">
        <v>22</v>
      </c>
      <c r="K174" s="3" t="s">
        <v>1039</v>
      </c>
      <c r="L174" s="3" t="s">
        <v>1040</v>
      </c>
      <c r="M174" s="3" t="s">
        <v>1041</v>
      </c>
      <c r="N174" s="3" t="s">
        <v>362</v>
      </c>
      <c r="O174" s="3" t="s">
        <v>398</v>
      </c>
      <c r="Q174" s="3" t="s">
        <v>29</v>
      </c>
      <c r="S174" s="1" t="s">
        <v>1042</v>
      </c>
    </row>
    <row r="175">
      <c r="A175" s="4">
        <v>44342.734507326386</v>
      </c>
      <c r="B175" s="3" t="s">
        <v>516</v>
      </c>
      <c r="C175" s="3" t="s">
        <v>1043</v>
      </c>
      <c r="D175" s="3" t="s">
        <v>358</v>
      </c>
      <c r="E175" s="6">
        <v>44091.0</v>
      </c>
      <c r="F175" s="3">
        <v>12410.0</v>
      </c>
      <c r="G175" s="3" t="s">
        <v>21</v>
      </c>
      <c r="H175" s="3" t="s">
        <v>22</v>
      </c>
      <c r="K175" s="3" t="s">
        <v>1044</v>
      </c>
      <c r="L175" s="3" t="s">
        <v>1045</v>
      </c>
      <c r="M175" s="3" t="s">
        <v>1046</v>
      </c>
      <c r="N175" s="3" t="s">
        <v>362</v>
      </c>
      <c r="O175" s="3" t="s">
        <v>524</v>
      </c>
      <c r="Q175" s="3" t="s">
        <v>29</v>
      </c>
      <c r="S175" s="1" t="s">
        <v>1047</v>
      </c>
    </row>
    <row r="176">
      <c r="A176" s="4">
        <v>44342.73452370371</v>
      </c>
      <c r="B176" s="3" t="s">
        <v>1012</v>
      </c>
      <c r="C176" s="3" t="s">
        <v>1048</v>
      </c>
      <c r="D176" s="3" t="s">
        <v>1049</v>
      </c>
      <c r="E176" s="3">
        <v>44102.0</v>
      </c>
      <c r="F176" s="3">
        <v>7600.0</v>
      </c>
      <c r="G176" s="3" t="s">
        <v>136</v>
      </c>
      <c r="H176" s="3" t="s">
        <v>22</v>
      </c>
      <c r="J176" s="3" t="s">
        <v>1050</v>
      </c>
      <c r="K176" s="3" t="s">
        <v>1051</v>
      </c>
      <c r="L176" s="3" t="s">
        <v>1052</v>
      </c>
      <c r="M176" s="3" t="s">
        <v>1053</v>
      </c>
      <c r="N176" s="3" t="s">
        <v>1054</v>
      </c>
      <c r="O176" s="3" t="s">
        <v>1017</v>
      </c>
      <c r="Q176" s="3" t="s">
        <v>29</v>
      </c>
      <c r="S176" s="1" t="s">
        <v>1055</v>
      </c>
    </row>
    <row r="177">
      <c r="A177" s="4">
        <v>44342.734538923614</v>
      </c>
      <c r="B177" s="3" t="s">
        <v>266</v>
      </c>
      <c r="C177" s="3" t="s">
        <v>1056</v>
      </c>
      <c r="D177" s="3" t="s">
        <v>20</v>
      </c>
      <c r="E177" s="3">
        <v>44060.0</v>
      </c>
      <c r="F177" s="3">
        <v>65300.0</v>
      </c>
      <c r="G177" s="3" t="s">
        <v>21</v>
      </c>
      <c r="H177" s="3" t="s">
        <v>22</v>
      </c>
      <c r="J177" s="3" t="s">
        <v>1057</v>
      </c>
      <c r="K177" s="3" t="s">
        <v>1058</v>
      </c>
      <c r="L177" s="3" t="s">
        <v>1059</v>
      </c>
      <c r="M177" s="3" t="s">
        <v>1060</v>
      </c>
      <c r="N177" s="3" t="s">
        <v>27</v>
      </c>
      <c r="O177" s="3" t="s">
        <v>271</v>
      </c>
      <c r="Q177" s="3" t="s">
        <v>29</v>
      </c>
      <c r="S177" s="1" t="s">
        <v>1061</v>
      </c>
    </row>
    <row r="178">
      <c r="A178" s="4">
        <v>44342.73455407408</v>
      </c>
      <c r="B178" s="3" t="s">
        <v>89</v>
      </c>
      <c r="C178" s="3" t="s">
        <v>1062</v>
      </c>
      <c r="D178" s="3" t="s">
        <v>230</v>
      </c>
      <c r="E178" s="3">
        <v>44102.0</v>
      </c>
      <c r="F178" s="3">
        <v>800.0</v>
      </c>
      <c r="G178" s="3" t="s">
        <v>21</v>
      </c>
      <c r="H178" s="3" t="s">
        <v>22</v>
      </c>
      <c r="K178" s="3" t="s">
        <v>1063</v>
      </c>
      <c r="L178" s="3" t="s">
        <v>1064</v>
      </c>
      <c r="M178" s="3" t="s">
        <v>1065</v>
      </c>
      <c r="N178" s="3" t="s">
        <v>234</v>
      </c>
      <c r="O178" s="3" t="s">
        <v>94</v>
      </c>
      <c r="Q178" s="3" t="s">
        <v>29</v>
      </c>
      <c r="S178" s="1" t="s">
        <v>1066</v>
      </c>
    </row>
    <row r="179">
      <c r="A179" s="4">
        <v>44342.73456946759</v>
      </c>
      <c r="B179" s="3" t="s">
        <v>393</v>
      </c>
      <c r="C179" s="3" t="s">
        <v>1067</v>
      </c>
      <c r="D179" s="3" t="s">
        <v>358</v>
      </c>
      <c r="E179" s="3">
        <v>44105.0</v>
      </c>
      <c r="F179" s="3">
        <v>51684.38</v>
      </c>
      <c r="G179" s="3" t="s">
        <v>350</v>
      </c>
      <c r="H179" s="3" t="s">
        <v>22</v>
      </c>
      <c r="K179" s="3" t="s">
        <v>1068</v>
      </c>
      <c r="L179" s="3" t="s">
        <v>1069</v>
      </c>
      <c r="M179" s="3" t="s">
        <v>1070</v>
      </c>
      <c r="N179" s="3" t="s">
        <v>362</v>
      </c>
      <c r="O179" s="3" t="s">
        <v>398</v>
      </c>
      <c r="Q179" s="3" t="s">
        <v>29</v>
      </c>
      <c r="S179" s="1" t="s">
        <v>1071</v>
      </c>
    </row>
    <row r="180">
      <c r="A180" s="4">
        <v>44342.734584861115</v>
      </c>
      <c r="B180" s="3" t="s">
        <v>1072</v>
      </c>
      <c r="C180" s="3" t="s">
        <v>1073</v>
      </c>
      <c r="D180" s="3" t="s">
        <v>358</v>
      </c>
      <c r="E180" s="3">
        <v>44075.0</v>
      </c>
      <c r="F180" s="3">
        <v>31550.0</v>
      </c>
      <c r="G180" s="3" t="s">
        <v>21</v>
      </c>
      <c r="H180" s="3" t="s">
        <v>22</v>
      </c>
      <c r="K180" s="3" t="s">
        <v>1074</v>
      </c>
      <c r="L180" s="3" t="s">
        <v>1075</v>
      </c>
      <c r="M180" s="3" t="s">
        <v>1076</v>
      </c>
      <c r="N180" s="3" t="s">
        <v>362</v>
      </c>
      <c r="O180" s="3" t="s">
        <v>1077</v>
      </c>
      <c r="Q180" s="3" t="s">
        <v>29</v>
      </c>
      <c r="S180" s="1" t="s">
        <v>1078</v>
      </c>
    </row>
    <row r="181">
      <c r="A181" s="4">
        <v>44342.73460195602</v>
      </c>
      <c r="B181" s="3" t="s">
        <v>1012</v>
      </c>
      <c r="C181" s="3" t="s">
        <v>1079</v>
      </c>
      <c r="D181" s="3" t="s">
        <v>230</v>
      </c>
      <c r="E181" s="3">
        <v>43998.0</v>
      </c>
      <c r="F181" s="3">
        <v>600.0</v>
      </c>
      <c r="G181" s="3" t="s">
        <v>136</v>
      </c>
      <c r="H181" s="3" t="s">
        <v>22</v>
      </c>
      <c r="K181" s="3" t="s">
        <v>1080</v>
      </c>
      <c r="L181" s="3" t="s">
        <v>1081</v>
      </c>
      <c r="M181" s="3" t="s">
        <v>1082</v>
      </c>
      <c r="N181" s="3" t="s">
        <v>234</v>
      </c>
      <c r="O181" s="3" t="s">
        <v>1017</v>
      </c>
      <c r="Q181" s="3" t="s">
        <v>29</v>
      </c>
      <c r="S181" s="1" t="s">
        <v>1083</v>
      </c>
    </row>
    <row r="182">
      <c r="A182" s="4">
        <v>44342.73461762731</v>
      </c>
      <c r="B182" s="3" t="s">
        <v>1084</v>
      </c>
      <c r="C182" s="3" t="s">
        <v>335</v>
      </c>
      <c r="D182" s="3" t="s">
        <v>20</v>
      </c>
      <c r="E182" s="3">
        <v>43518.0</v>
      </c>
      <c r="F182" s="3">
        <v>31350.0</v>
      </c>
      <c r="G182" s="3" t="s">
        <v>21</v>
      </c>
      <c r="H182" s="3" t="s">
        <v>22</v>
      </c>
      <c r="K182" s="3" t="s">
        <v>1085</v>
      </c>
      <c r="L182" s="3" t="s">
        <v>1086</v>
      </c>
      <c r="M182" s="3" t="s">
        <v>1087</v>
      </c>
      <c r="N182" s="3" t="s">
        <v>27</v>
      </c>
      <c r="O182" s="3" t="s">
        <v>1088</v>
      </c>
      <c r="Q182" s="3" t="s">
        <v>29</v>
      </c>
      <c r="S182" s="1" t="s">
        <v>1089</v>
      </c>
    </row>
    <row r="183">
      <c r="A183" s="4">
        <v>44342.734634513894</v>
      </c>
      <c r="B183" s="3" t="s">
        <v>1090</v>
      </c>
      <c r="C183" s="3" t="s">
        <v>1091</v>
      </c>
      <c r="D183" s="3" t="s">
        <v>358</v>
      </c>
      <c r="E183" s="3">
        <v>44099.0</v>
      </c>
      <c r="F183" s="3">
        <v>5700.0</v>
      </c>
      <c r="G183" s="3" t="s">
        <v>21</v>
      </c>
      <c r="H183" s="3" t="s">
        <v>22</v>
      </c>
      <c r="K183" s="3" t="s">
        <v>1092</v>
      </c>
      <c r="L183" s="3" t="s">
        <v>1093</v>
      </c>
      <c r="M183" s="3" t="s">
        <v>1094</v>
      </c>
      <c r="N183" s="3" t="s">
        <v>362</v>
      </c>
      <c r="O183" s="3" t="s">
        <v>1095</v>
      </c>
      <c r="Q183" s="3" t="s">
        <v>29</v>
      </c>
      <c r="S183" s="1" t="s">
        <v>1096</v>
      </c>
    </row>
    <row r="184">
      <c r="A184" s="4">
        <v>44342.734649618054</v>
      </c>
      <c r="B184" s="3" t="s">
        <v>1024</v>
      </c>
      <c r="C184" s="3" t="s">
        <v>1097</v>
      </c>
      <c r="D184" s="3" t="s">
        <v>358</v>
      </c>
      <c r="E184" s="3">
        <v>44114.0</v>
      </c>
      <c r="F184" s="3">
        <v>2260.0</v>
      </c>
      <c r="G184" s="3" t="s">
        <v>136</v>
      </c>
      <c r="H184" s="3" t="s">
        <v>22</v>
      </c>
      <c r="K184" s="3" t="s">
        <v>1098</v>
      </c>
      <c r="L184" s="3" t="s">
        <v>1099</v>
      </c>
      <c r="M184" s="3" t="s">
        <v>1100</v>
      </c>
      <c r="N184" s="3" t="s">
        <v>362</v>
      </c>
      <c r="O184" s="3" t="s">
        <v>1029</v>
      </c>
      <c r="Q184" s="3" t="s">
        <v>29</v>
      </c>
      <c r="S184" s="1" t="s">
        <v>1101</v>
      </c>
    </row>
    <row r="185">
      <c r="A185" s="4">
        <v>44342.73466483796</v>
      </c>
      <c r="B185" s="3" t="s">
        <v>341</v>
      </c>
      <c r="C185" s="3" t="s">
        <v>1102</v>
      </c>
      <c r="D185" s="3" t="s">
        <v>358</v>
      </c>
      <c r="E185" s="3">
        <v>44117.0</v>
      </c>
      <c r="F185" s="3">
        <v>2640.0</v>
      </c>
      <c r="G185" s="3" t="s">
        <v>136</v>
      </c>
      <c r="H185" s="3" t="s">
        <v>22</v>
      </c>
      <c r="K185" s="3" t="s">
        <v>1103</v>
      </c>
      <c r="L185" s="3" t="s">
        <v>1104</v>
      </c>
      <c r="M185" s="3" t="s">
        <v>1105</v>
      </c>
      <c r="N185" s="3" t="s">
        <v>362</v>
      </c>
      <c r="O185" s="3" t="s">
        <v>346</v>
      </c>
      <c r="Q185" s="3" t="s">
        <v>29</v>
      </c>
      <c r="S185" s="1" t="s">
        <v>1106</v>
      </c>
    </row>
    <row r="186">
      <c r="A186" s="4">
        <v>44342.73468013889</v>
      </c>
      <c r="B186" s="3" t="s">
        <v>1107</v>
      </c>
      <c r="C186" s="3" t="s">
        <v>1025</v>
      </c>
      <c r="D186" s="3" t="s">
        <v>358</v>
      </c>
      <c r="E186" s="3">
        <v>44116.0</v>
      </c>
      <c r="F186" s="3">
        <v>10420.0</v>
      </c>
      <c r="G186" s="3" t="s">
        <v>136</v>
      </c>
      <c r="H186" s="3" t="s">
        <v>22</v>
      </c>
      <c r="J186" s="3" t="s">
        <v>1108</v>
      </c>
      <c r="K186" s="3" t="s">
        <v>1109</v>
      </c>
      <c r="L186" s="3" t="s">
        <v>1110</v>
      </c>
      <c r="M186" s="3" t="s">
        <v>1111</v>
      </c>
      <c r="N186" s="3" t="s">
        <v>362</v>
      </c>
      <c r="O186" s="3" t="s">
        <v>1112</v>
      </c>
      <c r="Q186" s="3" t="s">
        <v>29</v>
      </c>
      <c r="S186" s="1" t="s">
        <v>1113</v>
      </c>
    </row>
    <row r="187">
      <c r="A187" s="4">
        <v>44342.73469564815</v>
      </c>
      <c r="B187" s="3" t="s">
        <v>1114</v>
      </c>
      <c r="C187" s="3" t="s">
        <v>1115</v>
      </c>
      <c r="D187" s="3" t="s">
        <v>20</v>
      </c>
      <c r="E187" s="3">
        <v>44118.0</v>
      </c>
      <c r="F187" s="3">
        <v>449870.0</v>
      </c>
      <c r="G187" s="3" t="s">
        <v>21</v>
      </c>
      <c r="H187" s="3" t="s">
        <v>22</v>
      </c>
      <c r="I187" s="3" t="s">
        <v>1116</v>
      </c>
      <c r="J187" s="3" t="s">
        <v>1117</v>
      </c>
      <c r="K187" s="3" t="s">
        <v>1118</v>
      </c>
      <c r="L187" s="3" t="s">
        <v>1119</v>
      </c>
      <c r="M187" s="3" t="s">
        <v>1120</v>
      </c>
      <c r="N187" s="3" t="s">
        <v>27</v>
      </c>
      <c r="O187" s="3" t="s">
        <v>1121</v>
      </c>
      <c r="P187" s="3" t="s">
        <v>1122</v>
      </c>
      <c r="Q187" s="3" t="s">
        <v>29</v>
      </c>
      <c r="S187" s="1" t="s">
        <v>1123</v>
      </c>
    </row>
    <row r="188">
      <c r="A188" s="4">
        <v>44342.73471135416</v>
      </c>
      <c r="B188" s="3" t="s">
        <v>1124</v>
      </c>
      <c r="C188" s="3" t="s">
        <v>1125</v>
      </c>
      <c r="D188" s="3" t="s">
        <v>358</v>
      </c>
      <c r="E188" s="3">
        <v>44127.0</v>
      </c>
      <c r="F188" s="3">
        <v>2720.0</v>
      </c>
      <c r="G188" s="3" t="s">
        <v>136</v>
      </c>
      <c r="H188" s="3" t="s">
        <v>22</v>
      </c>
      <c r="K188" s="3" t="s">
        <v>1126</v>
      </c>
      <c r="L188" s="3" t="s">
        <v>1127</v>
      </c>
      <c r="M188" s="3" t="s">
        <v>1128</v>
      </c>
      <c r="N188" s="3" t="s">
        <v>362</v>
      </c>
      <c r="O188" s="3" t="s">
        <v>1129</v>
      </c>
      <c r="Q188" s="3" t="s">
        <v>29</v>
      </c>
      <c r="S188" s="1" t="s">
        <v>1130</v>
      </c>
    </row>
    <row r="189">
      <c r="A189" s="4">
        <v>44342.73472930556</v>
      </c>
      <c r="B189" s="3" t="s">
        <v>930</v>
      </c>
      <c r="C189" s="3" t="s">
        <v>1131</v>
      </c>
      <c r="D189" s="3" t="s">
        <v>358</v>
      </c>
      <c r="E189" s="3">
        <v>44127.0</v>
      </c>
      <c r="F189" s="3">
        <v>5670.0</v>
      </c>
      <c r="G189" s="3" t="s">
        <v>136</v>
      </c>
      <c r="H189" s="3" t="s">
        <v>22</v>
      </c>
      <c r="K189" s="3" t="s">
        <v>1132</v>
      </c>
      <c r="L189" s="3" t="s">
        <v>1133</v>
      </c>
      <c r="M189" s="3" t="s">
        <v>1134</v>
      </c>
      <c r="N189" s="3" t="s">
        <v>362</v>
      </c>
      <c r="O189" s="3" t="s">
        <v>935</v>
      </c>
      <c r="Q189" s="3" t="s">
        <v>29</v>
      </c>
      <c r="S189" s="1" t="s">
        <v>1135</v>
      </c>
    </row>
    <row r="190">
      <c r="A190" s="4">
        <v>44342.73474452546</v>
      </c>
      <c r="B190" s="3" t="s">
        <v>482</v>
      </c>
      <c r="C190" s="3" t="s">
        <v>1136</v>
      </c>
      <c r="D190" s="3" t="s">
        <v>358</v>
      </c>
      <c r="E190" s="3">
        <v>44120.0</v>
      </c>
      <c r="F190" s="3">
        <v>7320.0</v>
      </c>
      <c r="G190" s="3" t="s">
        <v>136</v>
      </c>
      <c r="H190" s="3" t="s">
        <v>22</v>
      </c>
      <c r="I190" s="3" t="s">
        <v>1137</v>
      </c>
      <c r="K190" s="3" t="s">
        <v>1138</v>
      </c>
      <c r="L190" s="3" t="s">
        <v>1139</v>
      </c>
      <c r="M190" s="3" t="s">
        <v>1140</v>
      </c>
      <c r="N190" s="3" t="s">
        <v>362</v>
      </c>
      <c r="O190" s="3" t="s">
        <v>487</v>
      </c>
      <c r="P190" s="3" t="s">
        <v>1141</v>
      </c>
      <c r="Q190" s="3" t="s">
        <v>29</v>
      </c>
      <c r="S190" s="1" t="s">
        <v>1142</v>
      </c>
    </row>
    <row r="191">
      <c r="A191" s="4">
        <v>44342.734759583334</v>
      </c>
      <c r="B191" s="3" t="s">
        <v>1143</v>
      </c>
      <c r="C191" s="3" t="s">
        <v>1144</v>
      </c>
      <c r="D191" s="3" t="s">
        <v>1049</v>
      </c>
      <c r="E191" s="3">
        <v>44078.0</v>
      </c>
      <c r="F191" s="3">
        <v>2000.0</v>
      </c>
      <c r="G191" s="3" t="s">
        <v>350</v>
      </c>
      <c r="H191" s="3" t="s">
        <v>22</v>
      </c>
      <c r="I191" s="3" t="s">
        <v>1145</v>
      </c>
      <c r="K191" s="3" t="s">
        <v>1146</v>
      </c>
      <c r="L191" s="3" t="s">
        <v>1147</v>
      </c>
      <c r="M191" s="3" t="s">
        <v>1148</v>
      </c>
      <c r="N191" s="3" t="s">
        <v>1054</v>
      </c>
      <c r="O191" s="3" t="s">
        <v>1149</v>
      </c>
      <c r="P191" s="3" t="s">
        <v>1150</v>
      </c>
      <c r="Q191" s="3" t="s">
        <v>29</v>
      </c>
      <c r="S191" s="1" t="s">
        <v>1151</v>
      </c>
    </row>
    <row r="192">
      <c r="A192" s="4">
        <v>44342.73477494213</v>
      </c>
      <c r="B192" s="3" t="s">
        <v>1152</v>
      </c>
      <c r="C192" s="3" t="s">
        <v>1153</v>
      </c>
      <c r="D192" s="3" t="s">
        <v>358</v>
      </c>
      <c r="E192" s="3">
        <v>43798.0</v>
      </c>
      <c r="F192" s="3">
        <v>1180.0</v>
      </c>
      <c r="G192" s="3" t="s">
        <v>136</v>
      </c>
      <c r="H192" s="3" t="s">
        <v>22</v>
      </c>
      <c r="I192" s="3" t="s">
        <v>1137</v>
      </c>
      <c r="K192" s="3" t="s">
        <v>1154</v>
      </c>
      <c r="L192" s="3" t="s">
        <v>1155</v>
      </c>
      <c r="M192" s="3" t="s">
        <v>1156</v>
      </c>
      <c r="N192" s="3" t="s">
        <v>362</v>
      </c>
      <c r="O192" s="3" t="s">
        <v>1157</v>
      </c>
      <c r="P192" s="3" t="s">
        <v>1141</v>
      </c>
      <c r="Q192" s="3" t="s">
        <v>29</v>
      </c>
      <c r="S192" s="1" t="s">
        <v>1158</v>
      </c>
    </row>
    <row r="193">
      <c r="A193" s="4">
        <v>44342.734790393515</v>
      </c>
      <c r="B193" s="3" t="s">
        <v>1107</v>
      </c>
      <c r="C193" s="3" t="s">
        <v>1159</v>
      </c>
      <c r="D193" s="3" t="s">
        <v>358</v>
      </c>
      <c r="E193" s="3">
        <v>44116.0</v>
      </c>
      <c r="F193" s="3">
        <v>10420.0</v>
      </c>
      <c r="G193" s="3" t="s">
        <v>136</v>
      </c>
      <c r="H193" s="3" t="s">
        <v>22</v>
      </c>
      <c r="I193" s="3" t="s">
        <v>1160</v>
      </c>
      <c r="K193" s="3" t="s">
        <v>1109</v>
      </c>
      <c r="L193" s="3" t="s">
        <v>1161</v>
      </c>
      <c r="M193" s="3" t="s">
        <v>1162</v>
      </c>
      <c r="N193" s="3" t="s">
        <v>362</v>
      </c>
      <c r="O193" s="3" t="s">
        <v>1112</v>
      </c>
      <c r="P193" s="3" t="s">
        <v>1163</v>
      </c>
      <c r="Q193" s="3" t="s">
        <v>29</v>
      </c>
      <c r="S193" s="1" t="s">
        <v>1164</v>
      </c>
    </row>
    <row r="194">
      <c r="A194" s="4">
        <v>44342.734805810185</v>
      </c>
      <c r="B194" s="3" t="s">
        <v>1165</v>
      </c>
      <c r="C194" s="3" t="s">
        <v>1166</v>
      </c>
      <c r="D194" s="3" t="s">
        <v>756</v>
      </c>
      <c r="E194" s="3">
        <v>44130.0</v>
      </c>
      <c r="F194" s="3">
        <v>200.0</v>
      </c>
      <c r="G194" s="3" t="s">
        <v>136</v>
      </c>
      <c r="H194" s="3" t="s">
        <v>22</v>
      </c>
      <c r="I194" s="3" t="s">
        <v>1167</v>
      </c>
      <c r="J194" s="3" t="s">
        <v>511</v>
      </c>
      <c r="K194" s="3" t="s">
        <v>1168</v>
      </c>
      <c r="L194" s="3" t="s">
        <v>1169</v>
      </c>
      <c r="M194" s="3" t="s">
        <v>1170</v>
      </c>
      <c r="N194" s="3" t="s">
        <v>760</v>
      </c>
      <c r="O194" s="3" t="s">
        <v>1171</v>
      </c>
      <c r="P194" s="3" t="s">
        <v>1172</v>
      </c>
      <c r="Q194" s="3" t="s">
        <v>29</v>
      </c>
      <c r="S194" s="1" t="s">
        <v>1173</v>
      </c>
    </row>
    <row r="195">
      <c r="A195" s="4">
        <v>44342.73482113426</v>
      </c>
      <c r="B195" s="3" t="s">
        <v>348</v>
      </c>
      <c r="C195" s="3" t="s">
        <v>1174</v>
      </c>
      <c r="D195" s="3" t="s">
        <v>358</v>
      </c>
      <c r="E195" s="3">
        <v>44132.0</v>
      </c>
      <c r="F195" s="3">
        <v>3849.0</v>
      </c>
      <c r="G195" s="3" t="s">
        <v>136</v>
      </c>
      <c r="H195" s="3" t="s">
        <v>22</v>
      </c>
      <c r="I195" s="3" t="s">
        <v>1145</v>
      </c>
      <c r="K195" s="3" t="s">
        <v>1175</v>
      </c>
      <c r="L195" s="3" t="s">
        <v>1176</v>
      </c>
      <c r="M195" s="3" t="s">
        <v>1177</v>
      </c>
      <c r="N195" s="3" t="s">
        <v>362</v>
      </c>
      <c r="O195" s="3" t="s">
        <v>354</v>
      </c>
      <c r="P195" s="3" t="s">
        <v>1150</v>
      </c>
      <c r="Q195" s="3" t="s">
        <v>29</v>
      </c>
      <c r="S195" s="1" t="s">
        <v>1178</v>
      </c>
    </row>
    <row r="196">
      <c r="A196" s="4">
        <v>44342.73483760416</v>
      </c>
      <c r="B196" s="3" t="s">
        <v>67</v>
      </c>
      <c r="C196" s="3" t="s">
        <v>1179</v>
      </c>
      <c r="D196" s="3" t="s">
        <v>20</v>
      </c>
      <c r="E196" s="3">
        <v>44097.0</v>
      </c>
      <c r="F196" s="3">
        <v>23000.0</v>
      </c>
      <c r="G196" s="3" t="s">
        <v>21</v>
      </c>
      <c r="H196" s="3" t="s">
        <v>22</v>
      </c>
      <c r="I196" s="3" t="s">
        <v>1116</v>
      </c>
      <c r="K196" s="3" t="s">
        <v>1180</v>
      </c>
      <c r="L196" s="3" t="s">
        <v>1181</v>
      </c>
      <c r="M196" s="3" t="s">
        <v>1182</v>
      </c>
      <c r="N196" s="3" t="s">
        <v>27</v>
      </c>
      <c r="O196" s="3" t="s">
        <v>72</v>
      </c>
      <c r="P196" s="3" t="s">
        <v>1122</v>
      </c>
      <c r="Q196" s="3" t="s">
        <v>29</v>
      </c>
      <c r="S196" s="1" t="s">
        <v>1183</v>
      </c>
    </row>
    <row r="197">
      <c r="A197" s="4">
        <v>44342.73485282407</v>
      </c>
      <c r="B197" s="3" t="s">
        <v>482</v>
      </c>
      <c r="C197" s="3" t="s">
        <v>1184</v>
      </c>
      <c r="D197" s="3" t="s">
        <v>358</v>
      </c>
      <c r="E197" s="3">
        <v>44140.0</v>
      </c>
      <c r="F197" s="3">
        <v>1180.0</v>
      </c>
      <c r="G197" s="3" t="s">
        <v>21</v>
      </c>
      <c r="H197" s="3" t="s">
        <v>22</v>
      </c>
      <c r="K197" s="3" t="s">
        <v>1185</v>
      </c>
      <c r="L197" s="3" t="s">
        <v>1186</v>
      </c>
      <c r="M197" s="3" t="s">
        <v>1187</v>
      </c>
      <c r="N197" s="3" t="s">
        <v>362</v>
      </c>
      <c r="O197" s="3" t="s">
        <v>487</v>
      </c>
      <c r="Q197" s="3" t="s">
        <v>29</v>
      </c>
      <c r="S197" s="1" t="s">
        <v>1188</v>
      </c>
    </row>
    <row r="198">
      <c r="A198" s="4">
        <v>44342.73486993056</v>
      </c>
      <c r="B198" s="3" t="s">
        <v>341</v>
      </c>
      <c r="C198" s="3" t="s">
        <v>1189</v>
      </c>
      <c r="D198" s="3" t="s">
        <v>358</v>
      </c>
      <c r="E198" s="3">
        <v>44126.0</v>
      </c>
      <c r="F198" s="3">
        <v>500.0</v>
      </c>
      <c r="G198" s="3" t="s">
        <v>21</v>
      </c>
      <c r="H198" s="3" t="s">
        <v>22</v>
      </c>
      <c r="I198" s="3" t="s">
        <v>1145</v>
      </c>
      <c r="K198" s="3" t="s">
        <v>1190</v>
      </c>
      <c r="L198" s="3" t="s">
        <v>1191</v>
      </c>
      <c r="M198" s="3" t="s">
        <v>1192</v>
      </c>
      <c r="N198" s="3" t="s">
        <v>362</v>
      </c>
      <c r="O198" s="3" t="s">
        <v>346</v>
      </c>
      <c r="P198" s="3" t="s">
        <v>1150</v>
      </c>
      <c r="Q198" s="3" t="s">
        <v>29</v>
      </c>
      <c r="S198" s="1" t="s">
        <v>1193</v>
      </c>
    </row>
    <row r="199">
      <c r="A199" s="4">
        <v>44342.73488591435</v>
      </c>
      <c r="B199" s="3" t="s">
        <v>341</v>
      </c>
      <c r="C199" s="3" t="s">
        <v>1194</v>
      </c>
      <c r="D199" s="3" t="s">
        <v>358</v>
      </c>
      <c r="E199" s="3">
        <v>44152.0</v>
      </c>
      <c r="F199" s="3">
        <v>5500.0</v>
      </c>
      <c r="G199" s="3" t="s">
        <v>136</v>
      </c>
      <c r="H199" s="3" t="s">
        <v>22</v>
      </c>
      <c r="I199" s="3" t="s">
        <v>1160</v>
      </c>
      <c r="K199" s="3" t="s">
        <v>1195</v>
      </c>
      <c r="L199" s="3" t="s">
        <v>1196</v>
      </c>
      <c r="M199" s="3" t="s">
        <v>1197</v>
      </c>
      <c r="N199" s="3" t="s">
        <v>362</v>
      </c>
      <c r="O199" s="3" t="s">
        <v>346</v>
      </c>
      <c r="P199" s="3" t="s">
        <v>1163</v>
      </c>
      <c r="Q199" s="3" t="s">
        <v>29</v>
      </c>
      <c r="S199" s="1" t="s">
        <v>1198</v>
      </c>
    </row>
    <row r="200">
      <c r="A200" s="4">
        <v>44342.734900717594</v>
      </c>
      <c r="B200" s="3" t="s">
        <v>1199</v>
      </c>
      <c r="C200" s="3" t="s">
        <v>1200</v>
      </c>
      <c r="D200" s="3" t="s">
        <v>358</v>
      </c>
      <c r="E200" s="3">
        <v>44151.0</v>
      </c>
      <c r="F200" s="3">
        <v>3965.0</v>
      </c>
      <c r="G200" s="3" t="s">
        <v>21</v>
      </c>
      <c r="H200" s="3" t="s">
        <v>22</v>
      </c>
      <c r="I200" s="3" t="s">
        <v>1145</v>
      </c>
      <c r="K200" s="3" t="s">
        <v>1201</v>
      </c>
      <c r="L200" s="3" t="s">
        <v>1202</v>
      </c>
      <c r="M200" s="3" t="s">
        <v>1203</v>
      </c>
      <c r="N200" s="3" t="s">
        <v>362</v>
      </c>
      <c r="O200" s="7" t="s">
        <v>1204</v>
      </c>
      <c r="P200" s="3" t="s">
        <v>1150</v>
      </c>
      <c r="Q200" s="3" t="s">
        <v>1205</v>
      </c>
      <c r="S200" s="1" t="s">
        <v>1206</v>
      </c>
    </row>
    <row r="201">
      <c r="A201" s="4">
        <v>44342.73491587963</v>
      </c>
      <c r="B201" s="3" t="s">
        <v>341</v>
      </c>
      <c r="C201" s="3" t="s">
        <v>1207</v>
      </c>
      <c r="D201" s="3" t="s">
        <v>358</v>
      </c>
      <c r="E201" s="3">
        <v>44138.0</v>
      </c>
      <c r="F201" s="3">
        <v>14728.5</v>
      </c>
      <c r="G201" s="3" t="s">
        <v>136</v>
      </c>
      <c r="H201" s="3" t="s">
        <v>22</v>
      </c>
      <c r="K201" s="3" t="s">
        <v>1208</v>
      </c>
      <c r="L201" s="3" t="s">
        <v>1209</v>
      </c>
      <c r="M201" s="3" t="s">
        <v>1210</v>
      </c>
      <c r="N201" s="3" t="s">
        <v>362</v>
      </c>
      <c r="O201" s="3" t="s">
        <v>346</v>
      </c>
      <c r="Q201" s="3" t="s">
        <v>29</v>
      </c>
      <c r="S201" s="1" t="s">
        <v>1211</v>
      </c>
    </row>
    <row r="202">
      <c r="A202" s="4">
        <v>44342.73493265046</v>
      </c>
      <c r="B202" s="3" t="s">
        <v>386</v>
      </c>
      <c r="C202" s="3" t="s">
        <v>1212</v>
      </c>
      <c r="D202" s="3" t="s">
        <v>20</v>
      </c>
      <c r="E202" s="3">
        <v>44112.0</v>
      </c>
      <c r="F202" s="3">
        <v>6000.0</v>
      </c>
      <c r="G202" s="3" t="s">
        <v>136</v>
      </c>
      <c r="H202" s="3" t="s">
        <v>22</v>
      </c>
      <c r="J202" s="3" t="s">
        <v>1213</v>
      </c>
      <c r="K202" s="3" t="s">
        <v>1214</v>
      </c>
      <c r="L202" s="3" t="s">
        <v>1215</v>
      </c>
      <c r="M202" s="3" t="s">
        <v>1216</v>
      </c>
      <c r="N202" s="3" t="s">
        <v>27</v>
      </c>
      <c r="O202" s="3" t="s">
        <v>391</v>
      </c>
      <c r="Q202" s="3" t="s">
        <v>29</v>
      </c>
      <c r="S202" s="1" t="s">
        <v>1217</v>
      </c>
    </row>
    <row r="203">
      <c r="A203" s="4">
        <v>44342.73494829861</v>
      </c>
      <c r="B203" s="3" t="s">
        <v>1218</v>
      </c>
      <c r="C203" s="3" t="s">
        <v>1219</v>
      </c>
      <c r="D203" s="3" t="s">
        <v>20</v>
      </c>
      <c r="E203" s="3">
        <v>44183.0</v>
      </c>
      <c r="F203" s="3">
        <v>0.0</v>
      </c>
      <c r="G203" s="3" t="s">
        <v>136</v>
      </c>
      <c r="H203" s="3" t="s">
        <v>22</v>
      </c>
      <c r="K203" s="3" t="s">
        <v>1220</v>
      </c>
      <c r="L203" s="3" t="s">
        <v>1221</v>
      </c>
      <c r="M203" s="3" t="s">
        <v>1222</v>
      </c>
      <c r="N203" s="3" t="s">
        <v>27</v>
      </c>
      <c r="O203" s="3" t="s">
        <v>1223</v>
      </c>
      <c r="Q203" s="3" t="s">
        <v>29</v>
      </c>
      <c r="S203" s="1" t="s">
        <v>1224</v>
      </c>
    </row>
    <row r="204">
      <c r="A204" s="4">
        <v>44342.73496346065</v>
      </c>
      <c r="B204" s="3" t="s">
        <v>930</v>
      </c>
      <c r="C204" s="3" t="s">
        <v>1225</v>
      </c>
      <c r="D204" s="3" t="s">
        <v>358</v>
      </c>
      <c r="E204" s="3">
        <v>44183.0</v>
      </c>
      <c r="F204" s="3">
        <v>800.0</v>
      </c>
      <c r="G204" s="3" t="s">
        <v>21</v>
      </c>
      <c r="H204" s="3" t="s">
        <v>22</v>
      </c>
      <c r="K204" s="3" t="s">
        <v>1226</v>
      </c>
      <c r="L204" s="3" t="s">
        <v>1227</v>
      </c>
      <c r="M204" s="3" t="s">
        <v>1228</v>
      </c>
      <c r="N204" s="3" t="s">
        <v>362</v>
      </c>
      <c r="O204" s="3" t="s">
        <v>935</v>
      </c>
      <c r="Q204" s="3" t="s">
        <v>29</v>
      </c>
      <c r="S204" s="1" t="s">
        <v>1229</v>
      </c>
    </row>
    <row r="205">
      <c r="A205" s="4">
        <v>44342.73497899306</v>
      </c>
      <c r="B205" s="3" t="s">
        <v>482</v>
      </c>
      <c r="C205" s="3" t="s">
        <v>1230</v>
      </c>
      <c r="D205" s="3" t="s">
        <v>358</v>
      </c>
      <c r="E205" s="3">
        <v>44154.0</v>
      </c>
      <c r="F205" s="3">
        <v>1735.0</v>
      </c>
      <c r="G205" s="3" t="s">
        <v>21</v>
      </c>
      <c r="H205" s="3" t="s">
        <v>22</v>
      </c>
      <c r="I205" s="3" t="s">
        <v>1137</v>
      </c>
      <c r="K205" s="3" t="s">
        <v>1231</v>
      </c>
      <c r="L205" s="3" t="s">
        <v>1232</v>
      </c>
      <c r="M205" s="3" t="s">
        <v>1233</v>
      </c>
      <c r="N205" s="3" t="s">
        <v>362</v>
      </c>
      <c r="O205" s="3" t="s">
        <v>487</v>
      </c>
      <c r="P205" s="3" t="s">
        <v>1141</v>
      </c>
      <c r="Q205" s="3" t="s">
        <v>29</v>
      </c>
      <c r="S205" s="1" t="s">
        <v>1234</v>
      </c>
    </row>
    <row r="206">
      <c r="A206" s="4">
        <v>44342.734994178245</v>
      </c>
      <c r="B206" s="3" t="s">
        <v>1165</v>
      </c>
      <c r="C206" s="3" t="s">
        <v>1235</v>
      </c>
      <c r="D206" s="3" t="s">
        <v>756</v>
      </c>
      <c r="E206" s="6">
        <v>44159.0</v>
      </c>
      <c r="F206" s="3">
        <v>600.0</v>
      </c>
      <c r="G206" s="3" t="s">
        <v>21</v>
      </c>
      <c r="H206" s="3" t="s">
        <v>22</v>
      </c>
      <c r="I206" s="3" t="s">
        <v>1167</v>
      </c>
      <c r="K206" s="3" t="s">
        <v>1236</v>
      </c>
      <c r="L206" s="3" t="s">
        <v>1237</v>
      </c>
      <c r="M206" s="3" t="s">
        <v>1238</v>
      </c>
      <c r="N206" s="3" t="s">
        <v>760</v>
      </c>
      <c r="O206" s="3" t="s">
        <v>1171</v>
      </c>
      <c r="P206" s="3" t="s">
        <v>1172</v>
      </c>
      <c r="Q206" s="3" t="s">
        <v>1205</v>
      </c>
      <c r="S206" s="1" t="s">
        <v>1239</v>
      </c>
    </row>
    <row r="207">
      <c r="A207" s="4">
        <v>44342.73500930556</v>
      </c>
      <c r="B207" s="3" t="s">
        <v>89</v>
      </c>
      <c r="C207" s="3" t="s">
        <v>1240</v>
      </c>
      <c r="D207" s="3" t="s">
        <v>756</v>
      </c>
      <c r="E207" s="3">
        <v>44106.0</v>
      </c>
      <c r="F207" s="3">
        <v>800.0</v>
      </c>
      <c r="G207" s="3" t="s">
        <v>21</v>
      </c>
      <c r="H207" s="3" t="s">
        <v>22</v>
      </c>
      <c r="K207" s="3" t="s">
        <v>1241</v>
      </c>
      <c r="L207" s="3" t="s">
        <v>1242</v>
      </c>
      <c r="M207" s="3" t="s">
        <v>1243</v>
      </c>
      <c r="N207" s="3" t="s">
        <v>760</v>
      </c>
      <c r="O207" s="3" t="s">
        <v>94</v>
      </c>
      <c r="Q207" s="3" t="s">
        <v>1205</v>
      </c>
      <c r="S207" s="1" t="s">
        <v>1244</v>
      </c>
    </row>
    <row r="208">
      <c r="A208" s="4">
        <v>44342.73502479166</v>
      </c>
      <c r="B208" s="3" t="s">
        <v>1245</v>
      </c>
      <c r="C208" s="3" t="s">
        <v>1246</v>
      </c>
      <c r="D208" s="3" t="s">
        <v>358</v>
      </c>
      <c r="E208" s="3">
        <v>44187.0</v>
      </c>
      <c r="F208" s="3">
        <v>18970.0</v>
      </c>
      <c r="G208" s="3" t="s">
        <v>21</v>
      </c>
      <c r="H208" s="3" t="s">
        <v>22</v>
      </c>
      <c r="I208" s="3"/>
      <c r="J208" s="8" t="s">
        <v>1247</v>
      </c>
      <c r="K208" s="3" t="s">
        <v>1248</v>
      </c>
      <c r="L208" s="3" t="s">
        <v>1249</v>
      </c>
      <c r="M208" s="3" t="s">
        <v>1250</v>
      </c>
      <c r="N208" s="3" t="s">
        <v>362</v>
      </c>
      <c r="O208" s="3" t="s">
        <v>1251</v>
      </c>
      <c r="Q208" s="3" t="s">
        <v>1205</v>
      </c>
      <c r="S208" s="1" t="s">
        <v>1252</v>
      </c>
    </row>
    <row r="209">
      <c r="A209" s="4">
        <v>44342.73504047454</v>
      </c>
      <c r="B209" s="3" t="s">
        <v>1253</v>
      </c>
      <c r="C209" s="3" t="s">
        <v>1254</v>
      </c>
      <c r="D209" s="3" t="s">
        <v>358</v>
      </c>
      <c r="E209" s="3">
        <v>44162.0</v>
      </c>
      <c r="F209" s="3">
        <v>17000.0</v>
      </c>
      <c r="G209" s="3" t="s">
        <v>21</v>
      </c>
      <c r="H209" s="3" t="s">
        <v>22</v>
      </c>
      <c r="I209" s="3" t="s">
        <v>1145</v>
      </c>
      <c r="J209" s="3" t="s">
        <v>1255</v>
      </c>
      <c r="K209" s="3" t="s">
        <v>1256</v>
      </c>
      <c r="L209" s="3" t="s">
        <v>1257</v>
      </c>
      <c r="M209" s="3" t="s">
        <v>1258</v>
      </c>
      <c r="N209" s="3" t="s">
        <v>362</v>
      </c>
      <c r="O209" s="3" t="s">
        <v>1259</v>
      </c>
      <c r="P209" s="3" t="s">
        <v>1150</v>
      </c>
      <c r="Q209" s="3" t="s">
        <v>1205</v>
      </c>
      <c r="S209" s="1" t="s">
        <v>1260</v>
      </c>
    </row>
    <row r="210">
      <c r="A210" s="4">
        <v>44342.73505643518</v>
      </c>
      <c r="B210" s="3" t="s">
        <v>1261</v>
      </c>
      <c r="C210" s="3" t="s">
        <v>1262</v>
      </c>
      <c r="D210" s="3" t="s">
        <v>358</v>
      </c>
      <c r="E210" s="3">
        <v>44166.0</v>
      </c>
      <c r="F210" s="3">
        <v>1900.0</v>
      </c>
      <c r="G210" s="3" t="s">
        <v>21</v>
      </c>
      <c r="H210" s="3" t="s">
        <v>22</v>
      </c>
      <c r="I210" s="3" t="s">
        <v>1145</v>
      </c>
      <c r="K210" s="3" t="s">
        <v>1263</v>
      </c>
      <c r="L210" s="3" t="s">
        <v>1264</v>
      </c>
      <c r="M210" s="3" t="s">
        <v>1265</v>
      </c>
      <c r="N210" s="3" t="s">
        <v>362</v>
      </c>
      <c r="O210" s="3" t="s">
        <v>1266</v>
      </c>
      <c r="P210" s="3" t="s">
        <v>1150</v>
      </c>
      <c r="Q210" s="3" t="s">
        <v>29</v>
      </c>
      <c r="S210" s="1" t="s">
        <v>1267</v>
      </c>
    </row>
    <row r="211">
      <c r="A211" s="4">
        <v>44342.73507217593</v>
      </c>
      <c r="B211" s="3" t="s">
        <v>1261</v>
      </c>
      <c r="C211" s="3" t="s">
        <v>1268</v>
      </c>
      <c r="D211" s="3" t="s">
        <v>358</v>
      </c>
      <c r="E211" s="3">
        <v>44166.0</v>
      </c>
      <c r="F211" s="3">
        <v>150.0</v>
      </c>
      <c r="G211" s="3" t="s">
        <v>136</v>
      </c>
      <c r="H211" s="3" t="s">
        <v>22</v>
      </c>
      <c r="I211" s="3" t="s">
        <v>1145</v>
      </c>
      <c r="K211" s="3" t="s">
        <v>1263</v>
      </c>
      <c r="L211" s="3" t="s">
        <v>1269</v>
      </c>
      <c r="M211" s="3" t="s">
        <v>1270</v>
      </c>
      <c r="N211" s="3" t="s">
        <v>362</v>
      </c>
      <c r="O211" s="3" t="s">
        <v>1266</v>
      </c>
      <c r="P211" s="3" t="s">
        <v>1150</v>
      </c>
      <c r="Q211" s="3" t="s">
        <v>29</v>
      </c>
      <c r="S211" s="1" t="s">
        <v>1271</v>
      </c>
    </row>
    <row r="212">
      <c r="A212" s="4">
        <v>44342.73508883102</v>
      </c>
      <c r="B212" s="3" t="s">
        <v>1218</v>
      </c>
      <c r="C212" s="3" t="s">
        <v>1272</v>
      </c>
      <c r="D212" s="3" t="s">
        <v>20</v>
      </c>
      <c r="E212" s="3">
        <v>40544.0</v>
      </c>
      <c r="F212" s="3">
        <v>0.0</v>
      </c>
      <c r="G212" s="3" t="s">
        <v>136</v>
      </c>
      <c r="H212" s="3" t="s">
        <v>22</v>
      </c>
      <c r="K212" s="3" t="s">
        <v>1220</v>
      </c>
      <c r="L212" s="3" t="s">
        <v>1273</v>
      </c>
      <c r="M212" s="3" t="s">
        <v>1274</v>
      </c>
      <c r="N212" s="3" t="s">
        <v>27</v>
      </c>
      <c r="O212" s="3" t="s">
        <v>1223</v>
      </c>
      <c r="Q212" s="3" t="s">
        <v>29</v>
      </c>
      <c r="S212" s="1" t="s">
        <v>1275</v>
      </c>
    </row>
    <row r="213">
      <c r="A213" s="4">
        <v>44342.735105810185</v>
      </c>
      <c r="B213" s="3" t="s">
        <v>1218</v>
      </c>
      <c r="C213" s="3" t="s">
        <v>1276</v>
      </c>
      <c r="D213" s="3" t="s">
        <v>20</v>
      </c>
      <c r="E213" s="3">
        <v>40544.0</v>
      </c>
      <c r="F213" s="3">
        <v>0.0</v>
      </c>
      <c r="G213" s="3" t="s">
        <v>136</v>
      </c>
      <c r="H213" s="3" t="s">
        <v>22</v>
      </c>
      <c r="K213" s="3" t="s">
        <v>1220</v>
      </c>
      <c r="L213" s="3" t="s">
        <v>1277</v>
      </c>
      <c r="M213" s="3" t="s">
        <v>1278</v>
      </c>
      <c r="N213" s="3" t="s">
        <v>27</v>
      </c>
      <c r="O213" s="3" t="s">
        <v>1223</v>
      </c>
      <c r="Q213" s="3" t="s">
        <v>29</v>
      </c>
      <c r="S213" s="1" t="s">
        <v>1279</v>
      </c>
    </row>
    <row r="214">
      <c r="A214" s="4">
        <v>44342.7351221412</v>
      </c>
      <c r="B214" s="3" t="s">
        <v>1280</v>
      </c>
      <c r="C214" s="3" t="s">
        <v>539</v>
      </c>
      <c r="D214" s="3" t="s">
        <v>230</v>
      </c>
      <c r="E214" s="3">
        <v>44211.0</v>
      </c>
      <c r="F214" s="3">
        <v>350.0</v>
      </c>
      <c r="G214" s="3" t="s">
        <v>136</v>
      </c>
      <c r="H214" s="3" t="s">
        <v>22</v>
      </c>
      <c r="I214" s="3" t="s">
        <v>1167</v>
      </c>
      <c r="K214" s="3" t="s">
        <v>1281</v>
      </c>
      <c r="L214" s="3" t="s">
        <v>1282</v>
      </c>
      <c r="M214" s="3" t="s">
        <v>1283</v>
      </c>
      <c r="N214" s="3" t="s">
        <v>234</v>
      </c>
      <c r="O214" s="3" t="s">
        <v>1284</v>
      </c>
      <c r="P214" s="3" t="s">
        <v>1172</v>
      </c>
      <c r="Q214" s="3" t="s">
        <v>29</v>
      </c>
      <c r="S214" s="1" t="s">
        <v>1285</v>
      </c>
    </row>
    <row r="215">
      <c r="A215" s="4">
        <v>44342.735138020835</v>
      </c>
      <c r="B215" s="3" t="s">
        <v>482</v>
      </c>
      <c r="C215" s="3" t="s">
        <v>1286</v>
      </c>
      <c r="D215" s="3" t="s">
        <v>358</v>
      </c>
      <c r="E215" s="3">
        <v>44195.0</v>
      </c>
      <c r="F215" s="3">
        <v>60886.0</v>
      </c>
      <c r="G215" s="3" t="s">
        <v>21</v>
      </c>
      <c r="H215" s="3" t="s">
        <v>22</v>
      </c>
      <c r="I215" s="3" t="s">
        <v>1137</v>
      </c>
      <c r="K215" s="3" t="s">
        <v>1287</v>
      </c>
      <c r="L215" s="3" t="s">
        <v>1288</v>
      </c>
      <c r="M215" s="3" t="s">
        <v>1289</v>
      </c>
      <c r="N215" s="3" t="s">
        <v>362</v>
      </c>
      <c r="O215" s="3" t="s">
        <v>487</v>
      </c>
      <c r="P215" s="3" t="s">
        <v>1141</v>
      </c>
      <c r="Q215" s="3" t="s">
        <v>1205</v>
      </c>
      <c r="S215" s="1" t="s">
        <v>1290</v>
      </c>
    </row>
    <row r="216">
      <c r="A216" s="4">
        <v>44342.735154560185</v>
      </c>
      <c r="B216" s="3" t="s">
        <v>1072</v>
      </c>
      <c r="C216" s="3" t="s">
        <v>1291</v>
      </c>
      <c r="D216" s="3" t="s">
        <v>20</v>
      </c>
      <c r="E216" s="3">
        <v>44075.0</v>
      </c>
      <c r="F216" s="3">
        <v>29270.0</v>
      </c>
      <c r="G216" s="3" t="s">
        <v>350</v>
      </c>
      <c r="H216" s="3" t="s">
        <v>22</v>
      </c>
      <c r="J216" s="3" t="s">
        <v>1292</v>
      </c>
      <c r="K216" s="3" t="s">
        <v>1293</v>
      </c>
      <c r="L216" s="3" t="s">
        <v>1294</v>
      </c>
      <c r="M216" s="3" t="s">
        <v>1295</v>
      </c>
      <c r="N216" s="3" t="s">
        <v>27</v>
      </c>
      <c r="O216" s="3" t="s">
        <v>1077</v>
      </c>
      <c r="Q216" s="3" t="s">
        <v>29</v>
      </c>
      <c r="S216" s="1" t="s">
        <v>1296</v>
      </c>
    </row>
    <row r="217">
      <c r="A217" s="4">
        <v>44342.73517028935</v>
      </c>
      <c r="B217" s="3" t="s">
        <v>482</v>
      </c>
      <c r="C217" s="3" t="s">
        <v>510</v>
      </c>
      <c r="D217" s="3" t="s">
        <v>756</v>
      </c>
      <c r="E217" s="3">
        <v>44173.0</v>
      </c>
      <c r="F217" s="3">
        <v>2585.4</v>
      </c>
      <c r="G217" s="3" t="s">
        <v>21</v>
      </c>
      <c r="H217" s="3" t="s">
        <v>22</v>
      </c>
      <c r="I217" s="3" t="s">
        <v>1167</v>
      </c>
      <c r="K217" s="3" t="s">
        <v>1297</v>
      </c>
      <c r="L217" s="3" t="s">
        <v>1298</v>
      </c>
      <c r="M217" s="3" t="s">
        <v>1299</v>
      </c>
      <c r="N217" s="3" t="s">
        <v>760</v>
      </c>
      <c r="O217" s="3" t="s">
        <v>487</v>
      </c>
      <c r="P217" s="3" t="s">
        <v>1172</v>
      </c>
      <c r="Q217" s="3" t="s">
        <v>29</v>
      </c>
      <c r="S217" s="1" t="s">
        <v>1300</v>
      </c>
    </row>
    <row r="218">
      <c r="A218" s="4">
        <v>44342.73518962963</v>
      </c>
      <c r="B218" s="3" t="s">
        <v>1301</v>
      </c>
      <c r="C218" s="3" t="s">
        <v>1302</v>
      </c>
      <c r="D218" s="3" t="s">
        <v>358</v>
      </c>
      <c r="E218" s="3">
        <v>44239.0</v>
      </c>
      <c r="F218" s="3">
        <v>1550.0</v>
      </c>
      <c r="G218" s="3" t="s">
        <v>136</v>
      </c>
      <c r="H218" s="3" t="s">
        <v>22</v>
      </c>
      <c r="K218" s="3" t="s">
        <v>1303</v>
      </c>
      <c r="L218" s="3" t="s">
        <v>1304</v>
      </c>
      <c r="M218" s="3" t="s">
        <v>1305</v>
      </c>
      <c r="N218" s="3" t="s">
        <v>362</v>
      </c>
      <c r="O218" s="3" t="s">
        <v>1306</v>
      </c>
      <c r="Q218" s="3" t="s">
        <v>29</v>
      </c>
      <c r="S218" s="1" t="s">
        <v>1307</v>
      </c>
    </row>
    <row r="219">
      <c r="A219" s="4">
        <v>44342.73520517361</v>
      </c>
      <c r="B219" s="3" t="s">
        <v>482</v>
      </c>
      <c r="C219" s="3" t="s">
        <v>1308</v>
      </c>
      <c r="D219" s="3" t="s">
        <v>358</v>
      </c>
      <c r="E219" s="3">
        <v>44236.0</v>
      </c>
      <c r="F219" s="3">
        <v>6950.0</v>
      </c>
      <c r="G219" s="3" t="s">
        <v>21</v>
      </c>
      <c r="H219" s="3" t="s">
        <v>22</v>
      </c>
      <c r="I219" s="3" t="s">
        <v>1137</v>
      </c>
      <c r="K219" s="3" t="s">
        <v>1309</v>
      </c>
      <c r="L219" s="3" t="s">
        <v>1310</v>
      </c>
      <c r="M219" s="3" t="s">
        <v>1311</v>
      </c>
      <c r="N219" s="3" t="s">
        <v>362</v>
      </c>
      <c r="O219" s="3" t="s">
        <v>487</v>
      </c>
      <c r="P219" s="3" t="s">
        <v>1141</v>
      </c>
      <c r="Q219" s="3" t="s">
        <v>29</v>
      </c>
      <c r="S219" s="1" t="s">
        <v>1312</v>
      </c>
    </row>
    <row r="220">
      <c r="A220" s="4">
        <v>44342.735221145835</v>
      </c>
      <c r="B220" s="3" t="s">
        <v>1165</v>
      </c>
      <c r="C220" s="3" t="s">
        <v>1313</v>
      </c>
      <c r="D220" s="3" t="s">
        <v>756</v>
      </c>
      <c r="E220" s="6">
        <v>44068.0</v>
      </c>
      <c r="F220" s="3">
        <v>7335.0</v>
      </c>
      <c r="G220" s="3" t="s">
        <v>21</v>
      </c>
      <c r="H220" s="3" t="s">
        <v>22</v>
      </c>
      <c r="I220" s="3" t="s">
        <v>1167</v>
      </c>
      <c r="K220" s="3" t="s">
        <v>1314</v>
      </c>
      <c r="L220" s="3" t="s">
        <v>1315</v>
      </c>
      <c r="M220" s="3" t="s">
        <v>1316</v>
      </c>
      <c r="N220" s="3" t="s">
        <v>760</v>
      </c>
      <c r="O220" s="3" t="s">
        <v>1171</v>
      </c>
      <c r="P220" s="3" t="s">
        <v>1172</v>
      </c>
      <c r="Q220" s="3" t="s">
        <v>29</v>
      </c>
      <c r="S220" s="1" t="s">
        <v>1317</v>
      </c>
    </row>
    <row r="221">
      <c r="A221" s="4">
        <v>44342.73523689815</v>
      </c>
      <c r="B221" s="3" t="s">
        <v>1165</v>
      </c>
      <c r="C221" s="3" t="s">
        <v>1318</v>
      </c>
      <c r="D221" s="3" t="s">
        <v>756</v>
      </c>
      <c r="E221" s="6">
        <v>44243.0</v>
      </c>
      <c r="F221" s="3">
        <v>3420.0</v>
      </c>
      <c r="G221" s="3" t="s">
        <v>21</v>
      </c>
      <c r="H221" s="3" t="s">
        <v>22</v>
      </c>
      <c r="I221" s="3" t="s">
        <v>1167</v>
      </c>
      <c r="K221" s="3" t="s">
        <v>1319</v>
      </c>
      <c r="L221" s="3" t="s">
        <v>1320</v>
      </c>
      <c r="M221" s="3" t="s">
        <v>1321</v>
      </c>
      <c r="N221" s="3" t="s">
        <v>760</v>
      </c>
      <c r="O221" s="3" t="s">
        <v>1171</v>
      </c>
      <c r="Q221" s="3" t="s">
        <v>1205</v>
      </c>
      <c r="S221" s="1" t="s">
        <v>1322</v>
      </c>
    </row>
    <row r="222">
      <c r="A222" s="4">
        <v>44342.73525359954</v>
      </c>
      <c r="B222" s="3" t="s">
        <v>1323</v>
      </c>
      <c r="C222" s="3" t="s">
        <v>1324</v>
      </c>
      <c r="D222" s="3" t="s">
        <v>20</v>
      </c>
      <c r="E222" s="3">
        <v>44165.0</v>
      </c>
      <c r="F222" s="3">
        <v>220000.0</v>
      </c>
      <c r="G222" s="3" t="s">
        <v>21</v>
      </c>
      <c r="H222" s="3" t="s">
        <v>22</v>
      </c>
      <c r="J222" s="3" t="s">
        <v>1325</v>
      </c>
      <c r="K222" s="3" t="s">
        <v>1326</v>
      </c>
      <c r="L222" s="3" t="s">
        <v>1327</v>
      </c>
      <c r="M222" s="3" t="s">
        <v>1328</v>
      </c>
      <c r="N222" s="3" t="s">
        <v>27</v>
      </c>
      <c r="O222" s="3" t="s">
        <v>1329</v>
      </c>
      <c r="Q222" s="3" t="s">
        <v>29</v>
      </c>
      <c r="S222" s="1" t="s">
        <v>1330</v>
      </c>
    </row>
    <row r="223">
      <c r="A223" s="4">
        <v>44342.73527020833</v>
      </c>
      <c r="B223" s="3" t="s">
        <v>1072</v>
      </c>
      <c r="C223" s="3" t="s">
        <v>1331</v>
      </c>
      <c r="D223" s="3" t="s">
        <v>20</v>
      </c>
      <c r="E223" s="3">
        <v>44075.0</v>
      </c>
      <c r="F223" s="3">
        <v>29270.0</v>
      </c>
      <c r="G223" s="3" t="s">
        <v>136</v>
      </c>
      <c r="H223" s="3" t="s">
        <v>22</v>
      </c>
      <c r="K223" s="3" t="s">
        <v>1293</v>
      </c>
      <c r="L223" s="3" t="s">
        <v>1332</v>
      </c>
      <c r="M223" s="3" t="s">
        <v>1333</v>
      </c>
      <c r="N223" s="3" t="s">
        <v>27</v>
      </c>
      <c r="O223" s="3" t="s">
        <v>1077</v>
      </c>
      <c r="Q223" s="3" t="s">
        <v>29</v>
      </c>
      <c r="S223" s="1" t="s">
        <v>1334</v>
      </c>
    </row>
    <row r="224">
      <c r="A224" s="4">
        <v>44342.73528623843</v>
      </c>
      <c r="B224" s="3" t="s">
        <v>1335</v>
      </c>
      <c r="C224" s="3" t="s">
        <v>1336</v>
      </c>
      <c r="D224" s="3" t="s">
        <v>20</v>
      </c>
      <c r="E224" s="3">
        <v>44185.0</v>
      </c>
      <c r="F224" s="3">
        <v>126360.0</v>
      </c>
      <c r="G224" s="3" t="s">
        <v>21</v>
      </c>
      <c r="H224" s="3" t="s">
        <v>22</v>
      </c>
      <c r="J224" s="3" t="s">
        <v>1337</v>
      </c>
      <c r="K224" s="3" t="s">
        <v>1338</v>
      </c>
      <c r="L224" s="3" t="s">
        <v>1339</v>
      </c>
      <c r="M224" s="3" t="s">
        <v>1340</v>
      </c>
      <c r="N224" s="3" t="s">
        <v>27</v>
      </c>
      <c r="O224" s="3" t="s">
        <v>1341</v>
      </c>
      <c r="Q224" s="3" t="s">
        <v>29</v>
      </c>
      <c r="S224" s="1" t="s">
        <v>1342</v>
      </c>
    </row>
    <row r="225">
      <c r="A225" s="4">
        <v>44342.73530186343</v>
      </c>
      <c r="B225" s="3" t="s">
        <v>1343</v>
      </c>
      <c r="C225" s="3" t="s">
        <v>1344</v>
      </c>
      <c r="D225" s="3" t="s">
        <v>20</v>
      </c>
      <c r="E225" s="3">
        <v>44185.0</v>
      </c>
      <c r="F225" s="3">
        <v>30140.0</v>
      </c>
      <c r="G225" s="3" t="s">
        <v>21</v>
      </c>
      <c r="H225" s="3" t="s">
        <v>22</v>
      </c>
      <c r="K225" s="3" t="s">
        <v>1345</v>
      </c>
      <c r="L225" s="3" t="s">
        <v>1346</v>
      </c>
      <c r="M225" s="3" t="s">
        <v>1347</v>
      </c>
      <c r="N225" s="3" t="s">
        <v>27</v>
      </c>
      <c r="O225" s="3" t="s">
        <v>1348</v>
      </c>
      <c r="Q225" s="3" t="s">
        <v>29</v>
      </c>
      <c r="S225" s="1" t="s">
        <v>1349</v>
      </c>
    </row>
    <row r="226">
      <c r="A226" s="4">
        <v>44342.73531849537</v>
      </c>
      <c r="B226" s="3" t="s">
        <v>482</v>
      </c>
      <c r="C226" s="3" t="s">
        <v>1350</v>
      </c>
      <c r="D226" s="3" t="s">
        <v>20</v>
      </c>
      <c r="E226" s="3">
        <v>44166.0</v>
      </c>
      <c r="F226" s="3">
        <v>53260.0</v>
      </c>
      <c r="G226" s="3" t="s">
        <v>21</v>
      </c>
      <c r="H226" s="3" t="s">
        <v>22</v>
      </c>
      <c r="J226" s="3" t="s">
        <v>1351</v>
      </c>
      <c r="K226" s="3" t="s">
        <v>1352</v>
      </c>
      <c r="L226" s="3" t="s">
        <v>1353</v>
      </c>
      <c r="M226" s="3" t="s">
        <v>1354</v>
      </c>
      <c r="N226" s="3" t="s">
        <v>27</v>
      </c>
      <c r="O226" s="3" t="s">
        <v>487</v>
      </c>
      <c r="Q226" s="3" t="s">
        <v>29</v>
      </c>
      <c r="S226" s="1" t="s">
        <v>1355</v>
      </c>
    </row>
    <row r="227">
      <c r="A227" s="4">
        <v>44342.735336134254</v>
      </c>
      <c r="B227" s="3" t="s">
        <v>516</v>
      </c>
      <c r="C227" s="3" t="s">
        <v>1356</v>
      </c>
      <c r="D227" s="3" t="s">
        <v>358</v>
      </c>
      <c r="E227" s="6">
        <v>44244.0</v>
      </c>
      <c r="F227" s="3">
        <v>680.0</v>
      </c>
      <c r="G227" s="3" t="s">
        <v>21</v>
      </c>
      <c r="H227" s="3" t="s">
        <v>22</v>
      </c>
      <c r="K227" s="3" t="s">
        <v>1357</v>
      </c>
      <c r="L227" s="3" t="s">
        <v>1358</v>
      </c>
      <c r="M227" s="3" t="s">
        <v>1359</v>
      </c>
      <c r="N227" s="3" t="s">
        <v>362</v>
      </c>
      <c r="O227" s="3" t="s">
        <v>524</v>
      </c>
      <c r="Q227" s="3" t="s">
        <v>29</v>
      </c>
      <c r="S227" s="1" t="s">
        <v>1360</v>
      </c>
    </row>
    <row r="228">
      <c r="A228" s="4">
        <v>44342.735352557866</v>
      </c>
      <c r="B228" s="3" t="s">
        <v>393</v>
      </c>
      <c r="C228" s="3" t="s">
        <v>1361</v>
      </c>
      <c r="D228" s="3" t="s">
        <v>1362</v>
      </c>
      <c r="E228" s="3">
        <v>44245.0</v>
      </c>
      <c r="F228" s="3">
        <v>22373.0</v>
      </c>
      <c r="G228" s="3" t="s">
        <v>136</v>
      </c>
      <c r="H228" s="3" t="s">
        <v>22</v>
      </c>
      <c r="K228" s="3" t="s">
        <v>1363</v>
      </c>
      <c r="L228" s="3" t="s">
        <v>1364</v>
      </c>
      <c r="M228" s="3" t="s">
        <v>1365</v>
      </c>
      <c r="N228" s="3" t="s">
        <v>1366</v>
      </c>
      <c r="O228" s="3" t="s">
        <v>398</v>
      </c>
      <c r="Q228" s="3" t="s">
        <v>29</v>
      </c>
      <c r="S228" s="1" t="s">
        <v>1367</v>
      </c>
    </row>
    <row r="229">
      <c r="A229" s="4">
        <v>44342.735368333335</v>
      </c>
      <c r="B229" s="3" t="s">
        <v>1368</v>
      </c>
      <c r="C229" s="3" t="s">
        <v>1369</v>
      </c>
      <c r="D229" s="3" t="s">
        <v>358</v>
      </c>
      <c r="E229" s="3">
        <v>43922.0</v>
      </c>
      <c r="F229" s="3">
        <v>0.0</v>
      </c>
      <c r="G229" s="3" t="s">
        <v>136</v>
      </c>
      <c r="H229" s="3" t="s">
        <v>22</v>
      </c>
      <c r="K229" s="3" t="s">
        <v>1370</v>
      </c>
      <c r="L229" s="3" t="s">
        <v>1371</v>
      </c>
      <c r="M229" s="3" t="s">
        <v>1372</v>
      </c>
      <c r="N229" s="3" t="s">
        <v>362</v>
      </c>
      <c r="O229" s="3" t="s">
        <v>1373</v>
      </c>
      <c r="Q229" s="3" t="s">
        <v>29</v>
      </c>
      <c r="S229" s="1" t="s">
        <v>1374</v>
      </c>
    </row>
    <row r="230">
      <c r="A230" s="4">
        <v>44342.73538466435</v>
      </c>
      <c r="B230" s="3" t="s">
        <v>1375</v>
      </c>
      <c r="C230" s="3" t="s">
        <v>1376</v>
      </c>
      <c r="D230" s="3" t="s">
        <v>20</v>
      </c>
      <c r="E230" s="3">
        <v>44124.0</v>
      </c>
      <c r="F230" s="3">
        <v>2399130.0</v>
      </c>
      <c r="G230" s="3" t="s">
        <v>21</v>
      </c>
      <c r="H230" s="3" t="s">
        <v>22</v>
      </c>
      <c r="K230" s="3" t="s">
        <v>1377</v>
      </c>
      <c r="L230" s="3" t="s">
        <v>1378</v>
      </c>
      <c r="M230" s="3" t="s">
        <v>1379</v>
      </c>
      <c r="N230" s="3" t="s">
        <v>27</v>
      </c>
      <c r="O230" s="3" t="s">
        <v>1380</v>
      </c>
      <c r="Q230" s="3" t="s">
        <v>29</v>
      </c>
      <c r="S230" s="1" t="s">
        <v>1381</v>
      </c>
    </row>
    <row r="231">
      <c r="A231" s="4">
        <v>44342.73540100694</v>
      </c>
      <c r="B231" s="3" t="s">
        <v>356</v>
      </c>
      <c r="C231" s="3" t="s">
        <v>196</v>
      </c>
      <c r="D231" s="3" t="s">
        <v>756</v>
      </c>
      <c r="E231" s="6">
        <v>44251.0</v>
      </c>
      <c r="F231" s="3">
        <v>600.0</v>
      </c>
      <c r="G231" s="3" t="s">
        <v>21</v>
      </c>
      <c r="H231" s="3" t="s">
        <v>22</v>
      </c>
      <c r="I231" s="3" t="s">
        <v>1167</v>
      </c>
      <c r="K231" s="3" t="s">
        <v>1382</v>
      </c>
      <c r="L231" s="3" t="s">
        <v>1383</v>
      </c>
      <c r="M231" s="3" t="s">
        <v>1384</v>
      </c>
      <c r="N231" s="3" t="s">
        <v>760</v>
      </c>
      <c r="O231" s="3" t="s">
        <v>363</v>
      </c>
      <c r="P231" s="3" t="s">
        <v>1172</v>
      </c>
      <c r="Q231" s="3" t="s">
        <v>29</v>
      </c>
      <c r="S231" s="1" t="s">
        <v>1385</v>
      </c>
    </row>
    <row r="232">
      <c r="A232" s="4">
        <v>44342.735417013886</v>
      </c>
      <c r="B232" s="3" t="s">
        <v>356</v>
      </c>
      <c r="C232" s="3" t="s">
        <v>1386</v>
      </c>
      <c r="D232" s="3" t="s">
        <v>756</v>
      </c>
      <c r="E232" s="6">
        <v>44252.0</v>
      </c>
      <c r="F232" s="3">
        <v>250.0</v>
      </c>
      <c r="G232" s="3" t="s">
        <v>21</v>
      </c>
      <c r="H232" s="3" t="s">
        <v>22</v>
      </c>
      <c r="I232" s="3" t="s">
        <v>1167</v>
      </c>
      <c r="K232" s="3" t="s">
        <v>1387</v>
      </c>
      <c r="L232" s="3" t="s">
        <v>1388</v>
      </c>
      <c r="M232" s="3" t="s">
        <v>1389</v>
      </c>
      <c r="N232" s="3" t="s">
        <v>760</v>
      </c>
      <c r="O232" s="3" t="s">
        <v>363</v>
      </c>
      <c r="P232" s="3" t="s">
        <v>1172</v>
      </c>
      <c r="Q232" s="3" t="s">
        <v>1205</v>
      </c>
      <c r="S232" s="1" t="s">
        <v>1390</v>
      </c>
    </row>
    <row r="233">
      <c r="A233" s="4">
        <v>44342.73543310185</v>
      </c>
      <c r="B233" s="3" t="s">
        <v>1391</v>
      </c>
      <c r="C233" s="3" t="s">
        <v>1136</v>
      </c>
      <c r="D233" s="3" t="s">
        <v>358</v>
      </c>
      <c r="E233" s="3">
        <v>44252.0</v>
      </c>
      <c r="F233" s="3">
        <v>2450.0</v>
      </c>
      <c r="G233" s="3" t="s">
        <v>136</v>
      </c>
      <c r="H233" s="3" t="s">
        <v>22</v>
      </c>
      <c r="J233" s="3" t="s">
        <v>1392</v>
      </c>
      <c r="K233" s="3" t="s">
        <v>1393</v>
      </c>
      <c r="L233" s="3" t="s">
        <v>1394</v>
      </c>
      <c r="M233" s="3" t="s">
        <v>1395</v>
      </c>
      <c r="N233" s="3" t="s">
        <v>362</v>
      </c>
      <c r="O233" s="3" t="s">
        <v>1396</v>
      </c>
      <c r="Q233" s="3" t="s">
        <v>29</v>
      </c>
      <c r="S233" s="1" t="s">
        <v>1397</v>
      </c>
    </row>
    <row r="234">
      <c r="A234" s="4">
        <v>44342.735448935186</v>
      </c>
      <c r="B234" s="3" t="s">
        <v>461</v>
      </c>
      <c r="C234" s="3" t="s">
        <v>1398</v>
      </c>
      <c r="D234" s="3" t="s">
        <v>756</v>
      </c>
      <c r="E234" s="3">
        <v>44258.0</v>
      </c>
      <c r="F234" s="3">
        <v>576.8</v>
      </c>
      <c r="G234" s="3" t="s">
        <v>21</v>
      </c>
      <c r="H234" s="3" t="s">
        <v>22</v>
      </c>
      <c r="K234" s="3" t="s">
        <v>1399</v>
      </c>
      <c r="L234" s="3" t="s">
        <v>1400</v>
      </c>
      <c r="M234" s="3" t="s">
        <v>1401</v>
      </c>
      <c r="N234" s="3" t="s">
        <v>760</v>
      </c>
      <c r="O234" s="3" t="s">
        <v>466</v>
      </c>
      <c r="Q234" s="3" t="s">
        <v>29</v>
      </c>
      <c r="S234" s="1" t="s">
        <v>1402</v>
      </c>
    </row>
    <row r="235">
      <c r="A235" s="4">
        <v>44342.73546506945</v>
      </c>
      <c r="B235" s="3" t="s">
        <v>461</v>
      </c>
      <c r="C235" s="3" t="s">
        <v>462</v>
      </c>
      <c r="D235" s="3" t="s">
        <v>756</v>
      </c>
      <c r="E235" s="3">
        <v>44258.0</v>
      </c>
      <c r="F235" s="3">
        <v>576.8</v>
      </c>
      <c r="G235" s="3" t="s">
        <v>21</v>
      </c>
      <c r="H235" s="3" t="s">
        <v>22</v>
      </c>
      <c r="K235" s="3" t="s">
        <v>1399</v>
      </c>
      <c r="L235" s="3" t="s">
        <v>1403</v>
      </c>
      <c r="M235" s="3" t="s">
        <v>1404</v>
      </c>
      <c r="N235" s="3" t="s">
        <v>760</v>
      </c>
      <c r="O235" s="3" t="s">
        <v>466</v>
      </c>
      <c r="Q235" s="3" t="s">
        <v>29</v>
      </c>
      <c r="S235" s="1" t="s">
        <v>1405</v>
      </c>
    </row>
    <row r="236">
      <c r="A236" s="4">
        <v>44342.7354806713</v>
      </c>
      <c r="B236" s="3" t="s">
        <v>38</v>
      </c>
      <c r="C236" s="3" t="s">
        <v>297</v>
      </c>
      <c r="D236" s="3" t="s">
        <v>756</v>
      </c>
      <c r="E236" s="3">
        <v>44258.0</v>
      </c>
      <c r="F236" s="3">
        <v>1440.0</v>
      </c>
      <c r="G236" s="3" t="s">
        <v>21</v>
      </c>
      <c r="H236" s="3" t="s">
        <v>22</v>
      </c>
      <c r="K236" s="3" t="s">
        <v>1406</v>
      </c>
      <c r="L236" s="3" t="s">
        <v>1407</v>
      </c>
      <c r="M236" s="3" t="s">
        <v>1408</v>
      </c>
      <c r="N236" s="3" t="s">
        <v>760</v>
      </c>
      <c r="O236" s="3" t="s">
        <v>43</v>
      </c>
      <c r="Q236" s="3" t="s">
        <v>29</v>
      </c>
      <c r="S236" s="1" t="s">
        <v>1409</v>
      </c>
    </row>
    <row r="237">
      <c r="A237" s="4">
        <v>44342.73549644676</v>
      </c>
      <c r="B237" s="3" t="s">
        <v>110</v>
      </c>
      <c r="C237" s="3" t="s">
        <v>111</v>
      </c>
      <c r="D237" s="3" t="s">
        <v>756</v>
      </c>
      <c r="E237" s="3">
        <v>44249.0</v>
      </c>
      <c r="F237" s="3">
        <v>1214.0</v>
      </c>
      <c r="G237" s="3" t="s">
        <v>21</v>
      </c>
      <c r="H237" s="3" t="s">
        <v>22</v>
      </c>
      <c r="I237" s="3" t="s">
        <v>1167</v>
      </c>
      <c r="K237" s="3" t="s">
        <v>1410</v>
      </c>
      <c r="L237" s="3" t="s">
        <v>1411</v>
      </c>
      <c r="M237" s="3" t="s">
        <v>1412</v>
      </c>
      <c r="N237" s="3" t="s">
        <v>760</v>
      </c>
      <c r="O237" s="3" t="s">
        <v>116</v>
      </c>
      <c r="P237" s="3" t="s">
        <v>1172</v>
      </c>
      <c r="Q237" s="3" t="s">
        <v>29</v>
      </c>
      <c r="S237" s="1" t="s">
        <v>1413</v>
      </c>
    </row>
    <row r="238">
      <c r="A238" s="4">
        <v>44342.735512037034</v>
      </c>
      <c r="B238" s="3" t="s">
        <v>89</v>
      </c>
      <c r="C238" s="3" t="s">
        <v>489</v>
      </c>
      <c r="D238" s="3" t="s">
        <v>756</v>
      </c>
      <c r="E238" s="3">
        <v>44249.0</v>
      </c>
      <c r="F238" s="3">
        <v>773.0</v>
      </c>
      <c r="G238" s="3" t="s">
        <v>21</v>
      </c>
      <c r="H238" s="3" t="s">
        <v>22</v>
      </c>
      <c r="I238" s="3" t="s">
        <v>1167</v>
      </c>
      <c r="K238" s="3" t="s">
        <v>1414</v>
      </c>
      <c r="L238" s="3" t="s">
        <v>1415</v>
      </c>
      <c r="M238" s="3" t="s">
        <v>1416</v>
      </c>
      <c r="N238" s="3" t="s">
        <v>760</v>
      </c>
      <c r="O238" s="3" t="s">
        <v>94</v>
      </c>
      <c r="P238" s="3" t="s">
        <v>1172</v>
      </c>
      <c r="Q238" s="3" t="s">
        <v>29</v>
      </c>
      <c r="S238" s="1" t="s">
        <v>1417</v>
      </c>
    </row>
    <row r="239">
      <c r="A239" s="4">
        <v>44342.73552787037</v>
      </c>
      <c r="B239" s="3" t="s">
        <v>242</v>
      </c>
      <c r="C239" s="3" t="s">
        <v>243</v>
      </c>
      <c r="D239" s="3" t="s">
        <v>756</v>
      </c>
      <c r="E239" s="3">
        <v>44234.0</v>
      </c>
      <c r="F239" s="3">
        <v>4009.0</v>
      </c>
      <c r="G239" s="3" t="s">
        <v>21</v>
      </c>
      <c r="H239" s="3" t="s">
        <v>22</v>
      </c>
      <c r="I239" s="3" t="s">
        <v>1167</v>
      </c>
      <c r="K239" s="3" t="s">
        <v>1418</v>
      </c>
      <c r="L239" s="3" t="s">
        <v>1419</v>
      </c>
      <c r="M239" s="3" t="s">
        <v>1420</v>
      </c>
      <c r="N239" s="3" t="s">
        <v>760</v>
      </c>
      <c r="O239" s="3" t="s">
        <v>248</v>
      </c>
      <c r="P239" s="3" t="s">
        <v>1172</v>
      </c>
      <c r="Q239" s="3" t="s">
        <v>29</v>
      </c>
      <c r="S239" s="1" t="s">
        <v>1421</v>
      </c>
    </row>
    <row r="240">
      <c r="A240" s="4">
        <v>44342.73554574074</v>
      </c>
      <c r="B240" s="3" t="s">
        <v>386</v>
      </c>
      <c r="C240" s="3" t="s">
        <v>387</v>
      </c>
      <c r="D240" s="3" t="s">
        <v>756</v>
      </c>
      <c r="E240" s="3">
        <v>44234.0</v>
      </c>
      <c r="F240" s="3">
        <v>840.0</v>
      </c>
      <c r="G240" s="3" t="s">
        <v>21</v>
      </c>
      <c r="H240" s="3" t="s">
        <v>22</v>
      </c>
      <c r="I240" s="3" t="s">
        <v>1167</v>
      </c>
      <c r="K240" s="3" t="s">
        <v>1422</v>
      </c>
      <c r="L240" s="3" t="s">
        <v>1423</v>
      </c>
      <c r="M240" s="3" t="s">
        <v>1424</v>
      </c>
      <c r="N240" s="3" t="s">
        <v>760</v>
      </c>
      <c r="O240" s="3" t="s">
        <v>391</v>
      </c>
      <c r="P240" s="3" t="s">
        <v>1172</v>
      </c>
      <c r="Q240" s="3" t="s">
        <v>1205</v>
      </c>
      <c r="S240" s="1" t="s">
        <v>1425</v>
      </c>
    </row>
    <row r="241">
      <c r="A241" s="4">
        <v>44342.7355615625</v>
      </c>
      <c r="B241" s="3" t="s">
        <v>830</v>
      </c>
      <c r="C241" s="3" t="s">
        <v>831</v>
      </c>
      <c r="D241" s="3" t="s">
        <v>20</v>
      </c>
      <c r="E241" s="3">
        <v>43768.0</v>
      </c>
      <c r="F241" s="3">
        <v>163727.0</v>
      </c>
      <c r="G241" s="3" t="s">
        <v>21</v>
      </c>
      <c r="H241" s="3" t="s">
        <v>22</v>
      </c>
      <c r="I241" s="3" t="s">
        <v>1426</v>
      </c>
      <c r="J241" s="3" t="s">
        <v>1427</v>
      </c>
      <c r="K241" s="3" t="s">
        <v>1428</v>
      </c>
      <c r="L241" s="3" t="s">
        <v>1429</v>
      </c>
      <c r="M241" s="3" t="s">
        <v>1430</v>
      </c>
      <c r="N241" s="3" t="s">
        <v>27</v>
      </c>
      <c r="O241" s="3" t="s">
        <v>835</v>
      </c>
      <c r="P241" s="3" t="s">
        <v>1431</v>
      </c>
      <c r="Q241" s="3" t="s">
        <v>29</v>
      </c>
      <c r="S241" s="1" t="s">
        <v>1432</v>
      </c>
    </row>
    <row r="242">
      <c r="A242" s="4">
        <v>44342.73557821759</v>
      </c>
      <c r="B242" s="3" t="s">
        <v>322</v>
      </c>
      <c r="C242" s="3" t="s">
        <v>1433</v>
      </c>
      <c r="D242" s="3" t="s">
        <v>20</v>
      </c>
      <c r="E242" s="3">
        <v>44077.0</v>
      </c>
      <c r="F242" s="3">
        <v>366050.0</v>
      </c>
      <c r="G242" s="3" t="s">
        <v>21</v>
      </c>
      <c r="H242" s="3" t="s">
        <v>22</v>
      </c>
      <c r="I242" s="3" t="s">
        <v>1434</v>
      </c>
      <c r="J242" s="3" t="s">
        <v>1435</v>
      </c>
      <c r="K242" s="3" t="s">
        <v>1436</v>
      </c>
      <c r="L242" s="3" t="s">
        <v>1437</v>
      </c>
      <c r="M242" s="3" t="s">
        <v>1438</v>
      </c>
      <c r="N242" s="3" t="s">
        <v>27</v>
      </c>
      <c r="O242" s="3" t="s">
        <v>327</v>
      </c>
      <c r="P242" s="3" t="s">
        <v>1439</v>
      </c>
      <c r="Q242" s="3" t="s">
        <v>29</v>
      </c>
      <c r="S242" s="1" t="s">
        <v>1440</v>
      </c>
    </row>
    <row r="243">
      <c r="A243" s="4">
        <v>44342.73559414352</v>
      </c>
      <c r="B243" s="3" t="s">
        <v>823</v>
      </c>
      <c r="C243" s="3" t="s">
        <v>824</v>
      </c>
      <c r="D243" s="3" t="s">
        <v>20</v>
      </c>
      <c r="E243" s="3">
        <v>43824.0</v>
      </c>
      <c r="F243" s="3">
        <v>23750.0</v>
      </c>
      <c r="G243" s="3" t="s">
        <v>21</v>
      </c>
      <c r="H243" s="3" t="s">
        <v>22</v>
      </c>
      <c r="I243" s="3" t="s">
        <v>1441</v>
      </c>
      <c r="K243" s="3" t="s">
        <v>1442</v>
      </c>
      <c r="L243" s="3" t="s">
        <v>1443</v>
      </c>
      <c r="M243" s="3" t="s">
        <v>1444</v>
      </c>
      <c r="N243" s="3" t="s">
        <v>27</v>
      </c>
      <c r="O243" s="3" t="s">
        <v>828</v>
      </c>
      <c r="P243" s="3" t="s">
        <v>1445</v>
      </c>
      <c r="Q243" s="3" t="s">
        <v>29</v>
      </c>
      <c r="S243" s="1" t="s">
        <v>1446</v>
      </c>
    </row>
    <row r="244">
      <c r="A244" s="4">
        <v>44342.7356103125</v>
      </c>
      <c r="B244" s="3" t="s">
        <v>1447</v>
      </c>
      <c r="C244" s="3" t="s">
        <v>1448</v>
      </c>
      <c r="D244" s="3" t="s">
        <v>358</v>
      </c>
      <c r="E244" s="3">
        <v>44283.0</v>
      </c>
      <c r="F244" s="3">
        <v>17882.0</v>
      </c>
      <c r="G244" s="3" t="s">
        <v>21</v>
      </c>
      <c r="H244" s="3" t="s">
        <v>22</v>
      </c>
      <c r="K244" s="3" t="s">
        <v>1449</v>
      </c>
      <c r="L244" s="3" t="s">
        <v>1450</v>
      </c>
      <c r="M244" s="3" t="s">
        <v>1451</v>
      </c>
      <c r="N244" s="3" t="s">
        <v>362</v>
      </c>
      <c r="O244" s="3" t="s">
        <v>1452</v>
      </c>
      <c r="Q244" s="3" t="s">
        <v>29</v>
      </c>
      <c r="S244" s="1" t="s">
        <v>1453</v>
      </c>
    </row>
    <row r="245">
      <c r="A245" s="4">
        <v>44342.735626064816</v>
      </c>
      <c r="B245" s="3" t="s">
        <v>341</v>
      </c>
      <c r="C245" s="3" t="s">
        <v>1454</v>
      </c>
      <c r="D245" s="3" t="s">
        <v>358</v>
      </c>
      <c r="E245" s="3">
        <v>44278.0</v>
      </c>
      <c r="F245" s="3">
        <v>1380.0</v>
      </c>
      <c r="G245" s="3" t="s">
        <v>136</v>
      </c>
      <c r="H245" s="3" t="s">
        <v>22</v>
      </c>
      <c r="K245" s="3" t="s">
        <v>1455</v>
      </c>
      <c r="L245" s="3" t="s">
        <v>1456</v>
      </c>
      <c r="M245" s="3" t="s">
        <v>1457</v>
      </c>
      <c r="N245" s="3" t="s">
        <v>362</v>
      </c>
      <c r="O245" s="3" t="s">
        <v>346</v>
      </c>
      <c r="Q245" s="3" t="s">
        <v>29</v>
      </c>
      <c r="S245" s="1" t="s">
        <v>1458</v>
      </c>
    </row>
    <row r="246">
      <c r="A246" s="4">
        <v>44342.735641770836</v>
      </c>
      <c r="B246" s="3" t="s">
        <v>1459</v>
      </c>
      <c r="C246" s="3" t="s">
        <v>1460</v>
      </c>
      <c r="D246" s="3" t="s">
        <v>358</v>
      </c>
      <c r="E246" s="3">
        <v>44284.0</v>
      </c>
      <c r="F246" s="3">
        <v>2800.0</v>
      </c>
      <c r="G246" s="3" t="s">
        <v>136</v>
      </c>
      <c r="H246" s="3" t="s">
        <v>22</v>
      </c>
      <c r="J246" s="3" t="s">
        <v>1461</v>
      </c>
      <c r="K246" s="3" t="s">
        <v>1462</v>
      </c>
      <c r="L246" s="3" t="s">
        <v>1463</v>
      </c>
      <c r="M246" s="3" t="s">
        <v>1464</v>
      </c>
      <c r="N246" s="3" t="s">
        <v>362</v>
      </c>
      <c r="O246" s="3" t="s">
        <v>1465</v>
      </c>
      <c r="Q246" s="3" t="s">
        <v>29</v>
      </c>
      <c r="S246" s="1" t="s">
        <v>1466</v>
      </c>
    </row>
    <row r="247">
      <c r="A247" s="4">
        <v>44342.73565850694</v>
      </c>
      <c r="B247" s="3" t="s">
        <v>1467</v>
      </c>
      <c r="C247" s="3" t="s">
        <v>1468</v>
      </c>
      <c r="D247" s="3" t="s">
        <v>1469</v>
      </c>
      <c r="E247" s="3">
        <v>44278.0</v>
      </c>
      <c r="F247" s="3">
        <v>6913.5</v>
      </c>
      <c r="G247" s="3" t="s">
        <v>21</v>
      </c>
      <c r="H247" s="3" t="s">
        <v>22</v>
      </c>
      <c r="J247" s="9">
        <v>16077.0</v>
      </c>
      <c r="K247" s="3" t="s">
        <v>1470</v>
      </c>
      <c r="L247" s="3" t="s">
        <v>1471</v>
      </c>
      <c r="M247" s="3" t="s">
        <v>1472</v>
      </c>
      <c r="N247" s="3" t="s">
        <v>1473</v>
      </c>
      <c r="O247" s="3" t="s">
        <v>1474</v>
      </c>
      <c r="Q247" s="3" t="s">
        <v>29</v>
      </c>
      <c r="S247" s="1" t="s">
        <v>1475</v>
      </c>
    </row>
    <row r="248">
      <c r="A248" s="4">
        <v>44342.73567458334</v>
      </c>
      <c r="B248" s="3" t="s">
        <v>1323</v>
      </c>
      <c r="C248" s="3" t="s">
        <v>1476</v>
      </c>
      <c r="D248" s="3" t="s">
        <v>1049</v>
      </c>
      <c r="E248" s="3">
        <v>44179.0</v>
      </c>
      <c r="F248" s="3">
        <v>181545.0</v>
      </c>
      <c r="G248" s="3" t="s">
        <v>136</v>
      </c>
      <c r="H248" s="3" t="s">
        <v>22</v>
      </c>
      <c r="I248" s="3" t="s">
        <v>1145</v>
      </c>
      <c r="J248" s="3" t="s">
        <v>1477</v>
      </c>
      <c r="K248" s="3" t="s">
        <v>1478</v>
      </c>
      <c r="L248" s="3" t="s">
        <v>1479</v>
      </c>
      <c r="M248" s="3" t="s">
        <v>1480</v>
      </c>
      <c r="N248" s="3" t="s">
        <v>1054</v>
      </c>
      <c r="O248" s="3" t="s">
        <v>1329</v>
      </c>
      <c r="P248" s="3" t="s">
        <v>1150</v>
      </c>
      <c r="Q248" s="3" t="s">
        <v>29</v>
      </c>
      <c r="S248" s="1" t="s">
        <v>1481</v>
      </c>
    </row>
    <row r="249">
      <c r="A249" s="4">
        <v>44342.73569084491</v>
      </c>
      <c r="B249" s="3" t="s">
        <v>1447</v>
      </c>
      <c r="C249" s="3" t="s">
        <v>1482</v>
      </c>
      <c r="D249" s="3" t="s">
        <v>358</v>
      </c>
      <c r="E249" s="3">
        <v>44291.0</v>
      </c>
      <c r="F249" s="3">
        <v>227761.0</v>
      </c>
      <c r="G249" s="3" t="s">
        <v>21</v>
      </c>
      <c r="H249" s="3" t="s">
        <v>22</v>
      </c>
      <c r="K249" s="3" t="s">
        <v>1483</v>
      </c>
      <c r="L249" s="3" t="s">
        <v>1484</v>
      </c>
      <c r="M249" s="3" t="s">
        <v>1485</v>
      </c>
      <c r="N249" s="3" t="s">
        <v>362</v>
      </c>
      <c r="O249" s="3" t="s">
        <v>1452</v>
      </c>
      <c r="Q249" s="3" t="s">
        <v>29</v>
      </c>
      <c r="S249" s="1" t="s">
        <v>1486</v>
      </c>
    </row>
    <row r="250">
      <c r="A250" s="4">
        <v>44342.73570640046</v>
      </c>
      <c r="B250" s="3" t="s">
        <v>1487</v>
      </c>
      <c r="C250" s="3" t="s">
        <v>1488</v>
      </c>
      <c r="D250" s="3" t="s">
        <v>358</v>
      </c>
      <c r="E250" s="3">
        <v>44280.0</v>
      </c>
      <c r="F250" s="3">
        <v>10708.0</v>
      </c>
      <c r="G250" s="3" t="s">
        <v>350</v>
      </c>
      <c r="H250" s="3" t="s">
        <v>22</v>
      </c>
      <c r="K250" s="3" t="s">
        <v>1489</v>
      </c>
      <c r="L250" s="3" t="s">
        <v>1490</v>
      </c>
      <c r="M250" s="3" t="s">
        <v>1491</v>
      </c>
      <c r="N250" s="3" t="s">
        <v>362</v>
      </c>
      <c r="O250" s="3" t="s">
        <v>1492</v>
      </c>
      <c r="Q250" s="3" t="s">
        <v>29</v>
      </c>
      <c r="S250" s="1" t="s">
        <v>1493</v>
      </c>
    </row>
    <row r="251">
      <c r="A251" s="4">
        <v>44342.735721875</v>
      </c>
      <c r="B251" s="3" t="s">
        <v>624</v>
      </c>
      <c r="C251" s="3" t="s">
        <v>1494</v>
      </c>
      <c r="D251" s="3" t="s">
        <v>756</v>
      </c>
      <c r="E251" s="3">
        <v>44298.0</v>
      </c>
      <c r="F251" s="3">
        <v>1290.0</v>
      </c>
      <c r="G251" s="3" t="s">
        <v>21</v>
      </c>
      <c r="H251" s="3" t="s">
        <v>22</v>
      </c>
      <c r="I251" s="3" t="s">
        <v>1167</v>
      </c>
      <c r="K251" s="3" t="s">
        <v>1495</v>
      </c>
      <c r="L251" s="3" t="s">
        <v>1496</v>
      </c>
      <c r="M251" s="3" t="s">
        <v>1497</v>
      </c>
      <c r="N251" s="3" t="s">
        <v>760</v>
      </c>
      <c r="O251" s="3" t="s">
        <v>630</v>
      </c>
      <c r="P251" s="3" t="s">
        <v>1172</v>
      </c>
      <c r="Q251" s="3" t="s">
        <v>29</v>
      </c>
      <c r="S251" s="1" t="s">
        <v>1498</v>
      </c>
    </row>
    <row r="252">
      <c r="A252" s="4">
        <v>44342.73573767361</v>
      </c>
      <c r="B252" s="3" t="s">
        <v>482</v>
      </c>
      <c r="C252" s="3" t="s">
        <v>1499</v>
      </c>
      <c r="D252" s="3" t="s">
        <v>358</v>
      </c>
      <c r="E252" s="3">
        <v>44280.0</v>
      </c>
      <c r="F252" s="3">
        <v>2545.0</v>
      </c>
      <c r="G252" s="3" t="s">
        <v>21</v>
      </c>
      <c r="H252" s="3" t="s">
        <v>22</v>
      </c>
      <c r="K252" s="3" t="s">
        <v>1500</v>
      </c>
      <c r="L252" s="3" t="s">
        <v>1501</v>
      </c>
      <c r="M252" s="3" t="s">
        <v>1502</v>
      </c>
      <c r="N252" s="3" t="s">
        <v>362</v>
      </c>
      <c r="O252" s="3" t="s">
        <v>487</v>
      </c>
      <c r="Q252" s="3" t="s">
        <v>29</v>
      </c>
      <c r="S252" s="1" t="s">
        <v>1503</v>
      </c>
    </row>
    <row r="253">
      <c r="A253" s="4">
        <v>44342.7357537037</v>
      </c>
      <c r="B253" s="3" t="s">
        <v>482</v>
      </c>
      <c r="C253" s="3" t="s">
        <v>1504</v>
      </c>
      <c r="D253" s="3" t="s">
        <v>358</v>
      </c>
      <c r="E253" s="3">
        <v>44301.0</v>
      </c>
      <c r="F253" s="3">
        <v>2340.0</v>
      </c>
      <c r="G253" s="3" t="s">
        <v>136</v>
      </c>
      <c r="H253" s="3" t="s">
        <v>22</v>
      </c>
      <c r="I253" s="3" t="s">
        <v>1137</v>
      </c>
      <c r="K253" s="3" t="s">
        <v>1505</v>
      </c>
      <c r="L253" s="3" t="s">
        <v>1506</v>
      </c>
      <c r="M253" s="3" t="s">
        <v>1507</v>
      </c>
      <c r="N253" s="3" t="s">
        <v>362</v>
      </c>
      <c r="O253" s="3" t="s">
        <v>487</v>
      </c>
      <c r="P253" s="3" t="s">
        <v>1141</v>
      </c>
      <c r="Q253" s="3" t="s">
        <v>29</v>
      </c>
      <c r="S253" s="1" t="s">
        <v>1508</v>
      </c>
    </row>
    <row r="254">
      <c r="A254" s="4">
        <v>44342.7357712963</v>
      </c>
      <c r="B254" s="3" t="s">
        <v>1509</v>
      </c>
      <c r="C254" s="3" t="s">
        <v>1510</v>
      </c>
      <c r="D254" s="3" t="s">
        <v>358</v>
      </c>
      <c r="E254" s="3">
        <v>44315.0</v>
      </c>
      <c r="F254" s="3">
        <v>5350.0</v>
      </c>
      <c r="G254" s="3" t="s">
        <v>21</v>
      </c>
      <c r="H254" s="3" t="s">
        <v>22</v>
      </c>
      <c r="I254" s="3" t="s">
        <v>1145</v>
      </c>
      <c r="J254" s="3" t="s">
        <v>1511</v>
      </c>
      <c r="K254" s="3" t="s">
        <v>1512</v>
      </c>
      <c r="L254" s="3" t="s">
        <v>1513</v>
      </c>
      <c r="M254" s="3" t="s">
        <v>1514</v>
      </c>
      <c r="N254" s="3" t="s">
        <v>362</v>
      </c>
      <c r="O254" s="3" t="s">
        <v>1515</v>
      </c>
      <c r="P254" s="3" t="s">
        <v>1150</v>
      </c>
      <c r="Q254" s="3" t="s">
        <v>29</v>
      </c>
      <c r="S254" s="1" t="s">
        <v>1516</v>
      </c>
    </row>
    <row r="255">
      <c r="A255" s="4">
        <v>44342.735786770834</v>
      </c>
      <c r="B255" s="3" t="s">
        <v>1517</v>
      </c>
      <c r="C255" s="3" t="s">
        <v>1518</v>
      </c>
      <c r="D255" s="3" t="s">
        <v>358</v>
      </c>
      <c r="E255" s="3">
        <v>44329.0</v>
      </c>
      <c r="F255" s="3">
        <v>4420.0</v>
      </c>
      <c r="G255" s="3" t="s">
        <v>136</v>
      </c>
      <c r="H255" s="3" t="s">
        <v>22</v>
      </c>
      <c r="I255" s="3" t="s">
        <v>1137</v>
      </c>
      <c r="K255" s="3" t="s">
        <v>1519</v>
      </c>
      <c r="L255" s="3" t="s">
        <v>1520</v>
      </c>
      <c r="M255" s="3" t="s">
        <v>1521</v>
      </c>
      <c r="N255" s="3" t="s">
        <v>362</v>
      </c>
      <c r="O255" s="3" t="s">
        <v>1522</v>
      </c>
      <c r="P255" s="3" t="s">
        <v>1141</v>
      </c>
      <c r="Q255" s="3" t="s">
        <v>29</v>
      </c>
      <c r="S255" s="1" t="s">
        <v>1523</v>
      </c>
    </row>
    <row r="256">
      <c r="A256" s="4">
        <v>44342.73580363426</v>
      </c>
      <c r="B256" s="3" t="s">
        <v>1524</v>
      </c>
      <c r="C256" s="3" t="s">
        <v>1525</v>
      </c>
      <c r="D256" s="3" t="s">
        <v>358</v>
      </c>
      <c r="E256" s="3">
        <v>44208.0</v>
      </c>
      <c r="F256" s="3">
        <v>11441.0</v>
      </c>
      <c r="G256" s="3" t="s">
        <v>21</v>
      </c>
      <c r="H256" s="3" t="s">
        <v>22</v>
      </c>
      <c r="J256" s="3" t="s">
        <v>1526</v>
      </c>
      <c r="K256" s="3" t="s">
        <v>1527</v>
      </c>
      <c r="L256" s="3" t="s">
        <v>1528</v>
      </c>
      <c r="M256" s="3" t="s">
        <v>1529</v>
      </c>
      <c r="N256" s="3" t="s">
        <v>362</v>
      </c>
      <c r="O256" s="3" t="s">
        <v>1530</v>
      </c>
      <c r="Q256" s="3" t="s">
        <v>29</v>
      </c>
      <c r="S256" s="1" t="s">
        <v>1531</v>
      </c>
    </row>
    <row r="257">
      <c r="A257" s="4">
        <v>44342.73581953703</v>
      </c>
      <c r="B257" s="3" t="s">
        <v>1532</v>
      </c>
      <c r="C257" s="3" t="s">
        <v>1533</v>
      </c>
      <c r="D257" s="3" t="s">
        <v>358</v>
      </c>
      <c r="E257" s="3">
        <v>44287.0</v>
      </c>
      <c r="F257" s="3">
        <v>271416.96</v>
      </c>
      <c r="G257" s="3" t="s">
        <v>136</v>
      </c>
      <c r="H257" s="3" t="s">
        <v>22</v>
      </c>
      <c r="J257" s="3" t="s">
        <v>1534</v>
      </c>
      <c r="K257" s="3" t="s">
        <v>1535</v>
      </c>
      <c r="L257" s="3" t="s">
        <v>1536</v>
      </c>
      <c r="M257" s="3" t="s">
        <v>1537</v>
      </c>
      <c r="N257" s="3" t="s">
        <v>362</v>
      </c>
      <c r="O257" s="3" t="s">
        <v>1538</v>
      </c>
      <c r="Q257" s="3" t="s">
        <v>29</v>
      </c>
      <c r="S257" s="1" t="s">
        <v>1539</v>
      </c>
    </row>
    <row r="258">
      <c r="A258" s="4">
        <v>44342.73583506944</v>
      </c>
      <c r="B258" s="3" t="s">
        <v>988</v>
      </c>
      <c r="C258" s="3" t="s">
        <v>1540</v>
      </c>
      <c r="D258" s="3" t="s">
        <v>358</v>
      </c>
      <c r="E258" s="3">
        <v>44336.0</v>
      </c>
      <c r="F258" s="3">
        <v>31200.0</v>
      </c>
      <c r="G258" s="3" t="s">
        <v>136</v>
      </c>
      <c r="H258" s="3" t="s">
        <v>22</v>
      </c>
      <c r="I258" s="3" t="s">
        <v>1145</v>
      </c>
      <c r="K258" s="3" t="s">
        <v>1541</v>
      </c>
      <c r="L258" s="3" t="s">
        <v>1542</v>
      </c>
      <c r="M258" s="3" t="s">
        <v>1543</v>
      </c>
      <c r="N258" s="3" t="s">
        <v>362</v>
      </c>
      <c r="O258" s="3" t="s">
        <v>993</v>
      </c>
      <c r="P258" s="3" t="s">
        <v>1150</v>
      </c>
      <c r="Q258" s="3" t="s">
        <v>29</v>
      </c>
      <c r="S258" s="1" t="s">
        <v>1544</v>
      </c>
    </row>
    <row r="259">
      <c r="A259" s="4">
        <v>44342.735850578705</v>
      </c>
      <c r="B259" s="3" t="s">
        <v>393</v>
      </c>
      <c r="C259" s="3" t="s">
        <v>1545</v>
      </c>
      <c r="D259" s="3" t="s">
        <v>358</v>
      </c>
      <c r="E259" s="3">
        <v>44256.0</v>
      </c>
      <c r="F259" s="3">
        <v>701000.0</v>
      </c>
      <c r="G259" s="3" t="s">
        <v>21</v>
      </c>
      <c r="H259" s="3" t="s">
        <v>22</v>
      </c>
      <c r="K259" s="3" t="s">
        <v>1546</v>
      </c>
      <c r="L259" s="3" t="s">
        <v>1547</v>
      </c>
      <c r="M259" s="3" t="s">
        <v>1548</v>
      </c>
      <c r="N259" s="3" t="s">
        <v>362</v>
      </c>
      <c r="O259" s="3" t="s">
        <v>398</v>
      </c>
      <c r="Q259" s="3" t="s">
        <v>29</v>
      </c>
      <c r="S259" s="1" t="s">
        <v>1549</v>
      </c>
    </row>
    <row r="260">
      <c r="A260" s="4">
        <v>44342.73586619213</v>
      </c>
      <c r="B260" s="3" t="s">
        <v>1550</v>
      </c>
      <c r="C260" s="3" t="s">
        <v>1551</v>
      </c>
      <c r="D260" s="3" t="s">
        <v>358</v>
      </c>
      <c r="E260" s="3">
        <v>44336.0</v>
      </c>
      <c r="F260" s="3">
        <v>4320.0</v>
      </c>
      <c r="G260" s="3" t="s">
        <v>136</v>
      </c>
      <c r="H260" s="3" t="s">
        <v>22</v>
      </c>
      <c r="I260" s="3" t="s">
        <v>1145</v>
      </c>
      <c r="J260" s="3" t="s">
        <v>1552</v>
      </c>
      <c r="K260" s="3" t="s">
        <v>1553</v>
      </c>
      <c r="L260" s="3" t="s">
        <v>1554</v>
      </c>
      <c r="M260" s="3" t="s">
        <v>1555</v>
      </c>
      <c r="N260" s="3" t="s">
        <v>362</v>
      </c>
      <c r="O260" s="3" t="s">
        <v>1556</v>
      </c>
      <c r="P260" s="3" t="s">
        <v>1150</v>
      </c>
      <c r="Q260" s="3" t="s">
        <v>29</v>
      </c>
      <c r="S260" s="1" t="s">
        <v>1557</v>
      </c>
    </row>
    <row r="261">
      <c r="A261" s="4">
        <v>44342.73588204861</v>
      </c>
      <c r="B261" s="3" t="s">
        <v>1550</v>
      </c>
      <c r="C261" s="3" t="s">
        <v>1551</v>
      </c>
      <c r="D261" s="3" t="s">
        <v>518</v>
      </c>
      <c r="E261" s="3">
        <v>44341.0</v>
      </c>
      <c r="F261" s="3">
        <v>0.0</v>
      </c>
      <c r="G261" s="3" t="s">
        <v>350</v>
      </c>
      <c r="H261" s="3" t="s">
        <v>22</v>
      </c>
      <c r="I261" s="3" t="s">
        <v>1145</v>
      </c>
      <c r="K261" s="3" t="s">
        <v>1558</v>
      </c>
      <c r="L261" s="3" t="s">
        <v>1559</v>
      </c>
      <c r="M261" s="3" t="s">
        <v>1560</v>
      </c>
      <c r="N261" s="3" t="s">
        <v>523</v>
      </c>
      <c r="O261" s="3" t="s">
        <v>1556</v>
      </c>
      <c r="P261" s="3" t="s">
        <v>1150</v>
      </c>
      <c r="Q261" s="3" t="s">
        <v>29</v>
      </c>
      <c r="S261" s="1" t="s">
        <v>1561</v>
      </c>
    </row>
    <row r="262">
      <c r="A262" s="4">
        <v>44342.73589722222</v>
      </c>
      <c r="B262" s="3" t="s">
        <v>1550</v>
      </c>
      <c r="C262" s="3" t="s">
        <v>1551</v>
      </c>
      <c r="D262" s="3" t="s">
        <v>1049</v>
      </c>
      <c r="E262" s="3">
        <v>44336.0</v>
      </c>
      <c r="F262" s="3">
        <v>6000.0</v>
      </c>
      <c r="G262" s="3" t="s">
        <v>136</v>
      </c>
      <c r="H262" s="3" t="s">
        <v>22</v>
      </c>
      <c r="I262" s="3" t="s">
        <v>1145</v>
      </c>
      <c r="J262" s="3" t="s">
        <v>1552</v>
      </c>
      <c r="K262" s="3" t="s">
        <v>1562</v>
      </c>
      <c r="L262" s="3" t="s">
        <v>1563</v>
      </c>
      <c r="M262" s="3" t="s">
        <v>1564</v>
      </c>
      <c r="N262" s="3" t="s">
        <v>1054</v>
      </c>
      <c r="O262" s="3" t="s">
        <v>1556</v>
      </c>
      <c r="P262" s="3" t="s">
        <v>1150</v>
      </c>
      <c r="Q262" s="3" t="s">
        <v>1205</v>
      </c>
      <c r="S262" s="1" t="s">
        <v>1565</v>
      </c>
    </row>
    <row r="263">
      <c r="A263" s="4">
        <v>44355.7081946875</v>
      </c>
      <c r="B263" s="3" t="s">
        <v>1566</v>
      </c>
      <c r="C263" s="3" t="s">
        <v>1567</v>
      </c>
      <c r="D263" s="3" t="s">
        <v>358</v>
      </c>
      <c r="E263" s="3">
        <v>44333.0</v>
      </c>
      <c r="F263" s="3">
        <v>2035.0</v>
      </c>
      <c r="G263" s="3" t="s">
        <v>21</v>
      </c>
      <c r="H263" s="3" t="s">
        <v>22</v>
      </c>
      <c r="K263" s="3" t="s">
        <v>1568</v>
      </c>
      <c r="L263" s="3" t="s">
        <v>1569</v>
      </c>
      <c r="M263" s="3" t="s">
        <v>1570</v>
      </c>
      <c r="N263" s="3" t="s">
        <v>362</v>
      </c>
      <c r="O263" s="3" t="s">
        <v>1571</v>
      </c>
      <c r="Q263" s="3" t="s">
        <v>29</v>
      </c>
      <c r="S263" s="1" t="s">
        <v>1572</v>
      </c>
    </row>
    <row r="264">
      <c r="A264" s="4">
        <v>44356.485388078705</v>
      </c>
      <c r="S264" s="1" t="e">
        <v>#VALUE!</v>
      </c>
    </row>
    <row r="265">
      <c r="A265" s="4">
        <v>44357.509632615736</v>
      </c>
      <c r="B265" s="3" t="s">
        <v>482</v>
      </c>
      <c r="C265" s="3" t="s">
        <v>1573</v>
      </c>
      <c r="D265" s="3" t="s">
        <v>20</v>
      </c>
      <c r="E265" s="3">
        <v>44075.0</v>
      </c>
      <c r="F265" s="3">
        <v>54510.0</v>
      </c>
      <c r="G265" s="3" t="s">
        <v>21</v>
      </c>
      <c r="H265" s="3" t="s">
        <v>22</v>
      </c>
      <c r="J265" s="3" t="s">
        <v>1351</v>
      </c>
      <c r="K265" s="3" t="s">
        <v>1574</v>
      </c>
      <c r="L265" s="3" t="s">
        <v>1575</v>
      </c>
      <c r="M265" s="3" t="s">
        <v>1576</v>
      </c>
      <c r="N265" s="3" t="s">
        <v>27</v>
      </c>
      <c r="O265" s="3" t="s">
        <v>487</v>
      </c>
      <c r="Q265" s="3" t="s">
        <v>29</v>
      </c>
      <c r="S265" s="1" t="s">
        <v>1577</v>
      </c>
    </row>
    <row r="266">
      <c r="A266" s="4">
        <v>44357.62096731481</v>
      </c>
      <c r="B266" s="3" t="s">
        <v>1578</v>
      </c>
      <c r="C266" s="3" t="s">
        <v>1579</v>
      </c>
      <c r="D266" s="3" t="s">
        <v>358</v>
      </c>
      <c r="E266" s="3">
        <v>44349.0</v>
      </c>
      <c r="F266" s="3">
        <v>2900.0</v>
      </c>
      <c r="G266" s="3" t="s">
        <v>136</v>
      </c>
      <c r="H266" s="3" t="s">
        <v>22</v>
      </c>
      <c r="I266" s="3" t="s">
        <v>1137</v>
      </c>
      <c r="K266" s="3" t="s">
        <v>1580</v>
      </c>
      <c r="L266" s="3" t="s">
        <v>1581</v>
      </c>
      <c r="M266" s="3" t="s">
        <v>1582</v>
      </c>
      <c r="N266" s="3" t="s">
        <v>362</v>
      </c>
      <c r="O266" s="3" t="s">
        <v>1583</v>
      </c>
      <c r="P266" s="3" t="s">
        <v>1141</v>
      </c>
      <c r="Q266" s="3" t="s">
        <v>1205</v>
      </c>
      <c r="S266" s="1" t="s">
        <v>1584</v>
      </c>
    </row>
    <row r="267">
      <c r="A267" s="4">
        <v>44357.66941798611</v>
      </c>
      <c r="B267" s="3" t="s">
        <v>976</v>
      </c>
      <c r="C267" s="3" t="s">
        <v>1585</v>
      </c>
      <c r="D267" s="3" t="s">
        <v>358</v>
      </c>
      <c r="E267" s="3">
        <v>44356.0</v>
      </c>
      <c r="F267" s="3">
        <v>3600.0</v>
      </c>
      <c r="G267" s="3" t="s">
        <v>136</v>
      </c>
      <c r="H267" s="3" t="s">
        <v>22</v>
      </c>
      <c r="I267" s="3" t="s">
        <v>1145</v>
      </c>
      <c r="K267" s="3" t="s">
        <v>1586</v>
      </c>
      <c r="L267" s="3" t="s">
        <v>1587</v>
      </c>
      <c r="M267" s="3" t="s">
        <v>1588</v>
      </c>
      <c r="N267" s="3" t="s">
        <v>362</v>
      </c>
      <c r="O267" s="3" t="s">
        <v>981</v>
      </c>
      <c r="P267" s="3" t="s">
        <v>1150</v>
      </c>
      <c r="Q267" s="3" t="s">
        <v>29</v>
      </c>
      <c r="S267" s="1" t="s">
        <v>1589</v>
      </c>
    </row>
    <row r="268">
      <c r="A268" s="4">
        <v>44363.522823946754</v>
      </c>
      <c r="B268" s="3" t="s">
        <v>1590</v>
      </c>
      <c r="C268" s="3" t="s">
        <v>1591</v>
      </c>
      <c r="D268" s="3" t="s">
        <v>358</v>
      </c>
      <c r="E268" s="3">
        <v>44363.0</v>
      </c>
      <c r="F268" s="3">
        <v>2260.0</v>
      </c>
      <c r="G268" s="3" t="s">
        <v>136</v>
      </c>
      <c r="H268" s="3" t="s">
        <v>22</v>
      </c>
      <c r="I268" s="3" t="s">
        <v>1137</v>
      </c>
      <c r="K268" s="3" t="s">
        <v>1592</v>
      </c>
      <c r="L268" s="3" t="s">
        <v>1593</v>
      </c>
      <c r="M268" s="3" t="s">
        <v>1594</v>
      </c>
      <c r="N268" s="3" t="s">
        <v>362</v>
      </c>
      <c r="O268" s="3" t="s">
        <v>1595</v>
      </c>
      <c r="P268" s="3" t="s">
        <v>1141</v>
      </c>
      <c r="Q268" s="3" t="s">
        <v>29</v>
      </c>
      <c r="S268" s="1" t="s">
        <v>1596</v>
      </c>
    </row>
    <row r="269">
      <c r="A269" s="4">
        <v>44364.74870081019</v>
      </c>
      <c r="B269" s="3" t="s">
        <v>1597</v>
      </c>
      <c r="C269" s="3" t="s">
        <v>1598</v>
      </c>
      <c r="D269" s="3" t="s">
        <v>20</v>
      </c>
      <c r="E269" s="3">
        <v>44253.0</v>
      </c>
      <c r="F269" s="3">
        <v>29415.0</v>
      </c>
      <c r="G269" s="3" t="s">
        <v>21</v>
      </c>
      <c r="H269" s="3" t="s">
        <v>22</v>
      </c>
      <c r="J269" s="3" t="s">
        <v>1599</v>
      </c>
      <c r="K269" s="3" t="s">
        <v>1600</v>
      </c>
      <c r="L269" s="3" t="s">
        <v>1601</v>
      </c>
      <c r="M269" s="3" t="s">
        <v>1602</v>
      </c>
      <c r="N269" s="3" t="s">
        <v>27</v>
      </c>
      <c r="O269" s="3" t="s">
        <v>1603</v>
      </c>
      <c r="Q269" s="3" t="s">
        <v>1205</v>
      </c>
      <c r="S269" s="1" t="s">
        <v>1604</v>
      </c>
    </row>
    <row r="270">
      <c r="A270" s="4">
        <v>44364.765452465275</v>
      </c>
      <c r="B270" s="3" t="s">
        <v>1597</v>
      </c>
      <c r="C270" s="3" t="s">
        <v>1605</v>
      </c>
      <c r="D270" s="3" t="s">
        <v>358</v>
      </c>
      <c r="E270" s="3">
        <v>44309.0</v>
      </c>
      <c r="F270" s="3">
        <v>22060.0</v>
      </c>
      <c r="G270" s="3" t="s">
        <v>21</v>
      </c>
      <c r="H270" s="3" t="s">
        <v>22</v>
      </c>
      <c r="K270" s="3" t="s">
        <v>1606</v>
      </c>
      <c r="L270" s="3" t="s">
        <v>1607</v>
      </c>
      <c r="M270" s="3" t="s">
        <v>1608</v>
      </c>
      <c r="N270" s="3" t="s">
        <v>362</v>
      </c>
      <c r="O270" s="7" t="s">
        <v>1603</v>
      </c>
      <c r="Q270" s="3" t="s">
        <v>29</v>
      </c>
      <c r="S270" s="1" t="s">
        <v>1609</v>
      </c>
    </row>
    <row r="271">
      <c r="A271" s="4">
        <v>44369.574418171294</v>
      </c>
      <c r="B271" s="3" t="s">
        <v>1590</v>
      </c>
      <c r="C271" s="3" t="s">
        <v>1610</v>
      </c>
      <c r="D271" s="3" t="s">
        <v>358</v>
      </c>
      <c r="E271" s="3">
        <v>44368.0</v>
      </c>
      <c r="F271" s="3">
        <v>2260.0</v>
      </c>
      <c r="G271" s="3" t="s">
        <v>136</v>
      </c>
      <c r="H271" s="3" t="s">
        <v>22</v>
      </c>
      <c r="I271" s="3" t="s">
        <v>1137</v>
      </c>
      <c r="K271" s="3" t="s">
        <v>1611</v>
      </c>
      <c r="L271" s="3" t="s">
        <v>1612</v>
      </c>
      <c r="M271" s="3" t="s">
        <v>1613</v>
      </c>
      <c r="N271" s="3" t="s">
        <v>362</v>
      </c>
      <c r="O271" s="3" t="s">
        <v>1595</v>
      </c>
      <c r="P271" s="3" t="s">
        <v>1141</v>
      </c>
      <c r="Q271" s="3" t="s">
        <v>29</v>
      </c>
      <c r="S271" s="1" t="s">
        <v>1614</v>
      </c>
    </row>
    <row r="272">
      <c r="A272" s="4">
        <v>44369.64730670139</v>
      </c>
      <c r="B272" s="3" t="s">
        <v>1615</v>
      </c>
      <c r="C272" s="3" t="s">
        <v>1616</v>
      </c>
      <c r="D272" s="3" t="s">
        <v>358</v>
      </c>
      <c r="E272" s="3">
        <v>44369.0</v>
      </c>
      <c r="F272" s="3">
        <v>3000.0</v>
      </c>
      <c r="G272" s="3" t="s">
        <v>136</v>
      </c>
      <c r="H272" s="3" t="s">
        <v>22</v>
      </c>
      <c r="I272" s="3" t="s">
        <v>1137</v>
      </c>
      <c r="J272" s="3" t="s">
        <v>1617</v>
      </c>
      <c r="K272" s="3" t="s">
        <v>1618</v>
      </c>
      <c r="L272" s="3" t="s">
        <v>1619</v>
      </c>
      <c r="M272" s="3" t="s">
        <v>1620</v>
      </c>
      <c r="N272" s="3" t="s">
        <v>362</v>
      </c>
      <c r="O272" s="7" t="s">
        <v>1621</v>
      </c>
      <c r="P272" s="3" t="s">
        <v>1141</v>
      </c>
      <c r="Q272" s="3" t="s">
        <v>29</v>
      </c>
      <c r="S272" s="1" t="s">
        <v>1622</v>
      </c>
    </row>
    <row r="273">
      <c r="A273" s="4">
        <v>44369.6805627662</v>
      </c>
      <c r="B273" s="3" t="s">
        <v>1623</v>
      </c>
      <c r="C273" s="3" t="s">
        <v>1624</v>
      </c>
      <c r="D273" s="3" t="s">
        <v>358</v>
      </c>
      <c r="E273" s="3">
        <v>44369.0</v>
      </c>
      <c r="F273" s="3">
        <v>3350.0</v>
      </c>
      <c r="G273" s="3" t="s">
        <v>136</v>
      </c>
      <c r="H273" s="3" t="s">
        <v>22</v>
      </c>
      <c r="I273" s="3" t="s">
        <v>1625</v>
      </c>
      <c r="J273" s="3" t="s">
        <v>1626</v>
      </c>
      <c r="K273" s="3" t="s">
        <v>1627</v>
      </c>
      <c r="L273" s="3" t="s">
        <v>1628</v>
      </c>
      <c r="M273" s="3" t="s">
        <v>1629</v>
      </c>
      <c r="N273" s="3" t="s">
        <v>362</v>
      </c>
      <c r="O273" s="3" t="s">
        <v>1630</v>
      </c>
      <c r="P273" s="3" t="s">
        <v>1631</v>
      </c>
      <c r="Q273" s="3" t="s">
        <v>29</v>
      </c>
      <c r="S273" s="1" t="s">
        <v>1632</v>
      </c>
    </row>
    <row r="274">
      <c r="A274" s="4">
        <v>44369.74687497685</v>
      </c>
      <c r="B274" s="3" t="s">
        <v>1623</v>
      </c>
      <c r="C274" s="3" t="s">
        <v>1633</v>
      </c>
      <c r="D274" s="3" t="s">
        <v>358</v>
      </c>
      <c r="E274" s="3">
        <v>44369.0</v>
      </c>
      <c r="F274" s="3">
        <v>500.0</v>
      </c>
      <c r="G274" s="3" t="s">
        <v>136</v>
      </c>
      <c r="H274" s="3" t="s">
        <v>22</v>
      </c>
      <c r="I274" s="3" t="s">
        <v>1625</v>
      </c>
      <c r="K274" s="3" t="s">
        <v>1627</v>
      </c>
      <c r="L274" s="3" t="s">
        <v>1634</v>
      </c>
      <c r="M274" s="3" t="s">
        <v>1635</v>
      </c>
      <c r="N274" s="3" t="s">
        <v>362</v>
      </c>
      <c r="O274" s="3" t="s">
        <v>1630</v>
      </c>
      <c r="P274" s="3" t="s">
        <v>1631</v>
      </c>
      <c r="Q274" s="3" t="s">
        <v>29</v>
      </c>
      <c r="S274" s="1" t="s">
        <v>1636</v>
      </c>
    </row>
    <row r="275">
      <c r="A275" s="4">
        <v>44371.50757084491</v>
      </c>
      <c r="B275" s="3" t="s">
        <v>1012</v>
      </c>
      <c r="C275" s="3" t="s">
        <v>1637</v>
      </c>
      <c r="D275" s="3" t="s">
        <v>518</v>
      </c>
      <c r="E275" s="3">
        <v>44368.0</v>
      </c>
      <c r="F275" s="3">
        <v>12000.0</v>
      </c>
      <c r="G275" s="3" t="s">
        <v>136</v>
      </c>
      <c r="H275" s="3" t="s">
        <v>22</v>
      </c>
      <c r="I275" s="3" t="s">
        <v>1145</v>
      </c>
      <c r="J275" s="3" t="s">
        <v>1050</v>
      </c>
      <c r="K275" s="3" t="s">
        <v>1638</v>
      </c>
      <c r="L275" s="3" t="s">
        <v>1639</v>
      </c>
      <c r="M275" s="3" t="s">
        <v>1640</v>
      </c>
      <c r="N275" s="3" t="s">
        <v>523</v>
      </c>
      <c r="O275" s="3" t="s">
        <v>1017</v>
      </c>
      <c r="P275" s="3" t="s">
        <v>1150</v>
      </c>
      <c r="Q275" s="3" t="s">
        <v>29</v>
      </c>
      <c r="S275" s="1" t="s">
        <v>1641</v>
      </c>
    </row>
    <row r="276">
      <c r="A276" s="4">
        <v>44376.552847071755</v>
      </c>
      <c r="B276" s="3" t="s">
        <v>1642</v>
      </c>
      <c r="C276" s="3" t="s">
        <v>1643</v>
      </c>
      <c r="D276" s="3" t="s">
        <v>358</v>
      </c>
      <c r="E276" s="3">
        <v>44372.0</v>
      </c>
      <c r="F276" s="3">
        <v>13800.0</v>
      </c>
      <c r="G276" s="3" t="s">
        <v>136</v>
      </c>
      <c r="H276" s="3" t="s">
        <v>22</v>
      </c>
      <c r="K276" s="3" t="s">
        <v>1644</v>
      </c>
      <c r="L276" s="3" t="s">
        <v>1645</v>
      </c>
      <c r="M276" s="3" t="s">
        <v>1646</v>
      </c>
      <c r="N276" s="3" t="s">
        <v>362</v>
      </c>
      <c r="O276" s="3" t="s">
        <v>1647</v>
      </c>
      <c r="Q276" s="3" t="s">
        <v>29</v>
      </c>
      <c r="S276" s="1" t="s">
        <v>1648</v>
      </c>
    </row>
    <row r="277">
      <c r="A277" s="4">
        <v>44376.55538482639</v>
      </c>
      <c r="B277" s="3" t="s">
        <v>1649</v>
      </c>
      <c r="C277" s="3" t="s">
        <v>1650</v>
      </c>
      <c r="D277" s="3" t="s">
        <v>358</v>
      </c>
      <c r="E277" s="3">
        <v>44375.0</v>
      </c>
      <c r="F277" s="3">
        <v>3590.0</v>
      </c>
      <c r="G277" s="3" t="s">
        <v>136</v>
      </c>
      <c r="H277" s="3" t="s">
        <v>22</v>
      </c>
      <c r="I277" s="3" t="s">
        <v>1137</v>
      </c>
      <c r="K277" s="3" t="s">
        <v>1651</v>
      </c>
      <c r="L277" s="3" t="s">
        <v>1652</v>
      </c>
      <c r="M277" s="3" t="s">
        <v>1653</v>
      </c>
      <c r="N277" s="3" t="s">
        <v>362</v>
      </c>
      <c r="O277" s="3" t="s">
        <v>1654</v>
      </c>
      <c r="P277" s="3" t="s">
        <v>1141</v>
      </c>
      <c r="Q277" s="3" t="s">
        <v>1205</v>
      </c>
      <c r="S277" s="1" t="s">
        <v>1655</v>
      </c>
    </row>
    <row r="278">
      <c r="A278" s="4">
        <v>44378.598386412035</v>
      </c>
      <c r="B278" s="3" t="s">
        <v>1656</v>
      </c>
      <c r="C278" s="3" t="s">
        <v>1657</v>
      </c>
      <c r="D278" s="3" t="s">
        <v>358</v>
      </c>
      <c r="E278" s="3">
        <v>44378.0</v>
      </c>
      <c r="F278" s="3">
        <v>1860.0</v>
      </c>
      <c r="G278" s="3" t="s">
        <v>136</v>
      </c>
      <c r="H278" s="3" t="s">
        <v>22</v>
      </c>
      <c r="I278" s="3" t="s">
        <v>1137</v>
      </c>
      <c r="K278" s="3" t="s">
        <v>1658</v>
      </c>
      <c r="L278" s="3" t="s">
        <v>1659</v>
      </c>
      <c r="M278" s="3" t="s">
        <v>1660</v>
      </c>
      <c r="N278" s="3" t="s">
        <v>362</v>
      </c>
      <c r="O278" s="3" t="s">
        <v>1661</v>
      </c>
      <c r="P278" s="3" t="s">
        <v>1141</v>
      </c>
      <c r="Q278" s="3" t="s">
        <v>29</v>
      </c>
      <c r="S278" s="1" t="s">
        <v>1662</v>
      </c>
    </row>
    <row r="279">
      <c r="A279" s="4">
        <v>44378.61455186343</v>
      </c>
      <c r="B279" s="3" t="s">
        <v>1663</v>
      </c>
      <c r="C279" s="3" t="s">
        <v>1664</v>
      </c>
      <c r="D279" s="3" t="s">
        <v>358</v>
      </c>
      <c r="E279" s="3">
        <v>44378.0</v>
      </c>
      <c r="F279" s="3">
        <v>3000.0</v>
      </c>
      <c r="G279" s="3" t="s">
        <v>136</v>
      </c>
      <c r="H279" s="3" t="s">
        <v>22</v>
      </c>
      <c r="I279" s="3" t="s">
        <v>1137</v>
      </c>
      <c r="K279" s="3" t="s">
        <v>1665</v>
      </c>
      <c r="L279" s="3" t="s">
        <v>1666</v>
      </c>
      <c r="M279" s="3" t="s">
        <v>1667</v>
      </c>
      <c r="N279" s="3" t="s">
        <v>362</v>
      </c>
      <c r="O279" s="3" t="s">
        <v>1668</v>
      </c>
      <c r="P279" s="3" t="s">
        <v>1141</v>
      </c>
      <c r="Q279" s="3" t="s">
        <v>29</v>
      </c>
      <c r="S279" s="1" t="s">
        <v>1669</v>
      </c>
    </row>
    <row r="280">
      <c r="A280" s="4">
        <v>44379.54512354167</v>
      </c>
      <c r="B280" s="3" t="s">
        <v>1670</v>
      </c>
      <c r="C280" s="3" t="s">
        <v>1671</v>
      </c>
      <c r="D280" s="3" t="s">
        <v>358</v>
      </c>
      <c r="E280" s="3">
        <v>44379.0</v>
      </c>
      <c r="F280" s="3">
        <v>4690.0</v>
      </c>
      <c r="G280" s="3" t="s">
        <v>136</v>
      </c>
      <c r="H280" s="3" t="s">
        <v>22</v>
      </c>
      <c r="I280" s="3" t="s">
        <v>1137</v>
      </c>
      <c r="K280" s="3" t="s">
        <v>1672</v>
      </c>
      <c r="L280" s="3" t="s">
        <v>1673</v>
      </c>
      <c r="M280" s="3" t="s">
        <v>1674</v>
      </c>
      <c r="N280" s="3" t="s">
        <v>362</v>
      </c>
      <c r="O280" s="3" t="s">
        <v>1675</v>
      </c>
      <c r="P280" s="3" t="s">
        <v>1141</v>
      </c>
      <c r="Q280" s="3" t="s">
        <v>29</v>
      </c>
      <c r="S280" s="1" t="s">
        <v>1676</v>
      </c>
    </row>
    <row r="281">
      <c r="A281" s="4">
        <v>44379.57557259259</v>
      </c>
      <c r="B281" s="3" t="s">
        <v>1597</v>
      </c>
      <c r="C281" s="3" t="s">
        <v>1677</v>
      </c>
      <c r="D281" s="3" t="s">
        <v>358</v>
      </c>
      <c r="E281" s="3">
        <v>44379.0</v>
      </c>
      <c r="F281" s="3">
        <v>3720.0</v>
      </c>
      <c r="G281" s="3" t="s">
        <v>136</v>
      </c>
      <c r="H281" s="3" t="s">
        <v>22</v>
      </c>
      <c r="I281" s="3" t="s">
        <v>1137</v>
      </c>
      <c r="J281" s="3" t="s">
        <v>1678</v>
      </c>
      <c r="K281" s="3" t="s">
        <v>1679</v>
      </c>
      <c r="L281" s="3" t="s">
        <v>1680</v>
      </c>
      <c r="M281" s="3" t="s">
        <v>1681</v>
      </c>
      <c r="N281" s="3" t="s">
        <v>362</v>
      </c>
      <c r="O281" s="3" t="s">
        <v>1603</v>
      </c>
      <c r="P281" s="3" t="s">
        <v>1141</v>
      </c>
      <c r="Q281" s="3" t="s">
        <v>29</v>
      </c>
      <c r="S281" s="1" t="s">
        <v>1682</v>
      </c>
    </row>
    <row r="282">
      <c r="A282" s="4">
        <v>44383.650732800925</v>
      </c>
      <c r="B282" s="3" t="s">
        <v>1683</v>
      </c>
      <c r="C282" s="3" t="s">
        <v>1684</v>
      </c>
      <c r="D282" s="3" t="s">
        <v>358</v>
      </c>
      <c r="E282" s="3">
        <v>44383.0</v>
      </c>
      <c r="F282" s="3">
        <v>1380.0</v>
      </c>
      <c r="G282" s="3" t="s">
        <v>136</v>
      </c>
      <c r="H282" s="3" t="s">
        <v>22</v>
      </c>
      <c r="I282" s="3" t="s">
        <v>1137</v>
      </c>
      <c r="K282" s="3" t="s">
        <v>1685</v>
      </c>
      <c r="L282" s="3" t="s">
        <v>1686</v>
      </c>
      <c r="M282" s="3" t="s">
        <v>1687</v>
      </c>
      <c r="N282" s="3" t="s">
        <v>362</v>
      </c>
      <c r="O282" s="3" t="s">
        <v>1688</v>
      </c>
      <c r="P282" s="3" t="s">
        <v>1141</v>
      </c>
      <c r="Q282" s="3" t="s">
        <v>29</v>
      </c>
      <c r="S282" s="1" t="s">
        <v>1689</v>
      </c>
    </row>
    <row r="283">
      <c r="A283" s="4">
        <v>44397.7835581713</v>
      </c>
      <c r="B283" s="3" t="s">
        <v>1690</v>
      </c>
      <c r="C283" s="3" t="s">
        <v>1691</v>
      </c>
      <c r="D283" s="3" t="s">
        <v>358</v>
      </c>
      <c r="E283" s="3">
        <v>44386.0</v>
      </c>
      <c r="F283" s="3">
        <v>6505.0</v>
      </c>
      <c r="G283" s="3" t="s">
        <v>21</v>
      </c>
      <c r="H283" s="3" t="s">
        <v>22</v>
      </c>
      <c r="J283" s="3" t="s">
        <v>1692</v>
      </c>
      <c r="K283" s="3" t="s">
        <v>1693</v>
      </c>
      <c r="L283" s="3" t="s">
        <v>1694</v>
      </c>
      <c r="M283" s="3" t="s">
        <v>1695</v>
      </c>
      <c r="N283" s="3" t="s">
        <v>362</v>
      </c>
      <c r="O283" s="3" t="s">
        <v>1696</v>
      </c>
      <c r="Q283" s="3" t="s">
        <v>29</v>
      </c>
      <c r="S283" s="1" t="s">
        <v>1697</v>
      </c>
    </row>
    <row r="284">
      <c r="A284" s="4">
        <v>44397.78699613426</v>
      </c>
      <c r="B284" s="3" t="s">
        <v>1698</v>
      </c>
      <c r="C284" s="3" t="s">
        <v>1699</v>
      </c>
      <c r="D284" s="3" t="s">
        <v>358</v>
      </c>
      <c r="E284" s="3">
        <v>44385.0</v>
      </c>
      <c r="F284" s="3">
        <v>7575.0</v>
      </c>
      <c r="G284" s="3" t="s">
        <v>21</v>
      </c>
      <c r="H284" s="3" t="s">
        <v>22</v>
      </c>
      <c r="I284" s="3" t="s">
        <v>1145</v>
      </c>
      <c r="K284" s="3" t="s">
        <v>1700</v>
      </c>
      <c r="L284" s="3" t="s">
        <v>1701</v>
      </c>
      <c r="M284" s="3" t="s">
        <v>1702</v>
      </c>
      <c r="N284" s="3" t="s">
        <v>362</v>
      </c>
      <c r="O284" s="3" t="s">
        <v>1703</v>
      </c>
      <c r="P284" s="3" t="s">
        <v>1150</v>
      </c>
      <c r="Q284" s="3" t="s">
        <v>29</v>
      </c>
      <c r="S284" s="1" t="s">
        <v>1704</v>
      </c>
    </row>
    <row r="285">
      <c r="A285" s="4">
        <v>44398.72578173611</v>
      </c>
      <c r="B285" s="3" t="s">
        <v>516</v>
      </c>
      <c r="C285" s="3" t="s">
        <v>1705</v>
      </c>
      <c r="D285" s="3" t="s">
        <v>358</v>
      </c>
      <c r="E285" s="6">
        <v>44389.0</v>
      </c>
      <c r="F285" s="3">
        <v>5920.0</v>
      </c>
      <c r="G285" s="3" t="s">
        <v>21</v>
      </c>
      <c r="H285" s="3" t="s">
        <v>22</v>
      </c>
      <c r="J285" s="3" t="s">
        <v>1706</v>
      </c>
      <c r="K285" s="3" t="s">
        <v>1707</v>
      </c>
      <c r="L285" s="3" t="s">
        <v>1708</v>
      </c>
      <c r="M285" s="3" t="s">
        <v>1709</v>
      </c>
      <c r="N285" s="3" t="s">
        <v>362</v>
      </c>
      <c r="O285" s="3" t="s">
        <v>524</v>
      </c>
      <c r="Q285" s="3" t="s">
        <v>29</v>
      </c>
      <c r="S285" s="1" t="s">
        <v>1710</v>
      </c>
    </row>
    <row r="286">
      <c r="A286" s="4">
        <v>44399.53906241898</v>
      </c>
      <c r="B286" s="3" t="s">
        <v>1711</v>
      </c>
      <c r="C286" s="3" t="s">
        <v>1712</v>
      </c>
      <c r="D286" s="3" t="s">
        <v>20</v>
      </c>
      <c r="E286" s="3">
        <v>44317.0</v>
      </c>
      <c r="F286" s="3">
        <v>31500.0</v>
      </c>
      <c r="G286" s="3" t="s">
        <v>136</v>
      </c>
      <c r="H286" s="3" t="s">
        <v>22</v>
      </c>
      <c r="J286" s="3" t="s">
        <v>1713</v>
      </c>
      <c r="K286" s="3" t="s">
        <v>1714</v>
      </c>
      <c r="L286" s="3" t="s">
        <v>1715</v>
      </c>
      <c r="M286" s="3" t="s">
        <v>1716</v>
      </c>
      <c r="N286" s="3" t="s">
        <v>27</v>
      </c>
      <c r="O286" s="3" t="s">
        <v>1717</v>
      </c>
      <c r="Q286" s="3" t="s">
        <v>29</v>
      </c>
      <c r="S286" s="1" t="s">
        <v>1718</v>
      </c>
    </row>
    <row r="287">
      <c r="A287" s="4">
        <v>44399.57712128472</v>
      </c>
      <c r="B287" s="3" t="s">
        <v>1719</v>
      </c>
      <c r="C287" s="3" t="s">
        <v>1720</v>
      </c>
      <c r="D287" s="3" t="s">
        <v>358</v>
      </c>
      <c r="E287" s="3">
        <v>44348.0</v>
      </c>
      <c r="F287" s="3">
        <v>0.0</v>
      </c>
      <c r="G287" s="3" t="s">
        <v>136</v>
      </c>
      <c r="H287" s="3" t="s">
        <v>22</v>
      </c>
      <c r="K287" s="3" t="s">
        <v>1721</v>
      </c>
      <c r="L287" s="3" t="s">
        <v>1722</v>
      </c>
      <c r="M287" s="3" t="s">
        <v>1723</v>
      </c>
      <c r="N287" s="3" t="s">
        <v>362</v>
      </c>
      <c r="O287" s="3" t="s">
        <v>1724</v>
      </c>
      <c r="Q287" s="3" t="s">
        <v>29</v>
      </c>
      <c r="S287" s="1" t="s">
        <v>1725</v>
      </c>
    </row>
    <row r="288">
      <c r="A288" s="4">
        <v>44399.64366027778</v>
      </c>
      <c r="B288" s="3" t="s">
        <v>89</v>
      </c>
      <c r="C288" s="3" t="s">
        <v>1726</v>
      </c>
      <c r="D288" s="3" t="s">
        <v>756</v>
      </c>
      <c r="E288" s="3">
        <v>44329.0</v>
      </c>
      <c r="F288" s="3">
        <v>1150.0</v>
      </c>
      <c r="G288" s="3" t="s">
        <v>21</v>
      </c>
      <c r="H288" s="3" t="s">
        <v>22</v>
      </c>
      <c r="I288" s="3" t="s">
        <v>1167</v>
      </c>
      <c r="J288" s="3" t="s">
        <v>490</v>
      </c>
      <c r="K288" s="3" t="s">
        <v>1727</v>
      </c>
      <c r="L288" s="3" t="s">
        <v>1728</v>
      </c>
      <c r="M288" s="3" t="s">
        <v>1729</v>
      </c>
      <c r="N288" s="3" t="s">
        <v>760</v>
      </c>
      <c r="O288" s="3" t="s">
        <v>94</v>
      </c>
      <c r="P288" s="3" t="s">
        <v>1172</v>
      </c>
      <c r="Q288" s="3" t="s">
        <v>29</v>
      </c>
      <c r="S288" s="1" t="s">
        <v>1730</v>
      </c>
    </row>
    <row r="289">
      <c r="A289" s="4">
        <v>44413.72339960648</v>
      </c>
      <c r="B289" s="3" t="s">
        <v>322</v>
      </c>
      <c r="C289" s="3" t="s">
        <v>1731</v>
      </c>
      <c r="D289" s="3" t="s">
        <v>20</v>
      </c>
      <c r="E289" s="3">
        <v>44392.0</v>
      </c>
      <c r="F289" s="3">
        <v>62500.0</v>
      </c>
      <c r="G289" s="3" t="s">
        <v>21</v>
      </c>
      <c r="H289" s="3" t="s">
        <v>22</v>
      </c>
      <c r="J289" s="3" t="s">
        <v>1732</v>
      </c>
      <c r="K289" s="3" t="s">
        <v>1733</v>
      </c>
      <c r="L289" s="3" t="s">
        <v>1734</v>
      </c>
      <c r="M289" s="3" t="s">
        <v>1735</v>
      </c>
      <c r="N289" s="3" t="s">
        <v>27</v>
      </c>
      <c r="O289" s="3" t="s">
        <v>327</v>
      </c>
      <c r="Q289" s="3" t="s">
        <v>29</v>
      </c>
      <c r="S289" s="1" t="s">
        <v>1736</v>
      </c>
    </row>
    <row r="290">
      <c r="A290" s="4">
        <v>44413.74146770833</v>
      </c>
      <c r="B290" s="3" t="s">
        <v>1737</v>
      </c>
      <c r="C290" s="3" t="s">
        <v>1738</v>
      </c>
      <c r="D290" s="3" t="s">
        <v>20</v>
      </c>
      <c r="E290" s="3">
        <v>44398.0</v>
      </c>
      <c r="F290" s="3">
        <v>664800.0</v>
      </c>
      <c r="G290" s="3" t="s">
        <v>21</v>
      </c>
      <c r="H290" s="3" t="s">
        <v>22</v>
      </c>
      <c r="J290" s="3" t="s">
        <v>1739</v>
      </c>
      <c r="K290" s="3" t="s">
        <v>1740</v>
      </c>
      <c r="L290" s="3" t="s">
        <v>1741</v>
      </c>
      <c r="M290" s="3" t="s">
        <v>1742</v>
      </c>
      <c r="N290" s="3" t="s">
        <v>27</v>
      </c>
      <c r="O290" s="3" t="s">
        <v>1743</v>
      </c>
      <c r="Q290" s="3" t="s">
        <v>29</v>
      </c>
      <c r="S290" s="1" t="s">
        <v>1744</v>
      </c>
    </row>
    <row r="291">
      <c r="A291" s="4">
        <v>44419.64570158564</v>
      </c>
      <c r="B291" s="3" t="s">
        <v>516</v>
      </c>
      <c r="C291" s="3" t="s">
        <v>1745</v>
      </c>
      <c r="D291" s="3" t="s">
        <v>358</v>
      </c>
      <c r="E291" s="6">
        <v>44413.0</v>
      </c>
      <c r="F291" s="3">
        <v>34060.0</v>
      </c>
      <c r="G291" s="3" t="s">
        <v>21</v>
      </c>
      <c r="H291" s="3" t="s">
        <v>22</v>
      </c>
      <c r="I291" s="3" t="s">
        <v>1145</v>
      </c>
      <c r="J291" s="3" t="s">
        <v>1706</v>
      </c>
      <c r="K291" s="3" t="s">
        <v>1746</v>
      </c>
      <c r="L291" s="3" t="s">
        <v>1747</v>
      </c>
      <c r="M291" s="3" t="s">
        <v>1748</v>
      </c>
      <c r="N291" s="3" t="s">
        <v>362</v>
      </c>
      <c r="O291" s="3" t="s">
        <v>524</v>
      </c>
      <c r="P291" s="3" t="s">
        <v>1150</v>
      </c>
      <c r="Q291" s="3" t="s">
        <v>29</v>
      </c>
      <c r="S291" s="1" t="s">
        <v>1749</v>
      </c>
    </row>
    <row r="292">
      <c r="A292" s="4">
        <v>44419.662645752316</v>
      </c>
      <c r="B292" s="3" t="s">
        <v>1750</v>
      </c>
      <c r="C292" s="3" t="s">
        <v>1751</v>
      </c>
      <c r="D292" s="3" t="s">
        <v>20</v>
      </c>
      <c r="E292" s="3">
        <v>44414.0</v>
      </c>
      <c r="F292" s="3">
        <v>55690.0</v>
      </c>
      <c r="G292" s="3" t="s">
        <v>21</v>
      </c>
      <c r="H292" s="3" t="s">
        <v>22</v>
      </c>
      <c r="J292" s="3" t="s">
        <v>1752</v>
      </c>
      <c r="K292" s="3" t="s">
        <v>1753</v>
      </c>
      <c r="L292" s="3" t="s">
        <v>1754</v>
      </c>
      <c r="M292" s="3" t="s">
        <v>1755</v>
      </c>
      <c r="N292" s="3" t="s">
        <v>27</v>
      </c>
      <c r="O292" s="7" t="s">
        <v>1756</v>
      </c>
      <c r="Q292" s="3" t="s">
        <v>29</v>
      </c>
      <c r="S292" s="1" t="s">
        <v>1757</v>
      </c>
    </row>
    <row r="293">
      <c r="A293" s="4">
        <v>44421.737764687496</v>
      </c>
      <c r="B293" s="3" t="s">
        <v>1758</v>
      </c>
      <c r="C293" s="3" t="s">
        <v>1759</v>
      </c>
      <c r="D293" s="3" t="s">
        <v>20</v>
      </c>
      <c r="E293" s="3">
        <v>44326.0</v>
      </c>
      <c r="F293" s="3">
        <v>11800.0</v>
      </c>
      <c r="G293" s="3" t="s">
        <v>21</v>
      </c>
      <c r="H293" s="3" t="s">
        <v>22</v>
      </c>
      <c r="J293" s="3" t="s">
        <v>1760</v>
      </c>
      <c r="K293" s="3" t="s">
        <v>1761</v>
      </c>
      <c r="L293" s="3" t="s">
        <v>1762</v>
      </c>
      <c r="M293" s="3" t="s">
        <v>1763</v>
      </c>
      <c r="N293" s="3" t="s">
        <v>27</v>
      </c>
      <c r="O293" s="3" t="s">
        <v>1764</v>
      </c>
      <c r="Q293" s="3" t="s">
        <v>29</v>
      </c>
      <c r="S293" s="1" t="s">
        <v>1765</v>
      </c>
    </row>
    <row r="294">
      <c r="A294" s="4">
        <v>44421.76439459491</v>
      </c>
      <c r="B294" s="3" t="s">
        <v>482</v>
      </c>
      <c r="C294" s="3" t="s">
        <v>1766</v>
      </c>
      <c r="D294" s="3" t="s">
        <v>358</v>
      </c>
      <c r="E294" s="3">
        <v>44420.0</v>
      </c>
      <c r="F294" s="3">
        <v>7600.0</v>
      </c>
      <c r="G294" s="3" t="s">
        <v>21</v>
      </c>
      <c r="H294" s="3" t="s">
        <v>22</v>
      </c>
      <c r="I294" s="3" t="s">
        <v>1137</v>
      </c>
      <c r="K294" s="3" t="s">
        <v>1767</v>
      </c>
      <c r="L294" s="3" t="s">
        <v>1768</v>
      </c>
      <c r="M294" s="3" t="s">
        <v>1769</v>
      </c>
      <c r="N294" s="3" t="s">
        <v>362</v>
      </c>
      <c r="O294" s="3" t="s">
        <v>487</v>
      </c>
      <c r="P294" s="3" t="s">
        <v>1141</v>
      </c>
      <c r="Q294" s="3" t="s">
        <v>29</v>
      </c>
      <c r="S294" s="1" t="s">
        <v>1770</v>
      </c>
    </row>
    <row r="295">
      <c r="A295" s="4">
        <v>44421.76649454861</v>
      </c>
      <c r="B295" s="3" t="s">
        <v>482</v>
      </c>
      <c r="C295" s="3" t="s">
        <v>1771</v>
      </c>
      <c r="D295" s="3" t="s">
        <v>358</v>
      </c>
      <c r="E295" s="3">
        <v>44230.0</v>
      </c>
      <c r="F295" s="3">
        <v>3100.0</v>
      </c>
      <c r="G295" s="3" t="s">
        <v>21</v>
      </c>
      <c r="H295" s="3" t="s">
        <v>22</v>
      </c>
      <c r="I295" s="3" t="s">
        <v>1137</v>
      </c>
      <c r="K295" s="3" t="s">
        <v>1772</v>
      </c>
      <c r="L295" s="3" t="s">
        <v>1773</v>
      </c>
      <c r="M295" s="3" t="s">
        <v>1774</v>
      </c>
      <c r="N295" s="3" t="s">
        <v>362</v>
      </c>
      <c r="O295" s="3" t="s">
        <v>487</v>
      </c>
      <c r="P295" s="3" t="s">
        <v>1141</v>
      </c>
      <c r="Q295" s="3" t="s">
        <v>1205</v>
      </c>
      <c r="S295" s="1" t="s">
        <v>1775</v>
      </c>
    </row>
    <row r="296">
      <c r="A296" s="4">
        <v>44435.56516721065</v>
      </c>
      <c r="B296" s="3" t="s">
        <v>1776</v>
      </c>
      <c r="C296" s="3" t="s">
        <v>1777</v>
      </c>
      <c r="D296" s="3" t="s">
        <v>358</v>
      </c>
      <c r="E296" s="3">
        <v>44434.0</v>
      </c>
      <c r="F296" s="3">
        <v>320.0</v>
      </c>
      <c r="G296" s="3" t="s">
        <v>21</v>
      </c>
      <c r="H296" s="3" t="s">
        <v>22</v>
      </c>
      <c r="I296" s="3" t="s">
        <v>1137</v>
      </c>
      <c r="K296" s="3" t="s">
        <v>1778</v>
      </c>
      <c r="L296" s="3" t="s">
        <v>1779</v>
      </c>
      <c r="M296" s="3" t="s">
        <v>1780</v>
      </c>
      <c r="N296" s="3" t="s">
        <v>362</v>
      </c>
      <c r="O296" s="3" t="s">
        <v>1781</v>
      </c>
      <c r="P296" s="3" t="s">
        <v>1141</v>
      </c>
      <c r="Q296" s="3" t="s">
        <v>29</v>
      </c>
      <c r="S296" s="1" t="s">
        <v>1782</v>
      </c>
    </row>
    <row r="297">
      <c r="A297" s="4">
        <v>44446.47931944444</v>
      </c>
      <c r="B297" s="3" t="s">
        <v>1783</v>
      </c>
      <c r="C297" s="3" t="s">
        <v>1784</v>
      </c>
      <c r="D297" s="3" t="s">
        <v>358</v>
      </c>
      <c r="E297" s="3">
        <v>44424.0</v>
      </c>
      <c r="F297" s="3">
        <v>2675.0</v>
      </c>
      <c r="G297" s="3" t="s">
        <v>21</v>
      </c>
      <c r="H297" s="3" t="s">
        <v>22</v>
      </c>
      <c r="I297" s="3" t="s">
        <v>1137</v>
      </c>
      <c r="K297" s="3" t="s">
        <v>1785</v>
      </c>
      <c r="L297" s="3" t="s">
        <v>1786</v>
      </c>
      <c r="M297" s="3" t="s">
        <v>1787</v>
      </c>
      <c r="N297" s="3" t="s">
        <v>362</v>
      </c>
      <c r="O297" s="7" t="s">
        <v>1788</v>
      </c>
      <c r="P297" s="3" t="s">
        <v>1141</v>
      </c>
      <c r="Q297" s="3" t="s">
        <v>29</v>
      </c>
      <c r="S297" s="1" t="s">
        <v>1789</v>
      </c>
    </row>
    <row r="298">
      <c r="A298" s="4">
        <v>44446.48249899306</v>
      </c>
      <c r="B298" s="3" t="s">
        <v>482</v>
      </c>
      <c r="C298" s="3" t="s">
        <v>1790</v>
      </c>
      <c r="D298" s="3" t="s">
        <v>358</v>
      </c>
      <c r="E298" s="3">
        <v>44427.0</v>
      </c>
      <c r="F298" s="3">
        <v>8805.0</v>
      </c>
      <c r="G298" s="3" t="s">
        <v>21</v>
      </c>
      <c r="H298" s="3" t="s">
        <v>22</v>
      </c>
      <c r="K298" s="3" t="s">
        <v>1791</v>
      </c>
      <c r="L298" s="3" t="s">
        <v>1792</v>
      </c>
      <c r="M298" s="3" t="s">
        <v>1793</v>
      </c>
      <c r="N298" s="3" t="s">
        <v>362</v>
      </c>
      <c r="O298" s="3" t="s">
        <v>487</v>
      </c>
      <c r="Q298" s="3" t="s">
        <v>1205</v>
      </c>
      <c r="S298" s="1" t="s">
        <v>1794</v>
      </c>
    </row>
    <row r="299">
      <c r="A299" s="4">
        <v>44463.60674876157</v>
      </c>
      <c r="B299" s="3" t="s">
        <v>1795</v>
      </c>
      <c r="C299" s="3" t="s">
        <v>1796</v>
      </c>
      <c r="D299" s="3" t="s">
        <v>358</v>
      </c>
      <c r="E299" s="3">
        <v>44383.0</v>
      </c>
      <c r="F299" s="3">
        <v>4681.0</v>
      </c>
      <c r="G299" s="3" t="s">
        <v>21</v>
      </c>
      <c r="H299" s="3" t="s">
        <v>22</v>
      </c>
      <c r="K299" s="3" t="s">
        <v>1797</v>
      </c>
      <c r="L299" s="3" t="s">
        <v>1798</v>
      </c>
      <c r="M299" s="3" t="s">
        <v>1799</v>
      </c>
      <c r="N299" s="3" t="s">
        <v>362</v>
      </c>
      <c r="O299" s="7" t="s">
        <v>1800</v>
      </c>
      <c r="Q299" s="3" t="s">
        <v>29</v>
      </c>
      <c r="S299" s="1" t="s">
        <v>1801</v>
      </c>
    </row>
    <row r="300">
      <c r="A300" s="4">
        <v>44467.578502812496</v>
      </c>
      <c r="B300" s="3" t="s">
        <v>1802</v>
      </c>
      <c r="C300" s="3" t="s">
        <v>1803</v>
      </c>
      <c r="D300" s="3" t="s">
        <v>358</v>
      </c>
      <c r="E300" s="3">
        <v>44467.0</v>
      </c>
      <c r="F300" s="3">
        <v>2975.0</v>
      </c>
      <c r="G300" s="3" t="s">
        <v>21</v>
      </c>
      <c r="H300" s="3" t="s">
        <v>22</v>
      </c>
      <c r="I300" s="3" t="s">
        <v>1137</v>
      </c>
      <c r="K300" s="3" t="s">
        <v>1804</v>
      </c>
      <c r="L300" s="3" t="s">
        <v>1805</v>
      </c>
      <c r="M300" s="3" t="s">
        <v>1806</v>
      </c>
      <c r="N300" s="3" t="s">
        <v>362</v>
      </c>
      <c r="O300" s="3" t="s">
        <v>1807</v>
      </c>
      <c r="P300" s="3" t="s">
        <v>1141</v>
      </c>
      <c r="Q300" s="3" t="s">
        <v>29</v>
      </c>
      <c r="S300" s="1" t="s">
        <v>1808</v>
      </c>
    </row>
    <row r="301">
      <c r="A301" s="4">
        <v>44468.706410810184</v>
      </c>
      <c r="B301" s="3" t="s">
        <v>1698</v>
      </c>
      <c r="C301" s="3" t="s">
        <v>1809</v>
      </c>
      <c r="D301" s="3" t="s">
        <v>1049</v>
      </c>
      <c r="E301" s="3">
        <v>44400.0</v>
      </c>
      <c r="F301" s="3">
        <v>2650.0</v>
      </c>
      <c r="G301" s="3" t="s">
        <v>21</v>
      </c>
      <c r="H301" s="3" t="s">
        <v>22</v>
      </c>
      <c r="I301" s="3" t="s">
        <v>1145</v>
      </c>
      <c r="J301" s="3" t="s">
        <v>1810</v>
      </c>
      <c r="K301" s="3" t="s">
        <v>1811</v>
      </c>
      <c r="L301" s="3" t="s">
        <v>1812</v>
      </c>
      <c r="M301" s="3" t="s">
        <v>1813</v>
      </c>
      <c r="N301" s="3" t="s">
        <v>1054</v>
      </c>
      <c r="O301" s="3" t="s">
        <v>1703</v>
      </c>
      <c r="P301" s="3" t="s">
        <v>1150</v>
      </c>
      <c r="Q301" s="3" t="s">
        <v>29</v>
      </c>
      <c r="S301" s="1" t="s">
        <v>1814</v>
      </c>
    </row>
    <row r="302">
      <c r="A302" s="4">
        <v>44475.72343079861</v>
      </c>
      <c r="B302" s="3" t="s">
        <v>322</v>
      </c>
      <c r="C302" s="3" t="s">
        <v>1815</v>
      </c>
      <c r="D302" s="3" t="s">
        <v>20</v>
      </c>
      <c r="E302" s="3">
        <v>44474.0</v>
      </c>
      <c r="F302" s="3">
        <v>1158300.0</v>
      </c>
      <c r="G302" s="3" t="s">
        <v>21</v>
      </c>
      <c r="H302" s="3" t="s">
        <v>22</v>
      </c>
      <c r="I302" s="3" t="s">
        <v>1426</v>
      </c>
      <c r="J302" s="3" t="s">
        <v>1816</v>
      </c>
      <c r="K302" s="3" t="s">
        <v>1817</v>
      </c>
      <c r="L302" s="3" t="s">
        <v>1818</v>
      </c>
      <c r="M302" s="3" t="s">
        <v>1819</v>
      </c>
      <c r="N302" s="3" t="s">
        <v>27</v>
      </c>
      <c r="O302" s="3" t="s">
        <v>327</v>
      </c>
      <c r="Q302" s="3" t="s">
        <v>29</v>
      </c>
      <c r="S302" s="1" t="s">
        <v>1820</v>
      </c>
    </row>
    <row r="303">
      <c r="A303" s="4">
        <v>44496.59108884259</v>
      </c>
      <c r="B303" s="3" t="s">
        <v>1821</v>
      </c>
      <c r="C303" s="3" t="s">
        <v>1822</v>
      </c>
      <c r="D303" s="3" t="s">
        <v>358</v>
      </c>
      <c r="E303" s="3">
        <v>44428.0</v>
      </c>
      <c r="F303" s="3">
        <v>6890.0</v>
      </c>
      <c r="G303" s="3" t="s">
        <v>21</v>
      </c>
      <c r="H303" s="3" t="s">
        <v>22</v>
      </c>
      <c r="J303" s="3" t="s">
        <v>1823</v>
      </c>
      <c r="K303" s="3" t="s">
        <v>1824</v>
      </c>
      <c r="L303" s="3" t="s">
        <v>1825</v>
      </c>
      <c r="M303" s="3" t="s">
        <v>1826</v>
      </c>
      <c r="N303" s="3" t="s">
        <v>362</v>
      </c>
      <c r="O303" s="3" t="s">
        <v>1827</v>
      </c>
      <c r="Q303" s="3" t="s">
        <v>29</v>
      </c>
      <c r="S303" s="1" t="s">
        <v>1828</v>
      </c>
    </row>
    <row r="304">
      <c r="A304" s="4">
        <v>44496.654135833334</v>
      </c>
      <c r="B304" s="3" t="s">
        <v>1829</v>
      </c>
      <c r="C304" s="3" t="s">
        <v>1830</v>
      </c>
      <c r="D304" s="3" t="s">
        <v>20</v>
      </c>
      <c r="E304" s="3">
        <v>44466.0</v>
      </c>
      <c r="F304" s="3">
        <v>29850.0</v>
      </c>
      <c r="G304" s="3" t="s">
        <v>21</v>
      </c>
      <c r="H304" s="3" t="s">
        <v>22</v>
      </c>
      <c r="J304" s="3" t="s">
        <v>1831</v>
      </c>
      <c r="K304" s="3" t="s">
        <v>1832</v>
      </c>
      <c r="L304" s="3" t="s">
        <v>1833</v>
      </c>
      <c r="M304" s="3" t="s">
        <v>1834</v>
      </c>
      <c r="N304" s="3" t="s">
        <v>27</v>
      </c>
      <c r="O304" s="3" t="s">
        <v>1835</v>
      </c>
      <c r="Q304" s="3" t="s">
        <v>29</v>
      </c>
      <c r="S304" s="1" t="s">
        <v>1836</v>
      </c>
    </row>
    <row r="305">
      <c r="A305" s="4">
        <v>44496.703856875</v>
      </c>
      <c r="B305" s="3" t="s">
        <v>1837</v>
      </c>
      <c r="C305" s="3" t="s">
        <v>1838</v>
      </c>
      <c r="D305" s="3" t="s">
        <v>358</v>
      </c>
      <c r="E305" s="3">
        <v>44470.0</v>
      </c>
      <c r="F305" s="3">
        <v>13930.0</v>
      </c>
      <c r="G305" s="3" t="s">
        <v>21</v>
      </c>
      <c r="H305" s="3" t="s">
        <v>22</v>
      </c>
      <c r="J305" s="3" t="s">
        <v>1839</v>
      </c>
      <c r="K305" s="3" t="s">
        <v>1840</v>
      </c>
      <c r="L305" s="3" t="s">
        <v>1841</v>
      </c>
      <c r="M305" s="3" t="s">
        <v>1842</v>
      </c>
      <c r="N305" s="3" t="s">
        <v>362</v>
      </c>
      <c r="O305" s="3" t="s">
        <v>1843</v>
      </c>
      <c r="Q305" s="3" t="s">
        <v>29</v>
      </c>
      <c r="S305" s="1" t="s">
        <v>1844</v>
      </c>
    </row>
    <row r="306">
      <c r="A306" s="4">
        <v>44503.65283319444</v>
      </c>
      <c r="B306" s="3" t="s">
        <v>1845</v>
      </c>
      <c r="C306" s="3" t="s">
        <v>1846</v>
      </c>
      <c r="D306" s="3" t="s">
        <v>358</v>
      </c>
      <c r="E306" s="3">
        <v>44484.0</v>
      </c>
      <c r="F306" s="3">
        <v>3505.0</v>
      </c>
      <c r="G306" s="3" t="s">
        <v>21</v>
      </c>
      <c r="H306" s="3" t="s">
        <v>22</v>
      </c>
      <c r="I306" s="3" t="s">
        <v>1137</v>
      </c>
      <c r="K306" s="3" t="s">
        <v>1847</v>
      </c>
      <c r="L306" s="3" t="s">
        <v>1848</v>
      </c>
      <c r="M306" s="3" t="s">
        <v>1849</v>
      </c>
      <c r="N306" s="3" t="s">
        <v>362</v>
      </c>
      <c r="O306" s="3" t="s">
        <v>1850</v>
      </c>
      <c r="P306" s="3" t="s">
        <v>1141</v>
      </c>
      <c r="Q306" s="3" t="s">
        <v>1205</v>
      </c>
      <c r="S306" s="1" t="s">
        <v>1851</v>
      </c>
    </row>
    <row r="307">
      <c r="A307" s="4">
        <v>44506.64410460649</v>
      </c>
      <c r="B307" s="3" t="s">
        <v>1852</v>
      </c>
      <c r="C307" s="3" t="s">
        <v>329</v>
      </c>
      <c r="D307" s="3" t="s">
        <v>230</v>
      </c>
      <c r="E307" s="3">
        <v>44476.0</v>
      </c>
      <c r="F307" s="3">
        <v>43200.0</v>
      </c>
      <c r="G307" s="3" t="s">
        <v>136</v>
      </c>
      <c r="H307" s="3" t="s">
        <v>22</v>
      </c>
      <c r="I307" s="3" t="s">
        <v>1167</v>
      </c>
      <c r="J307" s="3" t="s">
        <v>1853</v>
      </c>
      <c r="K307" s="3" t="s">
        <v>1854</v>
      </c>
      <c r="L307" s="3" t="s">
        <v>1855</v>
      </c>
      <c r="M307" s="3" t="s">
        <v>1856</v>
      </c>
      <c r="N307" s="3" t="s">
        <v>234</v>
      </c>
      <c r="O307" s="3" t="s">
        <v>1857</v>
      </c>
      <c r="P307" s="3" t="s">
        <v>1172</v>
      </c>
      <c r="Q307" s="3" t="s">
        <v>29</v>
      </c>
      <c r="S307" s="1" t="s">
        <v>1858</v>
      </c>
    </row>
    <row r="308">
      <c r="A308" s="4">
        <v>44517.56584111111</v>
      </c>
      <c r="B308" s="3" t="s">
        <v>1859</v>
      </c>
      <c r="C308" s="3" t="s">
        <v>1860</v>
      </c>
      <c r="D308" s="3" t="s">
        <v>358</v>
      </c>
      <c r="E308" s="3">
        <v>44511.0</v>
      </c>
      <c r="F308" s="3">
        <v>1870.0</v>
      </c>
      <c r="G308" s="3" t="s">
        <v>136</v>
      </c>
      <c r="H308" s="3" t="s">
        <v>22</v>
      </c>
      <c r="I308" s="3" t="s">
        <v>1137</v>
      </c>
      <c r="K308" s="3" t="s">
        <v>1861</v>
      </c>
      <c r="L308" s="3" t="s">
        <v>1862</v>
      </c>
      <c r="M308" s="3" t="s">
        <v>1863</v>
      </c>
      <c r="N308" s="3" t="s">
        <v>362</v>
      </c>
      <c r="O308" s="3" t="s">
        <v>1864</v>
      </c>
      <c r="P308" s="3" t="s">
        <v>1141</v>
      </c>
      <c r="Q308" s="3" t="s">
        <v>29</v>
      </c>
      <c r="S308" s="1" t="s">
        <v>1865</v>
      </c>
    </row>
    <row r="309">
      <c r="A309" s="4">
        <v>44522.72409</v>
      </c>
      <c r="S309" s="1" t="e">
        <v>#VALUE!</v>
      </c>
    </row>
    <row r="310">
      <c r="A310" s="4">
        <v>44525.62527114584</v>
      </c>
      <c r="S310" s="1" t="e">
        <v>#VALUE!</v>
      </c>
    </row>
    <row r="311">
      <c r="A311" s="4">
        <v>44526.64523260416</v>
      </c>
      <c r="B311" s="3" t="s">
        <v>1866</v>
      </c>
      <c r="C311" s="3" t="s">
        <v>1867</v>
      </c>
      <c r="D311" s="3" t="s">
        <v>230</v>
      </c>
      <c r="E311" s="3">
        <v>44317.0</v>
      </c>
      <c r="F311" s="3">
        <v>450.0</v>
      </c>
      <c r="G311" s="3" t="s">
        <v>136</v>
      </c>
      <c r="H311" s="3" t="s">
        <v>22</v>
      </c>
      <c r="I311" s="3" t="s">
        <v>1167</v>
      </c>
      <c r="J311" s="3" t="s">
        <v>1868</v>
      </c>
      <c r="K311" s="3" t="s">
        <v>1869</v>
      </c>
      <c r="L311" s="3" t="s">
        <v>1870</v>
      </c>
      <c r="M311" s="3" t="s">
        <v>1871</v>
      </c>
      <c r="N311" s="3" t="s">
        <v>234</v>
      </c>
      <c r="O311" s="3" t="s">
        <v>1872</v>
      </c>
      <c r="P311" s="3" t="s">
        <v>1172</v>
      </c>
      <c r="Q311" s="3" t="s">
        <v>29</v>
      </c>
      <c r="S311" s="1" t="s">
        <v>1873</v>
      </c>
    </row>
    <row r="312">
      <c r="A312" s="4">
        <v>44529.51577799769</v>
      </c>
      <c r="B312" s="3" t="s">
        <v>988</v>
      </c>
      <c r="C312" s="3" t="s">
        <v>1874</v>
      </c>
      <c r="D312" s="3" t="s">
        <v>358</v>
      </c>
      <c r="E312" s="3">
        <v>44529.0</v>
      </c>
      <c r="F312" s="3">
        <v>22250.0</v>
      </c>
      <c r="G312" s="3" t="s">
        <v>350</v>
      </c>
      <c r="H312" s="3" t="s">
        <v>22</v>
      </c>
      <c r="I312" s="3" t="s">
        <v>1145</v>
      </c>
      <c r="K312" s="3" t="s">
        <v>1875</v>
      </c>
      <c r="L312" s="3" t="s">
        <v>1876</v>
      </c>
      <c r="M312" s="3" t="s">
        <v>1877</v>
      </c>
      <c r="N312" s="3" t="s">
        <v>362</v>
      </c>
      <c r="O312" s="3" t="s">
        <v>993</v>
      </c>
      <c r="P312" s="3" t="s">
        <v>1150</v>
      </c>
      <c r="Q312" s="3" t="s">
        <v>1205</v>
      </c>
      <c r="S312" s="1" t="s">
        <v>1878</v>
      </c>
    </row>
    <row r="313">
      <c r="A313" s="4">
        <v>44536.59558055556</v>
      </c>
      <c r="B313" s="3" t="s">
        <v>1879</v>
      </c>
      <c r="C313" s="3" t="s">
        <v>1880</v>
      </c>
      <c r="D313" s="3" t="s">
        <v>358</v>
      </c>
      <c r="E313" s="3">
        <v>44536.0</v>
      </c>
      <c r="F313" s="3">
        <v>6600.0</v>
      </c>
      <c r="G313" s="3" t="s">
        <v>136</v>
      </c>
      <c r="H313" s="3" t="s">
        <v>22</v>
      </c>
      <c r="I313" s="3" t="s">
        <v>1145</v>
      </c>
      <c r="J313" s="3" t="s">
        <v>1881</v>
      </c>
      <c r="K313" s="3" t="s">
        <v>1882</v>
      </c>
      <c r="L313" s="3" t="s">
        <v>1883</v>
      </c>
      <c r="M313" s="3" t="s">
        <v>1884</v>
      </c>
      <c r="N313" s="3" t="s">
        <v>362</v>
      </c>
      <c r="O313" s="3" t="s">
        <v>1885</v>
      </c>
      <c r="P313" s="3" t="s">
        <v>1150</v>
      </c>
      <c r="Q313" s="3" t="s">
        <v>29</v>
      </c>
      <c r="S313" s="1" t="s">
        <v>1886</v>
      </c>
    </row>
    <row r="314">
      <c r="A314" s="4">
        <v>44537.56290171296</v>
      </c>
      <c r="B314" s="3" t="s">
        <v>1261</v>
      </c>
      <c r="C314" s="3" t="s">
        <v>1887</v>
      </c>
      <c r="D314" s="3" t="s">
        <v>358</v>
      </c>
      <c r="E314" s="3">
        <v>44531.0</v>
      </c>
      <c r="F314" s="3">
        <v>9500.0</v>
      </c>
      <c r="G314" s="3" t="s">
        <v>21</v>
      </c>
      <c r="H314" s="3" t="s">
        <v>22</v>
      </c>
      <c r="I314" s="3" t="s">
        <v>1145</v>
      </c>
      <c r="K314" s="3" t="s">
        <v>1888</v>
      </c>
      <c r="L314" s="3" t="s">
        <v>1889</v>
      </c>
      <c r="M314" s="3" t="s">
        <v>1890</v>
      </c>
      <c r="N314" s="3" t="s">
        <v>362</v>
      </c>
      <c r="O314" s="3" t="s">
        <v>1266</v>
      </c>
      <c r="P314" s="3" t="s">
        <v>1150</v>
      </c>
      <c r="Q314" s="3" t="s">
        <v>29</v>
      </c>
      <c r="S314" s="1" t="s">
        <v>1891</v>
      </c>
    </row>
    <row r="315">
      <c r="A315" s="4">
        <v>44558.61888328704</v>
      </c>
      <c r="B315" s="3" t="s">
        <v>1892</v>
      </c>
      <c r="C315" s="3" t="s">
        <v>1893</v>
      </c>
      <c r="D315" s="3" t="s">
        <v>20</v>
      </c>
      <c r="E315" s="3">
        <v>44554.0</v>
      </c>
      <c r="F315" s="3">
        <v>400000.0</v>
      </c>
      <c r="G315" s="3" t="s">
        <v>21</v>
      </c>
      <c r="H315" s="3" t="s">
        <v>22</v>
      </c>
      <c r="K315" s="3" t="s">
        <v>1894</v>
      </c>
      <c r="L315" s="3" t="s">
        <v>1895</v>
      </c>
      <c r="M315" s="3" t="s">
        <v>1896</v>
      </c>
      <c r="N315" s="3" t="s">
        <v>27</v>
      </c>
      <c r="O315" s="3" t="s">
        <v>1897</v>
      </c>
      <c r="Q315" s="3" t="s">
        <v>29</v>
      </c>
      <c r="S315" s="1" t="s">
        <v>1898</v>
      </c>
    </row>
    <row r="316">
      <c r="A316" s="4">
        <v>44572.60478137732</v>
      </c>
      <c r="B316" s="3" t="s">
        <v>1899</v>
      </c>
      <c r="C316" s="3" t="s">
        <v>1900</v>
      </c>
      <c r="D316" s="3" t="s">
        <v>1049</v>
      </c>
      <c r="E316" s="3">
        <v>44571.0</v>
      </c>
      <c r="F316" s="3">
        <v>3000.0</v>
      </c>
      <c r="G316" s="3" t="s">
        <v>136</v>
      </c>
      <c r="H316" s="3" t="s">
        <v>22</v>
      </c>
      <c r="I316" s="3" t="s">
        <v>1145</v>
      </c>
      <c r="K316" s="3" t="s">
        <v>1901</v>
      </c>
      <c r="L316" s="3" t="s">
        <v>1902</v>
      </c>
      <c r="M316" s="3" t="s">
        <v>1903</v>
      </c>
      <c r="N316" s="3" t="s">
        <v>1054</v>
      </c>
      <c r="O316" s="3" t="s">
        <v>1904</v>
      </c>
      <c r="P316" s="3" t="s">
        <v>1150</v>
      </c>
      <c r="Q316" s="3" t="s">
        <v>29</v>
      </c>
      <c r="S316" s="1" t="s">
        <v>1905</v>
      </c>
    </row>
    <row r="317">
      <c r="A317" s="4">
        <v>44575.584016875</v>
      </c>
      <c r="B317" s="3" t="s">
        <v>386</v>
      </c>
      <c r="C317" s="3" t="s">
        <v>1906</v>
      </c>
      <c r="D317" s="3" t="s">
        <v>20</v>
      </c>
      <c r="E317" s="3">
        <v>44293.0</v>
      </c>
      <c r="F317" s="3">
        <v>429922.0</v>
      </c>
      <c r="G317" s="3" t="s">
        <v>21</v>
      </c>
      <c r="H317" s="3" t="s">
        <v>22</v>
      </c>
      <c r="K317" s="3" t="s">
        <v>1907</v>
      </c>
      <c r="L317" s="3" t="s">
        <v>1908</v>
      </c>
      <c r="M317" s="3" t="s">
        <v>1909</v>
      </c>
      <c r="N317" s="3" t="s">
        <v>27</v>
      </c>
      <c r="O317" s="3" t="s">
        <v>391</v>
      </c>
      <c r="Q317" s="3" t="s">
        <v>29</v>
      </c>
      <c r="S317" s="1" t="s">
        <v>1910</v>
      </c>
    </row>
    <row r="318">
      <c r="A318" s="4">
        <v>44587.53410506944</v>
      </c>
      <c r="B318" s="3" t="s">
        <v>1911</v>
      </c>
      <c r="C318" s="3" t="s">
        <v>1912</v>
      </c>
      <c r="D318" s="3" t="s">
        <v>358</v>
      </c>
      <c r="E318" s="3">
        <v>44585.0</v>
      </c>
      <c r="F318" s="3">
        <v>9000.0</v>
      </c>
      <c r="G318" s="3" t="s">
        <v>136</v>
      </c>
      <c r="H318" s="3" t="s">
        <v>22</v>
      </c>
      <c r="K318" s="3" t="s">
        <v>1913</v>
      </c>
      <c r="L318" s="3" t="s">
        <v>1914</v>
      </c>
      <c r="M318" s="3" t="s">
        <v>1915</v>
      </c>
      <c r="N318" s="3" t="s">
        <v>362</v>
      </c>
      <c r="O318" s="3" t="s">
        <v>1916</v>
      </c>
      <c r="Q318" s="3" t="s">
        <v>29</v>
      </c>
      <c r="S318" s="1" t="s">
        <v>1917</v>
      </c>
    </row>
    <row r="319">
      <c r="A319" s="4">
        <v>44588.51218469907</v>
      </c>
      <c r="B319" s="3" t="s">
        <v>1524</v>
      </c>
      <c r="C319" s="3" t="s">
        <v>1918</v>
      </c>
      <c r="D319" s="3" t="s">
        <v>358</v>
      </c>
      <c r="E319" s="3">
        <v>44357.0</v>
      </c>
      <c r="F319" s="3">
        <v>5352.0</v>
      </c>
      <c r="G319" s="3" t="s">
        <v>21</v>
      </c>
      <c r="H319" s="3" t="s">
        <v>22</v>
      </c>
      <c r="I319" s="3" t="s">
        <v>1160</v>
      </c>
      <c r="K319" s="3" t="s">
        <v>1919</v>
      </c>
      <c r="L319" s="3" t="s">
        <v>1920</v>
      </c>
      <c r="M319" s="3" t="s">
        <v>1921</v>
      </c>
      <c r="N319" s="3" t="s">
        <v>362</v>
      </c>
      <c r="O319" s="3" t="s">
        <v>1530</v>
      </c>
      <c r="P319" s="3" t="s">
        <v>1163</v>
      </c>
      <c r="Q319" s="3" t="s">
        <v>29</v>
      </c>
      <c r="S319" s="1" t="s">
        <v>1922</v>
      </c>
    </row>
    <row r="320">
      <c r="A320" s="4">
        <v>44589.700603391204</v>
      </c>
      <c r="B320" s="3" t="s">
        <v>1923</v>
      </c>
      <c r="C320" s="3" t="s">
        <v>1924</v>
      </c>
      <c r="D320" s="3" t="s">
        <v>230</v>
      </c>
      <c r="E320" s="3">
        <v>44562.0</v>
      </c>
      <c r="F320" s="3">
        <v>200.0</v>
      </c>
      <c r="G320" s="3" t="s">
        <v>21</v>
      </c>
      <c r="H320" s="3" t="s">
        <v>22</v>
      </c>
      <c r="K320" s="3" t="s">
        <v>1925</v>
      </c>
      <c r="L320" s="3" t="s">
        <v>1926</v>
      </c>
      <c r="M320" s="3" t="s">
        <v>1927</v>
      </c>
      <c r="N320" s="3" t="s">
        <v>234</v>
      </c>
      <c r="O320" s="3" t="s">
        <v>1928</v>
      </c>
      <c r="Q320" s="3" t="s">
        <v>29</v>
      </c>
      <c r="S320" s="1" t="s">
        <v>1929</v>
      </c>
    </row>
    <row r="321">
      <c r="A321" s="4">
        <v>44615.73315407407</v>
      </c>
      <c r="B321" s="3" t="s">
        <v>1930</v>
      </c>
      <c r="C321" s="3" t="s">
        <v>1931</v>
      </c>
      <c r="D321" s="3" t="s">
        <v>358</v>
      </c>
      <c r="E321" s="3">
        <v>44614.0</v>
      </c>
      <c r="F321" s="3">
        <v>60000.0</v>
      </c>
      <c r="G321" s="3" t="s">
        <v>21</v>
      </c>
      <c r="H321" s="3" t="s">
        <v>22</v>
      </c>
      <c r="I321" s="3" t="s">
        <v>1145</v>
      </c>
      <c r="J321" s="3" t="s">
        <v>1932</v>
      </c>
      <c r="K321" s="3" t="s">
        <v>1933</v>
      </c>
      <c r="L321" s="3" t="s">
        <v>1934</v>
      </c>
      <c r="M321" s="3" t="s">
        <v>1935</v>
      </c>
      <c r="N321" s="3" t="s">
        <v>362</v>
      </c>
      <c r="O321" s="3" t="s">
        <v>1936</v>
      </c>
      <c r="P321" s="3" t="s">
        <v>1150</v>
      </c>
      <c r="Q321" s="3" t="s">
        <v>29</v>
      </c>
      <c r="S321" s="1" t="s">
        <v>1937</v>
      </c>
    </row>
    <row r="322">
      <c r="A322" s="4">
        <v>44627.63574185185</v>
      </c>
      <c r="B322" s="3" t="s">
        <v>1938</v>
      </c>
      <c r="C322" s="3" t="s">
        <v>1939</v>
      </c>
      <c r="D322" s="3" t="s">
        <v>358</v>
      </c>
      <c r="E322" s="3">
        <v>44595.0</v>
      </c>
      <c r="F322" s="3">
        <v>9140.0</v>
      </c>
      <c r="G322" s="3" t="s">
        <v>21</v>
      </c>
      <c r="H322" s="3" t="s">
        <v>22</v>
      </c>
      <c r="I322" s="3" t="s">
        <v>1145</v>
      </c>
      <c r="K322" s="3" t="s">
        <v>1940</v>
      </c>
      <c r="L322" s="3" t="s">
        <v>1941</v>
      </c>
      <c r="M322" s="3" t="s">
        <v>1942</v>
      </c>
      <c r="N322" s="3" t="s">
        <v>362</v>
      </c>
      <c r="O322" s="3" t="s">
        <v>1943</v>
      </c>
      <c r="P322" s="3" t="s">
        <v>1150</v>
      </c>
      <c r="Q322" s="3" t="s">
        <v>29</v>
      </c>
      <c r="S322" s="1" t="s">
        <v>1944</v>
      </c>
    </row>
    <row r="323">
      <c r="A323" s="4">
        <v>44634.62141649306</v>
      </c>
      <c r="B323" s="3" t="s">
        <v>1165</v>
      </c>
      <c r="C323" s="3" t="s">
        <v>1945</v>
      </c>
      <c r="D323" s="3" t="s">
        <v>756</v>
      </c>
      <c r="E323" s="3">
        <v>44523.0</v>
      </c>
      <c r="F323" s="3">
        <v>660.0</v>
      </c>
      <c r="G323" s="3" t="s">
        <v>21</v>
      </c>
      <c r="H323" s="3" t="s">
        <v>1946</v>
      </c>
      <c r="K323" s="3" t="s">
        <v>1947</v>
      </c>
      <c r="L323" s="3" t="s">
        <v>1948</v>
      </c>
      <c r="M323" s="3" t="s">
        <v>1949</v>
      </c>
      <c r="N323" s="3" t="s">
        <v>760</v>
      </c>
      <c r="O323" s="3" t="s">
        <v>1171</v>
      </c>
      <c r="Q323" s="3" t="s">
        <v>29</v>
      </c>
      <c r="S323" s="1" t="s">
        <v>1950</v>
      </c>
    </row>
    <row r="324">
      <c r="A324" s="4">
        <v>44637.60769188657</v>
      </c>
      <c r="B324" s="3" t="s">
        <v>242</v>
      </c>
      <c r="C324" s="3" t="s">
        <v>1951</v>
      </c>
      <c r="D324" s="3" t="s">
        <v>20</v>
      </c>
      <c r="E324" s="3">
        <v>44546.0</v>
      </c>
      <c r="F324" s="3">
        <v>1161507.0</v>
      </c>
      <c r="G324" s="3" t="s">
        <v>21</v>
      </c>
      <c r="H324" s="3" t="s">
        <v>22</v>
      </c>
      <c r="J324" s="3" t="s">
        <v>1952</v>
      </c>
      <c r="K324" s="3" t="s">
        <v>1953</v>
      </c>
      <c r="L324" s="3" t="s">
        <v>1954</v>
      </c>
      <c r="M324" s="3" t="s">
        <v>1955</v>
      </c>
      <c r="N324" s="3" t="s">
        <v>27</v>
      </c>
      <c r="O324" s="3" t="s">
        <v>248</v>
      </c>
      <c r="Q324" s="3" t="s">
        <v>29</v>
      </c>
      <c r="S324" s="1" t="s">
        <v>1956</v>
      </c>
    </row>
    <row r="325">
      <c r="A325" s="4">
        <v>44637.661186365745</v>
      </c>
      <c r="B325" s="3" t="s">
        <v>242</v>
      </c>
      <c r="C325" s="3" t="s">
        <v>1957</v>
      </c>
      <c r="D325" s="3" t="s">
        <v>20</v>
      </c>
      <c r="E325" s="3">
        <v>44424.0</v>
      </c>
      <c r="F325" s="3">
        <v>1161507.82</v>
      </c>
      <c r="G325" s="3" t="s">
        <v>21</v>
      </c>
      <c r="H325" s="3" t="s">
        <v>22</v>
      </c>
      <c r="J325" s="3" t="s">
        <v>1958</v>
      </c>
      <c r="K325" s="3" t="s">
        <v>1959</v>
      </c>
      <c r="L325" s="3" t="s">
        <v>1960</v>
      </c>
      <c r="M325" s="3" t="s">
        <v>1961</v>
      </c>
      <c r="N325" s="3" t="s">
        <v>27</v>
      </c>
      <c r="O325" s="3" t="s">
        <v>248</v>
      </c>
      <c r="Q325" s="3" t="s">
        <v>29</v>
      </c>
      <c r="S325" s="1" t="s">
        <v>1962</v>
      </c>
    </row>
    <row r="326">
      <c r="A326" s="4">
        <v>44642.63712987269</v>
      </c>
      <c r="B326" s="3" t="s">
        <v>386</v>
      </c>
      <c r="C326" s="3" t="s">
        <v>1963</v>
      </c>
      <c r="D326" s="3" t="s">
        <v>20</v>
      </c>
      <c r="E326" s="3">
        <v>44581.0</v>
      </c>
      <c r="F326" s="3">
        <v>24000.0</v>
      </c>
      <c r="G326" s="3" t="s">
        <v>21</v>
      </c>
      <c r="H326" s="3" t="s">
        <v>22</v>
      </c>
      <c r="K326" s="3" t="s">
        <v>1964</v>
      </c>
      <c r="L326" s="3" t="s">
        <v>1965</v>
      </c>
      <c r="M326" s="3" t="s">
        <v>1966</v>
      </c>
      <c r="N326" s="3" t="s">
        <v>27</v>
      </c>
      <c r="O326" s="3" t="s">
        <v>391</v>
      </c>
      <c r="Q326" s="3" t="s">
        <v>29</v>
      </c>
      <c r="S326" s="1" t="s">
        <v>1967</v>
      </c>
    </row>
    <row r="327">
      <c r="A327" s="4">
        <v>44644.715204293985</v>
      </c>
      <c r="B327" s="3" t="s">
        <v>1968</v>
      </c>
      <c r="C327" s="3" t="s">
        <v>1969</v>
      </c>
      <c r="D327" s="3" t="s">
        <v>358</v>
      </c>
      <c r="E327" s="3">
        <v>44644.0</v>
      </c>
      <c r="F327" s="3">
        <v>1250.0</v>
      </c>
      <c r="G327" s="3" t="s">
        <v>21</v>
      </c>
      <c r="H327" s="3" t="s">
        <v>22</v>
      </c>
      <c r="I327" s="3" t="s">
        <v>1137</v>
      </c>
      <c r="K327" s="3" t="s">
        <v>1970</v>
      </c>
      <c r="L327" s="3" t="s">
        <v>1971</v>
      </c>
      <c r="M327" s="3" t="s">
        <v>1972</v>
      </c>
      <c r="N327" s="3" t="s">
        <v>362</v>
      </c>
      <c r="O327" s="3" t="s">
        <v>1973</v>
      </c>
      <c r="P327" s="3" t="s">
        <v>1141</v>
      </c>
      <c r="Q327" s="3" t="s">
        <v>29</v>
      </c>
      <c r="S327" s="1" t="s">
        <v>1974</v>
      </c>
    </row>
    <row r="328">
      <c r="A328" s="4"/>
      <c r="S328" s="1" t="s">
        <v>1975</v>
      </c>
    </row>
    <row r="329">
      <c r="A329" s="4">
        <v>44645.711357418986</v>
      </c>
      <c r="B329" s="3" t="s">
        <v>1976</v>
      </c>
      <c r="C329" s="3" t="s">
        <v>1977</v>
      </c>
      <c r="D329" s="3" t="s">
        <v>358</v>
      </c>
      <c r="E329" s="3">
        <v>44480.0</v>
      </c>
      <c r="F329" s="3">
        <v>870.0</v>
      </c>
      <c r="G329" s="3" t="s">
        <v>21</v>
      </c>
      <c r="H329" s="3" t="s">
        <v>22</v>
      </c>
      <c r="K329" s="3" t="s">
        <v>1978</v>
      </c>
      <c r="L329" s="3" t="s">
        <v>1979</v>
      </c>
      <c r="M329" s="3" t="s">
        <v>1980</v>
      </c>
      <c r="N329" s="3" t="s">
        <v>362</v>
      </c>
      <c r="O329" s="3" t="s">
        <v>1981</v>
      </c>
      <c r="Q329" s="3" t="s">
        <v>29</v>
      </c>
      <c r="S329" s="1" t="s">
        <v>1982</v>
      </c>
    </row>
    <row r="330">
      <c r="A330" s="4">
        <v>44648.50951744213</v>
      </c>
      <c r="B330" s="3" t="s">
        <v>1983</v>
      </c>
      <c r="C330" s="3" t="s">
        <v>1984</v>
      </c>
      <c r="D330" s="3" t="s">
        <v>358</v>
      </c>
      <c r="E330" s="3">
        <v>44645.0</v>
      </c>
      <c r="F330" s="3">
        <v>1420.0</v>
      </c>
      <c r="G330" s="3" t="s">
        <v>136</v>
      </c>
      <c r="H330" s="3" t="s">
        <v>22</v>
      </c>
      <c r="I330" s="3" t="s">
        <v>1137</v>
      </c>
      <c r="K330" s="3" t="s">
        <v>1985</v>
      </c>
      <c r="L330" s="3" t="s">
        <v>1986</v>
      </c>
      <c r="M330" s="3" t="s">
        <v>1987</v>
      </c>
      <c r="N330" s="3" t="s">
        <v>362</v>
      </c>
      <c r="O330" s="3" t="s">
        <v>1988</v>
      </c>
      <c r="P330" s="3" t="s">
        <v>1141</v>
      </c>
      <c r="Q330" s="3" t="s">
        <v>1205</v>
      </c>
      <c r="S330" s="1" t="s">
        <v>1989</v>
      </c>
    </row>
    <row r="331">
      <c r="A331" s="4">
        <v>44648.535637002315</v>
      </c>
      <c r="B331" s="3" t="s">
        <v>1990</v>
      </c>
      <c r="C331" s="3" t="s">
        <v>1991</v>
      </c>
      <c r="D331" s="3" t="s">
        <v>20</v>
      </c>
      <c r="E331" s="3">
        <v>44582.0</v>
      </c>
      <c r="F331" s="3">
        <v>2281058.0</v>
      </c>
      <c r="G331" s="3" t="s">
        <v>21</v>
      </c>
      <c r="H331" s="3" t="s">
        <v>22</v>
      </c>
      <c r="K331" s="3" t="s">
        <v>1992</v>
      </c>
      <c r="L331" s="3" t="s">
        <v>1993</v>
      </c>
      <c r="M331" s="3" t="s">
        <v>1994</v>
      </c>
      <c r="N331" s="3" t="s">
        <v>27</v>
      </c>
      <c r="O331" s="3" t="s">
        <v>1995</v>
      </c>
      <c r="Q331" s="3" t="s">
        <v>29</v>
      </c>
      <c r="S331" s="1" t="s">
        <v>1996</v>
      </c>
    </row>
    <row r="332">
      <c r="A332" s="4">
        <v>44657.69348618056</v>
      </c>
      <c r="B332" s="3" t="s">
        <v>372</v>
      </c>
      <c r="C332" s="3" t="s">
        <v>1997</v>
      </c>
      <c r="D332" s="3" t="s">
        <v>756</v>
      </c>
      <c r="E332" s="3">
        <v>44643.0</v>
      </c>
      <c r="F332" s="3">
        <v>501.0</v>
      </c>
      <c r="G332" s="3" t="s">
        <v>21</v>
      </c>
      <c r="H332" s="3" t="s">
        <v>22</v>
      </c>
      <c r="I332" s="3" t="s">
        <v>1116</v>
      </c>
      <c r="K332" s="3" t="s">
        <v>1998</v>
      </c>
      <c r="L332" s="3" t="s">
        <v>1999</v>
      </c>
      <c r="M332" s="3" t="s">
        <v>2000</v>
      </c>
      <c r="N332" s="3" t="s">
        <v>760</v>
      </c>
      <c r="O332" s="3" t="s">
        <v>377</v>
      </c>
      <c r="P332" s="3" t="s">
        <v>1122</v>
      </c>
      <c r="Q332" s="3" t="s">
        <v>29</v>
      </c>
      <c r="S332" s="1" t="s">
        <v>2001</v>
      </c>
    </row>
    <row r="333">
      <c r="A333" s="4">
        <v>44663.61776530092</v>
      </c>
      <c r="B333" s="3" t="s">
        <v>2002</v>
      </c>
      <c r="C333" s="3" t="s">
        <v>2003</v>
      </c>
      <c r="D333" s="3" t="s">
        <v>358</v>
      </c>
      <c r="E333" s="3">
        <v>44644.0</v>
      </c>
      <c r="F333" s="3">
        <v>4750.0</v>
      </c>
      <c r="G333" s="3" t="s">
        <v>136</v>
      </c>
      <c r="H333" s="3" t="s">
        <v>22</v>
      </c>
      <c r="I333" s="3" t="s">
        <v>1137</v>
      </c>
      <c r="K333" s="3" t="s">
        <v>2004</v>
      </c>
      <c r="L333" s="3" t="s">
        <v>2005</v>
      </c>
      <c r="M333" s="3" t="s">
        <v>2006</v>
      </c>
      <c r="N333" s="3" t="s">
        <v>362</v>
      </c>
      <c r="O333" s="3" t="s">
        <v>2007</v>
      </c>
      <c r="P333" s="3" t="s">
        <v>1141</v>
      </c>
      <c r="Q333" s="3" t="s">
        <v>29</v>
      </c>
      <c r="S333" s="1" t="s">
        <v>2008</v>
      </c>
    </row>
    <row r="334">
      <c r="A334" s="4">
        <v>44664.79123387732</v>
      </c>
      <c r="B334" s="3" t="s">
        <v>1802</v>
      </c>
      <c r="C334" s="3" t="s">
        <v>2009</v>
      </c>
      <c r="D334" s="3" t="s">
        <v>358</v>
      </c>
      <c r="E334" s="3">
        <v>44547.0</v>
      </c>
      <c r="F334" s="3">
        <v>1895.0</v>
      </c>
      <c r="G334" s="3" t="s">
        <v>21</v>
      </c>
      <c r="H334" s="3" t="s">
        <v>22</v>
      </c>
      <c r="K334" s="3" t="s">
        <v>2010</v>
      </c>
      <c r="L334" s="3" t="s">
        <v>2011</v>
      </c>
      <c r="M334" s="3" t="s">
        <v>2012</v>
      </c>
      <c r="N334" s="3" t="s">
        <v>362</v>
      </c>
      <c r="O334" s="3" t="s">
        <v>1807</v>
      </c>
      <c r="Q334" s="3" t="s">
        <v>29</v>
      </c>
      <c r="S334" s="1" t="s">
        <v>2013</v>
      </c>
    </row>
    <row r="335">
      <c r="A335" s="4">
        <v>44665.47450020834</v>
      </c>
      <c r="S335" s="1" t="e">
        <v>#VALUE!</v>
      </c>
    </row>
    <row r="336">
      <c r="A336" s="4">
        <v>44665.6632621875</v>
      </c>
      <c r="B336" s="3" t="s">
        <v>2014</v>
      </c>
      <c r="C336" s="3" t="s">
        <v>2015</v>
      </c>
      <c r="D336" s="3" t="s">
        <v>358</v>
      </c>
      <c r="E336" s="3">
        <v>44665.0</v>
      </c>
      <c r="F336" s="3">
        <v>7600.0</v>
      </c>
      <c r="G336" s="3" t="s">
        <v>136</v>
      </c>
      <c r="H336" s="3" t="s">
        <v>22</v>
      </c>
      <c r="I336" s="3" t="s">
        <v>1160</v>
      </c>
      <c r="K336" s="3" t="s">
        <v>2016</v>
      </c>
      <c r="L336" s="3" t="s">
        <v>2017</v>
      </c>
      <c r="M336" s="3" t="s">
        <v>2018</v>
      </c>
      <c r="N336" s="3" t="s">
        <v>362</v>
      </c>
      <c r="O336" s="3" t="s">
        <v>2019</v>
      </c>
      <c r="P336" s="3" t="s">
        <v>1163</v>
      </c>
      <c r="Q336" s="3" t="s">
        <v>29</v>
      </c>
      <c r="S336" s="1" t="s">
        <v>2020</v>
      </c>
    </row>
    <row r="337">
      <c r="A337" s="4">
        <v>44678.630718472225</v>
      </c>
      <c r="B337" s="3" t="s">
        <v>2021</v>
      </c>
      <c r="C337" s="3" t="s">
        <v>2022</v>
      </c>
      <c r="D337" s="3" t="s">
        <v>358</v>
      </c>
      <c r="E337" s="3">
        <v>44669.0</v>
      </c>
      <c r="F337" s="3">
        <v>6250.0</v>
      </c>
      <c r="G337" s="3" t="s">
        <v>136</v>
      </c>
      <c r="H337" s="3" t="s">
        <v>22</v>
      </c>
      <c r="K337" s="3" t="s">
        <v>2023</v>
      </c>
      <c r="L337" s="3" t="s">
        <v>2024</v>
      </c>
      <c r="M337" s="3" t="s">
        <v>2025</v>
      </c>
      <c r="N337" s="3" t="s">
        <v>362</v>
      </c>
      <c r="O337" s="3" t="s">
        <v>2026</v>
      </c>
      <c r="Q337" s="3" t="s">
        <v>29</v>
      </c>
      <c r="S337" s="1" t="s">
        <v>2027</v>
      </c>
    </row>
    <row r="338">
      <c r="A338" s="4">
        <v>44683.647764988425</v>
      </c>
      <c r="B338" s="3" t="s">
        <v>1072</v>
      </c>
      <c r="C338" s="3" t="s">
        <v>2028</v>
      </c>
      <c r="D338" s="3" t="s">
        <v>358</v>
      </c>
      <c r="E338" s="3">
        <v>44683.0</v>
      </c>
      <c r="F338" s="3">
        <v>1280.0</v>
      </c>
      <c r="G338" s="3" t="s">
        <v>21</v>
      </c>
      <c r="H338" s="3" t="s">
        <v>22</v>
      </c>
      <c r="K338" s="3" t="s">
        <v>2029</v>
      </c>
      <c r="L338" s="3" t="s">
        <v>2030</v>
      </c>
      <c r="M338" s="3" t="s">
        <v>2031</v>
      </c>
      <c r="N338" s="3" t="s">
        <v>362</v>
      </c>
      <c r="O338" s="3" t="s">
        <v>1077</v>
      </c>
      <c r="Q338" s="3" t="s">
        <v>29</v>
      </c>
      <c r="S338" s="1" t="s">
        <v>2032</v>
      </c>
    </row>
    <row r="339">
      <c r="A339" s="4">
        <v>44685.500825995376</v>
      </c>
      <c r="B339" s="3" t="s">
        <v>356</v>
      </c>
      <c r="C339" s="3" t="s">
        <v>2033</v>
      </c>
      <c r="D339" s="3" t="s">
        <v>230</v>
      </c>
      <c r="E339" s="3">
        <v>43586.0</v>
      </c>
      <c r="F339" s="3">
        <v>1.0</v>
      </c>
      <c r="G339" s="3" t="s">
        <v>21</v>
      </c>
      <c r="H339" s="3" t="s">
        <v>22</v>
      </c>
      <c r="K339" s="3" t="s">
        <v>738</v>
      </c>
      <c r="L339" s="3" t="s">
        <v>2034</v>
      </c>
      <c r="M339" s="3" t="s">
        <v>2035</v>
      </c>
      <c r="N339" s="3" t="s">
        <v>234</v>
      </c>
      <c r="O339" s="3" t="s">
        <v>363</v>
      </c>
      <c r="Q339" s="3" t="s">
        <v>29</v>
      </c>
      <c r="S339" s="1" t="s">
        <v>2036</v>
      </c>
    </row>
    <row r="340">
      <c r="A340" s="4">
        <v>44685.60383393518</v>
      </c>
      <c r="B340" s="3" t="s">
        <v>110</v>
      </c>
      <c r="C340" s="3" t="s">
        <v>2037</v>
      </c>
      <c r="D340" s="3" t="s">
        <v>230</v>
      </c>
      <c r="E340" s="3">
        <v>44409.0</v>
      </c>
      <c r="F340" s="3">
        <v>250.0</v>
      </c>
      <c r="G340" s="3" t="s">
        <v>136</v>
      </c>
      <c r="H340" s="3" t="s">
        <v>22</v>
      </c>
      <c r="K340" s="3" t="s">
        <v>2038</v>
      </c>
      <c r="L340" s="3" t="s">
        <v>2039</v>
      </c>
      <c r="M340" s="3" t="s">
        <v>2040</v>
      </c>
      <c r="N340" s="3" t="s">
        <v>234</v>
      </c>
      <c r="O340" s="3" t="s">
        <v>116</v>
      </c>
      <c r="Q340" s="3" t="s">
        <v>1205</v>
      </c>
      <c r="S340" s="1" t="s">
        <v>2041</v>
      </c>
    </row>
    <row r="341">
      <c r="A341" s="4">
        <v>44687.51703611111</v>
      </c>
      <c r="B341" s="3" t="s">
        <v>2042</v>
      </c>
      <c r="C341" s="3" t="s">
        <v>19</v>
      </c>
      <c r="D341" s="3" t="s">
        <v>230</v>
      </c>
      <c r="E341" s="3">
        <v>44652.0</v>
      </c>
      <c r="F341" s="3">
        <v>1500.0</v>
      </c>
      <c r="G341" s="3" t="s">
        <v>136</v>
      </c>
      <c r="H341" s="3" t="s">
        <v>22</v>
      </c>
      <c r="I341" s="3" t="s">
        <v>1167</v>
      </c>
      <c r="K341" s="3" t="s">
        <v>2043</v>
      </c>
      <c r="L341" s="3" t="s">
        <v>2044</v>
      </c>
      <c r="M341" s="3" t="s">
        <v>2045</v>
      </c>
      <c r="N341" s="3" t="s">
        <v>234</v>
      </c>
      <c r="O341" s="3" t="s">
        <v>2046</v>
      </c>
      <c r="P341" s="3" t="s">
        <v>1172</v>
      </c>
      <c r="Q341" s="3" t="s">
        <v>29</v>
      </c>
      <c r="S341" s="1" t="s">
        <v>2047</v>
      </c>
    </row>
    <row r="342">
      <c r="A342" s="4">
        <v>44687.69013662037</v>
      </c>
      <c r="B342" s="3" t="s">
        <v>1335</v>
      </c>
      <c r="C342" s="3" t="s">
        <v>2048</v>
      </c>
      <c r="D342" s="3" t="s">
        <v>230</v>
      </c>
      <c r="E342" s="3">
        <v>44652.0</v>
      </c>
      <c r="F342" s="3">
        <v>1150.0</v>
      </c>
      <c r="G342" s="3" t="s">
        <v>136</v>
      </c>
      <c r="H342" s="3" t="s">
        <v>22</v>
      </c>
      <c r="K342" s="3" t="s">
        <v>2049</v>
      </c>
      <c r="L342" s="3" t="s">
        <v>2050</v>
      </c>
      <c r="M342" s="3" t="s">
        <v>2051</v>
      </c>
      <c r="N342" s="3" t="s">
        <v>234</v>
      </c>
      <c r="O342" s="3" t="s">
        <v>1341</v>
      </c>
      <c r="Q342" s="3" t="s">
        <v>29</v>
      </c>
      <c r="S342" s="1" t="s">
        <v>2052</v>
      </c>
    </row>
    <row r="343">
      <c r="A343" s="4">
        <v>44687.691224016206</v>
      </c>
      <c r="B343" s="3" t="s">
        <v>1335</v>
      </c>
      <c r="C343" s="3" t="s">
        <v>2053</v>
      </c>
      <c r="D343" s="3" t="s">
        <v>230</v>
      </c>
      <c r="E343" s="3">
        <v>44652.0</v>
      </c>
      <c r="F343" s="3">
        <v>350.0</v>
      </c>
      <c r="G343" s="3" t="s">
        <v>136</v>
      </c>
      <c r="H343" s="3" t="s">
        <v>22</v>
      </c>
      <c r="K343" s="3" t="s">
        <v>2049</v>
      </c>
      <c r="L343" s="3" t="s">
        <v>2054</v>
      </c>
      <c r="M343" s="3" t="s">
        <v>2055</v>
      </c>
      <c r="N343" s="3" t="s">
        <v>234</v>
      </c>
      <c r="O343" s="3" t="s">
        <v>1341</v>
      </c>
      <c r="Q343" s="3" t="s">
        <v>1205</v>
      </c>
      <c r="S343" s="1" t="s">
        <v>2056</v>
      </c>
    </row>
    <row r="344">
      <c r="A344" s="4">
        <v>44687.740022638885</v>
      </c>
      <c r="B344" s="3" t="s">
        <v>2057</v>
      </c>
      <c r="C344" s="3" t="s">
        <v>2058</v>
      </c>
      <c r="D344" s="3" t="s">
        <v>230</v>
      </c>
      <c r="E344" s="3">
        <v>44474.0</v>
      </c>
      <c r="F344" s="3">
        <v>900.0</v>
      </c>
      <c r="G344" s="3" t="s">
        <v>21</v>
      </c>
      <c r="H344" s="3" t="s">
        <v>22</v>
      </c>
      <c r="K344" s="3" t="s">
        <v>2059</v>
      </c>
      <c r="L344" s="3" t="s">
        <v>2060</v>
      </c>
      <c r="M344" s="3" t="s">
        <v>2061</v>
      </c>
      <c r="N344" s="3" t="s">
        <v>234</v>
      </c>
      <c r="O344" s="3" t="s">
        <v>2062</v>
      </c>
      <c r="Q344" s="3" t="s">
        <v>29</v>
      </c>
      <c r="S344" s="1" t="s">
        <v>2063</v>
      </c>
    </row>
    <row r="345">
      <c r="A345" s="4">
        <v>44687.74673017361</v>
      </c>
      <c r="B345" s="3" t="s">
        <v>2057</v>
      </c>
      <c r="C345" s="3" t="s">
        <v>2064</v>
      </c>
      <c r="D345" s="3" t="s">
        <v>230</v>
      </c>
      <c r="E345" s="3">
        <v>44691.0</v>
      </c>
      <c r="F345" s="3">
        <v>400.0</v>
      </c>
      <c r="G345" s="3" t="s">
        <v>21</v>
      </c>
      <c r="H345" s="3" t="s">
        <v>22</v>
      </c>
      <c r="K345" s="3" t="s">
        <v>2065</v>
      </c>
      <c r="L345" s="3" t="s">
        <v>2066</v>
      </c>
      <c r="M345" s="3" t="s">
        <v>2067</v>
      </c>
      <c r="N345" s="3" t="s">
        <v>234</v>
      </c>
      <c r="O345" s="3" t="s">
        <v>2062</v>
      </c>
      <c r="Q345" s="3" t="s">
        <v>1205</v>
      </c>
      <c r="S345" s="1" t="s">
        <v>2068</v>
      </c>
    </row>
    <row r="346">
      <c r="A346" s="4">
        <v>44687.765015439814</v>
      </c>
      <c r="B346" s="3" t="s">
        <v>482</v>
      </c>
      <c r="C346" s="3" t="s">
        <v>2069</v>
      </c>
      <c r="D346" s="3" t="s">
        <v>230</v>
      </c>
      <c r="E346" s="3">
        <v>44075.0</v>
      </c>
      <c r="F346" s="3">
        <v>1.0</v>
      </c>
      <c r="G346" s="3" t="s">
        <v>136</v>
      </c>
      <c r="H346" s="3" t="s">
        <v>22</v>
      </c>
      <c r="K346" s="3" t="s">
        <v>2070</v>
      </c>
      <c r="L346" s="3" t="s">
        <v>2071</v>
      </c>
      <c r="M346" s="3" t="s">
        <v>2072</v>
      </c>
      <c r="N346" s="3" t="s">
        <v>234</v>
      </c>
      <c r="O346" s="3" t="s">
        <v>487</v>
      </c>
      <c r="Q346" s="3" t="s">
        <v>29</v>
      </c>
      <c r="S346" s="1" t="s">
        <v>2073</v>
      </c>
    </row>
    <row r="347">
      <c r="A347" s="4">
        <v>44692.59091787037</v>
      </c>
      <c r="B347" s="3" t="s">
        <v>482</v>
      </c>
      <c r="C347" s="3" t="s">
        <v>2074</v>
      </c>
      <c r="D347" s="3" t="s">
        <v>230</v>
      </c>
      <c r="E347" s="3">
        <v>43466.0</v>
      </c>
      <c r="F347" s="3">
        <v>250.0</v>
      </c>
      <c r="G347" s="3" t="s">
        <v>136</v>
      </c>
      <c r="H347" s="3" t="s">
        <v>22</v>
      </c>
      <c r="K347" s="3" t="s">
        <v>2075</v>
      </c>
      <c r="L347" s="3" t="s">
        <v>2076</v>
      </c>
      <c r="M347" s="3" t="s">
        <v>2077</v>
      </c>
      <c r="N347" s="3" t="s">
        <v>234</v>
      </c>
      <c r="O347" s="3" t="s">
        <v>487</v>
      </c>
      <c r="Q347" s="3" t="s">
        <v>29</v>
      </c>
      <c r="S347" s="1" t="s">
        <v>2078</v>
      </c>
    </row>
    <row r="348">
      <c r="A348" s="4">
        <v>44692.59174396991</v>
      </c>
      <c r="B348" s="3" t="s">
        <v>482</v>
      </c>
      <c r="C348" s="3" t="s">
        <v>2079</v>
      </c>
      <c r="D348" s="3" t="s">
        <v>230</v>
      </c>
      <c r="E348" s="3">
        <v>43466.0</v>
      </c>
      <c r="F348" s="3">
        <v>250.0</v>
      </c>
      <c r="G348" s="3" t="s">
        <v>136</v>
      </c>
      <c r="H348" s="3" t="s">
        <v>22</v>
      </c>
      <c r="K348" s="3" t="s">
        <v>2075</v>
      </c>
      <c r="L348" s="3" t="s">
        <v>2080</v>
      </c>
      <c r="M348" s="3" t="s">
        <v>2081</v>
      </c>
      <c r="N348" s="3" t="s">
        <v>234</v>
      </c>
      <c r="O348" s="3" t="s">
        <v>487</v>
      </c>
      <c r="Q348" s="3" t="s">
        <v>1205</v>
      </c>
      <c r="S348" s="1" t="s">
        <v>2082</v>
      </c>
    </row>
    <row r="349">
      <c r="A349" s="4">
        <v>44692.66919763889</v>
      </c>
      <c r="B349" s="3" t="s">
        <v>242</v>
      </c>
      <c r="C349" s="3" t="s">
        <v>2083</v>
      </c>
      <c r="D349" s="3" t="s">
        <v>230</v>
      </c>
      <c r="E349" s="3">
        <v>44562.0</v>
      </c>
      <c r="F349" s="3">
        <v>225.0</v>
      </c>
      <c r="G349" s="3" t="s">
        <v>21</v>
      </c>
      <c r="H349" s="3" t="s">
        <v>22</v>
      </c>
      <c r="J349" s="3" t="s">
        <v>859</v>
      </c>
      <c r="K349" s="3" t="s">
        <v>2084</v>
      </c>
      <c r="L349" s="3" t="s">
        <v>2085</v>
      </c>
      <c r="M349" s="3" t="s">
        <v>2086</v>
      </c>
      <c r="N349" s="3" t="s">
        <v>234</v>
      </c>
      <c r="O349" s="3" t="s">
        <v>248</v>
      </c>
      <c r="Q349" s="3" t="s">
        <v>29</v>
      </c>
      <c r="S349" s="1" t="s">
        <v>2087</v>
      </c>
    </row>
    <row r="350">
      <c r="A350" s="4">
        <v>44692.70155533565</v>
      </c>
      <c r="B350" s="3" t="s">
        <v>2088</v>
      </c>
      <c r="C350" s="3" t="s">
        <v>2089</v>
      </c>
      <c r="D350" s="3" t="s">
        <v>230</v>
      </c>
      <c r="E350" s="3">
        <v>44089.0</v>
      </c>
      <c r="F350" s="3">
        <v>1200.0</v>
      </c>
      <c r="G350" s="3" t="s">
        <v>136</v>
      </c>
      <c r="H350" s="3" t="s">
        <v>22</v>
      </c>
      <c r="K350" s="3" t="s">
        <v>2090</v>
      </c>
      <c r="L350" s="3" t="s">
        <v>2091</v>
      </c>
      <c r="M350" s="3" t="s">
        <v>2092</v>
      </c>
      <c r="N350" s="3" t="s">
        <v>234</v>
      </c>
      <c r="O350" s="3" t="s">
        <v>2093</v>
      </c>
      <c r="Q350" s="3" t="s">
        <v>29</v>
      </c>
      <c r="S350" s="1" t="s">
        <v>2094</v>
      </c>
    </row>
    <row r="351">
      <c r="A351" s="4">
        <v>44692.8080486574</v>
      </c>
      <c r="B351" s="3" t="s">
        <v>2095</v>
      </c>
      <c r="C351" s="3" t="s">
        <v>2096</v>
      </c>
      <c r="D351" s="3" t="s">
        <v>230</v>
      </c>
      <c r="E351" s="3">
        <v>43466.0</v>
      </c>
      <c r="F351" s="3">
        <v>1200.0</v>
      </c>
      <c r="G351" s="3" t="s">
        <v>136</v>
      </c>
      <c r="H351" s="3" t="s">
        <v>22</v>
      </c>
      <c r="K351" s="3" t="s">
        <v>2097</v>
      </c>
      <c r="L351" s="3" t="s">
        <v>2098</v>
      </c>
      <c r="M351" s="3" t="s">
        <v>2099</v>
      </c>
      <c r="N351" s="3" t="s">
        <v>234</v>
      </c>
      <c r="O351" s="3" t="s">
        <v>2100</v>
      </c>
      <c r="Q351" s="3" t="s">
        <v>29</v>
      </c>
      <c r="S351" s="1" t="s">
        <v>2101</v>
      </c>
    </row>
    <row r="352">
      <c r="A352" s="4">
        <v>44692.809343333334</v>
      </c>
      <c r="B352" s="3" t="s">
        <v>2102</v>
      </c>
      <c r="C352" s="3" t="s">
        <v>2103</v>
      </c>
      <c r="D352" s="3" t="s">
        <v>230</v>
      </c>
      <c r="E352" s="3">
        <v>43466.0</v>
      </c>
      <c r="F352" s="3">
        <v>1500.0</v>
      </c>
      <c r="G352" s="3" t="s">
        <v>136</v>
      </c>
      <c r="H352" s="3" t="s">
        <v>22</v>
      </c>
      <c r="K352" s="3" t="s">
        <v>2104</v>
      </c>
      <c r="L352" s="3" t="s">
        <v>2105</v>
      </c>
      <c r="M352" s="3" t="s">
        <v>2106</v>
      </c>
      <c r="N352" s="3" t="s">
        <v>234</v>
      </c>
      <c r="O352" s="3" t="s">
        <v>2107</v>
      </c>
      <c r="Q352" s="3" t="s">
        <v>29</v>
      </c>
      <c r="S352" s="1" t="s">
        <v>2108</v>
      </c>
    </row>
    <row r="353">
      <c r="A353" s="4">
        <v>44694.527349571756</v>
      </c>
      <c r="B353" s="3" t="s">
        <v>2109</v>
      </c>
      <c r="C353" s="3" t="s">
        <v>2110</v>
      </c>
      <c r="D353" s="3" t="s">
        <v>230</v>
      </c>
      <c r="E353" s="3">
        <v>44501.0</v>
      </c>
      <c r="F353" s="3">
        <v>900.0</v>
      </c>
      <c r="G353" s="3" t="s">
        <v>136</v>
      </c>
      <c r="H353" s="3" t="s">
        <v>22</v>
      </c>
      <c r="I353" s="3" t="s">
        <v>2111</v>
      </c>
      <c r="K353" s="3" t="s">
        <v>2112</v>
      </c>
      <c r="L353" s="3" t="s">
        <v>2113</v>
      </c>
      <c r="M353" s="3" t="s">
        <v>2114</v>
      </c>
      <c r="N353" s="3" t="s">
        <v>234</v>
      </c>
      <c r="O353" s="3" t="s">
        <v>2115</v>
      </c>
      <c r="P353" s="3" t="s">
        <v>2116</v>
      </c>
      <c r="Q353" s="3" t="s">
        <v>29</v>
      </c>
      <c r="S353" s="1" t="s">
        <v>2117</v>
      </c>
    </row>
    <row r="354">
      <c r="A354" s="4">
        <v>44694.55507149306</v>
      </c>
      <c r="B354" s="3" t="s">
        <v>2118</v>
      </c>
      <c r="C354" s="3" t="s">
        <v>2119</v>
      </c>
      <c r="D354" s="3" t="s">
        <v>230</v>
      </c>
      <c r="E354" s="3">
        <v>44651.0</v>
      </c>
      <c r="F354" s="3">
        <v>600.0</v>
      </c>
      <c r="G354" s="3" t="s">
        <v>136</v>
      </c>
      <c r="H354" s="3" t="s">
        <v>22</v>
      </c>
      <c r="I354" s="3" t="s">
        <v>1167</v>
      </c>
      <c r="K354" s="3" t="s">
        <v>2120</v>
      </c>
      <c r="L354" s="3" t="s">
        <v>2121</v>
      </c>
      <c r="M354" s="3" t="s">
        <v>2122</v>
      </c>
      <c r="N354" s="3" t="s">
        <v>234</v>
      </c>
      <c r="O354" s="3" t="s">
        <v>2123</v>
      </c>
      <c r="P354" s="3" t="s">
        <v>1172</v>
      </c>
      <c r="Q354" s="3" t="s">
        <v>29</v>
      </c>
      <c r="S354" s="1" t="s">
        <v>2124</v>
      </c>
    </row>
    <row r="355">
      <c r="A355" s="4">
        <v>44697.478749166665</v>
      </c>
      <c r="B355" s="3" t="s">
        <v>1829</v>
      </c>
      <c r="C355" s="3" t="s">
        <v>1830</v>
      </c>
      <c r="D355" s="3" t="s">
        <v>230</v>
      </c>
      <c r="E355" s="3">
        <v>44682.0</v>
      </c>
      <c r="F355" s="3">
        <v>1.0</v>
      </c>
      <c r="G355" s="3" t="s">
        <v>136</v>
      </c>
      <c r="H355" s="3" t="s">
        <v>22</v>
      </c>
      <c r="K355" s="3" t="s">
        <v>2125</v>
      </c>
      <c r="L355" s="3" t="s">
        <v>2126</v>
      </c>
      <c r="M355" s="3" t="s">
        <v>2127</v>
      </c>
      <c r="N355" s="3" t="s">
        <v>234</v>
      </c>
      <c r="O355" s="3" t="s">
        <v>1835</v>
      </c>
      <c r="Q355" s="3" t="s">
        <v>29</v>
      </c>
      <c r="S355" s="1" t="s">
        <v>2128</v>
      </c>
    </row>
    <row r="356">
      <c r="A356" s="4">
        <v>44697.56896912037</v>
      </c>
      <c r="B356" s="3" t="s">
        <v>2129</v>
      </c>
      <c r="C356" s="3" t="s">
        <v>2130</v>
      </c>
      <c r="D356" s="3" t="s">
        <v>358</v>
      </c>
      <c r="E356" s="3">
        <v>44697.0</v>
      </c>
      <c r="F356" s="3">
        <v>3590.0</v>
      </c>
      <c r="G356" s="3" t="s">
        <v>136</v>
      </c>
      <c r="H356" s="3" t="s">
        <v>22</v>
      </c>
      <c r="I356" s="3" t="s">
        <v>1160</v>
      </c>
      <c r="K356" s="3" t="s">
        <v>2131</v>
      </c>
      <c r="L356" s="3" t="s">
        <v>2132</v>
      </c>
      <c r="M356" s="3" t="s">
        <v>2133</v>
      </c>
      <c r="N356" s="3" t="s">
        <v>362</v>
      </c>
      <c r="O356" s="3" t="s">
        <v>2134</v>
      </c>
      <c r="P356" s="3" t="s">
        <v>1163</v>
      </c>
      <c r="Q356" s="3" t="s">
        <v>29</v>
      </c>
      <c r="S356" s="1" t="s">
        <v>2135</v>
      </c>
    </row>
    <row r="357">
      <c r="A357" s="4">
        <v>44698.554598194445</v>
      </c>
      <c r="B357" s="3" t="s">
        <v>67</v>
      </c>
      <c r="C357" s="3" t="s">
        <v>2136</v>
      </c>
      <c r="D357" s="3" t="s">
        <v>230</v>
      </c>
      <c r="E357" s="3">
        <v>43466.0</v>
      </c>
      <c r="F357" s="3">
        <v>200.0</v>
      </c>
      <c r="G357" s="3" t="s">
        <v>136</v>
      </c>
      <c r="H357" s="3" t="s">
        <v>22</v>
      </c>
      <c r="K357" s="3" t="s">
        <v>2137</v>
      </c>
      <c r="L357" s="3" t="s">
        <v>2138</v>
      </c>
      <c r="M357" s="3" t="s">
        <v>2139</v>
      </c>
      <c r="N357" s="3" t="s">
        <v>234</v>
      </c>
      <c r="O357" s="3" t="s">
        <v>72</v>
      </c>
      <c r="Q357" s="3" t="s">
        <v>29</v>
      </c>
      <c r="S357" s="1" t="s">
        <v>2140</v>
      </c>
    </row>
    <row r="358">
      <c r="A358" s="4">
        <v>44698.74765148148</v>
      </c>
      <c r="B358" s="3" t="s">
        <v>1218</v>
      </c>
      <c r="C358" s="3" t="s">
        <v>2141</v>
      </c>
      <c r="D358" s="3" t="s">
        <v>1362</v>
      </c>
      <c r="E358" s="3">
        <v>44562.0</v>
      </c>
      <c r="F358" s="3">
        <v>20000.0</v>
      </c>
      <c r="G358" s="3" t="s">
        <v>136</v>
      </c>
      <c r="H358" s="3" t="s">
        <v>22</v>
      </c>
      <c r="J358" s="10" t="s">
        <v>2142</v>
      </c>
      <c r="K358" s="3" t="s">
        <v>2143</v>
      </c>
      <c r="L358" s="3" t="s">
        <v>2144</v>
      </c>
      <c r="M358" s="3" t="s">
        <v>2145</v>
      </c>
      <c r="N358" s="3" t="s">
        <v>1366</v>
      </c>
      <c r="O358" s="3" t="s">
        <v>1223</v>
      </c>
      <c r="Q358" s="3" t="s">
        <v>1205</v>
      </c>
      <c r="S358" s="1" t="s">
        <v>2146</v>
      </c>
    </row>
    <row r="359">
      <c r="A359" s="4">
        <v>44699.71083703704</v>
      </c>
      <c r="B359" s="3" t="s">
        <v>2147</v>
      </c>
      <c r="C359" s="3" t="s">
        <v>2148</v>
      </c>
      <c r="D359" s="3" t="s">
        <v>358</v>
      </c>
      <c r="E359" s="3">
        <v>44652.0</v>
      </c>
      <c r="F359" s="3">
        <v>1000.0</v>
      </c>
      <c r="G359" s="3" t="s">
        <v>136</v>
      </c>
      <c r="H359" s="3" t="s">
        <v>22</v>
      </c>
      <c r="J359" s="3" t="s">
        <v>2149</v>
      </c>
      <c r="K359" s="3" t="s">
        <v>2150</v>
      </c>
      <c r="L359" s="3" t="s">
        <v>2151</v>
      </c>
      <c r="M359" s="3" t="s">
        <v>2152</v>
      </c>
      <c r="N359" s="3" t="s">
        <v>362</v>
      </c>
      <c r="O359" s="3" t="s">
        <v>2153</v>
      </c>
      <c r="Q359" s="3" t="s">
        <v>29</v>
      </c>
      <c r="S359" s="1" t="s">
        <v>2154</v>
      </c>
    </row>
    <row r="360">
      <c r="A360" s="4">
        <v>44700.50955876157</v>
      </c>
      <c r="B360" s="3" t="s">
        <v>2155</v>
      </c>
      <c r="C360" s="3" t="s">
        <v>2156</v>
      </c>
      <c r="D360" s="3" t="s">
        <v>20</v>
      </c>
      <c r="E360" s="3">
        <v>44602.0</v>
      </c>
      <c r="F360" s="3">
        <v>372497.0</v>
      </c>
      <c r="G360" s="3" t="s">
        <v>21</v>
      </c>
      <c r="H360" s="3" t="s">
        <v>22</v>
      </c>
      <c r="K360" s="3" t="s">
        <v>2157</v>
      </c>
      <c r="L360" s="3" t="s">
        <v>2158</v>
      </c>
      <c r="M360" s="3" t="s">
        <v>2159</v>
      </c>
      <c r="N360" s="3" t="s">
        <v>27</v>
      </c>
      <c r="O360" s="3" t="s">
        <v>2160</v>
      </c>
      <c r="Q360" s="3" t="s">
        <v>29</v>
      </c>
      <c r="S360" s="1" t="s">
        <v>2161</v>
      </c>
    </row>
    <row r="361">
      <c r="A361" s="4">
        <v>44712.734675879634</v>
      </c>
      <c r="B361" s="3" t="s">
        <v>2162</v>
      </c>
      <c r="C361" s="3" t="s">
        <v>2163</v>
      </c>
      <c r="D361" s="3" t="s">
        <v>20</v>
      </c>
      <c r="E361" s="3">
        <v>44701.0</v>
      </c>
      <c r="F361" s="3">
        <v>626280.0</v>
      </c>
      <c r="G361" s="3" t="s">
        <v>21</v>
      </c>
      <c r="H361" s="3" t="s">
        <v>22</v>
      </c>
      <c r="K361" s="3" t="s">
        <v>2164</v>
      </c>
      <c r="L361" s="3" t="s">
        <v>2165</v>
      </c>
      <c r="M361" s="3" t="s">
        <v>2166</v>
      </c>
      <c r="N361" s="3" t="s">
        <v>27</v>
      </c>
      <c r="O361" s="3" t="s">
        <v>2167</v>
      </c>
      <c r="Q361" s="3" t="s">
        <v>29</v>
      </c>
      <c r="S361" s="1" t="s">
        <v>2168</v>
      </c>
    </row>
    <row r="362">
      <c r="A362" s="4">
        <v>44718.5940977662</v>
      </c>
      <c r="B362" s="3" t="s">
        <v>1821</v>
      </c>
      <c r="C362" s="3" t="s">
        <v>2169</v>
      </c>
      <c r="D362" s="3" t="s">
        <v>1049</v>
      </c>
      <c r="E362" s="3">
        <v>44715.0</v>
      </c>
      <c r="F362" s="3">
        <v>5000.0</v>
      </c>
      <c r="G362" s="3" t="s">
        <v>136</v>
      </c>
      <c r="H362" s="3" t="s">
        <v>22</v>
      </c>
      <c r="I362" s="3" t="s">
        <v>1145</v>
      </c>
      <c r="K362" s="3" t="s">
        <v>2170</v>
      </c>
      <c r="L362" s="3" t="s">
        <v>2171</v>
      </c>
      <c r="M362" s="3" t="s">
        <v>2172</v>
      </c>
      <c r="N362" s="3" t="s">
        <v>1054</v>
      </c>
      <c r="O362" s="3" t="s">
        <v>1827</v>
      </c>
      <c r="P362" s="3" t="s">
        <v>1150</v>
      </c>
      <c r="Q362" s="3" t="s">
        <v>29</v>
      </c>
      <c r="S362" s="1" t="s">
        <v>2173</v>
      </c>
    </row>
    <row r="363">
      <c r="A363" s="4">
        <v>44720.73357859954</v>
      </c>
      <c r="B363" s="3" t="s">
        <v>2174</v>
      </c>
      <c r="C363" s="3" t="s">
        <v>2175</v>
      </c>
      <c r="D363" s="3" t="s">
        <v>358</v>
      </c>
      <c r="E363" s="3">
        <v>44719.0</v>
      </c>
      <c r="F363" s="3">
        <v>4050.0</v>
      </c>
      <c r="G363" s="3" t="s">
        <v>136</v>
      </c>
      <c r="H363" s="3" t="s">
        <v>22</v>
      </c>
      <c r="I363" s="3" t="s">
        <v>1160</v>
      </c>
      <c r="K363" s="3" t="s">
        <v>2176</v>
      </c>
      <c r="L363" s="3" t="s">
        <v>2177</v>
      </c>
      <c r="M363" s="3" t="s">
        <v>2178</v>
      </c>
      <c r="N363" s="3" t="s">
        <v>362</v>
      </c>
      <c r="O363" s="3" t="s">
        <v>2179</v>
      </c>
      <c r="P363" s="3" t="s">
        <v>1163</v>
      </c>
      <c r="Q363" s="3" t="s">
        <v>29</v>
      </c>
      <c r="S363" s="1" t="s">
        <v>2180</v>
      </c>
    </row>
    <row r="364">
      <c r="A364" s="4">
        <v>44722.53233083333</v>
      </c>
      <c r="B364" s="3" t="s">
        <v>2181</v>
      </c>
      <c r="C364" s="3" t="s">
        <v>2182</v>
      </c>
      <c r="D364" s="3" t="s">
        <v>358</v>
      </c>
      <c r="E364" s="3">
        <v>44718.0</v>
      </c>
      <c r="F364" s="3">
        <v>1380.0</v>
      </c>
      <c r="G364" s="3" t="s">
        <v>136</v>
      </c>
      <c r="H364" s="3" t="s">
        <v>22</v>
      </c>
      <c r="I364" s="3" t="s">
        <v>1137</v>
      </c>
      <c r="K364" s="3" t="s">
        <v>2183</v>
      </c>
      <c r="L364" s="3" t="s">
        <v>2184</v>
      </c>
      <c r="M364" s="3" t="s">
        <v>2185</v>
      </c>
      <c r="N364" s="3" t="s">
        <v>362</v>
      </c>
      <c r="O364" s="3" t="e">
        <v>#N/A</v>
      </c>
      <c r="P364" s="3" t="s">
        <v>1141</v>
      </c>
      <c r="Q364" s="3" t="s">
        <v>29</v>
      </c>
      <c r="S364" s="1" t="s">
        <v>2186</v>
      </c>
    </row>
    <row r="365">
      <c r="A365" s="4">
        <v>44727.589015046295</v>
      </c>
      <c r="B365" s="3" t="s">
        <v>2187</v>
      </c>
      <c r="C365" s="3" t="s">
        <v>2188</v>
      </c>
      <c r="D365" s="3" t="s">
        <v>358</v>
      </c>
      <c r="E365" s="3">
        <v>44725.0</v>
      </c>
      <c r="F365" s="3">
        <v>3370.0</v>
      </c>
      <c r="G365" s="3" t="s">
        <v>136</v>
      </c>
      <c r="H365" s="3" t="s">
        <v>22</v>
      </c>
      <c r="I365" s="3" t="s">
        <v>1160</v>
      </c>
      <c r="K365" s="3" t="s">
        <v>2189</v>
      </c>
      <c r="L365" s="3" t="s">
        <v>2190</v>
      </c>
      <c r="M365" s="3" t="s">
        <v>2191</v>
      </c>
      <c r="N365" s="3" t="s">
        <v>362</v>
      </c>
      <c r="O365" s="3" t="s">
        <v>2192</v>
      </c>
      <c r="P365" s="3" t="s">
        <v>1163</v>
      </c>
      <c r="Q365" s="3" t="s">
        <v>1205</v>
      </c>
      <c r="S365" s="1" t="s">
        <v>2193</v>
      </c>
    </row>
    <row r="366">
      <c r="E366" s="2"/>
      <c r="S366" s="1" t="s">
        <v>1975</v>
      </c>
    </row>
    <row r="367">
      <c r="E367" s="2"/>
      <c r="S367" s="1" t="s">
        <v>1975</v>
      </c>
    </row>
    <row r="368">
      <c r="E368" s="2"/>
      <c r="S368" s="1" t="s">
        <v>1975</v>
      </c>
    </row>
    <row r="369">
      <c r="E369" s="2"/>
      <c r="S369" s="1" t="s">
        <v>1975</v>
      </c>
    </row>
    <row r="370">
      <c r="E370" s="2"/>
      <c r="S370" s="1" t="s">
        <v>1975</v>
      </c>
    </row>
    <row r="371">
      <c r="E371" s="2"/>
      <c r="S371" s="1" t="s">
        <v>1975</v>
      </c>
    </row>
    <row r="372">
      <c r="E372" s="2"/>
      <c r="S372" s="1" t="s">
        <v>1975</v>
      </c>
    </row>
    <row r="373">
      <c r="E373" s="2"/>
      <c r="S373" s="1" t="s">
        <v>1975</v>
      </c>
    </row>
    <row r="374">
      <c r="E374" s="2"/>
      <c r="S374" s="1" t="s">
        <v>1975</v>
      </c>
    </row>
    <row r="375">
      <c r="E375" s="2"/>
      <c r="S375" s="1" t="s">
        <v>1975</v>
      </c>
    </row>
    <row r="376">
      <c r="E376" s="2"/>
      <c r="S376" s="1" t="s">
        <v>1975</v>
      </c>
    </row>
    <row r="377">
      <c r="E377" s="2"/>
      <c r="S377" s="1" t="s">
        <v>1975</v>
      </c>
    </row>
    <row r="378">
      <c r="E378" s="2"/>
      <c r="S378" s="1" t="s">
        <v>1975</v>
      </c>
    </row>
    <row r="379">
      <c r="E379" s="2"/>
      <c r="S379" s="1" t="s">
        <v>1975</v>
      </c>
    </row>
    <row r="380">
      <c r="E380" s="2"/>
      <c r="S380" s="1" t="s">
        <v>1975</v>
      </c>
    </row>
    <row r="381">
      <c r="E381" s="2"/>
      <c r="S381" s="1" t="s">
        <v>1975</v>
      </c>
    </row>
    <row r="382">
      <c r="E382" s="2"/>
      <c r="S382" s="1" t="s">
        <v>1975</v>
      </c>
    </row>
    <row r="383">
      <c r="E383" s="2"/>
      <c r="S383" s="1" t="s">
        <v>1975</v>
      </c>
    </row>
    <row r="384">
      <c r="E384" s="2"/>
      <c r="S384" s="1" t="s">
        <v>1975</v>
      </c>
    </row>
    <row r="385">
      <c r="E385" s="2"/>
      <c r="S385" s="1" t="s">
        <v>1975</v>
      </c>
    </row>
    <row r="386">
      <c r="E386" s="2"/>
      <c r="S386" s="1" t="s">
        <v>1975</v>
      </c>
    </row>
    <row r="387">
      <c r="E387" s="2"/>
      <c r="S387" s="1" t="s">
        <v>1975</v>
      </c>
    </row>
    <row r="388">
      <c r="E388" s="2"/>
      <c r="S388" s="1" t="s">
        <v>1975</v>
      </c>
    </row>
    <row r="389">
      <c r="E389" s="2"/>
      <c r="S389" s="1" t="s">
        <v>1975</v>
      </c>
    </row>
    <row r="390">
      <c r="E390" s="2"/>
      <c r="S390" s="1" t="s">
        <v>1975</v>
      </c>
    </row>
    <row r="391">
      <c r="E391" s="2"/>
      <c r="S391" s="1" t="s">
        <v>1975</v>
      </c>
    </row>
    <row r="392">
      <c r="E392" s="2"/>
      <c r="S392" s="1" t="s">
        <v>1975</v>
      </c>
    </row>
    <row r="393">
      <c r="E393" s="2"/>
      <c r="S393" s="1" t="s">
        <v>1975</v>
      </c>
    </row>
    <row r="394">
      <c r="E394" s="2"/>
      <c r="S394" s="1" t="s">
        <v>1975</v>
      </c>
    </row>
    <row r="395">
      <c r="E395" s="2"/>
      <c r="S395" s="1" t="s">
        <v>1975</v>
      </c>
    </row>
    <row r="396">
      <c r="E396" s="2"/>
      <c r="S396" s="1" t="s">
        <v>1975</v>
      </c>
    </row>
    <row r="397">
      <c r="E397" s="2"/>
      <c r="S397" s="1" t="s">
        <v>1975</v>
      </c>
    </row>
    <row r="398">
      <c r="E398" s="2"/>
      <c r="S398" s="1" t="s">
        <v>1975</v>
      </c>
    </row>
    <row r="399">
      <c r="E399" s="2"/>
      <c r="S399" s="1" t="s">
        <v>1975</v>
      </c>
    </row>
    <row r="400">
      <c r="E400" s="2"/>
      <c r="S400" s="1" t="s">
        <v>1975</v>
      </c>
    </row>
    <row r="401">
      <c r="E401" s="2"/>
      <c r="S401" s="1" t="s">
        <v>1975</v>
      </c>
    </row>
    <row r="402">
      <c r="E402" s="2"/>
      <c r="S402" s="1" t="s">
        <v>1975</v>
      </c>
    </row>
    <row r="403">
      <c r="E403" s="2"/>
      <c r="S403" s="1" t="s">
        <v>1975</v>
      </c>
    </row>
    <row r="404">
      <c r="E404" s="2"/>
      <c r="S404" s="1" t="s">
        <v>1975</v>
      </c>
    </row>
    <row r="405">
      <c r="E405" s="2"/>
      <c r="S405" s="1" t="s">
        <v>1975</v>
      </c>
    </row>
    <row r="406">
      <c r="E406" s="2"/>
      <c r="S406" s="1" t="s">
        <v>1975</v>
      </c>
    </row>
    <row r="407">
      <c r="E407" s="2"/>
      <c r="S407" s="1" t="s">
        <v>1975</v>
      </c>
    </row>
    <row r="408">
      <c r="E408" s="2"/>
      <c r="S408" s="1" t="s">
        <v>1975</v>
      </c>
    </row>
    <row r="409">
      <c r="E409" s="2"/>
      <c r="S409" s="1" t="s">
        <v>1975</v>
      </c>
    </row>
    <row r="410">
      <c r="E410" s="2"/>
      <c r="S410" s="1" t="s">
        <v>1975</v>
      </c>
    </row>
    <row r="411">
      <c r="E411" s="2"/>
      <c r="S411" s="1" t="s">
        <v>1975</v>
      </c>
    </row>
    <row r="412">
      <c r="E412" s="2"/>
      <c r="S412" s="1" t="s">
        <v>1975</v>
      </c>
    </row>
    <row r="413">
      <c r="E413" s="2"/>
      <c r="S413" s="1" t="s">
        <v>1975</v>
      </c>
    </row>
    <row r="414">
      <c r="E414" s="2"/>
      <c r="S414" s="1" t="s">
        <v>1975</v>
      </c>
    </row>
    <row r="415">
      <c r="E415" s="2"/>
      <c r="S415" s="1" t="s">
        <v>1975</v>
      </c>
    </row>
    <row r="416">
      <c r="E416" s="2"/>
      <c r="S416" s="1" t="s">
        <v>1975</v>
      </c>
    </row>
    <row r="417">
      <c r="E417" s="2"/>
      <c r="S417" s="1" t="s">
        <v>1975</v>
      </c>
    </row>
    <row r="418">
      <c r="E418" s="2"/>
      <c r="S418" s="1" t="s">
        <v>1975</v>
      </c>
    </row>
    <row r="419">
      <c r="E419" s="2"/>
      <c r="S419" s="1" t="s">
        <v>1975</v>
      </c>
    </row>
    <row r="420">
      <c r="E420" s="2"/>
      <c r="S420" s="1" t="s">
        <v>1975</v>
      </c>
    </row>
    <row r="421">
      <c r="E421" s="2"/>
      <c r="S421" s="1" t="s">
        <v>1975</v>
      </c>
    </row>
    <row r="422">
      <c r="E422" s="2"/>
      <c r="S422" s="1" t="s">
        <v>1975</v>
      </c>
    </row>
    <row r="423">
      <c r="E423" s="2"/>
      <c r="S423" s="1" t="s">
        <v>1975</v>
      </c>
    </row>
    <row r="424">
      <c r="E424" s="2"/>
      <c r="S424" s="1" t="s">
        <v>1975</v>
      </c>
    </row>
    <row r="425">
      <c r="E425" s="2"/>
      <c r="S425" s="1" t="s">
        <v>1975</v>
      </c>
    </row>
    <row r="426">
      <c r="E426" s="2"/>
      <c r="S426" s="1" t="s">
        <v>1975</v>
      </c>
    </row>
    <row r="427">
      <c r="E427" s="2"/>
      <c r="S427" s="1" t="s">
        <v>1975</v>
      </c>
    </row>
    <row r="428">
      <c r="E428" s="2"/>
      <c r="S428" s="1" t="s">
        <v>1975</v>
      </c>
    </row>
    <row r="429">
      <c r="E429" s="2"/>
      <c r="S429" s="1" t="s">
        <v>1975</v>
      </c>
    </row>
    <row r="430">
      <c r="E430" s="2"/>
      <c r="S430" s="1" t="s">
        <v>1975</v>
      </c>
    </row>
    <row r="431">
      <c r="E431" s="2"/>
      <c r="S431" s="1" t="s">
        <v>1975</v>
      </c>
    </row>
    <row r="432">
      <c r="E432" s="2"/>
      <c r="S432" s="1" t="s">
        <v>1975</v>
      </c>
    </row>
    <row r="433">
      <c r="E433" s="2"/>
      <c r="S433" s="1" t="s">
        <v>1975</v>
      </c>
    </row>
    <row r="434">
      <c r="E434" s="2"/>
      <c r="S434" s="1" t="s">
        <v>1975</v>
      </c>
    </row>
    <row r="435">
      <c r="E435" s="2"/>
      <c r="S435" s="1" t="s">
        <v>1975</v>
      </c>
    </row>
    <row r="436">
      <c r="E436" s="2"/>
      <c r="S436" s="1" t="s">
        <v>1975</v>
      </c>
    </row>
    <row r="437">
      <c r="E437" s="2"/>
      <c r="S437" s="1" t="s">
        <v>1975</v>
      </c>
    </row>
    <row r="438">
      <c r="E438" s="2"/>
      <c r="S438" s="1" t="s">
        <v>1975</v>
      </c>
    </row>
    <row r="439">
      <c r="E439" s="2"/>
      <c r="S439" s="1" t="s">
        <v>1975</v>
      </c>
    </row>
    <row r="440">
      <c r="E440" s="2"/>
      <c r="S440" s="1" t="s">
        <v>1975</v>
      </c>
    </row>
    <row r="441">
      <c r="E441" s="2"/>
      <c r="S441" s="1" t="s">
        <v>1975</v>
      </c>
    </row>
    <row r="442">
      <c r="E442" s="2"/>
      <c r="S442" s="1" t="s">
        <v>1975</v>
      </c>
    </row>
    <row r="443">
      <c r="E443" s="2"/>
      <c r="S443" s="1" t="s">
        <v>1975</v>
      </c>
    </row>
    <row r="444">
      <c r="E444" s="2"/>
      <c r="S444" s="1" t="s">
        <v>1975</v>
      </c>
    </row>
    <row r="445">
      <c r="E445" s="2"/>
      <c r="S445" s="1" t="s">
        <v>1975</v>
      </c>
    </row>
    <row r="446">
      <c r="E446" s="2"/>
      <c r="S446" s="1" t="s">
        <v>1975</v>
      </c>
    </row>
    <row r="447">
      <c r="E447" s="2"/>
      <c r="S447" s="1" t="s">
        <v>1975</v>
      </c>
    </row>
    <row r="448">
      <c r="E448" s="2"/>
      <c r="S448" s="1" t="s">
        <v>1975</v>
      </c>
    </row>
    <row r="449">
      <c r="E449" s="2"/>
      <c r="S449" s="1" t="s">
        <v>1975</v>
      </c>
    </row>
    <row r="450">
      <c r="E450" s="2"/>
      <c r="S450" s="1" t="s">
        <v>1975</v>
      </c>
    </row>
    <row r="451">
      <c r="E451" s="2"/>
      <c r="S451" s="1" t="s">
        <v>1975</v>
      </c>
    </row>
    <row r="452">
      <c r="E452" s="2"/>
      <c r="S452" s="1" t="s">
        <v>1975</v>
      </c>
    </row>
    <row r="453">
      <c r="E453" s="2"/>
      <c r="S453" s="1" t="s">
        <v>1975</v>
      </c>
    </row>
    <row r="454">
      <c r="E454" s="2"/>
      <c r="S454" s="1" t="s">
        <v>1975</v>
      </c>
    </row>
    <row r="455">
      <c r="E455" s="2"/>
      <c r="S455" s="1" t="s">
        <v>1975</v>
      </c>
    </row>
    <row r="456">
      <c r="E456" s="2"/>
      <c r="S456" s="1" t="s">
        <v>1975</v>
      </c>
    </row>
    <row r="457">
      <c r="E457" s="2"/>
      <c r="S457" s="1" t="s">
        <v>1975</v>
      </c>
    </row>
    <row r="458">
      <c r="E458" s="2"/>
      <c r="S458" s="1" t="s">
        <v>1975</v>
      </c>
    </row>
    <row r="459">
      <c r="E459" s="2"/>
      <c r="S459" s="1" t="s">
        <v>1975</v>
      </c>
    </row>
    <row r="460">
      <c r="E460" s="2"/>
      <c r="S460" s="1" t="s">
        <v>1975</v>
      </c>
    </row>
    <row r="461">
      <c r="E461" s="2"/>
      <c r="S461" s="1" t="s">
        <v>1975</v>
      </c>
    </row>
    <row r="462">
      <c r="E462" s="2"/>
      <c r="S462" s="1" t="s">
        <v>1975</v>
      </c>
    </row>
    <row r="463">
      <c r="E463" s="2"/>
      <c r="S463" s="1" t="s">
        <v>1975</v>
      </c>
    </row>
    <row r="464">
      <c r="E464" s="2"/>
      <c r="S464" s="1" t="s">
        <v>1975</v>
      </c>
    </row>
    <row r="465">
      <c r="E465" s="2"/>
      <c r="S465" s="1" t="s">
        <v>1975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2194</v>
      </c>
      <c r="T1" s="13"/>
    </row>
    <row r="2">
      <c r="A2" s="14">
        <v>44182.055404178245</v>
      </c>
      <c r="B2" s="15" t="s">
        <v>18</v>
      </c>
      <c r="C2" s="15" t="s">
        <v>19</v>
      </c>
      <c r="D2" s="15" t="s">
        <v>20</v>
      </c>
      <c r="E2" s="16">
        <v>43767.0</v>
      </c>
      <c r="F2" s="16">
        <v>350000.0</v>
      </c>
      <c r="G2" s="15" t="s">
        <v>21</v>
      </c>
      <c r="H2" s="15" t="s">
        <v>22</v>
      </c>
      <c r="I2" s="15"/>
      <c r="J2" s="15" t="s">
        <v>23</v>
      </c>
      <c r="K2" s="15" t="s">
        <v>24</v>
      </c>
      <c r="L2" s="15" t="s">
        <v>25</v>
      </c>
      <c r="M2" s="15" t="s">
        <v>26</v>
      </c>
      <c r="N2" s="15" t="s">
        <v>27</v>
      </c>
      <c r="O2" s="17" t="s">
        <v>28</v>
      </c>
      <c r="P2" s="15"/>
      <c r="Q2" s="15" t="s">
        <v>29</v>
      </c>
      <c r="T2" s="18" t="s">
        <v>1</v>
      </c>
    </row>
    <row r="3">
      <c r="A3" s="14">
        <v>44182.05542148148</v>
      </c>
      <c r="B3" s="15" t="s">
        <v>30</v>
      </c>
      <c r="C3" s="15" t="s">
        <v>31</v>
      </c>
      <c r="D3" s="15" t="s">
        <v>20</v>
      </c>
      <c r="E3" s="16">
        <v>43762.0</v>
      </c>
      <c r="F3" s="16">
        <v>23100.0</v>
      </c>
      <c r="G3" s="15" t="s">
        <v>21</v>
      </c>
      <c r="H3" s="15" t="s">
        <v>22</v>
      </c>
      <c r="I3" s="15"/>
      <c r="J3" s="15" t="s">
        <v>32</v>
      </c>
      <c r="K3" s="15" t="s">
        <v>33</v>
      </c>
      <c r="L3" s="15" t="s">
        <v>34</v>
      </c>
      <c r="M3" s="15" t="s">
        <v>35</v>
      </c>
      <c r="N3" s="15" t="s">
        <v>27</v>
      </c>
      <c r="O3" s="17" t="s">
        <v>36</v>
      </c>
      <c r="P3" s="15"/>
      <c r="Q3" s="15" t="s">
        <v>29</v>
      </c>
      <c r="T3" s="18" t="s">
        <v>2</v>
      </c>
    </row>
    <row r="4">
      <c r="A4" s="14">
        <v>44182.05543815972</v>
      </c>
      <c r="B4" s="15" t="s">
        <v>38</v>
      </c>
      <c r="C4" s="15" t="s">
        <v>39</v>
      </c>
      <c r="D4" s="15" t="s">
        <v>20</v>
      </c>
      <c r="E4" s="16">
        <v>43767.0</v>
      </c>
      <c r="F4" s="16">
        <v>42500.0</v>
      </c>
      <c r="G4" s="15" t="s">
        <v>21</v>
      </c>
      <c r="H4" s="15" t="s">
        <v>22</v>
      </c>
      <c r="I4" s="15"/>
      <c r="J4" s="15"/>
      <c r="K4" s="15" t="s">
        <v>40</v>
      </c>
      <c r="L4" s="15" t="s">
        <v>41</v>
      </c>
      <c r="M4" s="15" t="s">
        <v>42</v>
      </c>
      <c r="N4" s="15" t="s">
        <v>27</v>
      </c>
      <c r="O4" s="17" t="s">
        <v>43</v>
      </c>
      <c r="P4" s="15"/>
      <c r="Q4" s="15" t="s">
        <v>29</v>
      </c>
      <c r="T4" s="18" t="s">
        <v>3</v>
      </c>
    </row>
    <row r="5">
      <c r="A5" s="14">
        <v>44182.05545462963</v>
      </c>
      <c r="B5" s="15" t="s">
        <v>45</v>
      </c>
      <c r="C5" s="15" t="s">
        <v>46</v>
      </c>
      <c r="D5" s="15" t="s">
        <v>20</v>
      </c>
      <c r="E5" s="16">
        <v>43724.0</v>
      </c>
      <c r="F5" s="16">
        <v>48500.0</v>
      </c>
      <c r="G5" s="15" t="s">
        <v>21</v>
      </c>
      <c r="H5" s="15" t="s">
        <v>22</v>
      </c>
      <c r="I5" s="15"/>
      <c r="J5" s="15" t="s">
        <v>47</v>
      </c>
      <c r="K5" s="15" t="s">
        <v>48</v>
      </c>
      <c r="L5" s="15" t="s">
        <v>49</v>
      </c>
      <c r="M5" s="15" t="s">
        <v>50</v>
      </c>
      <c r="N5" s="15" t="s">
        <v>27</v>
      </c>
      <c r="O5" s="17" t="s">
        <v>51</v>
      </c>
      <c r="P5" s="15"/>
      <c r="Q5" s="15" t="s">
        <v>29</v>
      </c>
      <c r="T5" s="18" t="s">
        <v>4</v>
      </c>
    </row>
    <row r="6">
      <c r="A6" s="14">
        <v>44182.055470844905</v>
      </c>
      <c r="B6" s="15" t="s">
        <v>53</v>
      </c>
      <c r="C6" s="15" t="s">
        <v>54</v>
      </c>
      <c r="D6" s="15" t="s">
        <v>20</v>
      </c>
      <c r="E6" s="16">
        <v>43734.0</v>
      </c>
      <c r="F6" s="16">
        <v>28000.0</v>
      </c>
      <c r="G6" s="15" t="s">
        <v>21</v>
      </c>
      <c r="H6" s="15" t="s">
        <v>22</v>
      </c>
      <c r="I6" s="15"/>
      <c r="J6" s="15"/>
      <c r="K6" s="15" t="s">
        <v>55</v>
      </c>
      <c r="L6" s="15" t="s">
        <v>56</v>
      </c>
      <c r="M6" s="15" t="s">
        <v>57</v>
      </c>
      <c r="N6" s="15" t="s">
        <v>27</v>
      </c>
      <c r="O6" s="17" t="s">
        <v>58</v>
      </c>
      <c r="P6" s="15"/>
      <c r="Q6" s="15" t="s">
        <v>29</v>
      </c>
      <c r="T6" s="18" t="s">
        <v>5</v>
      </c>
    </row>
    <row r="7">
      <c r="A7" s="14">
        <v>44182.055497291665</v>
      </c>
      <c r="B7" s="15" t="s">
        <v>60</v>
      </c>
      <c r="C7" s="15" t="s">
        <v>61</v>
      </c>
      <c r="D7" s="15" t="s">
        <v>20</v>
      </c>
      <c r="E7" s="16">
        <v>43672.0</v>
      </c>
      <c r="F7" s="16">
        <v>24000.0</v>
      </c>
      <c r="G7" s="15" t="s">
        <v>21</v>
      </c>
      <c r="H7" s="15" t="s">
        <v>22</v>
      </c>
      <c r="I7" s="15"/>
      <c r="J7" s="15"/>
      <c r="K7" s="15" t="s">
        <v>62</v>
      </c>
      <c r="L7" s="15" t="s">
        <v>63</v>
      </c>
      <c r="M7" s="15" t="s">
        <v>64</v>
      </c>
      <c r="N7" s="15" t="s">
        <v>27</v>
      </c>
      <c r="O7" s="17" t="s">
        <v>65</v>
      </c>
      <c r="P7" s="15"/>
      <c r="Q7" s="15" t="s">
        <v>29</v>
      </c>
      <c r="T7" s="18" t="s">
        <v>6</v>
      </c>
    </row>
    <row r="8">
      <c r="A8" s="14">
        <v>44182.055512743056</v>
      </c>
      <c r="B8" s="15" t="s">
        <v>67</v>
      </c>
      <c r="C8" s="15" t="s">
        <v>68</v>
      </c>
      <c r="D8" s="15" t="s">
        <v>20</v>
      </c>
      <c r="E8" s="16">
        <v>43633.0</v>
      </c>
      <c r="F8" s="16">
        <v>57000.0</v>
      </c>
      <c r="G8" s="15" t="s">
        <v>21</v>
      </c>
      <c r="H8" s="15" t="s">
        <v>22</v>
      </c>
      <c r="I8" s="15"/>
      <c r="J8" s="15"/>
      <c r="K8" s="15" t="s">
        <v>69</v>
      </c>
      <c r="L8" s="15" t="s">
        <v>70</v>
      </c>
      <c r="M8" s="15" t="s">
        <v>71</v>
      </c>
      <c r="N8" s="15" t="s">
        <v>27</v>
      </c>
      <c r="O8" s="17" t="s">
        <v>72</v>
      </c>
      <c r="P8" s="15"/>
      <c r="Q8" s="15" t="s">
        <v>29</v>
      </c>
      <c r="T8" s="19" t="s">
        <v>7</v>
      </c>
      <c r="W8" s="3">
        <v>1.0</v>
      </c>
    </row>
    <row r="9">
      <c r="A9" s="14">
        <v>44182.0555290162</v>
      </c>
      <c r="B9" s="15" t="s">
        <v>74</v>
      </c>
      <c r="C9" s="15" t="s">
        <v>75</v>
      </c>
      <c r="D9" s="15" t="s">
        <v>20</v>
      </c>
      <c r="E9" s="16">
        <v>43608.0</v>
      </c>
      <c r="F9" s="16">
        <v>104500.0</v>
      </c>
      <c r="G9" s="15" t="s">
        <v>21</v>
      </c>
      <c r="H9" s="15" t="s">
        <v>22</v>
      </c>
      <c r="I9" s="15"/>
      <c r="J9" s="15"/>
      <c r="K9" s="15" t="s">
        <v>76</v>
      </c>
      <c r="L9" s="15" t="s">
        <v>77</v>
      </c>
      <c r="M9" s="15" t="s">
        <v>78</v>
      </c>
      <c r="N9" s="15" t="s">
        <v>27</v>
      </c>
      <c r="O9" s="17" t="s">
        <v>79</v>
      </c>
      <c r="P9" s="15"/>
      <c r="Q9" s="15" t="s">
        <v>29</v>
      </c>
      <c r="T9" s="19" t="s">
        <v>8</v>
      </c>
      <c r="W9" s="6">
        <v>1.0</v>
      </c>
      <c r="X9" s="6">
        <v>0.0</v>
      </c>
    </row>
    <row r="10">
      <c r="A10" s="14">
        <v>44182.055545497686</v>
      </c>
      <c r="B10" s="15" t="s">
        <v>81</v>
      </c>
      <c r="C10" s="15" t="s">
        <v>82</v>
      </c>
      <c r="D10" s="15" t="s">
        <v>20</v>
      </c>
      <c r="E10" s="16">
        <v>43622.0</v>
      </c>
      <c r="F10" s="16">
        <v>31000.0</v>
      </c>
      <c r="G10" s="15" t="s">
        <v>21</v>
      </c>
      <c r="H10" s="15" t="s">
        <v>22</v>
      </c>
      <c r="I10" s="15"/>
      <c r="J10" s="15" t="s">
        <v>83</v>
      </c>
      <c r="K10" s="15" t="s">
        <v>84</v>
      </c>
      <c r="L10" s="15" t="s">
        <v>85</v>
      </c>
      <c r="M10" s="15" t="s">
        <v>86</v>
      </c>
      <c r="N10" s="15" t="s">
        <v>27</v>
      </c>
      <c r="O10" s="17" t="s">
        <v>87</v>
      </c>
      <c r="P10" s="15"/>
      <c r="Q10" s="15" t="s">
        <v>29</v>
      </c>
      <c r="T10" s="19" t="s">
        <v>9</v>
      </c>
    </row>
    <row r="11">
      <c r="A11" s="14">
        <v>44182.05556153935</v>
      </c>
      <c r="B11" s="15" t="s">
        <v>89</v>
      </c>
      <c r="C11" s="15" t="s">
        <v>90</v>
      </c>
      <c r="D11" s="15" t="s">
        <v>20</v>
      </c>
      <c r="E11" s="16">
        <v>43607.0</v>
      </c>
      <c r="F11" s="16">
        <v>340000.0</v>
      </c>
      <c r="G11" s="15" t="s">
        <v>21</v>
      </c>
      <c r="H11" s="15" t="s">
        <v>22</v>
      </c>
      <c r="I11" s="15"/>
      <c r="J11" s="15"/>
      <c r="K11" s="15" t="s">
        <v>91</v>
      </c>
      <c r="L11" s="15" t="s">
        <v>92</v>
      </c>
      <c r="M11" s="15" t="s">
        <v>93</v>
      </c>
      <c r="N11" s="15" t="s">
        <v>27</v>
      </c>
      <c r="O11" s="17" t="s">
        <v>94</v>
      </c>
      <c r="P11" s="15"/>
      <c r="Q11" s="15" t="s">
        <v>29</v>
      </c>
      <c r="T11" s="19" t="s">
        <v>2195</v>
      </c>
    </row>
    <row r="12">
      <c r="A12" s="14">
        <v>44182.05557841435</v>
      </c>
      <c r="B12" s="15" t="s">
        <v>96</v>
      </c>
      <c r="C12" s="15" t="s">
        <v>97</v>
      </c>
      <c r="D12" s="15" t="s">
        <v>20</v>
      </c>
      <c r="E12" s="16">
        <v>43460.0</v>
      </c>
      <c r="F12" s="16">
        <v>160000.0</v>
      </c>
      <c r="G12" s="15" t="s">
        <v>21</v>
      </c>
      <c r="H12" s="15" t="s">
        <v>22</v>
      </c>
      <c r="I12" s="15"/>
      <c r="J12" s="15"/>
      <c r="K12" s="15" t="s">
        <v>98</v>
      </c>
      <c r="L12" s="15" t="s">
        <v>99</v>
      </c>
      <c r="M12" s="15" t="s">
        <v>100</v>
      </c>
      <c r="N12" s="15" t="s">
        <v>27</v>
      </c>
      <c r="O12" s="17" t="s">
        <v>101</v>
      </c>
      <c r="P12" s="15"/>
      <c r="Q12" s="15" t="s">
        <v>29</v>
      </c>
      <c r="T12" s="19" t="s">
        <v>11</v>
      </c>
    </row>
    <row r="13">
      <c r="A13" s="14">
        <v>44182.05559664352</v>
      </c>
      <c r="B13" s="15" t="s">
        <v>103</v>
      </c>
      <c r="C13" s="15" t="s">
        <v>104</v>
      </c>
      <c r="D13" s="15" t="s">
        <v>20</v>
      </c>
      <c r="E13" s="16">
        <v>43479.0</v>
      </c>
      <c r="F13" s="16">
        <v>28650.0</v>
      </c>
      <c r="G13" s="15" t="s">
        <v>21</v>
      </c>
      <c r="H13" s="15" t="s">
        <v>22</v>
      </c>
      <c r="I13" s="15"/>
      <c r="J13" s="15"/>
      <c r="K13" s="15" t="s">
        <v>105</v>
      </c>
      <c r="L13" s="15" t="s">
        <v>106</v>
      </c>
      <c r="M13" s="15" t="s">
        <v>107</v>
      </c>
      <c r="N13" s="15" t="s">
        <v>27</v>
      </c>
      <c r="O13" s="17" t="s">
        <v>108</v>
      </c>
      <c r="P13" s="15"/>
      <c r="Q13" s="15" t="s">
        <v>29</v>
      </c>
      <c r="T13" s="19" t="s">
        <v>12</v>
      </c>
    </row>
    <row r="14">
      <c r="A14" s="14">
        <v>44182.055613564815</v>
      </c>
      <c r="B14" s="15" t="s">
        <v>110</v>
      </c>
      <c r="C14" s="15" t="s">
        <v>111</v>
      </c>
      <c r="D14" s="15" t="s">
        <v>20</v>
      </c>
      <c r="E14" s="16">
        <v>43363.0</v>
      </c>
      <c r="F14" s="16">
        <v>1046340.0</v>
      </c>
      <c r="G14" s="15" t="s">
        <v>21</v>
      </c>
      <c r="H14" s="15" t="s">
        <v>22</v>
      </c>
      <c r="I14" s="15"/>
      <c r="J14" s="15" t="s">
        <v>112</v>
      </c>
      <c r="K14" s="15" t="s">
        <v>113</v>
      </c>
      <c r="L14" s="15" t="s">
        <v>114</v>
      </c>
      <c r="M14" s="15" t="s">
        <v>115</v>
      </c>
      <c r="N14" s="15" t="s">
        <v>27</v>
      </c>
      <c r="O14" s="17" t="s">
        <v>116</v>
      </c>
      <c r="P14" s="15"/>
      <c r="Q14" s="15" t="s">
        <v>29</v>
      </c>
      <c r="T14" s="19" t="s">
        <v>13</v>
      </c>
      <c r="W14" s="1">
        <f>38317.6666666666/365</f>
        <v>104.9799087</v>
      </c>
    </row>
    <row r="15">
      <c r="A15" s="14">
        <v>44182.05563003472</v>
      </c>
      <c r="B15" s="15" t="s">
        <v>118</v>
      </c>
      <c r="C15" s="15" t="s">
        <v>119</v>
      </c>
      <c r="D15" s="15" t="s">
        <v>20</v>
      </c>
      <c r="E15" s="16">
        <v>43461.0</v>
      </c>
      <c r="F15" s="16">
        <v>73000.0</v>
      </c>
      <c r="G15" s="15" t="s">
        <v>21</v>
      </c>
      <c r="H15" s="15" t="s">
        <v>22</v>
      </c>
      <c r="I15" s="15"/>
      <c r="J15" s="15"/>
      <c r="K15" s="15" t="s">
        <v>121</v>
      </c>
      <c r="L15" s="15" t="s">
        <v>122</v>
      </c>
      <c r="M15" s="15" t="s">
        <v>123</v>
      </c>
      <c r="N15" s="15" t="s">
        <v>27</v>
      </c>
      <c r="O15" s="17" t="s">
        <v>124</v>
      </c>
      <c r="P15" s="15"/>
      <c r="Q15" s="15" t="s">
        <v>29</v>
      </c>
      <c r="T15" s="19" t="s">
        <v>14</v>
      </c>
    </row>
    <row r="16">
      <c r="A16" s="14">
        <v>44182.05566194444</v>
      </c>
      <c r="B16" s="15" t="s">
        <v>126</v>
      </c>
      <c r="C16" s="15" t="s">
        <v>127</v>
      </c>
      <c r="D16" s="15" t="s">
        <v>20</v>
      </c>
      <c r="E16" s="16">
        <v>43816.0</v>
      </c>
      <c r="F16" s="16">
        <v>114550.0</v>
      </c>
      <c r="G16" s="15" t="s">
        <v>21</v>
      </c>
      <c r="H16" s="15" t="s">
        <v>22</v>
      </c>
      <c r="I16" s="15"/>
      <c r="J16" s="15" t="s">
        <v>128</v>
      </c>
      <c r="K16" s="15" t="s">
        <v>129</v>
      </c>
      <c r="L16" s="15" t="s">
        <v>130</v>
      </c>
      <c r="M16" s="15" t="s">
        <v>131</v>
      </c>
      <c r="N16" s="15" t="s">
        <v>27</v>
      </c>
      <c r="O16" s="17" t="s">
        <v>132</v>
      </c>
      <c r="P16" s="15"/>
      <c r="Q16" s="15" t="s">
        <v>29</v>
      </c>
      <c r="T16" s="19" t="s">
        <v>15</v>
      </c>
    </row>
    <row r="17">
      <c r="A17" s="14">
        <v>44182.05567670139</v>
      </c>
      <c r="B17" s="15" t="s">
        <v>134</v>
      </c>
      <c r="C17" s="15" t="s">
        <v>135</v>
      </c>
      <c r="D17" s="15" t="s">
        <v>20</v>
      </c>
      <c r="E17" s="16">
        <v>42948.0</v>
      </c>
      <c r="F17" s="16">
        <v>97000.0</v>
      </c>
      <c r="G17" s="15" t="s">
        <v>136</v>
      </c>
      <c r="H17" s="15" t="s">
        <v>22</v>
      </c>
      <c r="I17" s="15"/>
      <c r="J17" s="15"/>
      <c r="K17" s="15" t="s">
        <v>137</v>
      </c>
      <c r="L17" s="15" t="s">
        <v>138</v>
      </c>
      <c r="M17" s="15" t="s">
        <v>139</v>
      </c>
      <c r="N17" s="15" t="s">
        <v>27</v>
      </c>
      <c r="O17" s="17" t="s">
        <v>140</v>
      </c>
      <c r="P17" s="15"/>
      <c r="Q17" s="15" t="s">
        <v>29</v>
      </c>
      <c r="T17" s="20" t="s">
        <v>16</v>
      </c>
    </row>
    <row r="18">
      <c r="A18" s="14">
        <v>44182.055693125</v>
      </c>
      <c r="B18" s="15" t="s">
        <v>142</v>
      </c>
      <c r="C18" s="15" t="s">
        <v>143</v>
      </c>
      <c r="D18" s="15" t="s">
        <v>20</v>
      </c>
      <c r="E18" s="16">
        <v>42923.0</v>
      </c>
      <c r="F18" s="16">
        <v>161000.0</v>
      </c>
      <c r="G18" s="15" t="s">
        <v>21</v>
      </c>
      <c r="H18" s="15" t="s">
        <v>22</v>
      </c>
      <c r="I18" s="15"/>
      <c r="J18" s="15"/>
      <c r="K18" s="15" t="s">
        <v>144</v>
      </c>
      <c r="L18" s="15" t="s">
        <v>145</v>
      </c>
      <c r="M18" s="15" t="s">
        <v>146</v>
      </c>
      <c r="N18" s="15" t="s">
        <v>27</v>
      </c>
      <c r="O18" s="17" t="s">
        <v>147</v>
      </c>
      <c r="P18" s="15"/>
      <c r="Q18" s="15" t="s">
        <v>29</v>
      </c>
    </row>
    <row r="19">
      <c r="A19" s="14">
        <v>44182.05570996528</v>
      </c>
      <c r="B19" s="15" t="s">
        <v>149</v>
      </c>
      <c r="C19" s="15" t="s">
        <v>150</v>
      </c>
      <c r="D19" s="15" t="s">
        <v>20</v>
      </c>
      <c r="E19" s="16">
        <v>42536.0</v>
      </c>
      <c r="F19" s="16">
        <v>23924.0</v>
      </c>
      <c r="G19" s="15" t="s">
        <v>21</v>
      </c>
      <c r="H19" s="15" t="s">
        <v>22</v>
      </c>
      <c r="I19" s="15"/>
      <c r="J19" s="15"/>
      <c r="K19" s="15" t="s">
        <v>151</v>
      </c>
      <c r="L19" s="15" t="s">
        <v>152</v>
      </c>
      <c r="M19" s="15" t="s">
        <v>153</v>
      </c>
      <c r="N19" s="15" t="s">
        <v>27</v>
      </c>
      <c r="O19" s="17" t="s">
        <v>154</v>
      </c>
      <c r="P19" s="15"/>
      <c r="Q19" s="15" t="s">
        <v>29</v>
      </c>
    </row>
    <row r="20">
      <c r="A20" s="14">
        <v>44182.05572606482</v>
      </c>
      <c r="B20" s="15" t="s">
        <v>156</v>
      </c>
      <c r="C20" s="15" t="s">
        <v>157</v>
      </c>
      <c r="D20" s="15" t="s">
        <v>20</v>
      </c>
      <c r="E20" s="16">
        <v>42885.0</v>
      </c>
      <c r="F20" s="16">
        <v>150000.0</v>
      </c>
      <c r="G20" s="15" t="s">
        <v>21</v>
      </c>
      <c r="H20" s="15" t="s">
        <v>22</v>
      </c>
      <c r="I20" s="15"/>
      <c r="J20" s="15"/>
      <c r="K20" s="15" t="s">
        <v>158</v>
      </c>
      <c r="L20" s="15" t="s">
        <v>159</v>
      </c>
      <c r="M20" s="15" t="s">
        <v>160</v>
      </c>
      <c r="N20" s="15" t="s">
        <v>27</v>
      </c>
      <c r="O20" s="17" t="s">
        <v>161</v>
      </c>
      <c r="P20" s="15"/>
      <c r="Q20" s="15" t="s">
        <v>29</v>
      </c>
    </row>
    <row r="21">
      <c r="A21" s="14">
        <v>44182.0557429051</v>
      </c>
      <c r="B21" s="15" t="s">
        <v>163</v>
      </c>
      <c r="C21" s="15" t="s">
        <v>164</v>
      </c>
      <c r="D21" s="15" t="s">
        <v>20</v>
      </c>
      <c r="E21" s="16">
        <v>43460.0</v>
      </c>
      <c r="F21" s="16">
        <v>70360.0</v>
      </c>
      <c r="G21" s="15" t="s">
        <v>21</v>
      </c>
      <c r="H21" s="15" t="s">
        <v>22</v>
      </c>
      <c r="I21" s="15"/>
      <c r="J21" s="15"/>
      <c r="K21" s="15" t="s">
        <v>165</v>
      </c>
      <c r="L21" s="15" t="s">
        <v>166</v>
      </c>
      <c r="M21" s="15" t="s">
        <v>167</v>
      </c>
      <c r="N21" s="15" t="s">
        <v>27</v>
      </c>
      <c r="O21" s="17" t="s">
        <v>168</v>
      </c>
      <c r="P21" s="15"/>
      <c r="Q21" s="15" t="s">
        <v>29</v>
      </c>
      <c r="T21" s="1" t="str">
        <f>TEXTJOIN("','",TRUE,Projects!B1:Q1)</f>
        <v>კონტრაგენტი :','პროექტის დასახელება :','შემოსავლის კოდი :','თარიღი :','თანხა :','ვალუტა :','პროექტის სტატუსი :','თანამშრომელი :','ORIS 1630 :','კონტრაქტის # - ','პროექტი_GUID/','პროექტი//','შემოსავლის კოდი_GUID','კონტრაგენტი_GUID','თანამშრომელი_GUID','Collateral</v>
      </c>
    </row>
    <row r="22">
      <c r="A22" s="14">
        <v>44182.055759016206</v>
      </c>
      <c r="B22" s="15" t="s">
        <v>30</v>
      </c>
      <c r="C22" s="15" t="s">
        <v>170</v>
      </c>
      <c r="D22" s="15" t="s">
        <v>20</v>
      </c>
      <c r="E22" s="16">
        <v>43460.0</v>
      </c>
      <c r="F22" s="16">
        <v>155520.0</v>
      </c>
      <c r="G22" s="15" t="s">
        <v>21</v>
      </c>
      <c r="H22" s="15" t="s">
        <v>22</v>
      </c>
      <c r="I22" s="15"/>
      <c r="J22" s="15"/>
      <c r="K22" s="15" t="s">
        <v>171</v>
      </c>
      <c r="L22" s="15" t="s">
        <v>172</v>
      </c>
      <c r="M22" s="15" t="s">
        <v>173</v>
      </c>
      <c r="N22" s="15" t="s">
        <v>27</v>
      </c>
      <c r="O22" s="17" t="s">
        <v>36</v>
      </c>
      <c r="P22" s="15"/>
      <c r="Q22" s="15" t="s">
        <v>29</v>
      </c>
    </row>
    <row r="23">
      <c r="A23" s="14">
        <v>44182.05577594908</v>
      </c>
      <c r="B23" s="15" t="s">
        <v>53</v>
      </c>
      <c r="C23" s="15" t="s">
        <v>175</v>
      </c>
      <c r="D23" s="15" t="s">
        <v>20</v>
      </c>
      <c r="E23" s="16">
        <v>43248.0</v>
      </c>
      <c r="F23" s="16">
        <v>370000.0</v>
      </c>
      <c r="G23" s="15" t="s">
        <v>21</v>
      </c>
      <c r="H23" s="15" t="s">
        <v>22</v>
      </c>
      <c r="I23" s="15"/>
      <c r="J23" s="15" t="s">
        <v>176</v>
      </c>
      <c r="K23" s="15" t="s">
        <v>177</v>
      </c>
      <c r="L23" s="15" t="s">
        <v>178</v>
      </c>
      <c r="M23" s="15" t="s">
        <v>179</v>
      </c>
      <c r="N23" s="15" t="s">
        <v>27</v>
      </c>
      <c r="O23" s="17" t="s">
        <v>58</v>
      </c>
      <c r="P23" s="15"/>
      <c r="Q23" s="15" t="s">
        <v>29</v>
      </c>
    </row>
    <row r="24">
      <c r="A24" s="14">
        <v>44182.05579196759</v>
      </c>
      <c r="B24" s="15" t="s">
        <v>181</v>
      </c>
      <c r="C24" s="15" t="s">
        <v>182</v>
      </c>
      <c r="D24" s="15" t="s">
        <v>20</v>
      </c>
      <c r="E24" s="16">
        <v>42598.0</v>
      </c>
      <c r="F24" s="16">
        <v>53454.0</v>
      </c>
      <c r="G24" s="15" t="s">
        <v>21</v>
      </c>
      <c r="H24" s="15" t="s">
        <v>22</v>
      </c>
      <c r="I24" s="15"/>
      <c r="J24" s="15"/>
      <c r="K24" s="15" t="s">
        <v>183</v>
      </c>
      <c r="L24" s="15" t="s">
        <v>184</v>
      </c>
      <c r="M24" s="15" t="s">
        <v>185</v>
      </c>
      <c r="N24" s="15" t="s">
        <v>27</v>
      </c>
      <c r="O24" s="17" t="s">
        <v>186</v>
      </c>
      <c r="P24" s="15"/>
      <c r="Q24" s="15" t="s">
        <v>29</v>
      </c>
    </row>
    <row r="25">
      <c r="A25" s="14">
        <v>44182.055807488425</v>
      </c>
      <c r="B25" s="15" t="s">
        <v>188</v>
      </c>
      <c r="C25" s="15" t="s">
        <v>189</v>
      </c>
      <c r="D25" s="15" t="s">
        <v>20</v>
      </c>
      <c r="E25" s="16">
        <v>42536.0</v>
      </c>
      <c r="F25" s="16">
        <v>50206.0</v>
      </c>
      <c r="G25" s="15" t="s">
        <v>21</v>
      </c>
      <c r="H25" s="15" t="s">
        <v>22</v>
      </c>
      <c r="I25" s="15"/>
      <c r="J25" s="15"/>
      <c r="K25" s="15" t="s">
        <v>190</v>
      </c>
      <c r="L25" s="15" t="s">
        <v>191</v>
      </c>
      <c r="M25" s="15" t="s">
        <v>192</v>
      </c>
      <c r="N25" s="15" t="s">
        <v>27</v>
      </c>
      <c r="O25" s="17" t="s">
        <v>193</v>
      </c>
      <c r="P25" s="15"/>
      <c r="Q25" s="15" t="s">
        <v>29</v>
      </c>
    </row>
    <row r="26">
      <c r="A26" s="14">
        <v>44182.05582282407</v>
      </c>
      <c r="B26" s="15" t="s">
        <v>195</v>
      </c>
      <c r="C26" s="15" t="s">
        <v>2196</v>
      </c>
      <c r="D26" s="15" t="s">
        <v>20</v>
      </c>
      <c r="E26" s="16">
        <v>42647.0</v>
      </c>
      <c r="F26" s="16">
        <v>157608.67</v>
      </c>
      <c r="G26" s="15" t="s">
        <v>21</v>
      </c>
      <c r="H26" s="15" t="s">
        <v>22</v>
      </c>
      <c r="I26" s="15"/>
      <c r="J26" s="15"/>
      <c r="K26" s="15" t="s">
        <v>197</v>
      </c>
      <c r="L26" s="15" t="s">
        <v>198</v>
      </c>
      <c r="M26" s="15" t="s">
        <v>199</v>
      </c>
      <c r="N26" s="15" t="s">
        <v>27</v>
      </c>
      <c r="O26" s="17" t="s">
        <v>200</v>
      </c>
      <c r="P26" s="15"/>
      <c r="Q26" s="15" t="s">
        <v>29</v>
      </c>
    </row>
    <row r="27">
      <c r="A27" s="14">
        <v>44182.05583914352</v>
      </c>
      <c r="B27" s="15" t="s">
        <v>202</v>
      </c>
      <c r="C27" s="15" t="s">
        <v>203</v>
      </c>
      <c r="D27" s="15" t="s">
        <v>20</v>
      </c>
      <c r="E27" s="16">
        <v>42723.0</v>
      </c>
      <c r="F27" s="16">
        <v>325000.0</v>
      </c>
      <c r="G27" s="15" t="s">
        <v>21</v>
      </c>
      <c r="H27" s="15" t="s">
        <v>22</v>
      </c>
      <c r="I27" s="15"/>
      <c r="J27" s="15"/>
      <c r="K27" s="15" t="s">
        <v>204</v>
      </c>
      <c r="L27" s="15" t="s">
        <v>205</v>
      </c>
      <c r="M27" s="15" t="s">
        <v>206</v>
      </c>
      <c r="N27" s="15" t="s">
        <v>27</v>
      </c>
      <c r="O27" s="17" t="s">
        <v>207</v>
      </c>
      <c r="P27" s="15"/>
      <c r="Q27" s="15" t="s">
        <v>29</v>
      </c>
    </row>
    <row r="28">
      <c r="A28" s="14">
        <v>44182.05585462963</v>
      </c>
      <c r="B28" s="15" t="s">
        <v>67</v>
      </c>
      <c r="C28" s="15" t="s">
        <v>209</v>
      </c>
      <c r="D28" s="15" t="s">
        <v>20</v>
      </c>
      <c r="E28" s="16">
        <v>42641.0</v>
      </c>
      <c r="F28" s="16">
        <v>25000.0</v>
      </c>
      <c r="G28" s="15" t="s">
        <v>21</v>
      </c>
      <c r="H28" s="15" t="s">
        <v>22</v>
      </c>
      <c r="I28" s="15"/>
      <c r="J28" s="15"/>
      <c r="K28" s="15" t="s">
        <v>210</v>
      </c>
      <c r="L28" s="15" t="s">
        <v>211</v>
      </c>
      <c r="M28" s="15" t="s">
        <v>212</v>
      </c>
      <c r="N28" s="15" t="s">
        <v>27</v>
      </c>
      <c r="O28" s="17" t="s">
        <v>72</v>
      </c>
      <c r="P28" s="15"/>
      <c r="Q28" s="15" t="s">
        <v>29</v>
      </c>
    </row>
    <row r="29">
      <c r="A29" s="14">
        <v>44182.05587349537</v>
      </c>
      <c r="B29" s="15" t="s">
        <v>214</v>
      </c>
      <c r="C29" s="15" t="s">
        <v>215</v>
      </c>
      <c r="D29" s="15" t="s">
        <v>20</v>
      </c>
      <c r="E29" s="16">
        <v>42485.0</v>
      </c>
      <c r="F29" s="16">
        <v>36577.0</v>
      </c>
      <c r="G29" s="15" t="s">
        <v>21</v>
      </c>
      <c r="H29" s="15" t="s">
        <v>22</v>
      </c>
      <c r="I29" s="15"/>
      <c r="J29" s="15"/>
      <c r="K29" s="15" t="s">
        <v>216</v>
      </c>
      <c r="L29" s="15" t="s">
        <v>217</v>
      </c>
      <c r="M29" s="15" t="s">
        <v>218</v>
      </c>
      <c r="N29" s="15" t="s">
        <v>27</v>
      </c>
      <c r="O29" s="17" t="s">
        <v>219</v>
      </c>
      <c r="P29" s="15"/>
      <c r="Q29" s="15" t="s">
        <v>29</v>
      </c>
    </row>
    <row r="30">
      <c r="A30" s="14">
        <v>44182.05588915509</v>
      </c>
      <c r="B30" s="15" t="s">
        <v>221</v>
      </c>
      <c r="C30" s="15" t="s">
        <v>222</v>
      </c>
      <c r="D30" s="15" t="s">
        <v>20</v>
      </c>
      <c r="E30" s="16">
        <v>42355.0</v>
      </c>
      <c r="F30" s="16">
        <v>527700.0</v>
      </c>
      <c r="G30" s="15" t="s">
        <v>21</v>
      </c>
      <c r="H30" s="15" t="s">
        <v>22</v>
      </c>
      <c r="I30" s="15"/>
      <c r="J30" s="15"/>
      <c r="K30" s="15" t="s">
        <v>223</v>
      </c>
      <c r="L30" s="15" t="s">
        <v>224</v>
      </c>
      <c r="M30" s="15" t="s">
        <v>225</v>
      </c>
      <c r="N30" s="15" t="s">
        <v>27</v>
      </c>
      <c r="O30" s="17" t="s">
        <v>226</v>
      </c>
      <c r="P30" s="15"/>
      <c r="Q30" s="15" t="s">
        <v>29</v>
      </c>
    </row>
    <row r="31">
      <c r="A31" s="14">
        <v>44182.055905347224</v>
      </c>
      <c r="B31" s="15" t="s">
        <v>228</v>
      </c>
      <c r="C31" s="15" t="s">
        <v>229</v>
      </c>
      <c r="D31" s="15" t="s">
        <v>230</v>
      </c>
      <c r="E31" s="16">
        <v>43831.0</v>
      </c>
      <c r="F31" s="16">
        <v>1.0</v>
      </c>
      <c r="G31" s="15" t="s">
        <v>136</v>
      </c>
      <c r="H31" s="15" t="s">
        <v>22</v>
      </c>
      <c r="I31" s="15"/>
      <c r="J31" s="15"/>
      <c r="K31" s="15" t="s">
        <v>231</v>
      </c>
      <c r="L31" s="15" t="s">
        <v>232</v>
      </c>
      <c r="M31" s="15" t="s">
        <v>233</v>
      </c>
      <c r="N31" s="15" t="s">
        <v>234</v>
      </c>
      <c r="O31" s="17" t="s">
        <v>235</v>
      </c>
      <c r="P31" s="15"/>
      <c r="Q31" s="15" t="s">
        <v>29</v>
      </c>
    </row>
    <row r="32">
      <c r="A32" s="14">
        <v>44182.055920405095</v>
      </c>
      <c r="B32" s="15" t="s">
        <v>195</v>
      </c>
      <c r="C32" s="15" t="s">
        <v>237</v>
      </c>
      <c r="D32" s="15" t="s">
        <v>20</v>
      </c>
      <c r="E32" s="16">
        <v>43742.0</v>
      </c>
      <c r="F32" s="16">
        <v>78804.33</v>
      </c>
      <c r="G32" s="15" t="s">
        <v>21</v>
      </c>
      <c r="H32" s="15" t="s">
        <v>22</v>
      </c>
      <c r="I32" s="15"/>
      <c r="J32" s="15"/>
      <c r="K32" s="15" t="s">
        <v>238</v>
      </c>
      <c r="L32" s="15" t="s">
        <v>239</v>
      </c>
      <c r="M32" s="15" t="s">
        <v>240</v>
      </c>
      <c r="N32" s="15" t="s">
        <v>27</v>
      </c>
      <c r="O32" s="17" t="s">
        <v>200</v>
      </c>
      <c r="P32" s="15"/>
      <c r="Q32" s="15" t="s">
        <v>29</v>
      </c>
    </row>
    <row r="33">
      <c r="A33" s="14">
        <v>44182.0559369213</v>
      </c>
      <c r="B33" s="15" t="s">
        <v>242</v>
      </c>
      <c r="C33" s="15" t="s">
        <v>243</v>
      </c>
      <c r="D33" s="15" t="s">
        <v>20</v>
      </c>
      <c r="E33" s="16">
        <v>43059.0</v>
      </c>
      <c r="F33" s="16">
        <v>3273908.0</v>
      </c>
      <c r="G33" s="15" t="s">
        <v>21</v>
      </c>
      <c r="H33" s="15" t="s">
        <v>22</v>
      </c>
      <c r="I33" s="15"/>
      <c r="J33" s="15" t="s">
        <v>244</v>
      </c>
      <c r="K33" s="15" t="s">
        <v>245</v>
      </c>
      <c r="L33" s="15" t="s">
        <v>246</v>
      </c>
      <c r="M33" s="15" t="s">
        <v>247</v>
      </c>
      <c r="N33" s="15" t="s">
        <v>27</v>
      </c>
      <c r="O33" s="17" t="s">
        <v>248</v>
      </c>
      <c r="P33" s="15"/>
      <c r="Q33" s="15" t="s">
        <v>29</v>
      </c>
    </row>
    <row r="34">
      <c r="A34" s="14">
        <v>44182.055952361115</v>
      </c>
      <c r="B34" s="15" t="s">
        <v>250</v>
      </c>
      <c r="C34" s="15" t="s">
        <v>251</v>
      </c>
      <c r="D34" s="15" t="s">
        <v>20</v>
      </c>
      <c r="E34" s="16">
        <v>43354.0</v>
      </c>
      <c r="F34" s="16">
        <v>1194345.0</v>
      </c>
      <c r="G34" s="15" t="s">
        <v>21</v>
      </c>
      <c r="H34" s="15" t="s">
        <v>22</v>
      </c>
      <c r="I34" s="15"/>
      <c r="J34" s="15" t="s">
        <v>252</v>
      </c>
      <c r="K34" s="15" t="s">
        <v>253</v>
      </c>
      <c r="L34" s="15" t="s">
        <v>254</v>
      </c>
      <c r="M34" s="15" t="s">
        <v>255</v>
      </c>
      <c r="N34" s="15" t="s">
        <v>27</v>
      </c>
      <c r="O34" s="17" t="s">
        <v>256</v>
      </c>
      <c r="P34" s="15"/>
      <c r="Q34" s="15" t="s">
        <v>29</v>
      </c>
    </row>
    <row r="35">
      <c r="A35" s="14">
        <v>44182.0559692824</v>
      </c>
      <c r="B35" s="15" t="s">
        <v>258</v>
      </c>
      <c r="C35" s="15" t="s">
        <v>259</v>
      </c>
      <c r="D35" s="15" t="s">
        <v>20</v>
      </c>
      <c r="E35" s="16">
        <v>43886.0</v>
      </c>
      <c r="F35" s="16">
        <v>26000.0</v>
      </c>
      <c r="G35" s="15" t="s">
        <v>21</v>
      </c>
      <c r="H35" s="15" t="s">
        <v>22</v>
      </c>
      <c r="I35" s="15"/>
      <c r="J35" s="15"/>
      <c r="K35" s="15" t="s">
        <v>261</v>
      </c>
      <c r="L35" s="15" t="s">
        <v>262</v>
      </c>
      <c r="M35" s="15" t="s">
        <v>263</v>
      </c>
      <c r="N35" s="15" t="s">
        <v>27</v>
      </c>
      <c r="O35" s="17" t="s">
        <v>264</v>
      </c>
      <c r="P35" s="15"/>
      <c r="Q35" s="15" t="s">
        <v>29</v>
      </c>
    </row>
    <row r="36">
      <c r="A36" s="14">
        <v>44182.05598655093</v>
      </c>
      <c r="B36" s="15" t="s">
        <v>266</v>
      </c>
      <c r="C36" s="15" t="s">
        <v>267</v>
      </c>
      <c r="D36" s="15" t="s">
        <v>20</v>
      </c>
      <c r="E36" s="16">
        <v>43699.0</v>
      </c>
      <c r="F36" s="16">
        <v>20000.0</v>
      </c>
      <c r="G36" s="15" t="s">
        <v>21</v>
      </c>
      <c r="H36" s="15" t="s">
        <v>22</v>
      </c>
      <c r="I36" s="15"/>
      <c r="J36" s="15"/>
      <c r="K36" s="15" t="s">
        <v>268</v>
      </c>
      <c r="L36" s="15" t="s">
        <v>269</v>
      </c>
      <c r="M36" s="15" t="s">
        <v>270</v>
      </c>
      <c r="N36" s="15" t="s">
        <v>27</v>
      </c>
      <c r="O36" s="17" t="s">
        <v>271</v>
      </c>
      <c r="P36" s="15"/>
      <c r="Q36" s="15" t="s">
        <v>29</v>
      </c>
    </row>
    <row r="37">
      <c r="A37" s="14">
        <v>44182.05600222222</v>
      </c>
      <c r="B37" s="15" t="s">
        <v>38</v>
      </c>
      <c r="C37" s="15" t="s">
        <v>273</v>
      </c>
      <c r="D37" s="15" t="s">
        <v>20</v>
      </c>
      <c r="E37" s="16">
        <v>43477.0</v>
      </c>
      <c r="F37" s="16">
        <v>11000.0</v>
      </c>
      <c r="G37" s="15" t="s">
        <v>136</v>
      </c>
      <c r="H37" s="15" t="s">
        <v>22</v>
      </c>
      <c r="I37" s="15"/>
      <c r="J37" s="15"/>
      <c r="K37" s="15" t="s">
        <v>274</v>
      </c>
      <c r="L37" s="15" t="s">
        <v>275</v>
      </c>
      <c r="M37" s="15" t="s">
        <v>276</v>
      </c>
      <c r="N37" s="15" t="s">
        <v>27</v>
      </c>
      <c r="O37" s="17" t="s">
        <v>43</v>
      </c>
      <c r="P37" s="15"/>
      <c r="Q37" s="15" t="s">
        <v>29</v>
      </c>
    </row>
    <row r="38">
      <c r="A38" s="14">
        <v>44182.05602255787</v>
      </c>
      <c r="B38" s="15" t="s">
        <v>278</v>
      </c>
      <c r="C38" s="15" t="s">
        <v>279</v>
      </c>
      <c r="D38" s="15" t="s">
        <v>20</v>
      </c>
      <c r="E38" s="16">
        <v>43896.0</v>
      </c>
      <c r="F38" s="16">
        <v>10610.0</v>
      </c>
      <c r="G38" s="15" t="s">
        <v>21</v>
      </c>
      <c r="H38" s="15" t="s">
        <v>22</v>
      </c>
      <c r="I38" s="15"/>
      <c r="J38" s="15"/>
      <c r="K38" s="15" t="s">
        <v>280</v>
      </c>
      <c r="L38" s="15" t="s">
        <v>281</v>
      </c>
      <c r="M38" s="15" t="s">
        <v>282</v>
      </c>
      <c r="N38" s="15" t="s">
        <v>27</v>
      </c>
      <c r="O38" s="17" t="s">
        <v>283</v>
      </c>
      <c r="P38" s="15"/>
      <c r="Q38" s="15" t="s">
        <v>29</v>
      </c>
    </row>
    <row r="39">
      <c r="A39" s="14">
        <v>44182.05603784722</v>
      </c>
      <c r="B39" s="15" t="s">
        <v>285</v>
      </c>
      <c r="C39" s="15" t="s">
        <v>286</v>
      </c>
      <c r="D39" s="15" t="s">
        <v>20</v>
      </c>
      <c r="E39" s="16">
        <v>43677.0</v>
      </c>
      <c r="F39" s="16">
        <v>26400.0</v>
      </c>
      <c r="G39" s="15" t="s">
        <v>21</v>
      </c>
      <c r="H39" s="15" t="s">
        <v>22</v>
      </c>
      <c r="I39" s="15"/>
      <c r="J39" s="15"/>
      <c r="K39" s="15" t="s">
        <v>287</v>
      </c>
      <c r="L39" s="15" t="s">
        <v>288</v>
      </c>
      <c r="M39" s="15" t="s">
        <v>289</v>
      </c>
      <c r="N39" s="15" t="s">
        <v>27</v>
      </c>
      <c r="O39" s="17" t="s">
        <v>290</v>
      </c>
      <c r="P39" s="15"/>
      <c r="Q39" s="15" t="s">
        <v>29</v>
      </c>
    </row>
    <row r="40">
      <c r="A40" s="14">
        <v>44182.05605299769</v>
      </c>
      <c r="B40" s="15" t="s">
        <v>242</v>
      </c>
      <c r="C40" s="15" t="s">
        <v>292</v>
      </c>
      <c r="D40" s="15" t="s">
        <v>20</v>
      </c>
      <c r="E40" s="16">
        <v>43788.0</v>
      </c>
      <c r="F40" s="16">
        <v>30000.0</v>
      </c>
      <c r="G40" s="15" t="s">
        <v>21</v>
      </c>
      <c r="H40" s="15" t="s">
        <v>22</v>
      </c>
      <c r="I40" s="15"/>
      <c r="J40" s="15"/>
      <c r="K40" s="15" t="s">
        <v>293</v>
      </c>
      <c r="L40" s="15" t="s">
        <v>294</v>
      </c>
      <c r="M40" s="15" t="s">
        <v>295</v>
      </c>
      <c r="N40" s="15" t="s">
        <v>27</v>
      </c>
      <c r="O40" s="17" t="s">
        <v>248</v>
      </c>
      <c r="P40" s="15"/>
      <c r="Q40" s="15" t="s">
        <v>29</v>
      </c>
    </row>
    <row r="41">
      <c r="A41" s="14">
        <v>44182.05606878472</v>
      </c>
      <c r="B41" s="15" t="s">
        <v>38</v>
      </c>
      <c r="C41" s="15" t="s">
        <v>297</v>
      </c>
      <c r="D41" s="15" t="s">
        <v>20</v>
      </c>
      <c r="E41" s="16">
        <v>43719.0</v>
      </c>
      <c r="F41" s="16">
        <v>83750.0</v>
      </c>
      <c r="G41" s="15" t="s">
        <v>21</v>
      </c>
      <c r="H41" s="15" t="s">
        <v>22</v>
      </c>
      <c r="I41" s="15"/>
      <c r="J41" s="15" t="s">
        <v>298</v>
      </c>
      <c r="K41" s="15" t="s">
        <v>299</v>
      </c>
      <c r="L41" s="15" t="s">
        <v>300</v>
      </c>
      <c r="M41" s="15" t="s">
        <v>301</v>
      </c>
      <c r="N41" s="15" t="s">
        <v>27</v>
      </c>
      <c r="O41" s="17" t="s">
        <v>43</v>
      </c>
      <c r="P41" s="15"/>
      <c r="Q41" s="15" t="s">
        <v>29</v>
      </c>
    </row>
    <row r="42">
      <c r="A42" s="14">
        <v>44182.05608815972</v>
      </c>
      <c r="B42" s="15" t="s">
        <v>303</v>
      </c>
      <c r="C42" s="15" t="s">
        <v>304</v>
      </c>
      <c r="D42" s="15" t="s">
        <v>20</v>
      </c>
      <c r="E42" s="16">
        <v>43769.0</v>
      </c>
      <c r="F42" s="16">
        <v>24000.0</v>
      </c>
      <c r="G42" s="15" t="s">
        <v>21</v>
      </c>
      <c r="H42" s="15" t="s">
        <v>22</v>
      </c>
      <c r="I42" s="15"/>
      <c r="J42" s="15"/>
      <c r="K42" s="15" t="s">
        <v>305</v>
      </c>
      <c r="L42" s="15" t="s">
        <v>306</v>
      </c>
      <c r="M42" s="15" t="s">
        <v>307</v>
      </c>
      <c r="N42" s="15" t="s">
        <v>27</v>
      </c>
      <c r="O42" s="17" t="s">
        <v>308</v>
      </c>
      <c r="P42" s="15"/>
      <c r="Q42" s="15" t="s">
        <v>29</v>
      </c>
    </row>
    <row r="43">
      <c r="A43" s="14">
        <v>44182.05610516203</v>
      </c>
      <c r="B43" s="15" t="s">
        <v>38</v>
      </c>
      <c r="C43" s="15" t="s">
        <v>310</v>
      </c>
      <c r="D43" s="15" t="s">
        <v>20</v>
      </c>
      <c r="E43" s="16">
        <v>43804.0</v>
      </c>
      <c r="F43" s="16">
        <v>16300.0</v>
      </c>
      <c r="G43" s="15" t="s">
        <v>21</v>
      </c>
      <c r="H43" s="15" t="s">
        <v>22</v>
      </c>
      <c r="I43" s="15"/>
      <c r="J43" s="15"/>
      <c r="K43" s="15" t="s">
        <v>311</v>
      </c>
      <c r="L43" s="15" t="s">
        <v>312</v>
      </c>
      <c r="M43" s="15" t="s">
        <v>313</v>
      </c>
      <c r="N43" s="15" t="s">
        <v>27</v>
      </c>
      <c r="O43" s="17" t="s">
        <v>43</v>
      </c>
      <c r="P43" s="15"/>
      <c r="Q43" s="15" t="s">
        <v>29</v>
      </c>
    </row>
    <row r="44">
      <c r="A44" s="14">
        <v>44182.05612491898</v>
      </c>
      <c r="B44" s="15" t="s">
        <v>315</v>
      </c>
      <c r="C44" s="15" t="s">
        <v>316</v>
      </c>
      <c r="D44" s="15" t="s">
        <v>20</v>
      </c>
      <c r="E44" s="16">
        <v>43228.0</v>
      </c>
      <c r="F44" s="16">
        <v>353218.0</v>
      </c>
      <c r="G44" s="15" t="s">
        <v>21</v>
      </c>
      <c r="H44" s="15" t="s">
        <v>22</v>
      </c>
      <c r="I44" s="15"/>
      <c r="J44" s="15"/>
      <c r="K44" s="15" t="s">
        <v>317</v>
      </c>
      <c r="L44" s="15" t="s">
        <v>318</v>
      </c>
      <c r="M44" s="15" t="s">
        <v>319</v>
      </c>
      <c r="N44" s="15" t="s">
        <v>27</v>
      </c>
      <c r="O44" s="17" t="s">
        <v>320</v>
      </c>
      <c r="P44" s="15"/>
      <c r="Q44" s="15" t="s">
        <v>29</v>
      </c>
    </row>
    <row r="45">
      <c r="A45" s="14">
        <v>44182.056140995366</v>
      </c>
      <c r="B45" s="15" t="s">
        <v>322</v>
      </c>
      <c r="C45" s="15" t="s">
        <v>323</v>
      </c>
      <c r="D45" s="15" t="s">
        <v>20</v>
      </c>
      <c r="E45" s="16">
        <v>43732.0</v>
      </c>
      <c r="F45" s="16">
        <v>81000.0</v>
      </c>
      <c r="G45" s="15" t="s">
        <v>21</v>
      </c>
      <c r="H45" s="15" t="s">
        <v>22</v>
      </c>
      <c r="I45" s="15"/>
      <c r="J45" s="15"/>
      <c r="K45" s="15" t="s">
        <v>324</v>
      </c>
      <c r="L45" s="15" t="s">
        <v>325</v>
      </c>
      <c r="M45" s="15" t="s">
        <v>326</v>
      </c>
      <c r="N45" s="15" t="s">
        <v>27</v>
      </c>
      <c r="O45" s="17" t="s">
        <v>327</v>
      </c>
      <c r="P45" s="15"/>
      <c r="Q45" s="15" t="s">
        <v>29</v>
      </c>
    </row>
    <row r="46">
      <c r="A46" s="14">
        <v>44182.05615793982</v>
      </c>
      <c r="B46" s="15" t="s">
        <v>322</v>
      </c>
      <c r="C46" s="15" t="s">
        <v>329</v>
      </c>
      <c r="D46" s="15" t="s">
        <v>20</v>
      </c>
      <c r="E46" s="16">
        <v>43589.0</v>
      </c>
      <c r="F46" s="16">
        <v>139932.66</v>
      </c>
      <c r="G46" s="15" t="s">
        <v>21</v>
      </c>
      <c r="H46" s="15" t="s">
        <v>22</v>
      </c>
      <c r="I46" s="15"/>
      <c r="J46" s="15"/>
      <c r="K46" s="15" t="s">
        <v>330</v>
      </c>
      <c r="L46" s="15" t="s">
        <v>331</v>
      </c>
      <c r="M46" s="15" t="s">
        <v>332</v>
      </c>
      <c r="N46" s="15" t="s">
        <v>27</v>
      </c>
      <c r="O46" s="17" t="s">
        <v>327</v>
      </c>
      <c r="P46" s="15"/>
      <c r="Q46" s="15" t="s">
        <v>29</v>
      </c>
    </row>
    <row r="47">
      <c r="A47" s="14">
        <v>44182.05617465278</v>
      </c>
      <c r="B47" s="15" t="s">
        <v>334</v>
      </c>
      <c r="C47" s="15" t="s">
        <v>335</v>
      </c>
      <c r="D47" s="15" t="s">
        <v>230</v>
      </c>
      <c r="E47" s="16">
        <v>43831.0</v>
      </c>
      <c r="F47" s="16">
        <v>100.0</v>
      </c>
      <c r="G47" s="15" t="s">
        <v>136</v>
      </c>
      <c r="H47" s="15" t="s">
        <v>22</v>
      </c>
      <c r="I47" s="15"/>
      <c r="J47" s="15"/>
      <c r="K47" s="15" t="s">
        <v>336</v>
      </c>
      <c r="L47" s="15" t="s">
        <v>337</v>
      </c>
      <c r="M47" s="15" t="s">
        <v>338</v>
      </c>
      <c r="N47" s="15" t="s">
        <v>234</v>
      </c>
      <c r="O47" s="17" t="s">
        <v>339</v>
      </c>
      <c r="P47" s="15"/>
      <c r="Q47" s="15" t="s">
        <v>29</v>
      </c>
    </row>
    <row r="48">
      <c r="A48" s="14">
        <v>44182.05619030092</v>
      </c>
      <c r="B48" s="15" t="s">
        <v>341</v>
      </c>
      <c r="C48" s="15" t="s">
        <v>342</v>
      </c>
      <c r="D48" s="15" t="s">
        <v>20</v>
      </c>
      <c r="E48" s="16">
        <v>43546.0</v>
      </c>
      <c r="F48" s="16">
        <v>82900.0</v>
      </c>
      <c r="G48" s="15" t="s">
        <v>21</v>
      </c>
      <c r="H48" s="15" t="s">
        <v>22</v>
      </c>
      <c r="I48" s="15"/>
      <c r="J48" s="15"/>
      <c r="K48" s="15" t="s">
        <v>343</v>
      </c>
      <c r="L48" s="15" t="s">
        <v>344</v>
      </c>
      <c r="M48" s="15" t="s">
        <v>345</v>
      </c>
      <c r="N48" s="15" t="s">
        <v>27</v>
      </c>
      <c r="O48" s="17" t="s">
        <v>346</v>
      </c>
      <c r="P48" s="15"/>
      <c r="Q48" s="15" t="s">
        <v>29</v>
      </c>
    </row>
    <row r="49">
      <c r="A49" s="14">
        <v>44182.056206608795</v>
      </c>
      <c r="B49" s="15" t="s">
        <v>348</v>
      </c>
      <c r="C49" s="15" t="s">
        <v>349</v>
      </c>
      <c r="D49" s="15" t="s">
        <v>20</v>
      </c>
      <c r="E49" s="16">
        <v>43711.0</v>
      </c>
      <c r="F49" s="16">
        <v>180540.0</v>
      </c>
      <c r="G49" s="15" t="s">
        <v>350</v>
      </c>
      <c r="H49" s="15" t="s">
        <v>22</v>
      </c>
      <c r="I49" s="15"/>
      <c r="J49" s="15"/>
      <c r="K49" s="15" t="s">
        <v>351</v>
      </c>
      <c r="L49" s="15" t="s">
        <v>352</v>
      </c>
      <c r="M49" s="15" t="s">
        <v>353</v>
      </c>
      <c r="N49" s="15" t="s">
        <v>27</v>
      </c>
      <c r="O49" s="17" t="s">
        <v>354</v>
      </c>
      <c r="P49" s="15"/>
      <c r="Q49" s="15" t="s">
        <v>29</v>
      </c>
    </row>
    <row r="50">
      <c r="A50" s="14">
        <v>44182.05622381944</v>
      </c>
      <c r="B50" s="15" t="s">
        <v>356</v>
      </c>
      <c r="C50" s="15" t="s">
        <v>357</v>
      </c>
      <c r="D50" s="15" t="s">
        <v>358</v>
      </c>
      <c r="E50" s="16">
        <v>43124.0</v>
      </c>
      <c r="F50" s="16">
        <v>416156.43</v>
      </c>
      <c r="G50" s="15" t="s">
        <v>21</v>
      </c>
      <c r="H50" s="15" t="s">
        <v>22</v>
      </c>
      <c r="I50" s="15"/>
      <c r="J50" s="15"/>
      <c r="K50" s="15" t="s">
        <v>359</v>
      </c>
      <c r="L50" s="15" t="s">
        <v>360</v>
      </c>
      <c r="M50" s="15" t="s">
        <v>361</v>
      </c>
      <c r="N50" s="15" t="s">
        <v>362</v>
      </c>
      <c r="O50" s="17" t="s">
        <v>363</v>
      </c>
      <c r="P50" s="15"/>
      <c r="Q50" s="15" t="s">
        <v>29</v>
      </c>
    </row>
    <row r="51">
      <c r="A51" s="14">
        <v>44182.056240335645</v>
      </c>
      <c r="B51" s="15" t="s">
        <v>365</v>
      </c>
      <c r="C51" s="15" t="s">
        <v>366</v>
      </c>
      <c r="D51" s="15" t="s">
        <v>20</v>
      </c>
      <c r="E51" s="16">
        <v>43571.0</v>
      </c>
      <c r="F51" s="16">
        <v>36200.0</v>
      </c>
      <c r="G51" s="15" t="s">
        <v>21</v>
      </c>
      <c r="H51" s="15" t="s">
        <v>22</v>
      </c>
      <c r="I51" s="15"/>
      <c r="J51" s="15"/>
      <c r="K51" s="15" t="s">
        <v>367</v>
      </c>
      <c r="L51" s="15" t="s">
        <v>368</v>
      </c>
      <c r="M51" s="15" t="s">
        <v>369</v>
      </c>
      <c r="N51" s="15" t="s">
        <v>27</v>
      </c>
      <c r="O51" s="17" t="s">
        <v>370</v>
      </c>
      <c r="P51" s="15"/>
      <c r="Q51" s="15" t="s">
        <v>29</v>
      </c>
    </row>
    <row r="52">
      <c r="A52" s="14">
        <v>44182.05625633102</v>
      </c>
      <c r="B52" s="15" t="s">
        <v>372</v>
      </c>
      <c r="C52" s="15" t="s">
        <v>373</v>
      </c>
      <c r="D52" s="15" t="s">
        <v>20</v>
      </c>
      <c r="E52" s="16">
        <v>43566.0</v>
      </c>
      <c r="F52" s="16">
        <v>37760.0</v>
      </c>
      <c r="G52" s="15" t="s">
        <v>21</v>
      </c>
      <c r="H52" s="15" t="s">
        <v>22</v>
      </c>
      <c r="I52" s="15"/>
      <c r="J52" s="15"/>
      <c r="K52" s="15" t="s">
        <v>374</v>
      </c>
      <c r="L52" s="15" t="s">
        <v>375</v>
      </c>
      <c r="M52" s="15" t="s">
        <v>376</v>
      </c>
      <c r="N52" s="15" t="s">
        <v>27</v>
      </c>
      <c r="O52" s="17" t="s">
        <v>377</v>
      </c>
      <c r="P52" s="15"/>
      <c r="Q52" s="15" t="s">
        <v>29</v>
      </c>
    </row>
    <row r="53">
      <c r="A53" s="14">
        <v>44182.05629100694</v>
      </c>
      <c r="B53" s="15" t="s">
        <v>379</v>
      </c>
      <c r="C53" s="15" t="s">
        <v>380</v>
      </c>
      <c r="D53" s="15" t="s">
        <v>20</v>
      </c>
      <c r="E53" s="16">
        <v>43861.0</v>
      </c>
      <c r="F53" s="16">
        <v>8900.0</v>
      </c>
      <c r="G53" s="15" t="s">
        <v>21</v>
      </c>
      <c r="H53" s="15" t="s">
        <v>22</v>
      </c>
      <c r="I53" s="15"/>
      <c r="J53" s="15"/>
      <c r="K53" s="15" t="s">
        <v>381</v>
      </c>
      <c r="L53" s="15" t="s">
        <v>382</v>
      </c>
      <c r="M53" s="15" t="s">
        <v>383</v>
      </c>
      <c r="N53" s="15" t="s">
        <v>27</v>
      </c>
      <c r="O53" s="17" t="s">
        <v>384</v>
      </c>
      <c r="P53" s="15"/>
      <c r="Q53" s="15" t="s">
        <v>29</v>
      </c>
    </row>
    <row r="54">
      <c r="A54" s="14">
        <v>44182.056307025465</v>
      </c>
      <c r="B54" s="15" t="s">
        <v>386</v>
      </c>
      <c r="C54" s="15" t="s">
        <v>387</v>
      </c>
      <c r="D54" s="15" t="s">
        <v>20</v>
      </c>
      <c r="E54" s="16">
        <v>43348.0</v>
      </c>
      <c r="F54" s="16">
        <v>650000.0</v>
      </c>
      <c r="G54" s="15" t="s">
        <v>21</v>
      </c>
      <c r="H54" s="15" t="s">
        <v>22</v>
      </c>
      <c r="I54" s="15"/>
      <c r="J54" s="15"/>
      <c r="K54" s="15" t="s">
        <v>388</v>
      </c>
      <c r="L54" s="15" t="s">
        <v>389</v>
      </c>
      <c r="M54" s="15" t="s">
        <v>390</v>
      </c>
      <c r="N54" s="15" t="s">
        <v>27</v>
      </c>
      <c r="O54" s="17" t="s">
        <v>391</v>
      </c>
      <c r="P54" s="15"/>
      <c r="Q54" s="15" t="s">
        <v>29</v>
      </c>
    </row>
    <row r="55">
      <c r="A55" s="14">
        <v>44182.05632278935</v>
      </c>
      <c r="B55" s="15" t="s">
        <v>393</v>
      </c>
      <c r="C55" s="15" t="s">
        <v>394</v>
      </c>
      <c r="D55" s="15" t="s">
        <v>358</v>
      </c>
      <c r="E55" s="16">
        <v>43595.0</v>
      </c>
      <c r="F55" s="16">
        <v>109423.76</v>
      </c>
      <c r="G55" s="15" t="s">
        <v>136</v>
      </c>
      <c r="H55" s="15" t="s">
        <v>22</v>
      </c>
      <c r="I55" s="15"/>
      <c r="J55" s="15"/>
      <c r="K55" s="15" t="s">
        <v>395</v>
      </c>
      <c r="L55" s="15" t="s">
        <v>396</v>
      </c>
      <c r="M55" s="15" t="s">
        <v>397</v>
      </c>
      <c r="N55" s="15" t="s">
        <v>362</v>
      </c>
      <c r="O55" s="17" t="s">
        <v>398</v>
      </c>
      <c r="P55" s="15"/>
      <c r="Q55" s="15" t="s">
        <v>29</v>
      </c>
    </row>
    <row r="56">
      <c r="A56" s="14">
        <v>44182.05633934028</v>
      </c>
      <c r="B56" s="15" t="s">
        <v>393</v>
      </c>
      <c r="C56" s="15" t="s">
        <v>400</v>
      </c>
      <c r="D56" s="15" t="s">
        <v>358</v>
      </c>
      <c r="E56" s="16">
        <v>43602.0</v>
      </c>
      <c r="F56" s="16">
        <v>11810.0</v>
      </c>
      <c r="G56" s="15" t="s">
        <v>21</v>
      </c>
      <c r="H56" s="15" t="s">
        <v>22</v>
      </c>
      <c r="I56" s="15"/>
      <c r="J56" s="15"/>
      <c r="K56" s="15" t="s">
        <v>401</v>
      </c>
      <c r="L56" s="15" t="s">
        <v>402</v>
      </c>
      <c r="M56" s="15" t="s">
        <v>403</v>
      </c>
      <c r="N56" s="15" t="s">
        <v>362</v>
      </c>
      <c r="O56" s="17" t="s">
        <v>398</v>
      </c>
      <c r="P56" s="15"/>
      <c r="Q56" s="15" t="s">
        <v>29</v>
      </c>
    </row>
    <row r="57">
      <c r="A57" s="14">
        <v>44182.05635587963</v>
      </c>
      <c r="B57" s="15" t="s">
        <v>393</v>
      </c>
      <c r="C57" s="15" t="s">
        <v>405</v>
      </c>
      <c r="D57" s="15" t="s">
        <v>358</v>
      </c>
      <c r="E57" s="16">
        <v>43633.0</v>
      </c>
      <c r="F57" s="16">
        <v>319728.97</v>
      </c>
      <c r="G57" s="15" t="s">
        <v>21</v>
      </c>
      <c r="H57" s="15" t="s">
        <v>22</v>
      </c>
      <c r="I57" s="15"/>
      <c r="J57" s="15"/>
      <c r="K57" s="15" t="s">
        <v>406</v>
      </c>
      <c r="L57" s="15" t="s">
        <v>407</v>
      </c>
      <c r="M57" s="15" t="s">
        <v>408</v>
      </c>
      <c r="N57" s="15" t="s">
        <v>362</v>
      </c>
      <c r="O57" s="17" t="s">
        <v>398</v>
      </c>
      <c r="P57" s="15"/>
      <c r="Q57" s="15" t="s">
        <v>29</v>
      </c>
    </row>
    <row r="58">
      <c r="A58" s="14">
        <v>44182.05637201389</v>
      </c>
      <c r="B58" s="15" t="s">
        <v>393</v>
      </c>
      <c r="C58" s="15" t="s">
        <v>410</v>
      </c>
      <c r="D58" s="15" t="s">
        <v>358</v>
      </c>
      <c r="E58" s="16">
        <v>43693.0</v>
      </c>
      <c r="F58" s="16">
        <v>11636.28</v>
      </c>
      <c r="G58" s="15" t="s">
        <v>21</v>
      </c>
      <c r="H58" s="15" t="s">
        <v>22</v>
      </c>
      <c r="I58" s="15"/>
      <c r="J58" s="15"/>
      <c r="K58" s="15" t="s">
        <v>411</v>
      </c>
      <c r="L58" s="15" t="s">
        <v>412</v>
      </c>
      <c r="M58" s="15" t="s">
        <v>413</v>
      </c>
      <c r="N58" s="15" t="s">
        <v>362</v>
      </c>
      <c r="O58" s="17" t="s">
        <v>398</v>
      </c>
      <c r="P58" s="15"/>
      <c r="Q58" s="15" t="s">
        <v>29</v>
      </c>
    </row>
    <row r="59">
      <c r="A59" s="14">
        <v>44182.05638821759</v>
      </c>
      <c r="B59" s="15" t="s">
        <v>393</v>
      </c>
      <c r="C59" s="15" t="s">
        <v>420</v>
      </c>
      <c r="D59" s="15" t="s">
        <v>358</v>
      </c>
      <c r="E59" s="16">
        <v>43759.0</v>
      </c>
      <c r="F59" s="16">
        <v>2244.12</v>
      </c>
      <c r="G59" s="15" t="s">
        <v>21</v>
      </c>
      <c r="H59" s="15" t="s">
        <v>22</v>
      </c>
      <c r="I59" s="15"/>
      <c r="J59" s="15"/>
      <c r="K59" s="15" t="s">
        <v>421</v>
      </c>
      <c r="L59" s="15" t="s">
        <v>422</v>
      </c>
      <c r="M59" s="15" t="s">
        <v>423</v>
      </c>
      <c r="N59" s="15" t="s">
        <v>362</v>
      </c>
      <c r="O59" s="17" t="s">
        <v>398</v>
      </c>
      <c r="P59" s="15"/>
      <c r="Q59" s="15" t="s">
        <v>29</v>
      </c>
    </row>
    <row r="60">
      <c r="A60" s="14">
        <v>44182.05640565972</v>
      </c>
      <c r="B60" s="15" t="s">
        <v>393</v>
      </c>
      <c r="C60" s="15" t="s">
        <v>415</v>
      </c>
      <c r="D60" s="15" t="s">
        <v>358</v>
      </c>
      <c r="E60" s="16">
        <v>43597.0</v>
      </c>
      <c r="F60" s="16">
        <v>2872.57</v>
      </c>
      <c r="G60" s="15" t="s">
        <v>21</v>
      </c>
      <c r="H60" s="15" t="s">
        <v>22</v>
      </c>
      <c r="I60" s="15"/>
      <c r="J60" s="15"/>
      <c r="K60" s="15" t="s">
        <v>416</v>
      </c>
      <c r="L60" s="15" t="s">
        <v>417</v>
      </c>
      <c r="M60" s="15" t="s">
        <v>418</v>
      </c>
      <c r="N60" s="15" t="s">
        <v>362</v>
      </c>
      <c r="O60" s="17" t="s">
        <v>398</v>
      </c>
      <c r="P60" s="15"/>
      <c r="Q60" s="15" t="s">
        <v>29</v>
      </c>
    </row>
    <row r="61">
      <c r="A61" s="14">
        <v>44182.05642079861</v>
      </c>
      <c r="B61" s="15" t="s">
        <v>393</v>
      </c>
      <c r="C61" s="15" t="s">
        <v>430</v>
      </c>
      <c r="D61" s="15" t="s">
        <v>358</v>
      </c>
      <c r="E61" s="16">
        <v>43815.0</v>
      </c>
      <c r="F61" s="16">
        <v>881.46</v>
      </c>
      <c r="G61" s="15" t="s">
        <v>350</v>
      </c>
      <c r="H61" s="15" t="s">
        <v>22</v>
      </c>
      <c r="I61" s="15"/>
      <c r="J61" s="15"/>
      <c r="K61" s="15" t="s">
        <v>431</v>
      </c>
      <c r="L61" s="15" t="s">
        <v>432</v>
      </c>
      <c r="M61" s="15" t="s">
        <v>433</v>
      </c>
      <c r="N61" s="15" t="s">
        <v>362</v>
      </c>
      <c r="O61" s="17" t="s">
        <v>398</v>
      </c>
      <c r="P61" s="15"/>
      <c r="Q61" s="15" t="s">
        <v>29</v>
      </c>
    </row>
    <row r="62">
      <c r="A62" s="14">
        <v>44182.05643898148</v>
      </c>
      <c r="B62" s="15" t="s">
        <v>393</v>
      </c>
      <c r="C62" s="15" t="s">
        <v>425</v>
      </c>
      <c r="D62" s="15" t="s">
        <v>358</v>
      </c>
      <c r="E62" s="16">
        <v>43882.0</v>
      </c>
      <c r="F62" s="16">
        <v>10000.0</v>
      </c>
      <c r="G62" s="15" t="s">
        <v>136</v>
      </c>
      <c r="H62" s="15" t="s">
        <v>22</v>
      </c>
      <c r="I62" s="15"/>
      <c r="J62" s="15"/>
      <c r="K62" s="15" t="s">
        <v>426</v>
      </c>
      <c r="L62" s="15" t="s">
        <v>427</v>
      </c>
      <c r="M62" s="15" t="s">
        <v>428</v>
      </c>
      <c r="N62" s="15" t="s">
        <v>362</v>
      </c>
      <c r="O62" s="17" t="s">
        <v>398</v>
      </c>
      <c r="P62" s="15"/>
      <c r="Q62" s="15" t="s">
        <v>29</v>
      </c>
    </row>
    <row r="63">
      <c r="A63" s="14">
        <v>44182.05645791667</v>
      </c>
      <c r="B63" s="15" t="s">
        <v>393</v>
      </c>
      <c r="C63" s="15" t="s">
        <v>435</v>
      </c>
      <c r="D63" s="15" t="s">
        <v>358</v>
      </c>
      <c r="E63" s="16">
        <v>43894.0</v>
      </c>
      <c r="F63" s="16">
        <v>87484.25</v>
      </c>
      <c r="G63" s="15" t="s">
        <v>21</v>
      </c>
      <c r="H63" s="15" t="s">
        <v>22</v>
      </c>
      <c r="I63" s="15"/>
      <c r="J63" s="15"/>
      <c r="K63" s="15" t="s">
        <v>436</v>
      </c>
      <c r="L63" s="15" t="s">
        <v>437</v>
      </c>
      <c r="M63" s="15" t="s">
        <v>438</v>
      </c>
      <c r="N63" s="15" t="s">
        <v>362</v>
      </c>
      <c r="O63" s="17" t="s">
        <v>398</v>
      </c>
      <c r="P63" s="15"/>
      <c r="Q63" s="15" t="s">
        <v>29</v>
      </c>
    </row>
    <row r="64">
      <c r="A64" s="14">
        <v>44182.05647401621</v>
      </c>
      <c r="B64" s="15" t="s">
        <v>393</v>
      </c>
      <c r="C64" s="15" t="s">
        <v>440</v>
      </c>
      <c r="D64" s="15" t="s">
        <v>358</v>
      </c>
      <c r="E64" s="16">
        <v>43900.0</v>
      </c>
      <c r="F64" s="16">
        <v>56818.84</v>
      </c>
      <c r="G64" s="15" t="s">
        <v>21</v>
      </c>
      <c r="H64" s="15" t="s">
        <v>22</v>
      </c>
      <c r="I64" s="15"/>
      <c r="J64" s="15"/>
      <c r="K64" s="15" t="s">
        <v>441</v>
      </c>
      <c r="L64" s="15" t="s">
        <v>442</v>
      </c>
      <c r="M64" s="15" t="s">
        <v>443</v>
      </c>
      <c r="N64" s="15" t="s">
        <v>362</v>
      </c>
      <c r="O64" s="17" t="s">
        <v>398</v>
      </c>
      <c r="P64" s="15"/>
      <c r="Q64" s="15" t="s">
        <v>29</v>
      </c>
    </row>
    <row r="65">
      <c r="A65" s="14">
        <v>44182.056489826384</v>
      </c>
      <c r="B65" s="15" t="s">
        <v>393</v>
      </c>
      <c r="C65" s="15" t="s">
        <v>445</v>
      </c>
      <c r="D65" s="15" t="s">
        <v>358</v>
      </c>
      <c r="E65" s="16">
        <v>43903.0</v>
      </c>
      <c r="F65" s="16">
        <v>8684.86</v>
      </c>
      <c r="G65" s="15" t="s">
        <v>21</v>
      </c>
      <c r="H65" s="15" t="s">
        <v>22</v>
      </c>
      <c r="I65" s="15"/>
      <c r="J65" s="15"/>
      <c r="K65" s="15" t="s">
        <v>446</v>
      </c>
      <c r="L65" s="15" t="s">
        <v>447</v>
      </c>
      <c r="M65" s="15" t="s">
        <v>448</v>
      </c>
      <c r="N65" s="15" t="s">
        <v>362</v>
      </c>
      <c r="O65" s="17" t="s">
        <v>398</v>
      </c>
      <c r="P65" s="15"/>
      <c r="Q65" s="15" t="s">
        <v>29</v>
      </c>
    </row>
    <row r="66">
      <c r="A66" s="14">
        <v>44182.05650550926</v>
      </c>
      <c r="B66" s="15" t="s">
        <v>110</v>
      </c>
      <c r="C66" s="15" t="s">
        <v>450</v>
      </c>
      <c r="D66" s="15" t="s">
        <v>20</v>
      </c>
      <c r="E66" s="16">
        <v>44170.0</v>
      </c>
      <c r="F66" s="16">
        <v>20800.0</v>
      </c>
      <c r="G66" s="15" t="s">
        <v>21</v>
      </c>
      <c r="H66" s="15" t="s">
        <v>22</v>
      </c>
      <c r="I66" s="15"/>
      <c r="J66" s="15"/>
      <c r="K66" s="15" t="s">
        <v>451</v>
      </c>
      <c r="L66" s="15" t="s">
        <v>452</v>
      </c>
      <c r="M66" s="15" t="s">
        <v>453</v>
      </c>
      <c r="N66" s="15" t="s">
        <v>27</v>
      </c>
      <c r="O66" s="17" t="s">
        <v>116</v>
      </c>
      <c r="P66" s="15"/>
      <c r="Q66" s="15" t="s">
        <v>29</v>
      </c>
    </row>
    <row r="67">
      <c r="A67" s="14">
        <v>44182.056521238424</v>
      </c>
      <c r="B67" s="15" t="s">
        <v>322</v>
      </c>
      <c r="C67" s="15" t="s">
        <v>455</v>
      </c>
      <c r="D67" s="15" t="s">
        <v>20</v>
      </c>
      <c r="E67" s="16">
        <v>43955.0</v>
      </c>
      <c r="F67" s="16">
        <v>107760.0</v>
      </c>
      <c r="G67" s="15" t="s">
        <v>21</v>
      </c>
      <c r="H67" s="15" t="s">
        <v>22</v>
      </c>
      <c r="I67" s="15"/>
      <c r="J67" s="15" t="s">
        <v>456</v>
      </c>
      <c r="K67" s="15" t="s">
        <v>457</v>
      </c>
      <c r="L67" s="15" t="s">
        <v>458</v>
      </c>
      <c r="M67" s="15" t="s">
        <v>459</v>
      </c>
      <c r="N67" s="15" t="s">
        <v>27</v>
      </c>
      <c r="O67" s="17" t="s">
        <v>327</v>
      </c>
      <c r="P67" s="15"/>
      <c r="Q67" s="15" t="s">
        <v>29</v>
      </c>
    </row>
    <row r="68">
      <c r="A68" s="14">
        <v>44182.05653717593</v>
      </c>
      <c r="B68" s="15" t="s">
        <v>461</v>
      </c>
      <c r="C68" s="15" t="s">
        <v>462</v>
      </c>
      <c r="D68" s="15" t="s">
        <v>230</v>
      </c>
      <c r="E68" s="16">
        <v>43800.0</v>
      </c>
      <c r="F68" s="16">
        <v>1800.0</v>
      </c>
      <c r="G68" s="15" t="s">
        <v>136</v>
      </c>
      <c r="H68" s="15" t="s">
        <v>22</v>
      </c>
      <c r="I68" s="15"/>
      <c r="J68" s="15"/>
      <c r="K68" s="15" t="s">
        <v>463</v>
      </c>
      <c r="L68" s="15" t="s">
        <v>464</v>
      </c>
      <c r="M68" s="15" t="s">
        <v>465</v>
      </c>
      <c r="N68" s="15" t="s">
        <v>234</v>
      </c>
      <c r="O68" s="17" t="s">
        <v>466</v>
      </c>
      <c r="P68" s="15"/>
      <c r="Q68" s="15" t="s">
        <v>29</v>
      </c>
    </row>
    <row r="69">
      <c r="A69" s="14">
        <v>44182.05655166667</v>
      </c>
      <c r="B69" s="15" t="s">
        <v>468</v>
      </c>
      <c r="C69" s="15" t="s">
        <v>469</v>
      </c>
      <c r="D69" s="15" t="s">
        <v>230</v>
      </c>
      <c r="E69" s="16">
        <v>43617.0</v>
      </c>
      <c r="F69" s="16">
        <v>300.0</v>
      </c>
      <c r="G69" s="15" t="s">
        <v>21</v>
      </c>
      <c r="H69" s="15" t="s">
        <v>22</v>
      </c>
      <c r="I69" s="15"/>
      <c r="J69" s="15"/>
      <c r="K69" s="15" t="s">
        <v>470</v>
      </c>
      <c r="L69" s="15" t="s">
        <v>471</v>
      </c>
      <c r="M69" s="15" t="s">
        <v>472</v>
      </c>
      <c r="N69" s="15" t="s">
        <v>234</v>
      </c>
      <c r="O69" s="17" t="s">
        <v>473</v>
      </c>
      <c r="P69" s="15"/>
      <c r="Q69" s="15" t="s">
        <v>29</v>
      </c>
    </row>
    <row r="70">
      <c r="A70" s="14">
        <v>44182.05656841435</v>
      </c>
      <c r="B70" s="15" t="s">
        <v>475</v>
      </c>
      <c r="C70" s="15" t="s">
        <v>476</v>
      </c>
      <c r="D70" s="15" t="s">
        <v>230</v>
      </c>
      <c r="E70" s="16">
        <v>43586.0</v>
      </c>
      <c r="F70" s="16">
        <v>200.0</v>
      </c>
      <c r="G70" s="15" t="s">
        <v>136</v>
      </c>
      <c r="H70" s="15" t="s">
        <v>22</v>
      </c>
      <c r="I70" s="15"/>
      <c r="J70" s="15"/>
      <c r="K70" s="15" t="s">
        <v>477</v>
      </c>
      <c r="L70" s="15" t="s">
        <v>478</v>
      </c>
      <c r="M70" s="15" t="s">
        <v>479</v>
      </c>
      <c r="N70" s="15" t="s">
        <v>234</v>
      </c>
      <c r="O70" s="17" t="s">
        <v>480</v>
      </c>
      <c r="P70" s="15"/>
      <c r="Q70" s="15" t="s">
        <v>29</v>
      </c>
    </row>
    <row r="71">
      <c r="A71" s="14">
        <v>44182.05658583333</v>
      </c>
      <c r="B71" s="15" t="s">
        <v>482</v>
      </c>
      <c r="C71" s="15" t="s">
        <v>483</v>
      </c>
      <c r="D71" s="15" t="s">
        <v>230</v>
      </c>
      <c r="E71" s="16">
        <v>43497.0</v>
      </c>
      <c r="F71" s="16">
        <v>750.0</v>
      </c>
      <c r="G71" s="15" t="s">
        <v>136</v>
      </c>
      <c r="H71" s="15" t="s">
        <v>22</v>
      </c>
      <c r="I71" s="15"/>
      <c r="J71" s="15"/>
      <c r="K71" s="15" t="s">
        <v>484</v>
      </c>
      <c r="L71" s="15" t="s">
        <v>485</v>
      </c>
      <c r="M71" s="15" t="s">
        <v>486</v>
      </c>
      <c r="N71" s="15" t="s">
        <v>234</v>
      </c>
      <c r="O71" s="17" t="s">
        <v>487</v>
      </c>
      <c r="P71" s="15"/>
      <c r="Q71" s="15" t="s">
        <v>29</v>
      </c>
    </row>
    <row r="72">
      <c r="A72" s="14">
        <v>44182.05660174768</v>
      </c>
      <c r="B72" s="15" t="s">
        <v>89</v>
      </c>
      <c r="C72" s="15" t="s">
        <v>489</v>
      </c>
      <c r="D72" s="15" t="s">
        <v>230</v>
      </c>
      <c r="E72" s="16">
        <v>43539.0</v>
      </c>
      <c r="F72" s="16">
        <v>1500.0</v>
      </c>
      <c r="G72" s="15" t="s">
        <v>136</v>
      </c>
      <c r="H72" s="15" t="s">
        <v>22</v>
      </c>
      <c r="I72" s="15"/>
      <c r="J72" s="15"/>
      <c r="K72" s="15" t="s">
        <v>491</v>
      </c>
      <c r="L72" s="15" t="s">
        <v>492</v>
      </c>
      <c r="M72" s="15" t="s">
        <v>493</v>
      </c>
      <c r="N72" s="15" t="s">
        <v>234</v>
      </c>
      <c r="O72" s="17" t="s">
        <v>94</v>
      </c>
      <c r="P72" s="15"/>
      <c r="Q72" s="15" t="s">
        <v>29</v>
      </c>
    </row>
    <row r="73">
      <c r="A73" s="14">
        <v>44182.05661914352</v>
      </c>
      <c r="B73" s="15" t="s">
        <v>495</v>
      </c>
      <c r="C73" s="15" t="s">
        <v>496</v>
      </c>
      <c r="D73" s="15" t="s">
        <v>230</v>
      </c>
      <c r="E73" s="16">
        <v>43435.0</v>
      </c>
      <c r="F73" s="16">
        <v>1645.0</v>
      </c>
      <c r="G73" s="15" t="s">
        <v>21</v>
      </c>
      <c r="H73" s="15" t="s">
        <v>22</v>
      </c>
      <c r="I73" s="15"/>
      <c r="J73" s="15"/>
      <c r="K73" s="15" t="s">
        <v>498</v>
      </c>
      <c r="L73" s="15" t="s">
        <v>499</v>
      </c>
      <c r="M73" s="15" t="s">
        <v>500</v>
      </c>
      <c r="N73" s="15" t="s">
        <v>234</v>
      </c>
      <c r="O73" s="17" t="s">
        <v>501</v>
      </c>
      <c r="P73" s="15"/>
      <c r="Q73" s="15" t="s">
        <v>29</v>
      </c>
    </row>
    <row r="74">
      <c r="A74" s="14">
        <v>44182.05663516204</v>
      </c>
      <c r="B74" s="15" t="s">
        <v>503</v>
      </c>
      <c r="C74" s="15" t="s">
        <v>504</v>
      </c>
      <c r="D74" s="15" t="s">
        <v>230</v>
      </c>
      <c r="E74" s="16">
        <v>43462.0</v>
      </c>
      <c r="F74" s="16">
        <v>1000.0</v>
      </c>
      <c r="G74" s="15" t="s">
        <v>136</v>
      </c>
      <c r="H74" s="15" t="s">
        <v>22</v>
      </c>
      <c r="I74" s="15"/>
      <c r="J74" s="15"/>
      <c r="K74" s="15" t="s">
        <v>505</v>
      </c>
      <c r="L74" s="15" t="s">
        <v>506</v>
      </c>
      <c r="M74" s="15" t="s">
        <v>507</v>
      </c>
      <c r="N74" s="15" t="s">
        <v>234</v>
      </c>
      <c r="O74" s="17" t="s">
        <v>508</v>
      </c>
      <c r="P74" s="15"/>
      <c r="Q74" s="15" t="s">
        <v>29</v>
      </c>
    </row>
    <row r="75">
      <c r="A75" s="14">
        <v>44182.05665239583</v>
      </c>
      <c r="B75" s="15" t="s">
        <v>482</v>
      </c>
      <c r="C75" s="15" t="s">
        <v>510</v>
      </c>
      <c r="D75" s="15" t="s">
        <v>230</v>
      </c>
      <c r="E75" s="16">
        <v>43862.0</v>
      </c>
      <c r="F75" s="16">
        <v>1.0</v>
      </c>
      <c r="G75" s="15" t="s">
        <v>136</v>
      </c>
      <c r="H75" s="15" t="s">
        <v>22</v>
      </c>
      <c r="I75" s="15"/>
      <c r="J75" s="15" t="s">
        <v>511</v>
      </c>
      <c r="K75" s="15" t="s">
        <v>512</v>
      </c>
      <c r="L75" s="15" t="s">
        <v>513</v>
      </c>
      <c r="M75" s="15" t="s">
        <v>514</v>
      </c>
      <c r="N75" s="15" t="s">
        <v>234</v>
      </c>
      <c r="O75" s="17" t="s">
        <v>487</v>
      </c>
      <c r="P75" s="15"/>
      <c r="Q75" s="15" t="s">
        <v>29</v>
      </c>
    </row>
    <row r="76">
      <c r="A76" s="14">
        <v>44182.05666943287</v>
      </c>
      <c r="B76" s="15" t="s">
        <v>516</v>
      </c>
      <c r="C76" s="15" t="s">
        <v>517</v>
      </c>
      <c r="D76" s="15" t="s">
        <v>518</v>
      </c>
      <c r="E76" s="16">
        <v>44075.0</v>
      </c>
      <c r="F76" s="16">
        <v>1.0</v>
      </c>
      <c r="G76" s="15" t="s">
        <v>136</v>
      </c>
      <c r="H76" s="15" t="s">
        <v>22</v>
      </c>
      <c r="I76" s="15"/>
      <c r="J76" s="15" t="s">
        <v>519</v>
      </c>
      <c r="K76" s="15" t="s">
        <v>520</v>
      </c>
      <c r="L76" s="15" t="s">
        <v>521</v>
      </c>
      <c r="M76" s="15" t="s">
        <v>522</v>
      </c>
      <c r="N76" s="15" t="s">
        <v>523</v>
      </c>
      <c r="O76" s="17" t="s">
        <v>524</v>
      </c>
      <c r="P76" s="15"/>
      <c r="Q76" s="15" t="s">
        <v>29</v>
      </c>
    </row>
    <row r="77">
      <c r="A77" s="14">
        <v>44182.05668574074</v>
      </c>
      <c r="B77" s="15" t="s">
        <v>526</v>
      </c>
      <c r="C77" s="15" t="s">
        <v>527</v>
      </c>
      <c r="D77" s="15" t="s">
        <v>230</v>
      </c>
      <c r="E77" s="16">
        <v>43831.0</v>
      </c>
      <c r="F77" s="16">
        <v>1.0</v>
      </c>
      <c r="G77" s="15" t="s">
        <v>136</v>
      </c>
      <c r="H77" s="15" t="s">
        <v>22</v>
      </c>
      <c r="I77" s="15"/>
      <c r="J77" s="15"/>
      <c r="K77" s="15" t="s">
        <v>528</v>
      </c>
      <c r="L77" s="15" t="s">
        <v>529</v>
      </c>
      <c r="M77" s="15" t="s">
        <v>530</v>
      </c>
      <c r="N77" s="15" t="s">
        <v>234</v>
      </c>
      <c r="O77" s="17" t="s">
        <v>531</v>
      </c>
      <c r="P77" s="15"/>
      <c r="Q77" s="15" t="s">
        <v>29</v>
      </c>
    </row>
    <row r="78">
      <c r="A78" s="14">
        <v>44182.05670194444</v>
      </c>
      <c r="B78" s="15" t="s">
        <v>242</v>
      </c>
      <c r="C78" s="15" t="s">
        <v>533</v>
      </c>
      <c r="D78" s="15" t="s">
        <v>230</v>
      </c>
      <c r="E78" s="16">
        <v>43831.0</v>
      </c>
      <c r="F78" s="16">
        <v>1.0</v>
      </c>
      <c r="G78" s="15" t="s">
        <v>136</v>
      </c>
      <c r="H78" s="15" t="s">
        <v>22</v>
      </c>
      <c r="I78" s="15"/>
      <c r="J78" s="15"/>
      <c r="K78" s="15" t="s">
        <v>534</v>
      </c>
      <c r="L78" s="15" t="s">
        <v>535</v>
      </c>
      <c r="M78" s="15" t="s">
        <v>536</v>
      </c>
      <c r="N78" s="15" t="s">
        <v>234</v>
      </c>
      <c r="O78" s="17" t="s">
        <v>248</v>
      </c>
      <c r="P78" s="15"/>
      <c r="Q78" s="15" t="s">
        <v>29</v>
      </c>
    </row>
    <row r="79">
      <c r="A79" s="14">
        <v>44182.05671863426</v>
      </c>
      <c r="B79" s="15" t="s">
        <v>538</v>
      </c>
      <c r="C79" s="15" t="s">
        <v>539</v>
      </c>
      <c r="D79" s="15" t="s">
        <v>20</v>
      </c>
      <c r="E79" s="16">
        <v>43122.0</v>
      </c>
      <c r="F79" s="16">
        <v>132998.0</v>
      </c>
      <c r="G79" s="15" t="s">
        <v>21</v>
      </c>
      <c r="H79" s="15" t="s">
        <v>22</v>
      </c>
      <c r="I79" s="15"/>
      <c r="J79" s="15"/>
      <c r="K79" s="15" t="s">
        <v>540</v>
      </c>
      <c r="L79" s="15" t="s">
        <v>541</v>
      </c>
      <c r="M79" s="15" t="s">
        <v>542</v>
      </c>
      <c r="N79" s="15" t="s">
        <v>27</v>
      </c>
      <c r="O79" s="17" t="s">
        <v>543</v>
      </c>
      <c r="P79" s="15"/>
      <c r="Q79" s="15" t="s">
        <v>29</v>
      </c>
    </row>
    <row r="80">
      <c r="A80" s="14">
        <v>44182.05673516204</v>
      </c>
      <c r="B80" s="15" t="s">
        <v>545</v>
      </c>
      <c r="C80" s="15" t="s">
        <v>546</v>
      </c>
      <c r="D80" s="15" t="s">
        <v>230</v>
      </c>
      <c r="E80" s="16">
        <v>43831.0</v>
      </c>
      <c r="F80" s="16">
        <v>1.0</v>
      </c>
      <c r="G80" s="15" t="s">
        <v>136</v>
      </c>
      <c r="H80" s="15" t="s">
        <v>22</v>
      </c>
      <c r="I80" s="15"/>
      <c r="J80" s="15"/>
      <c r="K80" s="15" t="s">
        <v>547</v>
      </c>
      <c r="L80" s="15" t="s">
        <v>548</v>
      </c>
      <c r="M80" s="15" t="s">
        <v>549</v>
      </c>
      <c r="N80" s="15" t="s">
        <v>234</v>
      </c>
      <c r="O80" s="17" t="s">
        <v>550</v>
      </c>
      <c r="P80" s="15"/>
      <c r="Q80" s="15" t="s">
        <v>29</v>
      </c>
    </row>
    <row r="81">
      <c r="A81" s="14">
        <v>44182.056751701384</v>
      </c>
      <c r="B81" s="15" t="s">
        <v>552</v>
      </c>
      <c r="C81" s="15" t="s">
        <v>553</v>
      </c>
      <c r="D81" s="15" t="s">
        <v>230</v>
      </c>
      <c r="E81" s="16">
        <v>43831.0</v>
      </c>
      <c r="F81" s="16">
        <v>1.0</v>
      </c>
      <c r="G81" s="15" t="s">
        <v>136</v>
      </c>
      <c r="H81" s="15" t="s">
        <v>22</v>
      </c>
      <c r="I81" s="15"/>
      <c r="J81" s="15"/>
      <c r="K81" s="15" t="s">
        <v>554</v>
      </c>
      <c r="L81" s="15" t="s">
        <v>555</v>
      </c>
      <c r="M81" s="15" t="s">
        <v>556</v>
      </c>
      <c r="N81" s="15" t="s">
        <v>234</v>
      </c>
      <c r="O81" s="17" t="s">
        <v>557</v>
      </c>
      <c r="P81" s="15"/>
      <c r="Q81" s="15" t="s">
        <v>29</v>
      </c>
    </row>
    <row r="82">
      <c r="A82" s="14">
        <v>44182.05676736111</v>
      </c>
      <c r="B82" s="15" t="s">
        <v>559</v>
      </c>
      <c r="C82" s="15" t="s">
        <v>560</v>
      </c>
      <c r="D82" s="15" t="s">
        <v>230</v>
      </c>
      <c r="E82" s="16">
        <v>43466.0</v>
      </c>
      <c r="F82" s="16">
        <v>1200.0</v>
      </c>
      <c r="G82" s="15" t="s">
        <v>136</v>
      </c>
      <c r="H82" s="15" t="s">
        <v>22</v>
      </c>
      <c r="I82" s="15"/>
      <c r="J82" s="15"/>
      <c r="K82" s="15" t="s">
        <v>561</v>
      </c>
      <c r="L82" s="15" t="s">
        <v>562</v>
      </c>
      <c r="M82" s="15" t="s">
        <v>563</v>
      </c>
      <c r="N82" s="15" t="s">
        <v>234</v>
      </c>
      <c r="O82" s="17" t="s">
        <v>564</v>
      </c>
      <c r="P82" s="15"/>
      <c r="Q82" s="15" t="s">
        <v>29</v>
      </c>
    </row>
    <row r="83">
      <c r="A83" s="14">
        <v>44182.056785162036</v>
      </c>
      <c r="B83" s="15" t="s">
        <v>566</v>
      </c>
      <c r="C83" s="15" t="s">
        <v>560</v>
      </c>
      <c r="D83" s="15" t="s">
        <v>230</v>
      </c>
      <c r="E83" s="16">
        <v>43471.0</v>
      </c>
      <c r="F83" s="16">
        <v>10.0</v>
      </c>
      <c r="G83" s="15" t="s">
        <v>136</v>
      </c>
      <c r="H83" s="15" t="s">
        <v>22</v>
      </c>
      <c r="I83" s="15"/>
      <c r="J83" s="15"/>
      <c r="K83" s="15" t="s">
        <v>567</v>
      </c>
      <c r="L83" s="15" t="s">
        <v>568</v>
      </c>
      <c r="M83" s="15" t="s">
        <v>569</v>
      </c>
      <c r="N83" s="15" t="s">
        <v>234</v>
      </c>
      <c r="O83" s="17" t="s">
        <v>570</v>
      </c>
      <c r="P83" s="15"/>
      <c r="Q83" s="15" t="s">
        <v>29</v>
      </c>
    </row>
    <row r="84">
      <c r="A84" s="14">
        <v>44182.056801886574</v>
      </c>
      <c r="B84" s="15" t="s">
        <v>572</v>
      </c>
      <c r="C84" s="15" t="s">
        <v>573</v>
      </c>
      <c r="D84" s="15" t="s">
        <v>20</v>
      </c>
      <c r="E84" s="16">
        <v>44170.0</v>
      </c>
      <c r="F84" s="16">
        <v>136600.0</v>
      </c>
      <c r="G84" s="15" t="s">
        <v>21</v>
      </c>
      <c r="H84" s="15" t="s">
        <v>22</v>
      </c>
      <c r="I84" s="15"/>
      <c r="J84" s="15" t="s">
        <v>574</v>
      </c>
      <c r="K84" s="15" t="s">
        <v>575</v>
      </c>
      <c r="L84" s="15" t="s">
        <v>576</v>
      </c>
      <c r="M84" s="15" t="s">
        <v>577</v>
      </c>
      <c r="N84" s="15" t="s">
        <v>27</v>
      </c>
      <c r="O84" s="17" t="s">
        <v>578</v>
      </c>
      <c r="P84" s="15"/>
      <c r="Q84" s="15" t="s">
        <v>29</v>
      </c>
    </row>
    <row r="85">
      <c r="A85" s="14">
        <v>44182.05681782408</v>
      </c>
      <c r="B85" s="15" t="s">
        <v>580</v>
      </c>
      <c r="C85" s="15" t="s">
        <v>581</v>
      </c>
      <c r="D85" s="15" t="s">
        <v>358</v>
      </c>
      <c r="E85" s="16">
        <v>43990.0</v>
      </c>
      <c r="F85" s="16">
        <v>55680.0</v>
      </c>
      <c r="G85" s="15" t="s">
        <v>350</v>
      </c>
      <c r="H85" s="15" t="s">
        <v>22</v>
      </c>
      <c r="I85" s="15"/>
      <c r="J85" s="15"/>
      <c r="K85" s="15" t="s">
        <v>582</v>
      </c>
      <c r="L85" s="15" t="s">
        <v>583</v>
      </c>
      <c r="M85" s="15" t="s">
        <v>584</v>
      </c>
      <c r="N85" s="15" t="s">
        <v>362</v>
      </c>
      <c r="O85" s="17" t="s">
        <v>585</v>
      </c>
      <c r="P85" s="15"/>
      <c r="Q85" s="15" t="s">
        <v>29</v>
      </c>
    </row>
    <row r="86">
      <c r="A86" s="14">
        <v>44182.05683297454</v>
      </c>
      <c r="B86" s="15" t="s">
        <v>587</v>
      </c>
      <c r="C86" s="15" t="s">
        <v>510</v>
      </c>
      <c r="D86" s="15" t="s">
        <v>230</v>
      </c>
      <c r="E86" s="16">
        <v>43497.0</v>
      </c>
      <c r="F86" s="16">
        <v>3500.0</v>
      </c>
      <c r="G86" s="15" t="s">
        <v>21</v>
      </c>
      <c r="H86" s="15" t="s">
        <v>22</v>
      </c>
      <c r="I86" s="15"/>
      <c r="J86" s="15"/>
      <c r="K86" s="15" t="s">
        <v>588</v>
      </c>
      <c r="L86" s="15" t="s">
        <v>589</v>
      </c>
      <c r="M86" s="15" t="s">
        <v>590</v>
      </c>
      <c r="N86" s="15" t="s">
        <v>234</v>
      </c>
      <c r="O86" s="17" t="s">
        <v>591</v>
      </c>
      <c r="P86" s="15"/>
      <c r="Q86" s="15" t="s">
        <v>29</v>
      </c>
    </row>
    <row r="87">
      <c r="A87" s="14">
        <v>44182.0568490625</v>
      </c>
      <c r="B87" s="15" t="s">
        <v>593</v>
      </c>
      <c r="C87" s="15" t="s">
        <v>222</v>
      </c>
      <c r="D87" s="15" t="s">
        <v>230</v>
      </c>
      <c r="E87" s="16">
        <v>43146.0</v>
      </c>
      <c r="F87" s="16">
        <v>1400.0</v>
      </c>
      <c r="G87" s="15" t="s">
        <v>21</v>
      </c>
      <c r="H87" s="15" t="s">
        <v>22</v>
      </c>
      <c r="I87" s="15"/>
      <c r="J87" s="15"/>
      <c r="K87" s="15" t="s">
        <v>594</v>
      </c>
      <c r="L87" s="15" t="s">
        <v>595</v>
      </c>
      <c r="M87" s="15" t="s">
        <v>596</v>
      </c>
      <c r="N87" s="15" t="s">
        <v>234</v>
      </c>
      <c r="O87" s="17" t="s">
        <v>597</v>
      </c>
      <c r="P87" s="15"/>
      <c r="Q87" s="15" t="s">
        <v>29</v>
      </c>
    </row>
    <row r="88">
      <c r="A88" s="14">
        <v>44182.05686550926</v>
      </c>
      <c r="B88" s="15" t="s">
        <v>599</v>
      </c>
      <c r="C88" s="15" t="s">
        <v>600</v>
      </c>
      <c r="D88" s="15" t="s">
        <v>358</v>
      </c>
      <c r="E88" s="16">
        <v>43999.0</v>
      </c>
      <c r="F88" s="16">
        <v>8214.0</v>
      </c>
      <c r="G88" s="15" t="s">
        <v>21</v>
      </c>
      <c r="H88" s="15" t="s">
        <v>22</v>
      </c>
      <c r="I88" s="15"/>
      <c r="J88" s="15"/>
      <c r="K88" s="15" t="s">
        <v>601</v>
      </c>
      <c r="L88" s="15" t="s">
        <v>602</v>
      </c>
      <c r="M88" s="15" t="s">
        <v>603</v>
      </c>
      <c r="N88" s="15" t="s">
        <v>362</v>
      </c>
      <c r="O88" s="17" t="s">
        <v>604</v>
      </c>
      <c r="P88" s="15"/>
      <c r="Q88" s="15" t="s">
        <v>29</v>
      </c>
    </row>
    <row r="89">
      <c r="A89" s="14">
        <v>44182.05688189815</v>
      </c>
      <c r="B89" s="15" t="s">
        <v>482</v>
      </c>
      <c r="C89" s="15" t="s">
        <v>606</v>
      </c>
      <c r="D89" s="15" t="s">
        <v>230</v>
      </c>
      <c r="E89" s="16">
        <v>43497.0</v>
      </c>
      <c r="F89" s="16">
        <v>250.0</v>
      </c>
      <c r="G89" s="15" t="s">
        <v>136</v>
      </c>
      <c r="H89" s="15" t="s">
        <v>22</v>
      </c>
      <c r="I89" s="15"/>
      <c r="J89" s="15"/>
      <c r="K89" s="15" t="s">
        <v>484</v>
      </c>
      <c r="L89" s="15" t="s">
        <v>607</v>
      </c>
      <c r="M89" s="15" t="s">
        <v>608</v>
      </c>
      <c r="N89" s="15" t="s">
        <v>234</v>
      </c>
      <c r="O89" s="17" t="s">
        <v>487</v>
      </c>
      <c r="P89" s="15"/>
      <c r="Q89" s="15" t="s">
        <v>29</v>
      </c>
    </row>
    <row r="90">
      <c r="A90" s="14">
        <v>44182.05689732639</v>
      </c>
      <c r="B90" s="15" t="s">
        <v>482</v>
      </c>
      <c r="C90" s="15" t="s">
        <v>610</v>
      </c>
      <c r="D90" s="15" t="s">
        <v>230</v>
      </c>
      <c r="E90" s="16">
        <v>43497.0</v>
      </c>
      <c r="F90" s="16">
        <v>500.0</v>
      </c>
      <c r="G90" s="15" t="s">
        <v>136</v>
      </c>
      <c r="H90" s="15" t="s">
        <v>22</v>
      </c>
      <c r="I90" s="15"/>
      <c r="J90" s="15"/>
      <c r="K90" s="15" t="s">
        <v>484</v>
      </c>
      <c r="L90" s="15" t="s">
        <v>611</v>
      </c>
      <c r="M90" s="15" t="s">
        <v>612</v>
      </c>
      <c r="N90" s="15" t="s">
        <v>234</v>
      </c>
      <c r="O90" s="17" t="s">
        <v>487</v>
      </c>
      <c r="P90" s="15"/>
      <c r="Q90" s="15" t="s">
        <v>29</v>
      </c>
    </row>
    <row r="91">
      <c r="A91" s="14">
        <v>44182.05691201389</v>
      </c>
      <c r="B91" s="15" t="s">
        <v>475</v>
      </c>
      <c r="C91" s="15" t="s">
        <v>614</v>
      </c>
      <c r="D91" s="15" t="s">
        <v>230</v>
      </c>
      <c r="E91" s="16">
        <v>43617.0</v>
      </c>
      <c r="F91" s="16">
        <v>300.0</v>
      </c>
      <c r="G91" s="15" t="s">
        <v>136</v>
      </c>
      <c r="H91" s="15" t="s">
        <v>22</v>
      </c>
      <c r="I91" s="15"/>
      <c r="J91" s="15"/>
      <c r="K91" s="15" t="s">
        <v>615</v>
      </c>
      <c r="L91" s="15" t="s">
        <v>616</v>
      </c>
      <c r="M91" s="15" t="s">
        <v>617</v>
      </c>
      <c r="N91" s="15" t="s">
        <v>234</v>
      </c>
      <c r="O91" s="17" t="s">
        <v>480</v>
      </c>
      <c r="P91" s="15"/>
      <c r="Q91" s="15" t="s">
        <v>29</v>
      </c>
    </row>
    <row r="92">
      <c r="A92" s="14">
        <v>44182.056926307865</v>
      </c>
      <c r="B92" s="15" t="s">
        <v>67</v>
      </c>
      <c r="C92" s="15" t="s">
        <v>619</v>
      </c>
      <c r="D92" s="15" t="s">
        <v>230</v>
      </c>
      <c r="E92" s="16">
        <v>43592.0</v>
      </c>
      <c r="F92" s="16">
        <v>400.0</v>
      </c>
      <c r="G92" s="15" t="s">
        <v>136</v>
      </c>
      <c r="H92" s="15" t="s">
        <v>22</v>
      </c>
      <c r="I92" s="15"/>
      <c r="J92" s="15"/>
      <c r="K92" s="15" t="s">
        <v>620</v>
      </c>
      <c r="L92" s="15" t="s">
        <v>621</v>
      </c>
      <c r="M92" s="15" t="s">
        <v>622</v>
      </c>
      <c r="N92" s="15" t="s">
        <v>234</v>
      </c>
      <c r="O92" s="17" t="s">
        <v>72</v>
      </c>
      <c r="P92" s="15"/>
      <c r="Q92" s="15" t="s">
        <v>29</v>
      </c>
    </row>
    <row r="93">
      <c r="A93" s="14">
        <v>44182.056943993055</v>
      </c>
      <c r="B93" s="15" t="s">
        <v>624</v>
      </c>
      <c r="C93" s="15" t="s">
        <v>625</v>
      </c>
      <c r="D93" s="15" t="s">
        <v>230</v>
      </c>
      <c r="E93" s="16">
        <v>44013.0</v>
      </c>
      <c r="F93" s="16">
        <v>3000.0</v>
      </c>
      <c r="G93" s="15" t="s">
        <v>136</v>
      </c>
      <c r="H93" s="15" t="s">
        <v>22</v>
      </c>
      <c r="I93" s="15"/>
      <c r="J93" s="15"/>
      <c r="K93" s="15" t="s">
        <v>627</v>
      </c>
      <c r="L93" s="15" t="s">
        <v>628</v>
      </c>
      <c r="M93" s="15" t="s">
        <v>629</v>
      </c>
      <c r="N93" s="15" t="s">
        <v>234</v>
      </c>
      <c r="O93" s="17" t="s">
        <v>630</v>
      </c>
      <c r="P93" s="15"/>
      <c r="Q93" s="15" t="s">
        <v>29</v>
      </c>
    </row>
    <row r="94">
      <c r="A94" s="14">
        <v>44182.05696099537</v>
      </c>
      <c r="B94" s="15" t="s">
        <v>632</v>
      </c>
      <c r="C94" s="15" t="s">
        <v>633</v>
      </c>
      <c r="D94" s="15" t="s">
        <v>230</v>
      </c>
      <c r="E94" s="16">
        <v>44014.0</v>
      </c>
      <c r="F94" s="16">
        <v>500.0</v>
      </c>
      <c r="G94" s="15" t="s">
        <v>136</v>
      </c>
      <c r="H94" s="15" t="s">
        <v>22</v>
      </c>
      <c r="I94" s="15"/>
      <c r="J94" s="15"/>
      <c r="K94" s="15" t="s">
        <v>635</v>
      </c>
      <c r="L94" s="15" t="s">
        <v>636</v>
      </c>
      <c r="M94" s="15" t="s">
        <v>637</v>
      </c>
      <c r="N94" s="15" t="s">
        <v>234</v>
      </c>
      <c r="O94" s="17" t="s">
        <v>638</v>
      </c>
      <c r="P94" s="15"/>
      <c r="Q94" s="15" t="s">
        <v>29</v>
      </c>
    </row>
    <row r="95">
      <c r="A95" s="14">
        <v>44182.05697628472</v>
      </c>
      <c r="B95" s="15" t="s">
        <v>640</v>
      </c>
      <c r="C95" s="15" t="s">
        <v>641</v>
      </c>
      <c r="D95" s="15" t="s">
        <v>20</v>
      </c>
      <c r="E95" s="16">
        <v>44013.0</v>
      </c>
      <c r="F95" s="16">
        <v>48000.0</v>
      </c>
      <c r="G95" s="15" t="s">
        <v>21</v>
      </c>
      <c r="H95" s="15" t="s">
        <v>22</v>
      </c>
      <c r="I95" s="15"/>
      <c r="J95" s="15" t="s">
        <v>642</v>
      </c>
      <c r="K95" s="15" t="s">
        <v>643</v>
      </c>
      <c r="L95" s="15" t="s">
        <v>644</v>
      </c>
      <c r="M95" s="15" t="s">
        <v>645</v>
      </c>
      <c r="N95" s="15" t="s">
        <v>27</v>
      </c>
      <c r="O95" s="17" t="s">
        <v>646</v>
      </c>
      <c r="P95" s="15"/>
      <c r="Q95" s="15" t="s">
        <v>29</v>
      </c>
    </row>
    <row r="96">
      <c r="A96" s="14">
        <v>44182.056994004626</v>
      </c>
      <c r="B96" s="15" t="s">
        <v>393</v>
      </c>
      <c r="C96" s="15" t="s">
        <v>648</v>
      </c>
      <c r="D96" s="15" t="s">
        <v>358</v>
      </c>
      <c r="E96" s="16">
        <v>43983.0</v>
      </c>
      <c r="F96" s="16">
        <v>4580.94</v>
      </c>
      <c r="G96" s="15" t="s">
        <v>21</v>
      </c>
      <c r="H96" s="15" t="s">
        <v>22</v>
      </c>
      <c r="I96" s="15"/>
      <c r="J96" s="15"/>
      <c r="K96" s="15" t="s">
        <v>649</v>
      </c>
      <c r="L96" s="15" t="s">
        <v>650</v>
      </c>
      <c r="M96" s="15" t="s">
        <v>651</v>
      </c>
      <c r="N96" s="15" t="s">
        <v>362</v>
      </c>
      <c r="O96" s="17" t="s">
        <v>398</v>
      </c>
      <c r="P96" s="15"/>
      <c r="Q96" s="15" t="s">
        <v>29</v>
      </c>
    </row>
    <row r="97">
      <c r="A97" s="14">
        <v>44182.05701207176</v>
      </c>
      <c r="B97" s="15" t="s">
        <v>103</v>
      </c>
      <c r="C97" s="15" t="s">
        <v>104</v>
      </c>
      <c r="D97" s="15" t="s">
        <v>230</v>
      </c>
      <c r="E97" s="16">
        <v>44013.0</v>
      </c>
      <c r="F97" s="16">
        <v>1.0</v>
      </c>
      <c r="G97" s="15" t="s">
        <v>136</v>
      </c>
      <c r="H97" s="15" t="s">
        <v>22</v>
      </c>
      <c r="I97" s="15"/>
      <c r="J97" s="15"/>
      <c r="K97" s="15" t="s">
        <v>653</v>
      </c>
      <c r="L97" s="15" t="s">
        <v>654</v>
      </c>
      <c r="M97" s="15" t="s">
        <v>655</v>
      </c>
      <c r="N97" s="15" t="s">
        <v>234</v>
      </c>
      <c r="O97" s="17" t="s">
        <v>108</v>
      </c>
      <c r="P97" s="15"/>
      <c r="Q97" s="15" t="s">
        <v>29</v>
      </c>
    </row>
    <row r="98">
      <c r="A98" s="14">
        <v>44182.05702879629</v>
      </c>
      <c r="B98" s="15" t="s">
        <v>657</v>
      </c>
      <c r="C98" s="15" t="s">
        <v>658</v>
      </c>
      <c r="D98" s="15" t="s">
        <v>358</v>
      </c>
      <c r="E98" s="16">
        <v>44004.0</v>
      </c>
      <c r="F98" s="16">
        <v>9885.0</v>
      </c>
      <c r="G98" s="15" t="s">
        <v>136</v>
      </c>
      <c r="H98" s="15" t="s">
        <v>22</v>
      </c>
      <c r="I98" s="15"/>
      <c r="J98" s="15"/>
      <c r="K98" s="15" t="s">
        <v>659</v>
      </c>
      <c r="L98" s="15" t="s">
        <v>660</v>
      </c>
      <c r="M98" s="15" t="s">
        <v>661</v>
      </c>
      <c r="N98" s="15" t="s">
        <v>362</v>
      </c>
      <c r="O98" s="17" t="s">
        <v>662</v>
      </c>
      <c r="P98" s="15"/>
      <c r="Q98" s="15" t="s">
        <v>29</v>
      </c>
    </row>
    <row r="99">
      <c r="A99" s="14">
        <v>44182.0570446412</v>
      </c>
      <c r="B99" s="15" t="s">
        <v>285</v>
      </c>
      <c r="C99" s="15" t="s">
        <v>286</v>
      </c>
      <c r="D99" s="15" t="s">
        <v>230</v>
      </c>
      <c r="E99" s="16">
        <v>43891.0</v>
      </c>
      <c r="F99" s="16">
        <v>1.0</v>
      </c>
      <c r="G99" s="15" t="s">
        <v>136</v>
      </c>
      <c r="H99" s="15" t="s">
        <v>22</v>
      </c>
      <c r="I99" s="15"/>
      <c r="J99" s="15"/>
      <c r="K99" s="15" t="s">
        <v>664</v>
      </c>
      <c r="L99" s="15" t="s">
        <v>665</v>
      </c>
      <c r="M99" s="15" t="s">
        <v>666</v>
      </c>
      <c r="N99" s="15" t="s">
        <v>234</v>
      </c>
      <c r="O99" s="17" t="s">
        <v>290</v>
      </c>
      <c r="P99" s="15"/>
      <c r="Q99" s="15" t="s">
        <v>29</v>
      </c>
    </row>
    <row r="100">
      <c r="A100" s="14">
        <v>44182.0570635301</v>
      </c>
      <c r="B100" s="15" t="s">
        <v>134</v>
      </c>
      <c r="C100" s="15" t="s">
        <v>668</v>
      </c>
      <c r="D100" s="15" t="s">
        <v>230</v>
      </c>
      <c r="E100" s="16">
        <v>44019.0</v>
      </c>
      <c r="F100" s="16">
        <v>1.0</v>
      </c>
      <c r="G100" s="15" t="s">
        <v>136</v>
      </c>
      <c r="H100" s="15" t="s">
        <v>22</v>
      </c>
      <c r="I100" s="15"/>
      <c r="J100" s="15"/>
      <c r="K100" s="15" t="s">
        <v>669</v>
      </c>
      <c r="L100" s="15" t="s">
        <v>670</v>
      </c>
      <c r="M100" s="15" t="s">
        <v>671</v>
      </c>
      <c r="N100" s="15" t="s">
        <v>234</v>
      </c>
      <c r="O100" s="17" t="s">
        <v>140</v>
      </c>
      <c r="P100" s="15"/>
      <c r="Q100" s="15" t="s">
        <v>29</v>
      </c>
    </row>
    <row r="101">
      <c r="A101" s="14">
        <v>44182.05707912037</v>
      </c>
      <c r="B101" s="15" t="s">
        <v>30</v>
      </c>
      <c r="C101" s="15" t="s">
        <v>170</v>
      </c>
      <c r="D101" s="15" t="s">
        <v>230</v>
      </c>
      <c r="E101" s="16">
        <v>43102.0</v>
      </c>
      <c r="F101" s="16">
        <v>1.0</v>
      </c>
      <c r="G101" s="15" t="s">
        <v>136</v>
      </c>
      <c r="H101" s="15" t="s">
        <v>22</v>
      </c>
      <c r="I101" s="15"/>
      <c r="J101" s="15"/>
      <c r="K101" s="15" t="s">
        <v>673</v>
      </c>
      <c r="L101" s="15" t="s">
        <v>674</v>
      </c>
      <c r="M101" s="15" t="s">
        <v>675</v>
      </c>
      <c r="N101" s="15" t="s">
        <v>234</v>
      </c>
      <c r="O101" s="17" t="s">
        <v>36</v>
      </c>
      <c r="P101" s="15"/>
      <c r="Q101" s="15" t="s">
        <v>29</v>
      </c>
    </row>
    <row r="102">
      <c r="A102" s="14">
        <v>44182.05709508102</v>
      </c>
      <c r="B102" s="15" t="s">
        <v>677</v>
      </c>
      <c r="C102" s="15" t="s">
        <v>222</v>
      </c>
      <c r="D102" s="15" t="s">
        <v>230</v>
      </c>
      <c r="E102" s="16">
        <v>43647.0</v>
      </c>
      <c r="F102" s="16">
        <v>1.0</v>
      </c>
      <c r="G102" s="15" t="s">
        <v>21</v>
      </c>
      <c r="H102" s="15" t="s">
        <v>22</v>
      </c>
      <c r="I102" s="15"/>
      <c r="J102" s="15"/>
      <c r="K102" s="15" t="s">
        <v>678</v>
      </c>
      <c r="L102" s="15" t="s">
        <v>679</v>
      </c>
      <c r="M102" s="15" t="s">
        <v>680</v>
      </c>
      <c r="N102" s="15" t="s">
        <v>234</v>
      </c>
      <c r="O102" s="17" t="s">
        <v>681</v>
      </c>
      <c r="P102" s="15"/>
      <c r="Q102" s="15" t="s">
        <v>29</v>
      </c>
    </row>
    <row r="103">
      <c r="A103" s="14">
        <v>44182.05710972223</v>
      </c>
      <c r="B103" s="15" t="s">
        <v>89</v>
      </c>
      <c r="C103" s="15" t="s">
        <v>90</v>
      </c>
      <c r="D103" s="15" t="s">
        <v>230</v>
      </c>
      <c r="E103" s="16">
        <v>44013.0</v>
      </c>
      <c r="F103" s="16">
        <v>1.0</v>
      </c>
      <c r="G103" s="15" t="s">
        <v>136</v>
      </c>
      <c r="H103" s="15" t="s">
        <v>22</v>
      </c>
      <c r="I103" s="15"/>
      <c r="J103" s="15"/>
      <c r="K103" s="15" t="s">
        <v>684</v>
      </c>
      <c r="L103" s="15" t="s">
        <v>685</v>
      </c>
      <c r="M103" s="15" t="s">
        <v>2197</v>
      </c>
      <c r="N103" s="15" t="s">
        <v>234</v>
      </c>
      <c r="O103" s="17" t="s">
        <v>94</v>
      </c>
      <c r="P103" s="15"/>
      <c r="Q103" s="15" t="s">
        <v>29</v>
      </c>
    </row>
    <row r="104">
      <c r="A104" s="14">
        <v>44182.0571259375</v>
      </c>
      <c r="B104" s="15" t="s">
        <v>181</v>
      </c>
      <c r="C104" s="15" t="s">
        <v>182</v>
      </c>
      <c r="D104" s="15" t="s">
        <v>230</v>
      </c>
      <c r="E104" s="16">
        <v>43831.0</v>
      </c>
      <c r="F104" s="16">
        <v>1.0</v>
      </c>
      <c r="G104" s="15" t="s">
        <v>136</v>
      </c>
      <c r="H104" s="15" t="s">
        <v>22</v>
      </c>
      <c r="I104" s="15"/>
      <c r="J104" s="15"/>
      <c r="K104" s="15" t="s">
        <v>688</v>
      </c>
      <c r="L104" s="15" t="s">
        <v>689</v>
      </c>
      <c r="M104" s="15" t="s">
        <v>690</v>
      </c>
      <c r="N104" s="15" t="s">
        <v>234</v>
      </c>
      <c r="O104" s="17" t="s">
        <v>186</v>
      </c>
      <c r="P104" s="15"/>
      <c r="Q104" s="15" t="s">
        <v>29</v>
      </c>
    </row>
    <row r="105">
      <c r="A105" s="14">
        <v>44182.057141122685</v>
      </c>
      <c r="B105" s="15" t="s">
        <v>67</v>
      </c>
      <c r="C105" s="15" t="s">
        <v>209</v>
      </c>
      <c r="D105" s="15" t="s">
        <v>230</v>
      </c>
      <c r="E105" s="16">
        <v>43586.0</v>
      </c>
      <c r="F105" s="16">
        <v>1.0</v>
      </c>
      <c r="G105" s="15" t="s">
        <v>136</v>
      </c>
      <c r="H105" s="15" t="s">
        <v>22</v>
      </c>
      <c r="I105" s="15"/>
      <c r="J105" s="15" t="s">
        <v>692</v>
      </c>
      <c r="K105" s="15" t="s">
        <v>693</v>
      </c>
      <c r="L105" s="15" t="s">
        <v>694</v>
      </c>
      <c r="M105" s="15" t="s">
        <v>695</v>
      </c>
      <c r="N105" s="15" t="s">
        <v>234</v>
      </c>
      <c r="O105" s="17" t="s">
        <v>72</v>
      </c>
      <c r="P105" s="15"/>
      <c r="Q105" s="15" t="s">
        <v>29</v>
      </c>
    </row>
    <row r="106">
      <c r="A106" s="14">
        <v>44182.05715791667</v>
      </c>
      <c r="B106" s="15" t="s">
        <v>697</v>
      </c>
      <c r="C106" s="15" t="s">
        <v>203</v>
      </c>
      <c r="D106" s="15" t="s">
        <v>230</v>
      </c>
      <c r="E106" s="16">
        <v>43466.0</v>
      </c>
      <c r="F106" s="16">
        <v>1.0</v>
      </c>
      <c r="G106" s="15" t="s">
        <v>21</v>
      </c>
      <c r="H106" s="15" t="s">
        <v>22</v>
      </c>
      <c r="I106" s="15"/>
      <c r="J106" s="15"/>
      <c r="K106" s="15" t="s">
        <v>698</v>
      </c>
      <c r="L106" s="15" t="s">
        <v>699</v>
      </c>
      <c r="M106" s="15" t="s">
        <v>700</v>
      </c>
      <c r="N106" s="15" t="s">
        <v>234</v>
      </c>
      <c r="O106" s="17" t="s">
        <v>701</v>
      </c>
      <c r="P106" s="15"/>
      <c r="Q106" s="15" t="s">
        <v>29</v>
      </c>
    </row>
    <row r="107">
      <c r="A107" s="14">
        <v>44182.0571737963</v>
      </c>
      <c r="B107" s="15" t="s">
        <v>703</v>
      </c>
      <c r="C107" s="15" t="s">
        <v>215</v>
      </c>
      <c r="D107" s="15" t="s">
        <v>230</v>
      </c>
      <c r="E107" s="16">
        <v>43132.0</v>
      </c>
      <c r="F107" s="16">
        <v>1.0</v>
      </c>
      <c r="G107" s="15" t="s">
        <v>136</v>
      </c>
      <c r="H107" s="15" t="s">
        <v>22</v>
      </c>
      <c r="I107" s="15"/>
      <c r="J107" s="15"/>
      <c r="K107" s="15" t="s">
        <v>704</v>
      </c>
      <c r="L107" s="15" t="s">
        <v>705</v>
      </c>
      <c r="M107" s="15" t="s">
        <v>706</v>
      </c>
      <c r="N107" s="15" t="s">
        <v>234</v>
      </c>
      <c r="O107" s="17" t="s">
        <v>707</v>
      </c>
      <c r="P107" s="15"/>
      <c r="Q107" s="15" t="s">
        <v>29</v>
      </c>
    </row>
    <row r="108">
      <c r="A108" s="14">
        <v>44182.05719306713</v>
      </c>
      <c r="B108" s="15" t="s">
        <v>96</v>
      </c>
      <c r="C108" s="15" t="s">
        <v>97</v>
      </c>
      <c r="D108" s="15" t="s">
        <v>230</v>
      </c>
      <c r="E108" s="16">
        <v>43957.0</v>
      </c>
      <c r="F108" s="16">
        <v>1.0</v>
      </c>
      <c r="G108" s="15" t="s">
        <v>136</v>
      </c>
      <c r="H108" s="15" t="s">
        <v>22</v>
      </c>
      <c r="I108" s="15"/>
      <c r="J108" s="15"/>
      <c r="K108" s="15" t="s">
        <v>709</v>
      </c>
      <c r="L108" s="15" t="s">
        <v>710</v>
      </c>
      <c r="M108" s="15" t="s">
        <v>711</v>
      </c>
      <c r="N108" s="15" t="s">
        <v>234</v>
      </c>
      <c r="O108" s="17" t="s">
        <v>101</v>
      </c>
      <c r="P108" s="15"/>
      <c r="Q108" s="15" t="s">
        <v>29</v>
      </c>
    </row>
    <row r="109">
      <c r="A109" s="14">
        <v>44182.05720967593</v>
      </c>
      <c r="B109" s="15" t="s">
        <v>67</v>
      </c>
      <c r="C109" s="15" t="s">
        <v>68</v>
      </c>
      <c r="D109" s="15" t="s">
        <v>230</v>
      </c>
      <c r="E109" s="16">
        <v>43633.0</v>
      </c>
      <c r="F109" s="16">
        <v>1.0</v>
      </c>
      <c r="G109" s="15" t="s">
        <v>136</v>
      </c>
      <c r="H109" s="15" t="s">
        <v>22</v>
      </c>
      <c r="I109" s="15"/>
      <c r="J109" s="15"/>
      <c r="K109" s="15" t="s">
        <v>713</v>
      </c>
      <c r="L109" s="15" t="s">
        <v>714</v>
      </c>
      <c r="M109" s="15" t="s">
        <v>715</v>
      </c>
      <c r="N109" s="15" t="s">
        <v>234</v>
      </c>
      <c r="O109" s="17" t="s">
        <v>72</v>
      </c>
      <c r="P109" s="15"/>
      <c r="Q109" s="15" t="s">
        <v>29</v>
      </c>
    </row>
    <row r="110">
      <c r="A110" s="14">
        <v>44182.05722515046</v>
      </c>
      <c r="B110" s="15" t="s">
        <v>156</v>
      </c>
      <c r="C110" s="15" t="s">
        <v>157</v>
      </c>
      <c r="D110" s="15" t="s">
        <v>230</v>
      </c>
      <c r="E110" s="16">
        <v>43311.0</v>
      </c>
      <c r="F110" s="16">
        <v>1.0</v>
      </c>
      <c r="G110" s="15" t="s">
        <v>21</v>
      </c>
      <c r="H110" s="15" t="s">
        <v>22</v>
      </c>
      <c r="I110" s="15"/>
      <c r="J110" s="15"/>
      <c r="K110" s="15" t="s">
        <v>717</v>
      </c>
      <c r="L110" s="15" t="s">
        <v>718</v>
      </c>
      <c r="M110" s="15" t="s">
        <v>719</v>
      </c>
      <c r="N110" s="15" t="s">
        <v>234</v>
      </c>
      <c r="O110" s="17" t="s">
        <v>161</v>
      </c>
      <c r="P110" s="15"/>
      <c r="Q110" s="15" t="s">
        <v>29</v>
      </c>
    </row>
    <row r="111">
      <c r="A111" s="14">
        <v>44182.05724216435</v>
      </c>
      <c r="B111" s="15" t="s">
        <v>242</v>
      </c>
      <c r="C111" s="15" t="s">
        <v>292</v>
      </c>
      <c r="D111" s="15" t="s">
        <v>230</v>
      </c>
      <c r="E111" s="16">
        <v>43788.0</v>
      </c>
      <c r="F111" s="16">
        <v>1.0</v>
      </c>
      <c r="G111" s="15" t="s">
        <v>21</v>
      </c>
      <c r="H111" s="15" t="s">
        <v>22</v>
      </c>
      <c r="I111" s="15"/>
      <c r="J111" s="15"/>
      <c r="K111" s="15" t="s">
        <v>721</v>
      </c>
      <c r="L111" s="15" t="s">
        <v>722</v>
      </c>
      <c r="M111" s="15" t="s">
        <v>723</v>
      </c>
      <c r="N111" s="15" t="s">
        <v>234</v>
      </c>
      <c r="O111" s="17" t="s">
        <v>248</v>
      </c>
      <c r="P111" s="15"/>
      <c r="Q111" s="15" t="s">
        <v>29</v>
      </c>
    </row>
    <row r="112">
      <c r="A112" s="14">
        <v>44182.05725789352</v>
      </c>
      <c r="B112" s="15" t="s">
        <v>725</v>
      </c>
      <c r="C112" s="15" t="s">
        <v>175</v>
      </c>
      <c r="D112" s="15" t="s">
        <v>230</v>
      </c>
      <c r="E112" s="16">
        <v>43879.0</v>
      </c>
      <c r="F112" s="16">
        <v>1.0</v>
      </c>
      <c r="G112" s="15" t="s">
        <v>21</v>
      </c>
      <c r="H112" s="15" t="s">
        <v>22</v>
      </c>
      <c r="I112" s="15"/>
      <c r="J112" s="15"/>
      <c r="K112" s="15" t="s">
        <v>726</v>
      </c>
      <c r="L112" s="15" t="s">
        <v>727</v>
      </c>
      <c r="M112" s="15" t="s">
        <v>728</v>
      </c>
      <c r="N112" s="15" t="s">
        <v>234</v>
      </c>
      <c r="O112" s="17" t="s">
        <v>729</v>
      </c>
      <c r="P112" s="15"/>
      <c r="Q112" s="15" t="s">
        <v>29</v>
      </c>
    </row>
    <row r="113">
      <c r="A113" s="14">
        <v>44182.05727523148</v>
      </c>
      <c r="B113" s="15" t="s">
        <v>731</v>
      </c>
      <c r="C113" s="15" t="s">
        <v>237</v>
      </c>
      <c r="D113" s="15" t="s">
        <v>230</v>
      </c>
      <c r="E113" s="16">
        <v>43770.0</v>
      </c>
      <c r="F113" s="16">
        <v>1.0</v>
      </c>
      <c r="G113" s="15" t="s">
        <v>21</v>
      </c>
      <c r="H113" s="15" t="s">
        <v>22</v>
      </c>
      <c r="I113" s="15"/>
      <c r="J113" s="15"/>
      <c r="K113" s="15" t="s">
        <v>732</v>
      </c>
      <c r="L113" s="15" t="s">
        <v>733</v>
      </c>
      <c r="M113" s="15" t="s">
        <v>734</v>
      </c>
      <c r="N113" s="15" t="s">
        <v>234</v>
      </c>
      <c r="O113" s="17" t="s">
        <v>735</v>
      </c>
      <c r="P113" s="15"/>
      <c r="Q113" s="15" t="s">
        <v>29</v>
      </c>
    </row>
    <row r="114">
      <c r="A114" s="14">
        <v>44182.057291087964</v>
      </c>
      <c r="B114" s="15" t="s">
        <v>356</v>
      </c>
      <c r="C114" s="15" t="s">
        <v>2196</v>
      </c>
      <c r="D114" s="15" t="s">
        <v>230</v>
      </c>
      <c r="E114" s="16">
        <v>43586.0</v>
      </c>
      <c r="F114" s="16">
        <v>1.0</v>
      </c>
      <c r="G114" s="15" t="s">
        <v>21</v>
      </c>
      <c r="H114" s="15" t="s">
        <v>22</v>
      </c>
      <c r="I114" s="15"/>
      <c r="J114" s="15"/>
      <c r="K114" s="15" t="s">
        <v>738</v>
      </c>
      <c r="L114" s="15" t="s">
        <v>739</v>
      </c>
      <c r="M114" s="15" t="s">
        <v>2198</v>
      </c>
      <c r="N114" s="15" t="s">
        <v>234</v>
      </c>
      <c r="O114" s="17" t="s">
        <v>363</v>
      </c>
      <c r="P114" s="15"/>
      <c r="Q114" s="15" t="s">
        <v>29</v>
      </c>
    </row>
    <row r="115">
      <c r="A115" s="14">
        <v>44182.05730748843</v>
      </c>
      <c r="B115" s="15" t="s">
        <v>365</v>
      </c>
      <c r="C115" s="15" t="s">
        <v>366</v>
      </c>
      <c r="D115" s="15" t="s">
        <v>230</v>
      </c>
      <c r="E115" s="16">
        <v>43571.0</v>
      </c>
      <c r="F115" s="16">
        <v>1.0</v>
      </c>
      <c r="G115" s="15" t="s">
        <v>21</v>
      </c>
      <c r="H115" s="15" t="s">
        <v>22</v>
      </c>
      <c r="I115" s="15"/>
      <c r="J115" s="15"/>
      <c r="K115" s="15" t="s">
        <v>742</v>
      </c>
      <c r="L115" s="15" t="s">
        <v>743</v>
      </c>
      <c r="M115" s="15" t="s">
        <v>744</v>
      </c>
      <c r="N115" s="15" t="s">
        <v>234</v>
      </c>
      <c r="O115" s="17" t="s">
        <v>370</v>
      </c>
      <c r="P115" s="15"/>
      <c r="Q115" s="15" t="s">
        <v>29</v>
      </c>
    </row>
    <row r="116">
      <c r="A116" s="14">
        <v>44182.05732346065</v>
      </c>
      <c r="B116" s="15" t="s">
        <v>142</v>
      </c>
      <c r="C116" s="15" t="s">
        <v>143</v>
      </c>
      <c r="D116" s="15" t="s">
        <v>230</v>
      </c>
      <c r="E116" s="16">
        <v>43108.0</v>
      </c>
      <c r="F116" s="16">
        <v>1.0</v>
      </c>
      <c r="G116" s="15" t="s">
        <v>136</v>
      </c>
      <c r="H116" s="15" t="s">
        <v>22</v>
      </c>
      <c r="I116" s="15"/>
      <c r="J116" s="15"/>
      <c r="K116" s="15" t="s">
        <v>746</v>
      </c>
      <c r="L116" s="15" t="s">
        <v>747</v>
      </c>
      <c r="M116" s="15" t="s">
        <v>748</v>
      </c>
      <c r="N116" s="15" t="s">
        <v>234</v>
      </c>
      <c r="O116" s="17" t="s">
        <v>147</v>
      </c>
      <c r="P116" s="15"/>
      <c r="Q116" s="15" t="s">
        <v>29</v>
      </c>
    </row>
    <row r="117">
      <c r="A117" s="14">
        <v>44182.057339618055</v>
      </c>
      <c r="B117" s="15" t="s">
        <v>110</v>
      </c>
      <c r="C117" s="15" t="s">
        <v>111</v>
      </c>
      <c r="D117" s="15" t="s">
        <v>230</v>
      </c>
      <c r="E117" s="16">
        <v>44075.0</v>
      </c>
      <c r="F117" s="16">
        <v>1.0</v>
      </c>
      <c r="G117" s="15" t="s">
        <v>21</v>
      </c>
      <c r="H117" s="15" t="s">
        <v>22</v>
      </c>
      <c r="I117" s="15"/>
      <c r="J117" s="15" t="s">
        <v>750</v>
      </c>
      <c r="K117" s="15" t="s">
        <v>751</v>
      </c>
      <c r="L117" s="15" t="s">
        <v>752</v>
      </c>
      <c r="M117" s="15" t="s">
        <v>753</v>
      </c>
      <c r="N117" s="15" t="s">
        <v>234</v>
      </c>
      <c r="O117" s="17" t="s">
        <v>116</v>
      </c>
      <c r="P117" s="15"/>
      <c r="Q117" s="15" t="s">
        <v>29</v>
      </c>
    </row>
    <row r="118">
      <c r="A118" s="14">
        <v>44182.05735491899</v>
      </c>
      <c r="B118" s="15" t="s">
        <v>142</v>
      </c>
      <c r="C118" s="15" t="s">
        <v>755</v>
      </c>
      <c r="D118" s="15" t="s">
        <v>756</v>
      </c>
      <c r="E118" s="16">
        <v>44013.0</v>
      </c>
      <c r="F118" s="16">
        <v>2000.0</v>
      </c>
      <c r="G118" s="15" t="s">
        <v>136</v>
      </c>
      <c r="H118" s="15" t="s">
        <v>22</v>
      </c>
      <c r="I118" s="15"/>
      <c r="J118" s="15"/>
      <c r="K118" s="15" t="s">
        <v>757</v>
      </c>
      <c r="L118" s="15" t="s">
        <v>758</v>
      </c>
      <c r="M118" s="15" t="s">
        <v>759</v>
      </c>
      <c r="N118" s="15" t="s">
        <v>760</v>
      </c>
      <c r="O118" s="17" t="s">
        <v>147</v>
      </c>
      <c r="P118" s="15"/>
      <c r="Q118" s="15" t="s">
        <v>29</v>
      </c>
    </row>
    <row r="119">
      <c r="A119" s="14">
        <v>44182.05737239584</v>
      </c>
      <c r="B119" s="15" t="s">
        <v>110</v>
      </c>
      <c r="C119" s="15" t="s">
        <v>450</v>
      </c>
      <c r="D119" s="15" t="s">
        <v>230</v>
      </c>
      <c r="E119" s="16">
        <v>44170.0</v>
      </c>
      <c r="F119" s="16">
        <v>1.0</v>
      </c>
      <c r="G119" s="15" t="s">
        <v>21</v>
      </c>
      <c r="H119" s="15" t="s">
        <v>22</v>
      </c>
      <c r="I119" s="15"/>
      <c r="J119" s="15"/>
      <c r="K119" s="15" t="s">
        <v>762</v>
      </c>
      <c r="L119" s="15" t="s">
        <v>763</v>
      </c>
      <c r="M119" s="15" t="s">
        <v>764</v>
      </c>
      <c r="N119" s="15" t="s">
        <v>234</v>
      </c>
      <c r="O119" s="17" t="s">
        <v>116</v>
      </c>
      <c r="P119" s="15"/>
      <c r="Q119" s="15" t="s">
        <v>29</v>
      </c>
    </row>
    <row r="120">
      <c r="A120" s="14">
        <v>44182.05739076389</v>
      </c>
      <c r="B120" s="15" t="s">
        <v>81</v>
      </c>
      <c r="C120" s="15" t="s">
        <v>82</v>
      </c>
      <c r="D120" s="15" t="s">
        <v>230</v>
      </c>
      <c r="E120" s="16">
        <v>43622.0</v>
      </c>
      <c r="F120" s="16">
        <v>1.0</v>
      </c>
      <c r="G120" s="15" t="s">
        <v>21</v>
      </c>
      <c r="H120" s="15" t="s">
        <v>22</v>
      </c>
      <c r="I120" s="15"/>
      <c r="J120" s="15"/>
      <c r="K120" s="15" t="s">
        <v>766</v>
      </c>
      <c r="L120" s="15" t="s">
        <v>767</v>
      </c>
      <c r="M120" s="15" t="s">
        <v>768</v>
      </c>
      <c r="N120" s="15" t="s">
        <v>234</v>
      </c>
      <c r="O120" s="17" t="s">
        <v>87</v>
      </c>
      <c r="P120" s="15"/>
      <c r="Q120" s="15" t="s">
        <v>29</v>
      </c>
    </row>
    <row r="121">
      <c r="A121" s="14">
        <v>44182.057408796296</v>
      </c>
      <c r="B121" s="15" t="s">
        <v>322</v>
      </c>
      <c r="C121" s="15" t="s">
        <v>329</v>
      </c>
      <c r="D121" s="15" t="s">
        <v>230</v>
      </c>
      <c r="E121" s="16">
        <v>43589.0</v>
      </c>
      <c r="F121" s="16">
        <v>1.0</v>
      </c>
      <c r="G121" s="15" t="s">
        <v>21</v>
      </c>
      <c r="H121" s="15" t="s">
        <v>22</v>
      </c>
      <c r="I121" s="15"/>
      <c r="J121" s="15"/>
      <c r="K121" s="15" t="s">
        <v>770</v>
      </c>
      <c r="L121" s="15" t="s">
        <v>771</v>
      </c>
      <c r="M121" s="15" t="s">
        <v>772</v>
      </c>
      <c r="N121" s="15" t="s">
        <v>234</v>
      </c>
      <c r="O121" s="17" t="s">
        <v>327</v>
      </c>
      <c r="P121" s="15"/>
      <c r="Q121" s="15" t="s">
        <v>29</v>
      </c>
    </row>
    <row r="122">
      <c r="A122" s="14">
        <v>44182.057426562504</v>
      </c>
      <c r="B122" s="15" t="s">
        <v>774</v>
      </c>
      <c r="C122" s="15" t="s">
        <v>455</v>
      </c>
      <c r="D122" s="15" t="s">
        <v>230</v>
      </c>
      <c r="E122" s="16">
        <v>43956.0</v>
      </c>
      <c r="F122" s="16">
        <v>1.0</v>
      </c>
      <c r="G122" s="15" t="s">
        <v>21</v>
      </c>
      <c r="H122" s="15" t="s">
        <v>22</v>
      </c>
      <c r="I122" s="15"/>
      <c r="J122" s="15"/>
      <c r="K122" s="15" t="s">
        <v>776</v>
      </c>
      <c r="L122" s="15" t="s">
        <v>777</v>
      </c>
      <c r="M122" s="15" t="s">
        <v>778</v>
      </c>
      <c r="N122" s="15" t="s">
        <v>234</v>
      </c>
      <c r="O122" s="17" t="s">
        <v>779</v>
      </c>
      <c r="P122" s="15"/>
      <c r="Q122" s="15" t="s">
        <v>29</v>
      </c>
    </row>
    <row r="123">
      <c r="A123" s="14">
        <v>44182.05744333334</v>
      </c>
      <c r="B123" s="15" t="s">
        <v>118</v>
      </c>
      <c r="C123" s="15" t="s">
        <v>119</v>
      </c>
      <c r="D123" s="15" t="s">
        <v>230</v>
      </c>
      <c r="E123" s="16">
        <v>43461.0</v>
      </c>
      <c r="F123" s="16">
        <v>1.0</v>
      </c>
      <c r="G123" s="15" t="s">
        <v>21</v>
      </c>
      <c r="H123" s="15" t="s">
        <v>22</v>
      </c>
      <c r="I123" s="15"/>
      <c r="J123" s="15"/>
      <c r="K123" s="15" t="s">
        <v>781</v>
      </c>
      <c r="L123" s="15" t="s">
        <v>782</v>
      </c>
      <c r="M123" s="15" t="s">
        <v>783</v>
      </c>
      <c r="N123" s="15" t="s">
        <v>234</v>
      </c>
      <c r="O123" s="17" t="s">
        <v>124</v>
      </c>
      <c r="P123" s="15"/>
      <c r="Q123" s="15" t="s">
        <v>29</v>
      </c>
    </row>
    <row r="124">
      <c r="A124" s="14">
        <v>44182.05745824074</v>
      </c>
      <c r="B124" s="15" t="s">
        <v>785</v>
      </c>
      <c r="C124" s="15" t="s">
        <v>75</v>
      </c>
      <c r="D124" s="15" t="s">
        <v>230</v>
      </c>
      <c r="E124" s="16">
        <v>43608.0</v>
      </c>
      <c r="F124" s="16">
        <v>1.0</v>
      </c>
      <c r="G124" s="15" t="s">
        <v>21</v>
      </c>
      <c r="H124" s="15" t="s">
        <v>22</v>
      </c>
      <c r="I124" s="15"/>
      <c r="J124" s="15"/>
      <c r="K124" s="15" t="s">
        <v>786</v>
      </c>
      <c r="L124" s="15" t="s">
        <v>787</v>
      </c>
      <c r="M124" s="15" t="s">
        <v>788</v>
      </c>
      <c r="N124" s="15" t="s">
        <v>234</v>
      </c>
      <c r="O124" s="17" t="s">
        <v>789</v>
      </c>
      <c r="P124" s="15"/>
      <c r="Q124" s="15" t="s">
        <v>29</v>
      </c>
    </row>
    <row r="125">
      <c r="A125" s="14">
        <v>44182.05747516204</v>
      </c>
      <c r="B125" s="15" t="s">
        <v>38</v>
      </c>
      <c r="C125" s="15" t="s">
        <v>39</v>
      </c>
      <c r="D125" s="15" t="s">
        <v>230</v>
      </c>
      <c r="E125" s="16">
        <v>43767.0</v>
      </c>
      <c r="F125" s="16">
        <v>1.0</v>
      </c>
      <c r="G125" s="15" t="s">
        <v>21</v>
      </c>
      <c r="H125" s="15" t="s">
        <v>22</v>
      </c>
      <c r="I125" s="15"/>
      <c r="J125" s="15"/>
      <c r="K125" s="15" t="s">
        <v>791</v>
      </c>
      <c r="L125" s="15" t="s">
        <v>792</v>
      </c>
      <c r="M125" s="15" t="s">
        <v>793</v>
      </c>
      <c r="N125" s="15" t="s">
        <v>234</v>
      </c>
      <c r="O125" s="17" t="s">
        <v>43</v>
      </c>
      <c r="P125" s="15"/>
      <c r="Q125" s="15" t="s">
        <v>29</v>
      </c>
    </row>
    <row r="126">
      <c r="A126" s="14">
        <v>44182.05749193287</v>
      </c>
      <c r="B126" s="15" t="s">
        <v>38</v>
      </c>
      <c r="C126" s="15" t="s">
        <v>297</v>
      </c>
      <c r="D126" s="15" t="s">
        <v>230</v>
      </c>
      <c r="E126" s="16">
        <v>43719.0</v>
      </c>
      <c r="F126" s="16">
        <v>1.0</v>
      </c>
      <c r="G126" s="15" t="s">
        <v>21</v>
      </c>
      <c r="H126" s="15" t="s">
        <v>22</v>
      </c>
      <c r="I126" s="15"/>
      <c r="J126" s="15"/>
      <c r="K126" s="15" t="s">
        <v>795</v>
      </c>
      <c r="L126" s="15" t="s">
        <v>796</v>
      </c>
      <c r="M126" s="15" t="s">
        <v>797</v>
      </c>
      <c r="N126" s="15" t="s">
        <v>234</v>
      </c>
      <c r="O126" s="17" t="s">
        <v>43</v>
      </c>
      <c r="P126" s="15"/>
      <c r="Q126" s="15" t="s">
        <v>29</v>
      </c>
    </row>
    <row r="127">
      <c r="A127" s="14">
        <v>44182.057508356476</v>
      </c>
      <c r="B127" s="15" t="s">
        <v>38</v>
      </c>
      <c r="C127" s="15" t="s">
        <v>310</v>
      </c>
      <c r="D127" s="15" t="s">
        <v>230</v>
      </c>
      <c r="E127" s="16">
        <v>43804.0</v>
      </c>
      <c r="F127" s="16">
        <v>1.0</v>
      </c>
      <c r="G127" s="15" t="s">
        <v>21</v>
      </c>
      <c r="H127" s="15" t="s">
        <v>22</v>
      </c>
      <c r="I127" s="15"/>
      <c r="J127" s="15"/>
      <c r="K127" s="15" t="s">
        <v>799</v>
      </c>
      <c r="L127" s="15" t="s">
        <v>800</v>
      </c>
      <c r="M127" s="15" t="s">
        <v>801</v>
      </c>
      <c r="N127" s="15" t="s">
        <v>234</v>
      </c>
      <c r="O127" s="17" t="s">
        <v>43</v>
      </c>
      <c r="P127" s="15"/>
      <c r="Q127" s="15" t="s">
        <v>29</v>
      </c>
    </row>
    <row r="128">
      <c r="A128" s="14">
        <v>44182.05752375</v>
      </c>
      <c r="B128" s="15" t="s">
        <v>45</v>
      </c>
      <c r="C128" s="15" t="s">
        <v>46</v>
      </c>
      <c r="D128" s="15" t="s">
        <v>230</v>
      </c>
      <c r="E128" s="16">
        <v>43724.0</v>
      </c>
      <c r="F128" s="16">
        <v>1.0</v>
      </c>
      <c r="G128" s="15" t="s">
        <v>21</v>
      </c>
      <c r="H128" s="15" t="s">
        <v>22</v>
      </c>
      <c r="I128" s="15"/>
      <c r="J128" s="15"/>
      <c r="K128" s="15" t="s">
        <v>803</v>
      </c>
      <c r="L128" s="15" t="s">
        <v>804</v>
      </c>
      <c r="M128" s="15" t="s">
        <v>805</v>
      </c>
      <c r="N128" s="15" t="s">
        <v>234</v>
      </c>
      <c r="O128" s="17" t="s">
        <v>51</v>
      </c>
      <c r="P128" s="15"/>
      <c r="Q128" s="15" t="s">
        <v>29</v>
      </c>
    </row>
    <row r="129">
      <c r="A129" s="14">
        <v>44182.05753958333</v>
      </c>
      <c r="B129" s="15" t="s">
        <v>372</v>
      </c>
      <c r="C129" s="15" t="s">
        <v>373</v>
      </c>
      <c r="D129" s="15" t="s">
        <v>230</v>
      </c>
      <c r="E129" s="16">
        <v>43566.0</v>
      </c>
      <c r="F129" s="16">
        <v>1.0</v>
      </c>
      <c r="G129" s="15" t="s">
        <v>21</v>
      </c>
      <c r="H129" s="15" t="s">
        <v>22</v>
      </c>
      <c r="I129" s="15"/>
      <c r="J129" s="15"/>
      <c r="K129" s="15" t="s">
        <v>807</v>
      </c>
      <c r="L129" s="15" t="s">
        <v>808</v>
      </c>
      <c r="M129" s="15" t="s">
        <v>809</v>
      </c>
      <c r="N129" s="15" t="s">
        <v>234</v>
      </c>
      <c r="O129" s="17" t="s">
        <v>377</v>
      </c>
      <c r="P129" s="15"/>
      <c r="Q129" s="15" t="s">
        <v>29</v>
      </c>
    </row>
    <row r="130">
      <c r="A130" s="14">
        <v>44182.05755615741</v>
      </c>
      <c r="B130" s="15" t="s">
        <v>163</v>
      </c>
      <c r="C130" s="15" t="s">
        <v>164</v>
      </c>
      <c r="D130" s="15" t="s">
        <v>230</v>
      </c>
      <c r="E130" s="16">
        <v>43460.0</v>
      </c>
      <c r="F130" s="16">
        <v>1.0</v>
      </c>
      <c r="G130" s="15" t="s">
        <v>21</v>
      </c>
      <c r="H130" s="15" t="s">
        <v>22</v>
      </c>
      <c r="I130" s="15"/>
      <c r="J130" s="15"/>
      <c r="K130" s="15" t="s">
        <v>811</v>
      </c>
      <c r="L130" s="15" t="s">
        <v>812</v>
      </c>
      <c r="M130" s="15" t="s">
        <v>813</v>
      </c>
      <c r="N130" s="15" t="s">
        <v>234</v>
      </c>
      <c r="O130" s="17" t="s">
        <v>168</v>
      </c>
      <c r="P130" s="15"/>
      <c r="Q130" s="15" t="s">
        <v>29</v>
      </c>
    </row>
    <row r="131">
      <c r="A131" s="14">
        <v>44182.05757113426</v>
      </c>
      <c r="B131" s="15" t="s">
        <v>341</v>
      </c>
      <c r="C131" s="15" t="s">
        <v>342</v>
      </c>
      <c r="D131" s="15" t="s">
        <v>230</v>
      </c>
      <c r="E131" s="16">
        <v>43546.0</v>
      </c>
      <c r="F131" s="16">
        <v>1.0</v>
      </c>
      <c r="G131" s="15" t="s">
        <v>136</v>
      </c>
      <c r="H131" s="15" t="s">
        <v>22</v>
      </c>
      <c r="I131" s="15"/>
      <c r="J131" s="15"/>
      <c r="K131" s="15" t="s">
        <v>815</v>
      </c>
      <c r="L131" s="15" t="s">
        <v>816</v>
      </c>
      <c r="M131" s="15" t="s">
        <v>817</v>
      </c>
      <c r="N131" s="15" t="s">
        <v>234</v>
      </c>
      <c r="O131" s="17" t="s">
        <v>346</v>
      </c>
      <c r="P131" s="15"/>
      <c r="Q131" s="15" t="s">
        <v>29</v>
      </c>
    </row>
    <row r="132">
      <c r="A132" s="14">
        <v>44182.057586006944</v>
      </c>
      <c r="B132" s="15" t="s">
        <v>30</v>
      </c>
      <c r="C132" s="15" t="s">
        <v>31</v>
      </c>
      <c r="D132" s="15" t="s">
        <v>230</v>
      </c>
      <c r="E132" s="16">
        <v>43762.0</v>
      </c>
      <c r="F132" s="16">
        <v>1.0</v>
      </c>
      <c r="G132" s="15" t="s">
        <v>21</v>
      </c>
      <c r="H132" s="15" t="s">
        <v>22</v>
      </c>
      <c r="I132" s="15"/>
      <c r="J132" s="15"/>
      <c r="K132" s="15" t="s">
        <v>819</v>
      </c>
      <c r="L132" s="15" t="s">
        <v>820</v>
      </c>
      <c r="M132" s="15" t="s">
        <v>821</v>
      </c>
      <c r="N132" s="15" t="s">
        <v>234</v>
      </c>
      <c r="O132" s="17" t="s">
        <v>36</v>
      </c>
      <c r="P132" s="15"/>
      <c r="Q132" s="15" t="s">
        <v>29</v>
      </c>
    </row>
    <row r="133">
      <c r="A133" s="14">
        <v>44182.057601886576</v>
      </c>
      <c r="B133" s="15" t="s">
        <v>823</v>
      </c>
      <c r="C133" s="15" t="s">
        <v>824</v>
      </c>
      <c r="D133" s="15" t="s">
        <v>230</v>
      </c>
      <c r="E133" s="16">
        <v>43824.0</v>
      </c>
      <c r="F133" s="16">
        <v>1.0</v>
      </c>
      <c r="G133" s="15" t="s">
        <v>21</v>
      </c>
      <c r="H133" s="15" t="s">
        <v>22</v>
      </c>
      <c r="I133" s="15"/>
      <c r="J133" s="15"/>
      <c r="K133" s="15" t="s">
        <v>825</v>
      </c>
      <c r="L133" s="15" t="s">
        <v>826</v>
      </c>
      <c r="M133" s="15" t="s">
        <v>827</v>
      </c>
      <c r="N133" s="15" t="s">
        <v>234</v>
      </c>
      <c r="O133" s="17" t="s">
        <v>828</v>
      </c>
      <c r="P133" s="15"/>
      <c r="Q133" s="15" t="s">
        <v>29</v>
      </c>
    </row>
    <row r="134">
      <c r="A134" s="14">
        <v>44182.05761778935</v>
      </c>
      <c r="B134" s="15" t="s">
        <v>830</v>
      </c>
      <c r="C134" s="15" t="s">
        <v>831</v>
      </c>
      <c r="D134" s="15" t="s">
        <v>230</v>
      </c>
      <c r="E134" s="16">
        <v>43768.0</v>
      </c>
      <c r="F134" s="16">
        <v>1.0</v>
      </c>
      <c r="G134" s="15" t="s">
        <v>21</v>
      </c>
      <c r="H134" s="15" t="s">
        <v>22</v>
      </c>
      <c r="I134" s="15"/>
      <c r="J134" s="15"/>
      <c r="K134" s="15" t="s">
        <v>832</v>
      </c>
      <c r="L134" s="15" t="s">
        <v>833</v>
      </c>
      <c r="M134" s="15" t="s">
        <v>834</v>
      </c>
      <c r="N134" s="15" t="s">
        <v>234</v>
      </c>
      <c r="O134" s="17" t="s">
        <v>835</v>
      </c>
      <c r="P134" s="15"/>
      <c r="Q134" s="15" t="s">
        <v>29</v>
      </c>
    </row>
    <row r="135">
      <c r="A135" s="14">
        <v>44182.05763408565</v>
      </c>
      <c r="B135" s="15" t="s">
        <v>303</v>
      </c>
      <c r="C135" s="15" t="s">
        <v>304</v>
      </c>
      <c r="D135" s="15" t="s">
        <v>230</v>
      </c>
      <c r="E135" s="16">
        <v>43769.0</v>
      </c>
      <c r="F135" s="16">
        <v>1.0</v>
      </c>
      <c r="G135" s="15" t="s">
        <v>21</v>
      </c>
      <c r="H135" s="15" t="s">
        <v>22</v>
      </c>
      <c r="I135" s="15"/>
      <c r="J135" s="15"/>
      <c r="K135" s="15" t="s">
        <v>837</v>
      </c>
      <c r="L135" s="15" t="s">
        <v>838</v>
      </c>
      <c r="M135" s="15" t="s">
        <v>839</v>
      </c>
      <c r="N135" s="15" t="s">
        <v>234</v>
      </c>
      <c r="O135" s="17" t="s">
        <v>308</v>
      </c>
      <c r="P135" s="15"/>
      <c r="Q135" s="15" t="s">
        <v>29</v>
      </c>
    </row>
    <row r="136">
      <c r="A136" s="14">
        <v>44182.05765125</v>
      </c>
      <c r="B136" s="15" t="s">
        <v>60</v>
      </c>
      <c r="C136" s="15" t="s">
        <v>61</v>
      </c>
      <c r="D136" s="15" t="s">
        <v>230</v>
      </c>
      <c r="E136" s="16">
        <v>43672.0</v>
      </c>
      <c r="F136" s="16">
        <v>1.0</v>
      </c>
      <c r="G136" s="15" t="s">
        <v>21</v>
      </c>
      <c r="H136" s="15" t="s">
        <v>22</v>
      </c>
      <c r="I136" s="15"/>
      <c r="J136" s="15"/>
      <c r="K136" s="15" t="s">
        <v>841</v>
      </c>
      <c r="L136" s="15" t="s">
        <v>842</v>
      </c>
      <c r="M136" s="15" t="s">
        <v>843</v>
      </c>
      <c r="N136" s="15" t="s">
        <v>234</v>
      </c>
      <c r="O136" s="17" t="s">
        <v>65</v>
      </c>
      <c r="P136" s="15"/>
      <c r="Q136" s="15" t="s">
        <v>29</v>
      </c>
    </row>
    <row r="137">
      <c r="A137" s="14">
        <v>44182.05767033565</v>
      </c>
      <c r="B137" s="15" t="s">
        <v>538</v>
      </c>
      <c r="C137" s="15" t="s">
        <v>539</v>
      </c>
      <c r="D137" s="15" t="s">
        <v>230</v>
      </c>
      <c r="E137" s="16">
        <v>43122.0</v>
      </c>
      <c r="F137" s="16">
        <v>1.0</v>
      </c>
      <c r="G137" s="15" t="s">
        <v>136</v>
      </c>
      <c r="H137" s="15" t="s">
        <v>22</v>
      </c>
      <c r="I137" s="15"/>
      <c r="J137" s="15"/>
      <c r="K137" s="15" t="s">
        <v>845</v>
      </c>
      <c r="L137" s="15" t="s">
        <v>846</v>
      </c>
      <c r="M137" s="15" t="s">
        <v>847</v>
      </c>
      <c r="N137" s="15" t="s">
        <v>234</v>
      </c>
      <c r="O137" s="17" t="s">
        <v>543</v>
      </c>
      <c r="P137" s="15"/>
      <c r="Q137" s="15" t="s">
        <v>29</v>
      </c>
    </row>
    <row r="138">
      <c r="A138" s="14">
        <v>44182.057686597225</v>
      </c>
      <c r="B138" s="15" t="s">
        <v>18</v>
      </c>
      <c r="C138" s="15" t="s">
        <v>19</v>
      </c>
      <c r="D138" s="15" t="s">
        <v>230</v>
      </c>
      <c r="E138" s="16">
        <v>43767.0</v>
      </c>
      <c r="F138" s="16">
        <v>1.0</v>
      </c>
      <c r="G138" s="15" t="s">
        <v>21</v>
      </c>
      <c r="H138" s="15" t="s">
        <v>22</v>
      </c>
      <c r="I138" s="15"/>
      <c r="J138" s="15" t="s">
        <v>849</v>
      </c>
      <c r="K138" s="15" t="s">
        <v>850</v>
      </c>
      <c r="L138" s="15" t="s">
        <v>851</v>
      </c>
      <c r="M138" s="15" t="s">
        <v>852</v>
      </c>
      <c r="N138" s="15" t="s">
        <v>234</v>
      </c>
      <c r="O138" s="17" t="s">
        <v>28</v>
      </c>
      <c r="P138" s="15"/>
      <c r="Q138" s="15" t="s">
        <v>29</v>
      </c>
    </row>
    <row r="139">
      <c r="A139" s="14">
        <v>44182.057703495375</v>
      </c>
      <c r="B139" s="15" t="s">
        <v>386</v>
      </c>
      <c r="C139" s="15" t="s">
        <v>387</v>
      </c>
      <c r="D139" s="15" t="s">
        <v>230</v>
      </c>
      <c r="E139" s="16">
        <v>43348.0</v>
      </c>
      <c r="F139" s="16">
        <v>1.0</v>
      </c>
      <c r="G139" s="15" t="s">
        <v>21</v>
      </c>
      <c r="H139" s="15" t="s">
        <v>22</v>
      </c>
      <c r="I139" s="15"/>
      <c r="J139" s="15"/>
      <c r="K139" s="15" t="s">
        <v>854</v>
      </c>
      <c r="L139" s="15" t="s">
        <v>855</v>
      </c>
      <c r="M139" s="15" t="s">
        <v>856</v>
      </c>
      <c r="N139" s="15" t="s">
        <v>234</v>
      </c>
      <c r="O139" s="17" t="s">
        <v>391</v>
      </c>
      <c r="P139" s="15"/>
      <c r="Q139" s="15" t="s">
        <v>29</v>
      </c>
    </row>
    <row r="140">
      <c r="A140" s="14">
        <v>44182.05772023148</v>
      </c>
      <c r="B140" s="15" t="s">
        <v>242</v>
      </c>
      <c r="C140" s="15" t="s">
        <v>243</v>
      </c>
      <c r="D140" s="15" t="s">
        <v>230</v>
      </c>
      <c r="E140" s="16">
        <v>44013.0</v>
      </c>
      <c r="F140" s="16">
        <v>1.0</v>
      </c>
      <c r="G140" s="15" t="s">
        <v>21</v>
      </c>
      <c r="H140" s="15" t="s">
        <v>22</v>
      </c>
      <c r="I140" s="15"/>
      <c r="J140" s="15"/>
      <c r="K140" s="15" t="s">
        <v>860</v>
      </c>
      <c r="L140" s="15" t="s">
        <v>861</v>
      </c>
      <c r="M140" s="15" t="s">
        <v>2199</v>
      </c>
      <c r="N140" s="15" t="s">
        <v>234</v>
      </c>
      <c r="O140" s="17" t="s">
        <v>248</v>
      </c>
      <c r="P140" s="15"/>
      <c r="Q140" s="15" t="s">
        <v>29</v>
      </c>
    </row>
    <row r="141">
      <c r="A141" s="14">
        <v>44182.05773721065</v>
      </c>
      <c r="B141" s="15" t="s">
        <v>725</v>
      </c>
      <c r="C141" s="15" t="s">
        <v>323</v>
      </c>
      <c r="D141" s="15" t="s">
        <v>230</v>
      </c>
      <c r="E141" s="16">
        <v>43732.0</v>
      </c>
      <c r="F141" s="16">
        <v>1.0</v>
      </c>
      <c r="G141" s="15" t="s">
        <v>21</v>
      </c>
      <c r="H141" s="15" t="s">
        <v>22</v>
      </c>
      <c r="I141" s="15"/>
      <c r="J141" s="15"/>
      <c r="K141" s="15" t="s">
        <v>864</v>
      </c>
      <c r="L141" s="15" t="s">
        <v>865</v>
      </c>
      <c r="M141" s="15" t="s">
        <v>866</v>
      </c>
      <c r="N141" s="15" t="s">
        <v>234</v>
      </c>
      <c r="O141" s="17" t="s">
        <v>729</v>
      </c>
      <c r="P141" s="15"/>
      <c r="Q141" s="15" t="s">
        <v>29</v>
      </c>
    </row>
    <row r="142">
      <c r="A142" s="14">
        <v>44182.05775224537</v>
      </c>
      <c r="B142" s="15" t="s">
        <v>258</v>
      </c>
      <c r="C142" s="15" t="s">
        <v>259</v>
      </c>
      <c r="D142" s="15" t="s">
        <v>230</v>
      </c>
      <c r="E142" s="16">
        <v>43886.0</v>
      </c>
      <c r="F142" s="16">
        <v>1.0</v>
      </c>
      <c r="G142" s="15" t="s">
        <v>21</v>
      </c>
      <c r="H142" s="15" t="s">
        <v>22</v>
      </c>
      <c r="I142" s="15"/>
      <c r="J142" s="15"/>
      <c r="K142" s="15" t="s">
        <v>868</v>
      </c>
      <c r="L142" s="15" t="s">
        <v>869</v>
      </c>
      <c r="M142" s="15" t="s">
        <v>870</v>
      </c>
      <c r="N142" s="15" t="s">
        <v>234</v>
      </c>
      <c r="O142" s="17" t="s">
        <v>264</v>
      </c>
      <c r="P142" s="15"/>
      <c r="Q142" s="15" t="s">
        <v>29</v>
      </c>
    </row>
    <row r="143">
      <c r="A143" s="14">
        <v>44182.057769363426</v>
      </c>
      <c r="B143" s="15" t="s">
        <v>126</v>
      </c>
      <c r="C143" s="15" t="s">
        <v>127</v>
      </c>
      <c r="D143" s="15" t="s">
        <v>230</v>
      </c>
      <c r="E143" s="16">
        <v>43816.0</v>
      </c>
      <c r="F143" s="16">
        <v>1.0</v>
      </c>
      <c r="G143" s="15" t="s">
        <v>21</v>
      </c>
      <c r="H143" s="15" t="s">
        <v>22</v>
      </c>
      <c r="I143" s="15"/>
      <c r="J143" s="15"/>
      <c r="K143" s="15" t="s">
        <v>872</v>
      </c>
      <c r="L143" s="15" t="s">
        <v>873</v>
      </c>
      <c r="M143" s="15" t="s">
        <v>874</v>
      </c>
      <c r="N143" s="15" t="s">
        <v>234</v>
      </c>
      <c r="O143" s="17" t="s">
        <v>132</v>
      </c>
      <c r="P143" s="15"/>
      <c r="Q143" s="15" t="s">
        <v>29</v>
      </c>
    </row>
    <row r="144">
      <c r="A144" s="14">
        <v>44182.05778635417</v>
      </c>
      <c r="B144" s="15" t="s">
        <v>266</v>
      </c>
      <c r="C144" s="15" t="s">
        <v>267</v>
      </c>
      <c r="D144" s="15" t="s">
        <v>230</v>
      </c>
      <c r="E144" s="16">
        <v>43699.0</v>
      </c>
      <c r="F144" s="16">
        <v>1.0</v>
      </c>
      <c r="G144" s="15" t="s">
        <v>136</v>
      </c>
      <c r="H144" s="15" t="s">
        <v>22</v>
      </c>
      <c r="I144" s="15"/>
      <c r="J144" s="15"/>
      <c r="K144" s="15" t="s">
        <v>876</v>
      </c>
      <c r="L144" s="15" t="s">
        <v>877</v>
      </c>
      <c r="M144" s="15" t="s">
        <v>878</v>
      </c>
      <c r="N144" s="15" t="s">
        <v>234</v>
      </c>
      <c r="O144" s="17" t="s">
        <v>271</v>
      </c>
      <c r="P144" s="15"/>
      <c r="Q144" s="15" t="s">
        <v>29</v>
      </c>
    </row>
    <row r="145">
      <c r="A145" s="14">
        <v>44182.057804131946</v>
      </c>
      <c r="B145" s="15" t="s">
        <v>572</v>
      </c>
      <c r="C145" s="15" t="s">
        <v>573</v>
      </c>
      <c r="D145" s="15" t="s">
        <v>230</v>
      </c>
      <c r="E145" s="16">
        <v>44170.0</v>
      </c>
      <c r="F145" s="16">
        <v>1.0</v>
      </c>
      <c r="G145" s="15" t="s">
        <v>21</v>
      </c>
      <c r="H145" s="15" t="s">
        <v>22</v>
      </c>
      <c r="I145" s="15"/>
      <c r="J145" s="15"/>
      <c r="K145" s="15" t="s">
        <v>880</v>
      </c>
      <c r="L145" s="15" t="s">
        <v>881</v>
      </c>
      <c r="M145" s="15" t="s">
        <v>882</v>
      </c>
      <c r="N145" s="15" t="s">
        <v>234</v>
      </c>
      <c r="O145" s="17" t="s">
        <v>578</v>
      </c>
      <c r="P145" s="15"/>
      <c r="Q145" s="15" t="s">
        <v>29</v>
      </c>
    </row>
    <row r="146">
      <c r="A146" s="14">
        <v>44182.057822268514</v>
      </c>
      <c r="B146" s="15" t="s">
        <v>725</v>
      </c>
      <c r="C146" s="15" t="s">
        <v>54</v>
      </c>
      <c r="D146" s="15" t="s">
        <v>230</v>
      </c>
      <c r="E146" s="16">
        <v>43734.0</v>
      </c>
      <c r="F146" s="16">
        <v>1.0</v>
      </c>
      <c r="G146" s="15" t="s">
        <v>21</v>
      </c>
      <c r="H146" s="15" t="s">
        <v>22</v>
      </c>
      <c r="I146" s="15"/>
      <c r="J146" s="15"/>
      <c r="K146" s="15" t="s">
        <v>884</v>
      </c>
      <c r="L146" s="15" t="s">
        <v>885</v>
      </c>
      <c r="M146" s="15" t="s">
        <v>886</v>
      </c>
      <c r="N146" s="15" t="s">
        <v>234</v>
      </c>
      <c r="O146" s="17" t="s">
        <v>729</v>
      </c>
      <c r="P146" s="15"/>
      <c r="Q146" s="15" t="s">
        <v>29</v>
      </c>
    </row>
    <row r="147">
      <c r="A147" s="14">
        <v>44182.057840706024</v>
      </c>
      <c r="B147" s="15" t="s">
        <v>250</v>
      </c>
      <c r="C147" s="15" t="s">
        <v>251</v>
      </c>
      <c r="D147" s="15" t="s">
        <v>230</v>
      </c>
      <c r="E147" s="16">
        <v>43354.0</v>
      </c>
      <c r="F147" s="16">
        <v>1.0</v>
      </c>
      <c r="G147" s="15" t="s">
        <v>21</v>
      </c>
      <c r="H147" s="15" t="s">
        <v>22</v>
      </c>
      <c r="I147" s="15"/>
      <c r="J147" s="15"/>
      <c r="K147" s="15" t="s">
        <v>889</v>
      </c>
      <c r="L147" s="15" t="s">
        <v>890</v>
      </c>
      <c r="M147" s="15" t="s">
        <v>891</v>
      </c>
      <c r="N147" s="15" t="s">
        <v>234</v>
      </c>
      <c r="O147" s="17" t="s">
        <v>256</v>
      </c>
      <c r="P147" s="15"/>
      <c r="Q147" s="15" t="s">
        <v>29</v>
      </c>
    </row>
    <row r="148">
      <c r="A148" s="14">
        <v>44182.05785806713</v>
      </c>
      <c r="B148" s="15" t="s">
        <v>893</v>
      </c>
      <c r="C148" s="15" t="s">
        <v>349</v>
      </c>
      <c r="D148" s="15" t="s">
        <v>230</v>
      </c>
      <c r="E148" s="16">
        <v>43711.0</v>
      </c>
      <c r="F148" s="16">
        <v>1.0</v>
      </c>
      <c r="G148" s="15" t="s">
        <v>21</v>
      </c>
      <c r="H148" s="15" t="s">
        <v>22</v>
      </c>
      <c r="I148" s="15"/>
      <c r="J148" s="15"/>
      <c r="K148" s="15" t="s">
        <v>894</v>
      </c>
      <c r="L148" s="15" t="s">
        <v>895</v>
      </c>
      <c r="M148" s="15" t="s">
        <v>896</v>
      </c>
      <c r="N148" s="15" t="s">
        <v>234</v>
      </c>
      <c r="O148" s="17" t="s">
        <v>897</v>
      </c>
      <c r="P148" s="15"/>
      <c r="Q148" s="15" t="s">
        <v>29</v>
      </c>
    </row>
    <row r="149">
      <c r="A149" s="14">
        <v>44182.05787679398</v>
      </c>
      <c r="B149" s="15" t="s">
        <v>188</v>
      </c>
      <c r="C149" s="15" t="s">
        <v>189</v>
      </c>
      <c r="D149" s="15" t="s">
        <v>230</v>
      </c>
      <c r="E149" s="16">
        <v>42536.0</v>
      </c>
      <c r="F149" s="16">
        <v>1.0</v>
      </c>
      <c r="G149" s="15" t="s">
        <v>21</v>
      </c>
      <c r="H149" s="15" t="s">
        <v>22</v>
      </c>
      <c r="I149" s="15"/>
      <c r="J149" s="15"/>
      <c r="K149" s="15" t="s">
        <v>899</v>
      </c>
      <c r="L149" s="15" t="s">
        <v>900</v>
      </c>
      <c r="M149" s="15" t="s">
        <v>901</v>
      </c>
      <c r="N149" s="15" t="s">
        <v>234</v>
      </c>
      <c r="O149" s="17" t="s">
        <v>193</v>
      </c>
      <c r="P149" s="15"/>
      <c r="Q149" s="15" t="s">
        <v>29</v>
      </c>
    </row>
    <row r="150">
      <c r="A150" s="14">
        <v>44182.05789174768</v>
      </c>
      <c r="B150" s="15" t="s">
        <v>149</v>
      </c>
      <c r="C150" s="15" t="s">
        <v>150</v>
      </c>
      <c r="D150" s="15" t="s">
        <v>230</v>
      </c>
      <c r="E150" s="16">
        <v>42536.0</v>
      </c>
      <c r="F150" s="16">
        <v>1.0</v>
      </c>
      <c r="G150" s="15" t="s">
        <v>136</v>
      </c>
      <c r="H150" s="15" t="s">
        <v>22</v>
      </c>
      <c r="I150" s="15"/>
      <c r="J150" s="15"/>
      <c r="K150" s="15" t="s">
        <v>903</v>
      </c>
      <c r="L150" s="15" t="s">
        <v>904</v>
      </c>
      <c r="M150" s="15" t="s">
        <v>905</v>
      </c>
      <c r="N150" s="15" t="s">
        <v>234</v>
      </c>
      <c r="O150" s="17" t="s">
        <v>154</v>
      </c>
      <c r="P150" s="15"/>
      <c r="Q150" s="15" t="s">
        <v>29</v>
      </c>
    </row>
    <row r="151">
      <c r="A151" s="14">
        <v>44182.05790759259</v>
      </c>
      <c r="B151" s="15" t="s">
        <v>214</v>
      </c>
      <c r="C151" s="15" t="s">
        <v>215</v>
      </c>
      <c r="D151" s="15" t="s">
        <v>230</v>
      </c>
      <c r="E151" s="16">
        <v>43146.0</v>
      </c>
      <c r="F151" s="16">
        <v>1.0</v>
      </c>
      <c r="G151" s="15" t="s">
        <v>136</v>
      </c>
      <c r="H151" s="15" t="s">
        <v>22</v>
      </c>
      <c r="I151" s="15"/>
      <c r="J151" s="15"/>
      <c r="K151" s="15" t="s">
        <v>907</v>
      </c>
      <c r="L151" s="15" t="s">
        <v>908</v>
      </c>
      <c r="M151" s="15" t="s">
        <v>909</v>
      </c>
      <c r="N151" s="15" t="s">
        <v>234</v>
      </c>
      <c r="O151" s="17" t="s">
        <v>219</v>
      </c>
      <c r="P151" s="15"/>
      <c r="Q151" s="15" t="s">
        <v>29</v>
      </c>
    </row>
    <row r="152">
      <c r="A152" s="14">
        <v>44182.05792559028</v>
      </c>
      <c r="B152" s="15" t="s">
        <v>482</v>
      </c>
      <c r="C152" s="15" t="s">
        <v>911</v>
      </c>
      <c r="D152" s="15" t="s">
        <v>358</v>
      </c>
      <c r="E152" s="16">
        <v>44032.0</v>
      </c>
      <c r="F152" s="16">
        <v>5100.0</v>
      </c>
      <c r="G152" s="15" t="s">
        <v>21</v>
      </c>
      <c r="H152" s="15" t="s">
        <v>22</v>
      </c>
      <c r="I152" s="15"/>
      <c r="J152" s="15"/>
      <c r="K152" s="15" t="s">
        <v>912</v>
      </c>
      <c r="L152" s="15" t="s">
        <v>913</v>
      </c>
      <c r="M152" s="15" t="s">
        <v>914</v>
      </c>
      <c r="N152" s="15" t="s">
        <v>362</v>
      </c>
      <c r="O152" s="17" t="s">
        <v>487</v>
      </c>
      <c r="P152" s="15"/>
      <c r="Q152" s="15" t="s">
        <v>29</v>
      </c>
    </row>
    <row r="153">
      <c r="A153" s="14">
        <v>44182.057943402775</v>
      </c>
      <c r="B153" s="15" t="s">
        <v>393</v>
      </c>
      <c r="C153" s="15" t="s">
        <v>916</v>
      </c>
      <c r="D153" s="15" t="s">
        <v>358</v>
      </c>
      <c r="E153" s="16">
        <v>43997.0</v>
      </c>
      <c r="F153" s="16">
        <v>3658.893</v>
      </c>
      <c r="G153" s="15" t="s">
        <v>21</v>
      </c>
      <c r="H153" s="15" t="s">
        <v>22</v>
      </c>
      <c r="I153" s="15"/>
      <c r="J153" s="15"/>
      <c r="K153" s="15" t="s">
        <v>917</v>
      </c>
      <c r="L153" s="15" t="s">
        <v>918</v>
      </c>
      <c r="M153" s="15" t="s">
        <v>919</v>
      </c>
      <c r="N153" s="15" t="s">
        <v>362</v>
      </c>
      <c r="O153" s="17" t="s">
        <v>398</v>
      </c>
      <c r="P153" s="15"/>
      <c r="Q153" s="15" t="s">
        <v>29</v>
      </c>
    </row>
    <row r="154">
      <c r="A154" s="14">
        <v>44182.0579599537</v>
      </c>
      <c r="B154" s="15" t="s">
        <v>640</v>
      </c>
      <c r="C154" s="15" t="s">
        <v>641</v>
      </c>
      <c r="D154" s="15" t="s">
        <v>230</v>
      </c>
      <c r="E154" s="16">
        <v>44013.0</v>
      </c>
      <c r="F154" s="16">
        <v>1.0</v>
      </c>
      <c r="G154" s="15" t="s">
        <v>136</v>
      </c>
      <c r="H154" s="15" t="s">
        <v>22</v>
      </c>
      <c r="I154" s="15"/>
      <c r="J154" s="15"/>
      <c r="K154" s="15" t="s">
        <v>921</v>
      </c>
      <c r="L154" s="15" t="s">
        <v>922</v>
      </c>
      <c r="M154" s="15" t="s">
        <v>923</v>
      </c>
      <c r="N154" s="15" t="s">
        <v>234</v>
      </c>
      <c r="O154" s="17" t="s">
        <v>646</v>
      </c>
      <c r="P154" s="15"/>
      <c r="Q154" s="15" t="s">
        <v>29</v>
      </c>
    </row>
    <row r="155">
      <c r="A155" s="14">
        <v>44182.057976400465</v>
      </c>
      <c r="B155" s="15" t="s">
        <v>393</v>
      </c>
      <c r="C155" s="15" t="s">
        <v>925</v>
      </c>
      <c r="D155" s="15" t="s">
        <v>358</v>
      </c>
      <c r="E155" s="16">
        <v>44032.0</v>
      </c>
      <c r="F155" s="16">
        <v>124122.43</v>
      </c>
      <c r="G155" s="15" t="s">
        <v>21</v>
      </c>
      <c r="H155" s="15" t="s">
        <v>22</v>
      </c>
      <c r="I155" s="15"/>
      <c r="J155" s="15"/>
      <c r="K155" s="15" t="s">
        <v>926</v>
      </c>
      <c r="L155" s="15" t="s">
        <v>927</v>
      </c>
      <c r="M155" s="15" t="s">
        <v>928</v>
      </c>
      <c r="N155" s="15" t="s">
        <v>362</v>
      </c>
      <c r="O155" s="17" t="s">
        <v>398</v>
      </c>
      <c r="P155" s="15"/>
      <c r="Q155" s="15" t="s">
        <v>29</v>
      </c>
    </row>
    <row r="156">
      <c r="A156" s="14">
        <v>44182.057992372684</v>
      </c>
      <c r="B156" s="15" t="s">
        <v>930</v>
      </c>
      <c r="C156" s="15" t="s">
        <v>931</v>
      </c>
      <c r="D156" s="15" t="s">
        <v>358</v>
      </c>
      <c r="E156" s="16">
        <v>44032.0</v>
      </c>
      <c r="F156" s="16">
        <v>2812.46</v>
      </c>
      <c r="G156" s="15" t="s">
        <v>21</v>
      </c>
      <c r="H156" s="15" t="s">
        <v>22</v>
      </c>
      <c r="I156" s="15"/>
      <c r="J156" s="15"/>
      <c r="K156" s="15" t="s">
        <v>932</v>
      </c>
      <c r="L156" s="15" t="s">
        <v>933</v>
      </c>
      <c r="M156" s="15" t="s">
        <v>934</v>
      </c>
      <c r="N156" s="15" t="s">
        <v>362</v>
      </c>
      <c r="O156" s="17" t="s">
        <v>935</v>
      </c>
      <c r="P156" s="15"/>
      <c r="Q156" s="15" t="s">
        <v>29</v>
      </c>
    </row>
    <row r="157">
      <c r="A157" s="14">
        <v>44182.058010162036</v>
      </c>
      <c r="B157" s="15" t="s">
        <v>482</v>
      </c>
      <c r="C157" s="15" t="s">
        <v>937</v>
      </c>
      <c r="D157" s="15" t="s">
        <v>358</v>
      </c>
      <c r="E157" s="16">
        <v>44053.0</v>
      </c>
      <c r="F157" s="16">
        <v>9490.0</v>
      </c>
      <c r="G157" s="15" t="s">
        <v>136</v>
      </c>
      <c r="H157" s="15" t="s">
        <v>22</v>
      </c>
      <c r="I157" s="15"/>
      <c r="J157" s="15"/>
      <c r="K157" s="15" t="s">
        <v>938</v>
      </c>
      <c r="L157" s="15" t="s">
        <v>939</v>
      </c>
      <c r="M157" s="15" t="s">
        <v>940</v>
      </c>
      <c r="N157" s="15" t="s">
        <v>362</v>
      </c>
      <c r="O157" s="17" t="s">
        <v>487</v>
      </c>
      <c r="P157" s="15"/>
      <c r="Q157" s="15" t="s">
        <v>29</v>
      </c>
    </row>
    <row r="158">
      <c r="A158" s="14">
        <v>44182.05802552083</v>
      </c>
      <c r="B158" s="15" t="s">
        <v>250</v>
      </c>
      <c r="C158" s="15" t="s">
        <v>942</v>
      </c>
      <c r="D158" s="15" t="s">
        <v>20</v>
      </c>
      <c r="E158" s="16">
        <v>44054.0</v>
      </c>
      <c r="F158" s="16">
        <v>10200.0</v>
      </c>
      <c r="G158" s="15" t="s">
        <v>21</v>
      </c>
      <c r="H158" s="15" t="s">
        <v>22</v>
      </c>
      <c r="I158" s="15"/>
      <c r="J158" s="15"/>
      <c r="K158" s="15" t="s">
        <v>943</v>
      </c>
      <c r="L158" s="15" t="s">
        <v>944</v>
      </c>
      <c r="M158" s="15" t="s">
        <v>945</v>
      </c>
      <c r="N158" s="15" t="s">
        <v>27</v>
      </c>
      <c r="O158" s="17" t="s">
        <v>256</v>
      </c>
      <c r="P158" s="15"/>
      <c r="Q158" s="15" t="s">
        <v>29</v>
      </c>
    </row>
    <row r="159">
      <c r="A159" s="14">
        <v>44182.05804232639</v>
      </c>
      <c r="B159" s="15" t="s">
        <v>947</v>
      </c>
      <c r="C159" s="15" t="s">
        <v>948</v>
      </c>
      <c r="D159" s="15" t="s">
        <v>358</v>
      </c>
      <c r="E159" s="16">
        <v>44041.0</v>
      </c>
      <c r="F159" s="16">
        <v>11508.0</v>
      </c>
      <c r="G159" s="15" t="s">
        <v>21</v>
      </c>
      <c r="H159" s="15" t="s">
        <v>22</v>
      </c>
      <c r="I159" s="15"/>
      <c r="J159" s="15" t="s">
        <v>949</v>
      </c>
      <c r="K159" s="15" t="s">
        <v>950</v>
      </c>
      <c r="L159" s="15" t="s">
        <v>951</v>
      </c>
      <c r="M159" s="15" t="s">
        <v>952</v>
      </c>
      <c r="N159" s="15" t="s">
        <v>362</v>
      </c>
      <c r="O159" s="17" t="s">
        <v>953</v>
      </c>
      <c r="P159" s="15"/>
      <c r="Q159" s="15" t="s">
        <v>29</v>
      </c>
    </row>
    <row r="160">
      <c r="A160" s="14">
        <v>44182.05805924768</v>
      </c>
      <c r="B160" s="15" t="s">
        <v>947</v>
      </c>
      <c r="C160" s="15" t="s">
        <v>955</v>
      </c>
      <c r="D160" s="15" t="s">
        <v>358</v>
      </c>
      <c r="E160" s="16">
        <v>44039.0</v>
      </c>
      <c r="F160" s="16">
        <v>3492.0</v>
      </c>
      <c r="G160" s="15" t="s">
        <v>136</v>
      </c>
      <c r="H160" s="15" t="s">
        <v>22</v>
      </c>
      <c r="I160" s="15"/>
      <c r="J160" s="15" t="s">
        <v>949</v>
      </c>
      <c r="K160" s="15" t="s">
        <v>956</v>
      </c>
      <c r="L160" s="15" t="s">
        <v>957</v>
      </c>
      <c r="M160" s="15" t="s">
        <v>958</v>
      </c>
      <c r="N160" s="15" t="s">
        <v>362</v>
      </c>
      <c r="O160" s="17" t="s">
        <v>953</v>
      </c>
      <c r="P160" s="15"/>
      <c r="Q160" s="15" t="s">
        <v>29</v>
      </c>
    </row>
    <row r="161">
      <c r="A161" s="14">
        <v>44182.058092604166</v>
      </c>
      <c r="B161" s="15" t="s">
        <v>242</v>
      </c>
      <c r="C161" s="15" t="s">
        <v>960</v>
      </c>
      <c r="D161" s="15" t="s">
        <v>20</v>
      </c>
      <c r="E161" s="16">
        <v>43224.0</v>
      </c>
      <c r="F161" s="16">
        <v>5343.0</v>
      </c>
      <c r="G161" s="15" t="s">
        <v>21</v>
      </c>
      <c r="H161" s="15" t="s">
        <v>22</v>
      </c>
      <c r="I161" s="15"/>
      <c r="J161" s="15"/>
      <c r="K161" s="15" t="s">
        <v>961</v>
      </c>
      <c r="L161" s="15" t="s">
        <v>962</v>
      </c>
      <c r="M161" s="15" t="s">
        <v>963</v>
      </c>
      <c r="N161" s="15" t="s">
        <v>27</v>
      </c>
      <c r="O161" s="17" t="s">
        <v>248</v>
      </c>
      <c r="P161" s="15"/>
      <c r="Q161" s="15" t="s">
        <v>29</v>
      </c>
    </row>
    <row r="162">
      <c r="A162" s="14">
        <v>44182.05807564815</v>
      </c>
      <c r="B162" s="15" t="s">
        <v>242</v>
      </c>
      <c r="C162" s="15" t="s">
        <v>965</v>
      </c>
      <c r="D162" s="15" t="s">
        <v>20</v>
      </c>
      <c r="E162" s="16">
        <v>43095.0</v>
      </c>
      <c r="F162" s="16">
        <v>5343.0</v>
      </c>
      <c r="G162" s="15" t="s">
        <v>21</v>
      </c>
      <c r="H162" s="15" t="s">
        <v>22</v>
      </c>
      <c r="I162" s="15"/>
      <c r="J162" s="15"/>
      <c r="K162" s="15" t="s">
        <v>966</v>
      </c>
      <c r="L162" s="15" t="s">
        <v>967</v>
      </c>
      <c r="M162" s="15" t="s">
        <v>968</v>
      </c>
      <c r="N162" s="15" t="s">
        <v>27</v>
      </c>
      <c r="O162" s="17" t="s">
        <v>248</v>
      </c>
      <c r="P162" s="15"/>
      <c r="Q162" s="15" t="s">
        <v>29</v>
      </c>
    </row>
    <row r="163">
      <c r="A163" s="14">
        <v>44182.05812706018</v>
      </c>
      <c r="B163" s="15" t="s">
        <v>67</v>
      </c>
      <c r="C163" s="15" t="s">
        <v>970</v>
      </c>
      <c r="D163" s="15" t="s">
        <v>20</v>
      </c>
      <c r="E163" s="16">
        <v>43976.0</v>
      </c>
      <c r="F163" s="16">
        <v>44100.0</v>
      </c>
      <c r="G163" s="15" t="s">
        <v>21</v>
      </c>
      <c r="H163" s="15" t="s">
        <v>22</v>
      </c>
      <c r="I163" s="15"/>
      <c r="J163" s="15" t="s">
        <v>971</v>
      </c>
      <c r="K163" s="15" t="s">
        <v>972</v>
      </c>
      <c r="L163" s="15" t="s">
        <v>973</v>
      </c>
      <c r="M163" s="15" t="s">
        <v>974</v>
      </c>
      <c r="N163" s="15" t="s">
        <v>27</v>
      </c>
      <c r="O163" s="17" t="s">
        <v>72</v>
      </c>
      <c r="P163" s="15"/>
      <c r="Q163" s="15" t="s">
        <v>29</v>
      </c>
    </row>
    <row r="164">
      <c r="A164" s="14">
        <v>44182.05811034722</v>
      </c>
      <c r="B164" s="15" t="s">
        <v>976</v>
      </c>
      <c r="C164" s="15" t="s">
        <v>977</v>
      </c>
      <c r="D164" s="15" t="s">
        <v>358</v>
      </c>
      <c r="E164" s="16">
        <v>43983.0</v>
      </c>
      <c r="F164" s="16">
        <v>5250.0</v>
      </c>
      <c r="G164" s="15" t="s">
        <v>136</v>
      </c>
      <c r="H164" s="15" t="s">
        <v>22</v>
      </c>
      <c r="I164" s="15"/>
      <c r="J164" s="15"/>
      <c r="K164" s="15" t="s">
        <v>978</v>
      </c>
      <c r="L164" s="15" t="s">
        <v>979</v>
      </c>
      <c r="M164" s="15" t="s">
        <v>980</v>
      </c>
      <c r="N164" s="15" t="s">
        <v>362</v>
      </c>
      <c r="O164" s="17" t="s">
        <v>981</v>
      </c>
      <c r="P164" s="15"/>
      <c r="Q164" s="15" t="s">
        <v>29</v>
      </c>
    </row>
    <row r="165">
      <c r="A165" s="14">
        <v>44182.058167361116</v>
      </c>
      <c r="B165" s="15" t="s">
        <v>242</v>
      </c>
      <c r="C165" s="15" t="s">
        <v>983</v>
      </c>
      <c r="D165" s="15" t="s">
        <v>20</v>
      </c>
      <c r="E165" s="16">
        <v>43273.0</v>
      </c>
      <c r="F165" s="16">
        <v>16000.0</v>
      </c>
      <c r="G165" s="15" t="s">
        <v>136</v>
      </c>
      <c r="H165" s="15" t="s">
        <v>22</v>
      </c>
      <c r="I165" s="15"/>
      <c r="J165" s="15"/>
      <c r="K165" s="15" t="s">
        <v>984</v>
      </c>
      <c r="L165" s="15" t="s">
        <v>985</v>
      </c>
      <c r="M165" s="15" t="s">
        <v>986</v>
      </c>
      <c r="N165" s="15" t="s">
        <v>27</v>
      </c>
      <c r="O165" s="17" t="s">
        <v>248</v>
      </c>
      <c r="P165" s="15"/>
      <c r="Q165" s="15" t="s">
        <v>29</v>
      </c>
    </row>
    <row r="166">
      <c r="A166" s="14">
        <v>44182.058183807865</v>
      </c>
      <c r="B166" s="15" t="s">
        <v>988</v>
      </c>
      <c r="C166" s="15" t="s">
        <v>989</v>
      </c>
      <c r="D166" s="15" t="s">
        <v>358</v>
      </c>
      <c r="E166" s="16">
        <v>44070.0</v>
      </c>
      <c r="F166" s="16">
        <v>19200.0</v>
      </c>
      <c r="G166" s="15" t="s">
        <v>136</v>
      </c>
      <c r="H166" s="15" t="s">
        <v>22</v>
      </c>
      <c r="I166" s="15"/>
      <c r="J166" s="15"/>
      <c r="K166" s="15" t="s">
        <v>990</v>
      </c>
      <c r="L166" s="15" t="s">
        <v>991</v>
      </c>
      <c r="M166" s="15" t="s">
        <v>992</v>
      </c>
      <c r="N166" s="15" t="s">
        <v>362</v>
      </c>
      <c r="O166" s="17" t="s">
        <v>993</v>
      </c>
      <c r="P166" s="15"/>
      <c r="Q166" s="15" t="s">
        <v>29</v>
      </c>
    </row>
    <row r="167">
      <c r="A167" s="14">
        <v>44182.05819950231</v>
      </c>
      <c r="B167" s="15" t="s">
        <v>516</v>
      </c>
      <c r="C167" s="15" t="s">
        <v>995</v>
      </c>
      <c r="D167" s="15" t="s">
        <v>358</v>
      </c>
      <c r="E167" s="16">
        <v>43878.0</v>
      </c>
      <c r="F167" s="16">
        <v>25200.0</v>
      </c>
      <c r="G167" s="15" t="s">
        <v>21</v>
      </c>
      <c r="H167" s="15" t="s">
        <v>22</v>
      </c>
      <c r="I167" s="15"/>
      <c r="J167" s="15"/>
      <c r="K167" s="15" t="s">
        <v>996</v>
      </c>
      <c r="L167" s="15" t="s">
        <v>997</v>
      </c>
      <c r="M167" s="15" t="s">
        <v>998</v>
      </c>
      <c r="N167" s="15" t="s">
        <v>362</v>
      </c>
      <c r="O167" s="17" t="s">
        <v>524</v>
      </c>
      <c r="P167" s="15"/>
      <c r="Q167" s="15" t="s">
        <v>29</v>
      </c>
    </row>
    <row r="168">
      <c r="A168" s="14">
        <v>44182.05821690972</v>
      </c>
      <c r="B168" s="15" t="s">
        <v>516</v>
      </c>
      <c r="C168" s="15" t="s">
        <v>1000</v>
      </c>
      <c r="D168" s="15" t="s">
        <v>358</v>
      </c>
      <c r="E168" s="16">
        <v>44005.0</v>
      </c>
      <c r="F168" s="16">
        <v>6800.0</v>
      </c>
      <c r="G168" s="15" t="s">
        <v>136</v>
      </c>
      <c r="H168" s="15" t="s">
        <v>22</v>
      </c>
      <c r="I168" s="15"/>
      <c r="J168" s="15"/>
      <c r="K168" s="15" t="s">
        <v>1001</v>
      </c>
      <c r="L168" s="15" t="s">
        <v>1002</v>
      </c>
      <c r="M168" s="15" t="s">
        <v>1003</v>
      </c>
      <c r="N168" s="15" t="s">
        <v>362</v>
      </c>
      <c r="O168" s="17" t="s">
        <v>524</v>
      </c>
      <c r="P168" s="15"/>
      <c r="Q168" s="15" t="s">
        <v>29</v>
      </c>
    </row>
    <row r="169">
      <c r="A169" s="14">
        <v>44182.058234780096</v>
      </c>
      <c r="B169" s="15" t="s">
        <v>1005</v>
      </c>
      <c r="C169" s="15" t="s">
        <v>1006</v>
      </c>
      <c r="D169" s="15" t="s">
        <v>358</v>
      </c>
      <c r="E169" s="16">
        <v>43902.0</v>
      </c>
      <c r="F169" s="16">
        <v>22240.0</v>
      </c>
      <c r="G169" s="15" t="s">
        <v>136</v>
      </c>
      <c r="H169" s="15" t="s">
        <v>22</v>
      </c>
      <c r="I169" s="15"/>
      <c r="J169" s="15"/>
      <c r="K169" s="15" t="s">
        <v>1007</v>
      </c>
      <c r="L169" s="15" t="s">
        <v>1008</v>
      </c>
      <c r="M169" s="15" t="s">
        <v>1009</v>
      </c>
      <c r="N169" s="15" t="s">
        <v>362</v>
      </c>
      <c r="O169" s="17" t="s">
        <v>1010</v>
      </c>
      <c r="P169" s="15"/>
      <c r="Q169" s="15" t="s">
        <v>29</v>
      </c>
    </row>
    <row r="170">
      <c r="A170" s="14">
        <v>44182.05826777778</v>
      </c>
      <c r="B170" s="15" t="s">
        <v>1012</v>
      </c>
      <c r="C170" s="15" t="s">
        <v>1013</v>
      </c>
      <c r="D170" s="15" t="s">
        <v>358</v>
      </c>
      <c r="E170" s="16">
        <v>44062.0</v>
      </c>
      <c r="F170" s="16">
        <v>7350.0</v>
      </c>
      <c r="G170" s="15" t="s">
        <v>21</v>
      </c>
      <c r="H170" s="15" t="s">
        <v>22</v>
      </c>
      <c r="I170" s="15"/>
      <c r="J170" s="15"/>
      <c r="K170" s="15" t="s">
        <v>1014</v>
      </c>
      <c r="L170" s="15" t="s">
        <v>1015</v>
      </c>
      <c r="M170" s="15" t="s">
        <v>1016</v>
      </c>
      <c r="N170" s="15" t="s">
        <v>362</v>
      </c>
      <c r="O170" s="17" t="s">
        <v>1017</v>
      </c>
      <c r="P170" s="15"/>
      <c r="Q170" s="15" t="s">
        <v>29</v>
      </c>
    </row>
    <row r="171">
      <c r="A171" s="14">
        <v>44182.05828336805</v>
      </c>
      <c r="B171" s="15" t="s">
        <v>516</v>
      </c>
      <c r="C171" s="15" t="s">
        <v>1019</v>
      </c>
      <c r="D171" s="15" t="s">
        <v>358</v>
      </c>
      <c r="E171" s="16">
        <v>44084.0</v>
      </c>
      <c r="F171" s="16">
        <v>1150.0</v>
      </c>
      <c r="G171" s="15" t="s">
        <v>136</v>
      </c>
      <c r="H171" s="15" t="s">
        <v>22</v>
      </c>
      <c r="I171" s="15"/>
      <c r="J171" s="15"/>
      <c r="K171" s="15" t="s">
        <v>1020</v>
      </c>
      <c r="L171" s="15" t="s">
        <v>1021</v>
      </c>
      <c r="M171" s="15" t="s">
        <v>1022</v>
      </c>
      <c r="N171" s="15" t="s">
        <v>362</v>
      </c>
      <c r="O171" s="17" t="s">
        <v>524</v>
      </c>
      <c r="P171" s="15"/>
      <c r="Q171" s="15" t="s">
        <v>29</v>
      </c>
    </row>
    <row r="172">
      <c r="A172" s="14">
        <v>44182.05829990741</v>
      </c>
      <c r="B172" s="15" t="s">
        <v>1024</v>
      </c>
      <c r="C172" s="15" t="s">
        <v>1025</v>
      </c>
      <c r="D172" s="15" t="s">
        <v>358</v>
      </c>
      <c r="E172" s="16">
        <v>44091.0</v>
      </c>
      <c r="F172" s="16">
        <v>6000.0</v>
      </c>
      <c r="G172" s="15" t="s">
        <v>136</v>
      </c>
      <c r="H172" s="15" t="s">
        <v>22</v>
      </c>
      <c r="I172" s="15"/>
      <c r="J172" s="15"/>
      <c r="K172" s="15" t="s">
        <v>1026</v>
      </c>
      <c r="L172" s="15" t="s">
        <v>1027</v>
      </c>
      <c r="M172" s="15" t="s">
        <v>1028</v>
      </c>
      <c r="N172" s="15" t="s">
        <v>362</v>
      </c>
      <c r="O172" s="17" t="s">
        <v>1029</v>
      </c>
      <c r="P172" s="15"/>
      <c r="Q172" s="15" t="s">
        <v>29</v>
      </c>
    </row>
    <row r="173">
      <c r="A173" s="14">
        <v>44182.058317372685</v>
      </c>
      <c r="B173" s="15" t="s">
        <v>1031</v>
      </c>
      <c r="C173" s="15" t="s">
        <v>1032</v>
      </c>
      <c r="D173" s="15" t="s">
        <v>358</v>
      </c>
      <c r="E173" s="16">
        <v>44063.0</v>
      </c>
      <c r="F173" s="16">
        <v>824.0</v>
      </c>
      <c r="G173" s="15" t="s">
        <v>350</v>
      </c>
      <c r="H173" s="15" t="s">
        <v>22</v>
      </c>
      <c r="I173" s="15"/>
      <c r="J173" s="15"/>
      <c r="K173" s="15" t="s">
        <v>1033</v>
      </c>
      <c r="L173" s="15" t="s">
        <v>1034</v>
      </c>
      <c r="M173" s="15" t="s">
        <v>1035</v>
      </c>
      <c r="N173" s="15" t="s">
        <v>362</v>
      </c>
      <c r="O173" s="17" t="s">
        <v>1036</v>
      </c>
      <c r="P173" s="15"/>
      <c r="Q173" s="15" t="s">
        <v>29</v>
      </c>
    </row>
    <row r="174">
      <c r="A174" s="14">
        <v>44182.05833393519</v>
      </c>
      <c r="B174" s="15" t="s">
        <v>393</v>
      </c>
      <c r="C174" s="15" t="s">
        <v>1038</v>
      </c>
      <c r="D174" s="15" t="s">
        <v>358</v>
      </c>
      <c r="E174" s="16">
        <v>44095.0</v>
      </c>
      <c r="F174" s="16">
        <v>2458.27</v>
      </c>
      <c r="G174" s="15" t="s">
        <v>21</v>
      </c>
      <c r="H174" s="15" t="s">
        <v>22</v>
      </c>
      <c r="I174" s="15"/>
      <c r="J174" s="15"/>
      <c r="K174" s="15" t="s">
        <v>1039</v>
      </c>
      <c r="L174" s="15" t="s">
        <v>1040</v>
      </c>
      <c r="M174" s="15" t="s">
        <v>1041</v>
      </c>
      <c r="N174" s="15" t="s">
        <v>362</v>
      </c>
      <c r="O174" s="17" t="s">
        <v>398</v>
      </c>
      <c r="P174" s="15"/>
      <c r="Q174" s="15" t="s">
        <v>29</v>
      </c>
    </row>
    <row r="175">
      <c r="A175" s="14">
        <v>44182.058350127314</v>
      </c>
      <c r="B175" s="15" t="s">
        <v>516</v>
      </c>
      <c r="C175" s="15" t="s">
        <v>1043</v>
      </c>
      <c r="D175" s="15" t="s">
        <v>358</v>
      </c>
      <c r="E175" s="16">
        <v>44091.0</v>
      </c>
      <c r="F175" s="16">
        <v>12410.0</v>
      </c>
      <c r="G175" s="15" t="s">
        <v>21</v>
      </c>
      <c r="H175" s="15" t="s">
        <v>22</v>
      </c>
      <c r="I175" s="15"/>
      <c r="J175" s="15"/>
      <c r="K175" s="15" t="s">
        <v>1044</v>
      </c>
      <c r="L175" s="15" t="s">
        <v>1045</v>
      </c>
      <c r="M175" s="15" t="s">
        <v>1046</v>
      </c>
      <c r="N175" s="15" t="s">
        <v>362</v>
      </c>
      <c r="O175" s="17" t="s">
        <v>524</v>
      </c>
      <c r="P175" s="15"/>
      <c r="Q175" s="15" t="s">
        <v>29</v>
      </c>
    </row>
    <row r="176">
      <c r="A176" s="14">
        <v>44182.05836572917</v>
      </c>
      <c r="B176" s="15" t="s">
        <v>1012</v>
      </c>
      <c r="C176" s="15" t="s">
        <v>1048</v>
      </c>
      <c r="D176" s="15" t="s">
        <v>1049</v>
      </c>
      <c r="E176" s="16">
        <v>44102.0</v>
      </c>
      <c r="F176" s="16">
        <v>7600.0</v>
      </c>
      <c r="G176" s="15" t="s">
        <v>136</v>
      </c>
      <c r="H176" s="15" t="s">
        <v>22</v>
      </c>
      <c r="I176" s="15"/>
      <c r="J176" s="15" t="s">
        <v>1050</v>
      </c>
      <c r="K176" s="15" t="s">
        <v>1051</v>
      </c>
      <c r="L176" s="15" t="s">
        <v>1052</v>
      </c>
      <c r="M176" s="15" t="s">
        <v>1053</v>
      </c>
      <c r="N176" s="15" t="s">
        <v>1054</v>
      </c>
      <c r="O176" s="17" t="s">
        <v>1017</v>
      </c>
      <c r="P176" s="15"/>
      <c r="Q176" s="15" t="s">
        <v>29</v>
      </c>
    </row>
    <row r="177">
      <c r="A177" s="14">
        <v>44182.058385543976</v>
      </c>
      <c r="B177" s="15" t="s">
        <v>266</v>
      </c>
      <c r="C177" s="15" t="s">
        <v>1056</v>
      </c>
      <c r="D177" s="15" t="s">
        <v>20</v>
      </c>
      <c r="E177" s="16">
        <v>44060.0</v>
      </c>
      <c r="F177" s="16">
        <v>65300.0</v>
      </c>
      <c r="G177" s="15" t="s">
        <v>21</v>
      </c>
      <c r="H177" s="15" t="s">
        <v>22</v>
      </c>
      <c r="I177" s="15"/>
      <c r="J177" s="15" t="s">
        <v>1057</v>
      </c>
      <c r="K177" s="15" t="s">
        <v>1058</v>
      </c>
      <c r="L177" s="15" t="s">
        <v>1059</v>
      </c>
      <c r="M177" s="15" t="s">
        <v>1060</v>
      </c>
      <c r="N177" s="15" t="s">
        <v>27</v>
      </c>
      <c r="O177" s="17" t="s">
        <v>271</v>
      </c>
      <c r="P177" s="15"/>
      <c r="Q177" s="15" t="s">
        <v>29</v>
      </c>
    </row>
    <row r="178">
      <c r="A178" s="14">
        <v>44182.05840196759</v>
      </c>
      <c r="B178" s="15" t="s">
        <v>89</v>
      </c>
      <c r="C178" s="15" t="s">
        <v>2200</v>
      </c>
      <c r="D178" s="15" t="s">
        <v>230</v>
      </c>
      <c r="E178" s="16">
        <v>44102.0</v>
      </c>
      <c r="F178" s="16">
        <v>800.0</v>
      </c>
      <c r="G178" s="15" t="s">
        <v>21</v>
      </c>
      <c r="H178" s="15" t="s">
        <v>22</v>
      </c>
      <c r="I178" s="15"/>
      <c r="J178" s="15"/>
      <c r="K178" s="15" t="s">
        <v>1063</v>
      </c>
      <c r="L178" s="15" t="s">
        <v>1064</v>
      </c>
      <c r="M178" s="15" t="s">
        <v>2201</v>
      </c>
      <c r="N178" s="15" t="s">
        <v>234</v>
      </c>
      <c r="O178" s="17" t="s">
        <v>94</v>
      </c>
      <c r="P178" s="15"/>
      <c r="Q178" s="15" t="s">
        <v>29</v>
      </c>
    </row>
    <row r="179">
      <c r="A179" s="14">
        <v>44182.05841923611</v>
      </c>
      <c r="B179" s="15" t="s">
        <v>393</v>
      </c>
      <c r="C179" s="15" t="s">
        <v>1067</v>
      </c>
      <c r="D179" s="15" t="s">
        <v>358</v>
      </c>
      <c r="E179" s="16">
        <v>44105.0</v>
      </c>
      <c r="F179" s="16">
        <v>51684.38</v>
      </c>
      <c r="G179" s="15" t="s">
        <v>350</v>
      </c>
      <c r="H179" s="15" t="s">
        <v>22</v>
      </c>
      <c r="I179" s="15"/>
      <c r="J179" s="15"/>
      <c r="K179" s="15" t="s">
        <v>1068</v>
      </c>
      <c r="L179" s="15" t="s">
        <v>1069</v>
      </c>
      <c r="M179" s="15" t="s">
        <v>1070</v>
      </c>
      <c r="N179" s="15" t="s">
        <v>362</v>
      </c>
      <c r="O179" s="17" t="s">
        <v>398</v>
      </c>
      <c r="P179" s="15"/>
      <c r="Q179" s="15" t="s">
        <v>29</v>
      </c>
    </row>
    <row r="180">
      <c r="A180" s="14">
        <v>44182.05843630787</v>
      </c>
      <c r="B180" s="15" t="s">
        <v>1072</v>
      </c>
      <c r="C180" s="15" t="s">
        <v>1073</v>
      </c>
      <c r="D180" s="15" t="s">
        <v>358</v>
      </c>
      <c r="E180" s="16">
        <v>44075.0</v>
      </c>
      <c r="F180" s="16">
        <v>31550.0</v>
      </c>
      <c r="G180" s="15" t="s">
        <v>21</v>
      </c>
      <c r="H180" s="15" t="s">
        <v>22</v>
      </c>
      <c r="I180" s="15"/>
      <c r="J180" s="15"/>
      <c r="K180" s="15" t="s">
        <v>1074</v>
      </c>
      <c r="L180" s="15" t="s">
        <v>1075</v>
      </c>
      <c r="M180" s="15" t="s">
        <v>1076</v>
      </c>
      <c r="N180" s="15" t="s">
        <v>362</v>
      </c>
      <c r="O180" s="17" t="s">
        <v>1077</v>
      </c>
      <c r="P180" s="15"/>
      <c r="Q180" s="15" t="s">
        <v>29</v>
      </c>
    </row>
    <row r="181">
      <c r="A181" s="14">
        <v>44182.05845415509</v>
      </c>
      <c r="B181" s="15" t="s">
        <v>1012</v>
      </c>
      <c r="C181" s="15" t="s">
        <v>1079</v>
      </c>
      <c r="D181" s="15" t="s">
        <v>230</v>
      </c>
      <c r="E181" s="16">
        <v>43998.0</v>
      </c>
      <c r="F181" s="16">
        <v>600.0</v>
      </c>
      <c r="G181" s="15" t="s">
        <v>136</v>
      </c>
      <c r="H181" s="15" t="s">
        <v>22</v>
      </c>
      <c r="I181" s="15"/>
      <c r="J181" s="15"/>
      <c r="K181" s="15" t="s">
        <v>1080</v>
      </c>
      <c r="L181" s="15" t="s">
        <v>1081</v>
      </c>
      <c r="M181" s="15" t="s">
        <v>1082</v>
      </c>
      <c r="N181" s="15" t="s">
        <v>234</v>
      </c>
      <c r="O181" s="17" t="s">
        <v>1017</v>
      </c>
      <c r="P181" s="15"/>
      <c r="Q181" s="15" t="s">
        <v>29</v>
      </c>
    </row>
    <row r="182">
      <c r="A182" s="14">
        <v>44182.058472060184</v>
      </c>
      <c r="B182" s="15" t="s">
        <v>1084</v>
      </c>
      <c r="C182" s="15" t="s">
        <v>335</v>
      </c>
      <c r="D182" s="15" t="s">
        <v>20</v>
      </c>
      <c r="E182" s="16">
        <v>43518.0</v>
      </c>
      <c r="F182" s="16">
        <v>31350.0</v>
      </c>
      <c r="G182" s="15" t="s">
        <v>21</v>
      </c>
      <c r="H182" s="15" t="s">
        <v>22</v>
      </c>
      <c r="I182" s="15"/>
      <c r="J182" s="15"/>
      <c r="K182" s="15" t="s">
        <v>1085</v>
      </c>
      <c r="L182" s="15" t="s">
        <v>1086</v>
      </c>
      <c r="M182" s="15" t="s">
        <v>1087</v>
      </c>
      <c r="N182" s="15" t="s">
        <v>27</v>
      </c>
      <c r="O182" s="17" t="s">
        <v>1088</v>
      </c>
      <c r="P182" s="15"/>
      <c r="Q182" s="15" t="s">
        <v>29</v>
      </c>
    </row>
    <row r="183">
      <c r="A183" s="14">
        <v>44182.05848894676</v>
      </c>
      <c r="B183" s="15" t="s">
        <v>1090</v>
      </c>
      <c r="C183" s="15" t="s">
        <v>1091</v>
      </c>
      <c r="D183" s="15" t="s">
        <v>358</v>
      </c>
      <c r="E183" s="16">
        <v>44099.0</v>
      </c>
      <c r="F183" s="16">
        <v>5700.0</v>
      </c>
      <c r="G183" s="15" t="s">
        <v>21</v>
      </c>
      <c r="H183" s="15" t="s">
        <v>22</v>
      </c>
      <c r="I183" s="15"/>
      <c r="J183" s="15"/>
      <c r="K183" s="15" t="s">
        <v>1092</v>
      </c>
      <c r="L183" s="15" t="s">
        <v>1093</v>
      </c>
      <c r="M183" s="15" t="s">
        <v>1094</v>
      </c>
      <c r="N183" s="15" t="s">
        <v>362</v>
      </c>
      <c r="O183" s="17" t="s">
        <v>1095</v>
      </c>
      <c r="P183" s="15"/>
      <c r="Q183" s="15" t="s">
        <v>29</v>
      </c>
    </row>
    <row r="184">
      <c r="A184" s="14">
        <v>44182.05850508102</v>
      </c>
      <c r="B184" s="15" t="s">
        <v>1024</v>
      </c>
      <c r="C184" s="15" t="s">
        <v>1097</v>
      </c>
      <c r="D184" s="15" t="s">
        <v>358</v>
      </c>
      <c r="E184" s="16">
        <v>44114.0</v>
      </c>
      <c r="F184" s="16">
        <v>2260.0</v>
      </c>
      <c r="G184" s="15" t="s">
        <v>136</v>
      </c>
      <c r="H184" s="15" t="s">
        <v>22</v>
      </c>
      <c r="I184" s="15"/>
      <c r="J184" s="15"/>
      <c r="K184" s="15" t="s">
        <v>1098</v>
      </c>
      <c r="L184" s="15" t="s">
        <v>1099</v>
      </c>
      <c r="M184" s="15" t="s">
        <v>1100</v>
      </c>
      <c r="N184" s="15" t="s">
        <v>362</v>
      </c>
      <c r="O184" s="17" t="s">
        <v>1029</v>
      </c>
      <c r="P184" s="15"/>
      <c r="Q184" s="15" t="s">
        <v>29</v>
      </c>
    </row>
    <row r="185">
      <c r="A185" s="14">
        <v>44182.05852310185</v>
      </c>
      <c r="B185" s="15" t="s">
        <v>341</v>
      </c>
      <c r="C185" s="15" t="s">
        <v>1102</v>
      </c>
      <c r="D185" s="15" t="s">
        <v>358</v>
      </c>
      <c r="E185" s="16">
        <v>44117.0</v>
      </c>
      <c r="F185" s="16">
        <v>2640.0</v>
      </c>
      <c r="G185" s="15" t="s">
        <v>136</v>
      </c>
      <c r="H185" s="15" t="s">
        <v>22</v>
      </c>
      <c r="I185" s="15"/>
      <c r="J185" s="15"/>
      <c r="K185" s="15" t="s">
        <v>1103</v>
      </c>
      <c r="L185" s="15" t="s">
        <v>1104</v>
      </c>
      <c r="M185" s="15" t="s">
        <v>1105</v>
      </c>
      <c r="N185" s="15" t="s">
        <v>362</v>
      </c>
      <c r="O185" s="17" t="s">
        <v>346</v>
      </c>
      <c r="P185" s="15"/>
      <c r="Q185" s="15" t="s">
        <v>29</v>
      </c>
    </row>
    <row r="186">
      <c r="A186" s="14">
        <v>44182.05854068287</v>
      </c>
      <c r="B186" s="15" t="s">
        <v>1107</v>
      </c>
      <c r="C186" s="15" t="s">
        <v>1025</v>
      </c>
      <c r="D186" s="15" t="s">
        <v>358</v>
      </c>
      <c r="E186" s="16">
        <v>44116.0</v>
      </c>
      <c r="F186" s="16">
        <v>10420.0</v>
      </c>
      <c r="G186" s="15" t="s">
        <v>136</v>
      </c>
      <c r="H186" s="15" t="s">
        <v>22</v>
      </c>
      <c r="I186" s="15"/>
      <c r="J186" s="15" t="s">
        <v>1108</v>
      </c>
      <c r="K186" s="15" t="s">
        <v>1109</v>
      </c>
      <c r="L186" s="15" t="s">
        <v>1110</v>
      </c>
      <c r="M186" s="15" t="s">
        <v>1111</v>
      </c>
      <c r="N186" s="15" t="s">
        <v>362</v>
      </c>
      <c r="O186" s="17" t="s">
        <v>1112</v>
      </c>
      <c r="P186" s="15"/>
      <c r="Q186" s="15" t="s">
        <v>29</v>
      </c>
    </row>
    <row r="187">
      <c r="A187" s="14">
        <v>44182.05855778935</v>
      </c>
      <c r="B187" s="15" t="s">
        <v>1114</v>
      </c>
      <c r="C187" s="15" t="s">
        <v>1115</v>
      </c>
      <c r="D187" s="15" t="s">
        <v>20</v>
      </c>
      <c r="E187" s="16">
        <v>44118.0</v>
      </c>
      <c r="F187" s="16">
        <v>449870.0</v>
      </c>
      <c r="G187" s="15" t="s">
        <v>21</v>
      </c>
      <c r="H187" s="15" t="s">
        <v>22</v>
      </c>
      <c r="I187" s="17" t="s">
        <v>1116</v>
      </c>
      <c r="J187" s="15"/>
      <c r="K187" s="15" t="s">
        <v>1118</v>
      </c>
      <c r="L187" s="15" t="s">
        <v>1119</v>
      </c>
      <c r="M187" s="15" t="s">
        <v>1120</v>
      </c>
      <c r="N187" s="15" t="s">
        <v>27</v>
      </c>
      <c r="O187" s="15" t="s">
        <v>1121</v>
      </c>
      <c r="P187" s="15" t="s">
        <v>1122</v>
      </c>
      <c r="Q187" s="15" t="s">
        <v>29</v>
      </c>
    </row>
    <row r="188">
      <c r="A188" s="14">
        <v>44182.05857631944</v>
      </c>
      <c r="B188" s="15" t="s">
        <v>1124</v>
      </c>
      <c r="C188" s="15" t="s">
        <v>1125</v>
      </c>
      <c r="D188" s="15" t="s">
        <v>358</v>
      </c>
      <c r="E188" s="16">
        <v>44127.0</v>
      </c>
      <c r="F188" s="16">
        <v>2720.0</v>
      </c>
      <c r="G188" s="15" t="s">
        <v>136</v>
      </c>
      <c r="H188" s="15" t="s">
        <v>22</v>
      </c>
      <c r="I188" s="15"/>
      <c r="J188" s="15"/>
      <c r="K188" s="15" t="s">
        <v>1126</v>
      </c>
      <c r="L188" s="15" t="s">
        <v>1127</v>
      </c>
      <c r="M188" s="15" t="s">
        <v>1128</v>
      </c>
      <c r="N188" s="15" t="s">
        <v>362</v>
      </c>
      <c r="O188" s="17" t="s">
        <v>1129</v>
      </c>
      <c r="P188" s="15"/>
      <c r="Q188" s="15" t="s">
        <v>29</v>
      </c>
    </row>
    <row r="189">
      <c r="A189" s="14">
        <v>44182.0585928588</v>
      </c>
      <c r="B189" s="15" t="s">
        <v>930</v>
      </c>
      <c r="C189" s="15" t="s">
        <v>1131</v>
      </c>
      <c r="D189" s="15" t="s">
        <v>358</v>
      </c>
      <c r="E189" s="16">
        <v>44127.0</v>
      </c>
      <c r="F189" s="16">
        <v>5670.0</v>
      </c>
      <c r="G189" s="15" t="s">
        <v>136</v>
      </c>
      <c r="H189" s="15" t="s">
        <v>22</v>
      </c>
      <c r="I189" s="15"/>
      <c r="J189" s="15"/>
      <c r="K189" s="15" t="s">
        <v>1132</v>
      </c>
      <c r="L189" s="15" t="s">
        <v>1133</v>
      </c>
      <c r="M189" s="15" t="s">
        <v>1134</v>
      </c>
      <c r="N189" s="15" t="s">
        <v>362</v>
      </c>
      <c r="O189" s="17" t="s">
        <v>935</v>
      </c>
      <c r="P189" s="15"/>
      <c r="Q189" s="15" t="s">
        <v>29</v>
      </c>
    </row>
    <row r="190">
      <c r="A190" s="14">
        <v>44182.05861059028</v>
      </c>
      <c r="B190" s="15" t="s">
        <v>482</v>
      </c>
      <c r="C190" s="15" t="s">
        <v>1136</v>
      </c>
      <c r="D190" s="15" t="s">
        <v>358</v>
      </c>
      <c r="E190" s="16">
        <v>44120.0</v>
      </c>
      <c r="F190" s="16">
        <v>7320.0</v>
      </c>
      <c r="G190" s="15" t="s">
        <v>136</v>
      </c>
      <c r="H190" s="15" t="s">
        <v>22</v>
      </c>
      <c r="I190" s="17" t="s">
        <v>1137</v>
      </c>
      <c r="J190" s="15"/>
      <c r="K190" s="15" t="s">
        <v>1138</v>
      </c>
      <c r="L190" s="15" t="s">
        <v>1139</v>
      </c>
      <c r="M190" s="15" t="s">
        <v>1140</v>
      </c>
      <c r="N190" s="15" t="s">
        <v>362</v>
      </c>
      <c r="O190" s="15" t="s">
        <v>487</v>
      </c>
      <c r="P190" s="15" t="s">
        <v>1141</v>
      </c>
      <c r="Q190" s="15" t="s">
        <v>29</v>
      </c>
    </row>
    <row r="191">
      <c r="A191" s="14">
        <v>44182.05862763889</v>
      </c>
      <c r="B191" s="15" t="s">
        <v>1143</v>
      </c>
      <c r="C191" s="15" t="s">
        <v>1144</v>
      </c>
      <c r="D191" s="15" t="s">
        <v>1049</v>
      </c>
      <c r="E191" s="16">
        <v>44078.0</v>
      </c>
      <c r="F191" s="16">
        <v>2000.0</v>
      </c>
      <c r="G191" s="15" t="s">
        <v>350</v>
      </c>
      <c r="H191" s="15" t="s">
        <v>22</v>
      </c>
      <c r="I191" s="17" t="s">
        <v>1145</v>
      </c>
      <c r="J191" s="15"/>
      <c r="K191" s="15" t="s">
        <v>1146</v>
      </c>
      <c r="L191" s="15" t="s">
        <v>1147</v>
      </c>
      <c r="M191" s="15" t="s">
        <v>1148</v>
      </c>
      <c r="N191" s="15" t="s">
        <v>1054</v>
      </c>
      <c r="O191" s="15" t="s">
        <v>1149</v>
      </c>
      <c r="P191" s="15" t="s">
        <v>1150</v>
      </c>
      <c r="Q191" s="15" t="s">
        <v>29</v>
      </c>
    </row>
    <row r="192">
      <c r="A192" s="14">
        <v>44182.058643738426</v>
      </c>
      <c r="B192" s="15" t="s">
        <v>1152</v>
      </c>
      <c r="C192" s="15" t="s">
        <v>1153</v>
      </c>
      <c r="D192" s="15" t="s">
        <v>358</v>
      </c>
      <c r="E192" s="16">
        <v>43798.0</v>
      </c>
      <c r="F192" s="16">
        <v>1180.0</v>
      </c>
      <c r="G192" s="15" t="s">
        <v>136</v>
      </c>
      <c r="H192" s="15" t="s">
        <v>22</v>
      </c>
      <c r="I192" s="17" t="s">
        <v>1137</v>
      </c>
      <c r="J192" s="15"/>
      <c r="K192" s="15" t="s">
        <v>1154</v>
      </c>
      <c r="L192" s="15" t="s">
        <v>1155</v>
      </c>
      <c r="M192" s="15" t="s">
        <v>1156</v>
      </c>
      <c r="N192" s="15" t="s">
        <v>362</v>
      </c>
      <c r="O192" s="15" t="s">
        <v>1157</v>
      </c>
      <c r="P192" s="15" t="s">
        <v>1141</v>
      </c>
      <c r="Q192" s="15" t="s">
        <v>29</v>
      </c>
    </row>
    <row r="193">
      <c r="A193" s="14">
        <v>44182.05866070602</v>
      </c>
      <c r="B193" s="15" t="s">
        <v>1107</v>
      </c>
      <c r="C193" s="15" t="s">
        <v>1159</v>
      </c>
      <c r="D193" s="15" t="s">
        <v>358</v>
      </c>
      <c r="E193" s="16">
        <v>44116.0</v>
      </c>
      <c r="F193" s="16">
        <v>10420.0</v>
      </c>
      <c r="G193" s="15" t="s">
        <v>136</v>
      </c>
      <c r="H193" s="15" t="s">
        <v>22</v>
      </c>
      <c r="I193" s="17" t="s">
        <v>1160</v>
      </c>
      <c r="J193" s="15"/>
      <c r="K193" s="15" t="s">
        <v>1109</v>
      </c>
      <c r="L193" s="15" t="s">
        <v>1161</v>
      </c>
      <c r="M193" s="15" t="s">
        <v>1162</v>
      </c>
      <c r="N193" s="15" t="s">
        <v>362</v>
      </c>
      <c r="O193" s="15" t="s">
        <v>1112</v>
      </c>
      <c r="P193" s="15" t="s">
        <v>1163</v>
      </c>
      <c r="Q193" s="15" t="s">
        <v>29</v>
      </c>
    </row>
    <row r="194">
      <c r="A194" s="14">
        <v>44182.05867722222</v>
      </c>
      <c r="B194" s="15" t="s">
        <v>1165</v>
      </c>
      <c r="C194" s="15" t="s">
        <v>1166</v>
      </c>
      <c r="D194" s="15" t="s">
        <v>756</v>
      </c>
      <c r="E194" s="16">
        <v>44130.0</v>
      </c>
      <c r="F194" s="16">
        <v>200.0</v>
      </c>
      <c r="G194" s="15" t="s">
        <v>136</v>
      </c>
      <c r="H194" s="15" t="s">
        <v>22</v>
      </c>
      <c r="I194" s="17" t="s">
        <v>1167</v>
      </c>
      <c r="J194" s="15"/>
      <c r="K194" s="15" t="s">
        <v>1168</v>
      </c>
      <c r="L194" s="15" t="s">
        <v>1169</v>
      </c>
      <c r="M194" s="15" t="s">
        <v>1170</v>
      </c>
      <c r="N194" s="15" t="s">
        <v>760</v>
      </c>
      <c r="O194" s="15" t="s">
        <v>1171</v>
      </c>
      <c r="P194" s="15" t="s">
        <v>1172</v>
      </c>
      <c r="Q194" s="15" t="s">
        <v>29</v>
      </c>
    </row>
    <row r="195">
      <c r="A195" s="14">
        <v>44182.058694039355</v>
      </c>
      <c r="B195" s="15" t="s">
        <v>348</v>
      </c>
      <c r="C195" s="15" t="s">
        <v>1174</v>
      </c>
      <c r="D195" s="15" t="s">
        <v>358</v>
      </c>
      <c r="E195" s="16">
        <v>44132.0</v>
      </c>
      <c r="F195" s="16">
        <v>3849.0</v>
      </c>
      <c r="G195" s="15" t="s">
        <v>136</v>
      </c>
      <c r="H195" s="15" t="s">
        <v>22</v>
      </c>
      <c r="I195" s="17" t="s">
        <v>1145</v>
      </c>
      <c r="J195" s="15"/>
      <c r="K195" s="15" t="s">
        <v>1175</v>
      </c>
      <c r="L195" s="15" t="s">
        <v>1176</v>
      </c>
      <c r="M195" s="15" t="s">
        <v>1177</v>
      </c>
      <c r="N195" s="15" t="s">
        <v>362</v>
      </c>
      <c r="O195" s="15" t="s">
        <v>354</v>
      </c>
      <c r="P195" s="15" t="s">
        <v>1150</v>
      </c>
      <c r="Q195" s="15" t="s">
        <v>29</v>
      </c>
    </row>
    <row r="196">
      <c r="A196" s="14">
        <v>44182.058710613426</v>
      </c>
      <c r="B196" s="15" t="s">
        <v>67</v>
      </c>
      <c r="C196" s="15" t="s">
        <v>1179</v>
      </c>
      <c r="D196" s="15" t="s">
        <v>20</v>
      </c>
      <c r="E196" s="16">
        <v>44097.0</v>
      </c>
      <c r="F196" s="16">
        <v>23000.0</v>
      </c>
      <c r="G196" s="15" t="s">
        <v>21</v>
      </c>
      <c r="H196" s="15" t="s">
        <v>22</v>
      </c>
      <c r="I196" s="17" t="s">
        <v>1116</v>
      </c>
      <c r="J196" s="15"/>
      <c r="K196" s="15" t="s">
        <v>1180</v>
      </c>
      <c r="L196" s="15" t="s">
        <v>1181</v>
      </c>
      <c r="M196" s="15" t="s">
        <v>1182</v>
      </c>
      <c r="N196" s="15" t="s">
        <v>27</v>
      </c>
      <c r="O196" s="15" t="s">
        <v>72</v>
      </c>
      <c r="P196" s="15" t="s">
        <v>1122</v>
      </c>
      <c r="Q196" s="15" t="s">
        <v>29</v>
      </c>
    </row>
    <row r="197">
      <c r="A197" s="14">
        <v>44182.058726724536</v>
      </c>
      <c r="B197" s="15" t="s">
        <v>482</v>
      </c>
      <c r="C197" s="15" t="s">
        <v>1184</v>
      </c>
      <c r="D197" s="15" t="s">
        <v>358</v>
      </c>
      <c r="E197" s="16">
        <v>44140.0</v>
      </c>
      <c r="F197" s="16">
        <v>1180.0</v>
      </c>
      <c r="G197" s="15" t="s">
        <v>21</v>
      </c>
      <c r="H197" s="15" t="s">
        <v>22</v>
      </c>
      <c r="I197" s="15"/>
      <c r="J197" s="15"/>
      <c r="K197" s="15" t="s">
        <v>1185</v>
      </c>
      <c r="L197" s="15" t="s">
        <v>1186</v>
      </c>
      <c r="M197" s="15" t="s">
        <v>1187</v>
      </c>
      <c r="N197" s="15" t="s">
        <v>362</v>
      </c>
      <c r="O197" s="17" t="s">
        <v>487</v>
      </c>
      <c r="P197" s="15"/>
      <c r="Q197" s="15" t="s">
        <v>29</v>
      </c>
    </row>
    <row r="198">
      <c r="A198" s="14">
        <v>44182.05874314815</v>
      </c>
      <c r="B198" s="15" t="s">
        <v>341</v>
      </c>
      <c r="C198" s="15" t="s">
        <v>1189</v>
      </c>
      <c r="D198" s="15" t="s">
        <v>358</v>
      </c>
      <c r="E198" s="16">
        <v>44126.0</v>
      </c>
      <c r="F198" s="16">
        <v>500.0</v>
      </c>
      <c r="G198" s="15" t="s">
        <v>21</v>
      </c>
      <c r="H198" s="15" t="s">
        <v>22</v>
      </c>
      <c r="I198" s="17" t="s">
        <v>1145</v>
      </c>
      <c r="J198" s="15"/>
      <c r="K198" s="15" t="s">
        <v>1190</v>
      </c>
      <c r="L198" s="15" t="s">
        <v>1191</v>
      </c>
      <c r="M198" s="15" t="s">
        <v>1192</v>
      </c>
      <c r="N198" s="15" t="s">
        <v>362</v>
      </c>
      <c r="O198" s="15" t="s">
        <v>2202</v>
      </c>
      <c r="P198" s="15" t="s">
        <v>1150</v>
      </c>
      <c r="Q198" s="15" t="s">
        <v>29</v>
      </c>
    </row>
    <row r="199">
      <c r="A199" s="14">
        <v>44182.058761458335</v>
      </c>
      <c r="B199" s="15" t="s">
        <v>341</v>
      </c>
      <c r="C199" s="15" t="s">
        <v>1194</v>
      </c>
      <c r="D199" s="15" t="s">
        <v>358</v>
      </c>
      <c r="E199" s="16">
        <v>44152.0</v>
      </c>
      <c r="F199" s="16">
        <v>5500.0</v>
      </c>
      <c r="G199" s="15" t="s">
        <v>136</v>
      </c>
      <c r="H199" s="15" t="s">
        <v>22</v>
      </c>
      <c r="I199" s="17" t="s">
        <v>1160</v>
      </c>
      <c r="J199" s="15"/>
      <c r="K199" s="15" t="s">
        <v>1195</v>
      </c>
      <c r="L199" s="15" t="s">
        <v>1196</v>
      </c>
      <c r="M199" s="15" t="s">
        <v>1197</v>
      </c>
      <c r="N199" s="15" t="s">
        <v>362</v>
      </c>
      <c r="O199" s="15" t="s">
        <v>346</v>
      </c>
      <c r="P199" s="15" t="s">
        <v>1163</v>
      </c>
      <c r="Q199" s="15" t="s">
        <v>29</v>
      </c>
    </row>
    <row r="200">
      <c r="A200" s="14">
        <v>44182.05877775463</v>
      </c>
      <c r="B200" s="15" t="s">
        <v>1199</v>
      </c>
      <c r="C200" s="15" t="s">
        <v>1200</v>
      </c>
      <c r="D200" s="15" t="s">
        <v>358</v>
      </c>
      <c r="E200" s="16">
        <v>44151.0</v>
      </c>
      <c r="F200" s="16">
        <v>3965.0</v>
      </c>
      <c r="G200" s="15" t="s">
        <v>21</v>
      </c>
      <c r="H200" s="15" t="s">
        <v>22</v>
      </c>
      <c r="I200" s="17" t="s">
        <v>1145</v>
      </c>
      <c r="J200" s="15"/>
      <c r="K200" s="15" t="s">
        <v>1201</v>
      </c>
      <c r="L200" s="15" t="s">
        <v>1202</v>
      </c>
      <c r="M200" s="15" t="s">
        <v>1203</v>
      </c>
      <c r="N200" s="15" t="s">
        <v>362</v>
      </c>
      <c r="O200" s="15" t="s">
        <v>2203</v>
      </c>
      <c r="P200" s="15" t="s">
        <v>1150</v>
      </c>
      <c r="Q200" s="15" t="s">
        <v>1205</v>
      </c>
    </row>
    <row r="201">
      <c r="A201" s="14">
        <v>44182.05879576389</v>
      </c>
      <c r="B201" s="15" t="s">
        <v>341</v>
      </c>
      <c r="C201" s="15" t="s">
        <v>1207</v>
      </c>
      <c r="D201" s="15" t="s">
        <v>358</v>
      </c>
      <c r="E201" s="16">
        <v>44138.0</v>
      </c>
      <c r="F201" s="16">
        <v>14728.5</v>
      </c>
      <c r="G201" s="15" t="s">
        <v>136</v>
      </c>
      <c r="H201" s="15" t="s">
        <v>22</v>
      </c>
      <c r="I201" s="15"/>
      <c r="J201" s="15"/>
      <c r="K201" s="15" t="s">
        <v>1208</v>
      </c>
      <c r="L201" s="15" t="s">
        <v>1209</v>
      </c>
      <c r="M201" s="15" t="s">
        <v>1210</v>
      </c>
      <c r="N201" s="15" t="s">
        <v>362</v>
      </c>
      <c r="O201" s="17" t="s">
        <v>346</v>
      </c>
      <c r="P201" s="15"/>
      <c r="Q201" s="15" t="s">
        <v>29</v>
      </c>
    </row>
    <row r="202">
      <c r="A202" s="14">
        <v>44182.05881381944</v>
      </c>
      <c r="B202" s="15" t="s">
        <v>386</v>
      </c>
      <c r="C202" s="15" t="s">
        <v>1212</v>
      </c>
      <c r="D202" s="15" t="s">
        <v>20</v>
      </c>
      <c r="E202" s="16">
        <v>44112.0</v>
      </c>
      <c r="F202" s="16">
        <v>6000.0</v>
      </c>
      <c r="G202" s="15" t="s">
        <v>136</v>
      </c>
      <c r="H202" s="15" t="s">
        <v>22</v>
      </c>
      <c r="I202" s="15"/>
      <c r="J202" s="15" t="s">
        <v>1213</v>
      </c>
      <c r="K202" s="15" t="s">
        <v>1214</v>
      </c>
      <c r="L202" s="15" t="s">
        <v>1215</v>
      </c>
      <c r="M202" s="15" t="s">
        <v>1216</v>
      </c>
      <c r="N202" s="15" t="s">
        <v>27</v>
      </c>
      <c r="O202" s="17" t="s">
        <v>391</v>
      </c>
      <c r="P202" s="15"/>
      <c r="Q202" s="15" t="s">
        <v>29</v>
      </c>
    </row>
    <row r="203">
      <c r="A203" s="14">
        <v>44183.69357487268</v>
      </c>
      <c r="B203" s="15" t="s">
        <v>1218</v>
      </c>
      <c r="C203" s="15" t="s">
        <v>1219</v>
      </c>
      <c r="D203" s="15" t="s">
        <v>20</v>
      </c>
      <c r="E203" s="16">
        <v>44183.0</v>
      </c>
      <c r="F203" s="16">
        <v>0.0</v>
      </c>
      <c r="G203" s="15" t="s">
        <v>136</v>
      </c>
      <c r="H203" s="15" t="s">
        <v>22</v>
      </c>
      <c r="I203" s="15"/>
      <c r="J203" s="15"/>
      <c r="K203" s="15" t="s">
        <v>1220</v>
      </c>
      <c r="L203" s="15" t="s">
        <v>1221</v>
      </c>
      <c r="M203" s="15" t="s">
        <v>1222</v>
      </c>
      <c r="N203" s="15" t="s">
        <v>27</v>
      </c>
      <c r="O203" s="17" t="s">
        <v>1223</v>
      </c>
      <c r="P203" s="15"/>
      <c r="Q203" s="15" t="s">
        <v>29</v>
      </c>
    </row>
    <row r="204">
      <c r="A204" s="14">
        <v>44183.708944756945</v>
      </c>
      <c r="B204" s="15" t="s">
        <v>930</v>
      </c>
      <c r="C204" s="15" t="s">
        <v>1225</v>
      </c>
      <c r="D204" s="15" t="s">
        <v>358</v>
      </c>
      <c r="E204" s="16">
        <v>44183.0</v>
      </c>
      <c r="F204" s="16">
        <v>800.0</v>
      </c>
      <c r="G204" s="15" t="s">
        <v>21</v>
      </c>
      <c r="H204" s="15" t="s">
        <v>22</v>
      </c>
      <c r="I204" s="15"/>
      <c r="J204" s="15"/>
      <c r="K204" s="15" t="s">
        <v>1226</v>
      </c>
      <c r="L204" s="15" t="s">
        <v>1227</v>
      </c>
      <c r="M204" s="15" t="s">
        <v>1228</v>
      </c>
      <c r="N204" s="15" t="s">
        <v>362</v>
      </c>
      <c r="O204" s="17" t="s">
        <v>935</v>
      </c>
      <c r="P204" s="15"/>
      <c r="Q204" s="15" t="s">
        <v>29</v>
      </c>
    </row>
    <row r="205">
      <c r="A205" s="14">
        <v>44188.823425925926</v>
      </c>
      <c r="B205" s="15" t="s">
        <v>482</v>
      </c>
      <c r="C205" s="15" t="s">
        <v>1230</v>
      </c>
      <c r="D205" s="15" t="s">
        <v>358</v>
      </c>
      <c r="E205" s="16">
        <v>44154.0</v>
      </c>
      <c r="F205" s="16">
        <v>1735.0</v>
      </c>
      <c r="G205" s="15" t="s">
        <v>21</v>
      </c>
      <c r="H205" s="15" t="s">
        <v>22</v>
      </c>
      <c r="I205" s="17" t="s">
        <v>1137</v>
      </c>
      <c r="J205" s="15"/>
      <c r="K205" s="15" t="s">
        <v>1231</v>
      </c>
      <c r="L205" s="15" t="s">
        <v>1232</v>
      </c>
      <c r="M205" s="15" t="s">
        <v>1233</v>
      </c>
      <c r="N205" s="15" t="s">
        <v>362</v>
      </c>
      <c r="O205" s="15" t="s">
        <v>487</v>
      </c>
      <c r="P205" s="15" t="s">
        <v>1141</v>
      </c>
      <c r="Q205" s="15" t="s">
        <v>29</v>
      </c>
    </row>
    <row r="206">
      <c r="A206" s="14">
        <v>44195.59528923611</v>
      </c>
      <c r="B206" s="15" t="s">
        <v>1165</v>
      </c>
      <c r="C206" s="15" t="s">
        <v>1235</v>
      </c>
      <c r="D206" s="15" t="s">
        <v>756</v>
      </c>
      <c r="E206" s="16">
        <v>44159.0</v>
      </c>
      <c r="F206" s="16">
        <v>600.0</v>
      </c>
      <c r="G206" s="15" t="s">
        <v>21</v>
      </c>
      <c r="H206" s="15" t="s">
        <v>22</v>
      </c>
      <c r="I206" s="17" t="s">
        <v>1167</v>
      </c>
      <c r="J206" s="15"/>
      <c r="K206" s="15" t="s">
        <v>1236</v>
      </c>
      <c r="L206" s="15" t="s">
        <v>1237</v>
      </c>
      <c r="M206" s="15" t="s">
        <v>1238</v>
      </c>
      <c r="N206" s="15" t="s">
        <v>760</v>
      </c>
      <c r="O206" s="15" t="s">
        <v>1171</v>
      </c>
      <c r="P206" s="15" t="s">
        <v>1172</v>
      </c>
      <c r="Q206" s="15" t="s">
        <v>1205</v>
      </c>
    </row>
    <row r="207">
      <c r="A207" s="14">
        <v>44195.64081709491</v>
      </c>
      <c r="B207" s="15" t="s">
        <v>89</v>
      </c>
      <c r="C207" s="15" t="s">
        <v>1240</v>
      </c>
      <c r="D207" s="15" t="s">
        <v>756</v>
      </c>
      <c r="E207" s="16">
        <v>44106.0</v>
      </c>
      <c r="F207" s="16">
        <v>800.0</v>
      </c>
      <c r="G207" s="15" t="s">
        <v>21</v>
      </c>
      <c r="H207" s="15" t="s">
        <v>22</v>
      </c>
      <c r="I207" s="15"/>
      <c r="J207" s="15"/>
      <c r="K207" s="15" t="s">
        <v>1241</v>
      </c>
      <c r="L207" s="15" t="s">
        <v>1242</v>
      </c>
      <c r="M207" s="15" t="s">
        <v>1243</v>
      </c>
      <c r="N207" s="15" t="s">
        <v>760</v>
      </c>
      <c r="O207" s="17" t="s">
        <v>94</v>
      </c>
      <c r="P207" s="15"/>
      <c r="Q207" s="15" t="s">
        <v>1205</v>
      </c>
    </row>
    <row r="208">
      <c r="A208" s="14">
        <v>44195.669784363425</v>
      </c>
      <c r="B208" s="15" t="s">
        <v>1245</v>
      </c>
      <c r="C208" s="15" t="s">
        <v>1246</v>
      </c>
      <c r="D208" s="15" t="s">
        <v>358</v>
      </c>
      <c r="E208" s="16">
        <v>44187.0</v>
      </c>
      <c r="F208" s="16">
        <v>18970.0</v>
      </c>
      <c r="G208" s="15" t="s">
        <v>21</v>
      </c>
      <c r="H208" s="15" t="s">
        <v>22</v>
      </c>
      <c r="I208" s="15"/>
      <c r="J208" s="15" t="s">
        <v>1247</v>
      </c>
      <c r="K208" s="15" t="s">
        <v>1248</v>
      </c>
      <c r="L208" s="15" t="s">
        <v>1249</v>
      </c>
      <c r="M208" s="15" t="s">
        <v>1250</v>
      </c>
      <c r="N208" s="15" t="s">
        <v>362</v>
      </c>
      <c r="O208" s="17" t="s">
        <v>1251</v>
      </c>
      <c r="P208" s="15"/>
      <c r="Q208" s="15" t="s">
        <v>1205</v>
      </c>
    </row>
    <row r="209">
      <c r="A209" s="14">
        <v>44195.68088122685</v>
      </c>
      <c r="B209" s="15" t="s">
        <v>1253</v>
      </c>
      <c r="C209" s="15" t="s">
        <v>1254</v>
      </c>
      <c r="D209" s="15" t="s">
        <v>358</v>
      </c>
      <c r="E209" s="16">
        <v>44162.0</v>
      </c>
      <c r="F209" s="16">
        <v>17000.0</v>
      </c>
      <c r="G209" s="15" t="s">
        <v>21</v>
      </c>
      <c r="H209" s="15" t="s">
        <v>22</v>
      </c>
      <c r="I209" s="17" t="s">
        <v>1145</v>
      </c>
      <c r="J209" s="15"/>
      <c r="K209" s="15" t="s">
        <v>1256</v>
      </c>
      <c r="L209" s="15" t="s">
        <v>1257</v>
      </c>
      <c r="M209" s="15" t="s">
        <v>1258</v>
      </c>
      <c r="N209" s="15" t="s">
        <v>362</v>
      </c>
      <c r="O209" s="15" t="s">
        <v>1259</v>
      </c>
      <c r="P209" s="15" t="s">
        <v>1150</v>
      </c>
      <c r="Q209" s="15" t="s">
        <v>1205</v>
      </c>
    </row>
    <row r="210">
      <c r="A210" s="14">
        <v>44195.7377671875</v>
      </c>
      <c r="B210" s="15" t="s">
        <v>1261</v>
      </c>
      <c r="C210" s="15" t="s">
        <v>1262</v>
      </c>
      <c r="D210" s="15" t="s">
        <v>358</v>
      </c>
      <c r="E210" s="16">
        <v>44166.0</v>
      </c>
      <c r="F210" s="16">
        <v>1900.0</v>
      </c>
      <c r="G210" s="15" t="s">
        <v>21</v>
      </c>
      <c r="H210" s="15" t="s">
        <v>22</v>
      </c>
      <c r="I210" s="17" t="s">
        <v>1145</v>
      </c>
      <c r="J210" s="15"/>
      <c r="K210" s="15" t="s">
        <v>1263</v>
      </c>
      <c r="L210" s="15" t="s">
        <v>1264</v>
      </c>
      <c r="M210" s="15" t="s">
        <v>1265</v>
      </c>
      <c r="N210" s="15" t="s">
        <v>362</v>
      </c>
      <c r="O210" s="15" t="s">
        <v>1266</v>
      </c>
      <c r="P210" s="15" t="s">
        <v>1150</v>
      </c>
      <c r="Q210" s="15" t="s">
        <v>29</v>
      </c>
    </row>
    <row r="211">
      <c r="A211" s="14">
        <v>44195.738645439815</v>
      </c>
      <c r="B211" s="15" t="s">
        <v>1261</v>
      </c>
      <c r="C211" s="15" t="s">
        <v>1268</v>
      </c>
      <c r="D211" s="15" t="s">
        <v>358</v>
      </c>
      <c r="E211" s="16">
        <v>44166.0</v>
      </c>
      <c r="F211" s="16">
        <v>150.0</v>
      </c>
      <c r="G211" s="15" t="s">
        <v>136</v>
      </c>
      <c r="H211" s="15" t="s">
        <v>22</v>
      </c>
      <c r="I211" s="17" t="s">
        <v>1145</v>
      </c>
      <c r="J211" s="15"/>
      <c r="K211" s="15" t="s">
        <v>1263</v>
      </c>
      <c r="L211" s="15" t="s">
        <v>1269</v>
      </c>
      <c r="M211" s="15" t="s">
        <v>1270</v>
      </c>
      <c r="N211" s="15" t="s">
        <v>362</v>
      </c>
      <c r="O211" s="15" t="s">
        <v>1266</v>
      </c>
      <c r="P211" s="15" t="s">
        <v>1150</v>
      </c>
      <c r="Q211" s="15" t="s">
        <v>29</v>
      </c>
    </row>
    <row r="212">
      <c r="A212" s="14">
        <v>44223.49055267361</v>
      </c>
      <c r="B212" s="15" t="s">
        <v>1218</v>
      </c>
      <c r="C212" s="15" t="s">
        <v>1272</v>
      </c>
      <c r="D212" s="15" t="s">
        <v>20</v>
      </c>
      <c r="E212" s="16">
        <v>40544.0</v>
      </c>
      <c r="F212" s="16">
        <v>0.0</v>
      </c>
      <c r="G212" s="15" t="s">
        <v>136</v>
      </c>
      <c r="H212" s="15" t="s">
        <v>22</v>
      </c>
      <c r="I212" s="15"/>
      <c r="J212" s="15"/>
      <c r="K212" s="15" t="s">
        <v>1220</v>
      </c>
      <c r="L212" s="15" t="s">
        <v>1273</v>
      </c>
      <c r="M212" s="15" t="s">
        <v>1274</v>
      </c>
      <c r="N212" s="15" t="s">
        <v>27</v>
      </c>
      <c r="O212" s="17" t="s">
        <v>1223</v>
      </c>
      <c r="P212" s="15"/>
      <c r="Q212" s="15" t="s">
        <v>29</v>
      </c>
    </row>
    <row r="213">
      <c r="A213" s="14">
        <v>44223.490894120376</v>
      </c>
      <c r="B213" s="15" t="s">
        <v>1218</v>
      </c>
      <c r="C213" s="15" t="s">
        <v>1276</v>
      </c>
      <c r="D213" s="15" t="s">
        <v>20</v>
      </c>
      <c r="E213" s="16">
        <v>40544.0</v>
      </c>
      <c r="F213" s="16">
        <v>0.0</v>
      </c>
      <c r="G213" s="15" t="s">
        <v>136</v>
      </c>
      <c r="H213" s="15" t="s">
        <v>22</v>
      </c>
      <c r="I213" s="15"/>
      <c r="J213" s="15"/>
      <c r="K213" s="15" t="s">
        <v>1220</v>
      </c>
      <c r="L213" s="15" t="s">
        <v>1277</v>
      </c>
      <c r="M213" s="15" t="s">
        <v>1278</v>
      </c>
      <c r="N213" s="15" t="s">
        <v>27</v>
      </c>
      <c r="O213" s="17" t="s">
        <v>1223</v>
      </c>
      <c r="P213" s="15"/>
      <c r="Q213" s="15" t="s">
        <v>29</v>
      </c>
    </row>
    <row r="214">
      <c r="A214" s="14">
        <v>44231.444155474535</v>
      </c>
      <c r="B214" s="15" t="s">
        <v>1280</v>
      </c>
      <c r="C214" s="15" t="s">
        <v>539</v>
      </c>
      <c r="D214" s="15" t="s">
        <v>230</v>
      </c>
      <c r="E214" s="16">
        <v>44211.0</v>
      </c>
      <c r="F214" s="16">
        <v>350.0</v>
      </c>
      <c r="G214" s="15" t="s">
        <v>136</v>
      </c>
      <c r="H214" s="15" t="s">
        <v>22</v>
      </c>
      <c r="I214" s="17" t="s">
        <v>1167</v>
      </c>
      <c r="J214" s="15"/>
      <c r="K214" s="15" t="s">
        <v>1281</v>
      </c>
      <c r="L214" s="15" t="s">
        <v>1282</v>
      </c>
      <c r="M214" s="15" t="s">
        <v>1283</v>
      </c>
      <c r="N214" s="15" t="s">
        <v>234</v>
      </c>
      <c r="O214" s="15" t="s">
        <v>1284</v>
      </c>
      <c r="P214" s="15" t="s">
        <v>1172</v>
      </c>
      <c r="Q214" s="15" t="s">
        <v>29</v>
      </c>
    </row>
    <row r="215">
      <c r="A215" s="14">
        <v>44232.454278460646</v>
      </c>
      <c r="B215" s="15" t="s">
        <v>482</v>
      </c>
      <c r="C215" s="15" t="s">
        <v>1286</v>
      </c>
      <c r="D215" s="15" t="s">
        <v>358</v>
      </c>
      <c r="E215" s="16">
        <v>44195.0</v>
      </c>
      <c r="F215" s="16">
        <v>60886.0</v>
      </c>
      <c r="G215" s="15" t="s">
        <v>21</v>
      </c>
      <c r="H215" s="15" t="s">
        <v>22</v>
      </c>
      <c r="I215" s="17" t="s">
        <v>1137</v>
      </c>
      <c r="J215" s="15"/>
      <c r="K215" s="15" t="s">
        <v>1287</v>
      </c>
      <c r="L215" s="15" t="s">
        <v>1288</v>
      </c>
      <c r="M215" s="15" t="s">
        <v>1289</v>
      </c>
      <c r="N215" s="15" t="s">
        <v>362</v>
      </c>
      <c r="O215" s="15" t="s">
        <v>487</v>
      </c>
      <c r="P215" s="15" t="s">
        <v>1141</v>
      </c>
      <c r="Q215" s="15" t="s">
        <v>1205</v>
      </c>
    </row>
    <row r="216">
      <c r="A216" s="14">
        <v>44232.6475784838</v>
      </c>
      <c r="B216" s="15" t="s">
        <v>1072</v>
      </c>
      <c r="C216" s="15" t="s">
        <v>1291</v>
      </c>
      <c r="D216" s="15" t="s">
        <v>20</v>
      </c>
      <c r="E216" s="16">
        <v>44075.0</v>
      </c>
      <c r="F216" s="16">
        <v>29270.0</v>
      </c>
      <c r="G216" s="15" t="s">
        <v>350</v>
      </c>
      <c r="H216" s="15" t="s">
        <v>22</v>
      </c>
      <c r="I216" s="15"/>
      <c r="J216" s="15" t="s">
        <v>1292</v>
      </c>
      <c r="K216" s="15" t="s">
        <v>1293</v>
      </c>
      <c r="L216" s="15" t="s">
        <v>1294</v>
      </c>
      <c r="M216" s="15" t="s">
        <v>1295</v>
      </c>
      <c r="N216" s="15" t="s">
        <v>27</v>
      </c>
      <c r="O216" s="17" t="s">
        <v>1077</v>
      </c>
      <c r="P216" s="15"/>
      <c r="Q216" s="15" t="s">
        <v>29</v>
      </c>
    </row>
    <row r="217">
      <c r="A217" s="14">
        <v>44236.58254283565</v>
      </c>
      <c r="B217" s="15" t="s">
        <v>482</v>
      </c>
      <c r="C217" s="15" t="s">
        <v>510</v>
      </c>
      <c r="D217" s="15" t="s">
        <v>756</v>
      </c>
      <c r="E217" s="16">
        <v>44173.0</v>
      </c>
      <c r="F217" s="16">
        <v>2585.4</v>
      </c>
      <c r="G217" s="15" t="s">
        <v>21</v>
      </c>
      <c r="H217" s="15" t="s">
        <v>22</v>
      </c>
      <c r="I217" s="17" t="s">
        <v>1167</v>
      </c>
      <c r="J217" s="15"/>
      <c r="K217" s="15" t="s">
        <v>1297</v>
      </c>
      <c r="L217" s="15" t="s">
        <v>1298</v>
      </c>
      <c r="M217" s="15" t="s">
        <v>1299</v>
      </c>
      <c r="N217" s="15" t="s">
        <v>760</v>
      </c>
      <c r="O217" s="15" t="s">
        <v>487</v>
      </c>
      <c r="P217" s="15" t="s">
        <v>1172</v>
      </c>
      <c r="Q217" s="15" t="s">
        <v>29</v>
      </c>
    </row>
    <row r="218">
      <c r="A218" s="14">
        <v>44239.573886365746</v>
      </c>
      <c r="B218" s="15" t="s">
        <v>1301</v>
      </c>
      <c r="C218" s="15" t="s">
        <v>1302</v>
      </c>
      <c r="D218" s="15" t="s">
        <v>358</v>
      </c>
      <c r="E218" s="16">
        <v>44239.0</v>
      </c>
      <c r="F218" s="16">
        <v>1550.0</v>
      </c>
      <c r="G218" s="15" t="s">
        <v>136</v>
      </c>
      <c r="H218" s="15" t="s">
        <v>22</v>
      </c>
      <c r="I218" s="15"/>
      <c r="J218" s="15"/>
      <c r="K218" s="15" t="s">
        <v>1303</v>
      </c>
      <c r="L218" s="15" t="s">
        <v>1304</v>
      </c>
      <c r="M218" s="15" t="s">
        <v>1305</v>
      </c>
      <c r="N218" s="15" t="s">
        <v>362</v>
      </c>
      <c r="O218" s="17" t="s">
        <v>1306</v>
      </c>
      <c r="P218" s="15"/>
      <c r="Q218" s="15" t="s">
        <v>29</v>
      </c>
    </row>
    <row r="219">
      <c r="A219" s="14">
        <v>44244.51021694444</v>
      </c>
      <c r="B219" s="15" t="s">
        <v>482</v>
      </c>
      <c r="C219" s="15" t="s">
        <v>1308</v>
      </c>
      <c r="D219" s="15" t="s">
        <v>358</v>
      </c>
      <c r="E219" s="16">
        <v>44236.0</v>
      </c>
      <c r="F219" s="16">
        <v>6950.0</v>
      </c>
      <c r="G219" s="15" t="s">
        <v>21</v>
      </c>
      <c r="H219" s="15" t="s">
        <v>22</v>
      </c>
      <c r="I219" s="17" t="s">
        <v>1137</v>
      </c>
      <c r="J219" s="15"/>
      <c r="K219" s="15" t="s">
        <v>1309</v>
      </c>
      <c r="L219" s="15" t="s">
        <v>1310</v>
      </c>
      <c r="M219" s="15" t="s">
        <v>1311</v>
      </c>
      <c r="N219" s="15" t="s">
        <v>362</v>
      </c>
      <c r="O219" s="15" t="s">
        <v>487</v>
      </c>
      <c r="P219" s="15" t="s">
        <v>1141</v>
      </c>
      <c r="Q219" s="15" t="s">
        <v>29</v>
      </c>
    </row>
    <row r="220">
      <c r="A220" s="14">
        <v>44244.557581597226</v>
      </c>
      <c r="B220" s="15" t="s">
        <v>1165</v>
      </c>
      <c r="C220" s="15" t="s">
        <v>1313</v>
      </c>
      <c r="D220" s="15" t="s">
        <v>756</v>
      </c>
      <c r="E220" s="16">
        <v>44068.0</v>
      </c>
      <c r="F220" s="16">
        <v>7335.0</v>
      </c>
      <c r="G220" s="15" t="s">
        <v>21</v>
      </c>
      <c r="H220" s="15" t="s">
        <v>22</v>
      </c>
      <c r="I220" s="17" t="s">
        <v>1167</v>
      </c>
      <c r="J220" s="15"/>
      <c r="K220" s="15" t="s">
        <v>1314</v>
      </c>
      <c r="L220" s="15" t="s">
        <v>1315</v>
      </c>
      <c r="M220" s="15" t="s">
        <v>1316</v>
      </c>
      <c r="N220" s="15" t="s">
        <v>760</v>
      </c>
      <c r="O220" s="15" t="s">
        <v>1171</v>
      </c>
      <c r="P220" s="15" t="s">
        <v>1172</v>
      </c>
      <c r="Q220" s="15" t="s">
        <v>29</v>
      </c>
    </row>
    <row r="221">
      <c r="A221" s="14">
        <v>44244.561723252315</v>
      </c>
      <c r="B221" s="15" t="s">
        <v>1165</v>
      </c>
      <c r="C221" s="15" t="s">
        <v>1318</v>
      </c>
      <c r="D221" s="15" t="s">
        <v>756</v>
      </c>
      <c r="E221" s="16">
        <v>44243.0</v>
      </c>
      <c r="F221" s="16">
        <v>3420.0</v>
      </c>
      <c r="G221" s="15" t="s">
        <v>21</v>
      </c>
      <c r="H221" s="15" t="s">
        <v>22</v>
      </c>
      <c r="I221" s="15"/>
      <c r="J221" s="15"/>
      <c r="K221" s="15" t="s">
        <v>1319</v>
      </c>
      <c r="L221" s="15" t="s">
        <v>1320</v>
      </c>
      <c r="M221" s="15" t="s">
        <v>1321</v>
      </c>
      <c r="N221" s="15" t="s">
        <v>760</v>
      </c>
      <c r="O221" s="17" t="s">
        <v>1171</v>
      </c>
      <c r="P221" s="15"/>
      <c r="Q221" s="15" t="s">
        <v>1205</v>
      </c>
    </row>
    <row r="222">
      <c r="A222" s="14">
        <v>44245.47564793982</v>
      </c>
      <c r="B222" s="15" t="s">
        <v>1323</v>
      </c>
      <c r="C222" s="15" t="s">
        <v>1324</v>
      </c>
      <c r="D222" s="15" t="s">
        <v>20</v>
      </c>
      <c r="E222" s="16">
        <v>44165.0</v>
      </c>
      <c r="F222" s="16">
        <v>220000.0</v>
      </c>
      <c r="G222" s="15" t="s">
        <v>21</v>
      </c>
      <c r="H222" s="15" t="s">
        <v>22</v>
      </c>
      <c r="I222" s="15"/>
      <c r="J222" s="15"/>
      <c r="K222" s="15" t="s">
        <v>1326</v>
      </c>
      <c r="L222" s="15" t="s">
        <v>1327</v>
      </c>
      <c r="M222" s="15" t="s">
        <v>1328</v>
      </c>
      <c r="N222" s="15" t="s">
        <v>27</v>
      </c>
      <c r="O222" s="17" t="s">
        <v>1329</v>
      </c>
      <c r="P222" s="15"/>
      <c r="Q222" s="15" t="s">
        <v>29</v>
      </c>
    </row>
    <row r="223">
      <c r="A223" s="14">
        <v>44245.48392012731</v>
      </c>
      <c r="B223" s="15" t="s">
        <v>1072</v>
      </c>
      <c r="C223" s="15" t="s">
        <v>1331</v>
      </c>
      <c r="D223" s="15" t="s">
        <v>20</v>
      </c>
      <c r="E223" s="16">
        <v>44075.0</v>
      </c>
      <c r="F223" s="16">
        <v>29270.0</v>
      </c>
      <c r="G223" s="15" t="s">
        <v>136</v>
      </c>
      <c r="H223" s="15" t="s">
        <v>22</v>
      </c>
      <c r="I223" s="15"/>
      <c r="J223" s="15"/>
      <c r="K223" s="15" t="s">
        <v>1293</v>
      </c>
      <c r="L223" s="15" t="s">
        <v>1332</v>
      </c>
      <c r="M223" s="15" t="s">
        <v>1333</v>
      </c>
      <c r="N223" s="15" t="s">
        <v>27</v>
      </c>
      <c r="O223" s="17" t="s">
        <v>1077</v>
      </c>
      <c r="P223" s="15"/>
      <c r="Q223" s="15" t="s">
        <v>29</v>
      </c>
    </row>
    <row r="224">
      <c r="A224" s="14">
        <v>44245.50160836805</v>
      </c>
      <c r="B224" s="15" t="s">
        <v>1335</v>
      </c>
      <c r="C224" s="15" t="s">
        <v>1336</v>
      </c>
      <c r="D224" s="15" t="s">
        <v>20</v>
      </c>
      <c r="E224" s="16">
        <v>44185.0</v>
      </c>
      <c r="F224" s="16">
        <v>126360.0</v>
      </c>
      <c r="G224" s="15" t="s">
        <v>21</v>
      </c>
      <c r="H224" s="15" t="s">
        <v>22</v>
      </c>
      <c r="I224" s="15"/>
      <c r="J224" s="15"/>
      <c r="K224" s="15" t="s">
        <v>1338</v>
      </c>
      <c r="L224" s="15" t="s">
        <v>1339</v>
      </c>
      <c r="M224" s="15" t="s">
        <v>1340</v>
      </c>
      <c r="N224" s="15" t="s">
        <v>27</v>
      </c>
      <c r="O224" s="17" t="s">
        <v>1341</v>
      </c>
      <c r="P224" s="15"/>
      <c r="Q224" s="15" t="s">
        <v>29</v>
      </c>
    </row>
    <row r="225">
      <c r="A225" s="14">
        <v>44245.50260304398</v>
      </c>
      <c r="B225" s="15" t="s">
        <v>1343</v>
      </c>
      <c r="C225" s="15" t="s">
        <v>1344</v>
      </c>
      <c r="D225" s="15" t="s">
        <v>20</v>
      </c>
      <c r="E225" s="16">
        <v>44185.0</v>
      </c>
      <c r="F225" s="16">
        <v>30140.0</v>
      </c>
      <c r="G225" s="15" t="s">
        <v>21</v>
      </c>
      <c r="H225" s="15" t="s">
        <v>22</v>
      </c>
      <c r="I225" s="15"/>
      <c r="J225" s="15"/>
      <c r="K225" s="15" t="s">
        <v>1345</v>
      </c>
      <c r="L225" s="15" t="s">
        <v>1346</v>
      </c>
      <c r="M225" s="15" t="s">
        <v>1347</v>
      </c>
      <c r="N225" s="15" t="s">
        <v>27</v>
      </c>
      <c r="O225" s="17" t="s">
        <v>1348</v>
      </c>
      <c r="P225" s="15"/>
      <c r="Q225" s="15" t="s">
        <v>29</v>
      </c>
    </row>
    <row r="226">
      <c r="A226" s="14">
        <v>44245.521558356486</v>
      </c>
      <c r="B226" s="15" t="s">
        <v>482</v>
      </c>
      <c r="C226" s="15" t="s">
        <v>1350</v>
      </c>
      <c r="D226" s="15" t="s">
        <v>20</v>
      </c>
      <c r="E226" s="16">
        <v>44166.0</v>
      </c>
      <c r="F226" s="16">
        <v>53260.0</v>
      </c>
      <c r="G226" s="15" t="s">
        <v>21</v>
      </c>
      <c r="H226" s="15" t="s">
        <v>22</v>
      </c>
      <c r="I226" s="15"/>
      <c r="J226" s="15"/>
      <c r="K226" s="15" t="s">
        <v>1352</v>
      </c>
      <c r="L226" s="15" t="s">
        <v>1353</v>
      </c>
      <c r="M226" s="15" t="s">
        <v>1354</v>
      </c>
      <c r="N226" s="15" t="s">
        <v>27</v>
      </c>
      <c r="O226" s="17" t="s">
        <v>487</v>
      </c>
      <c r="P226" s="15"/>
      <c r="Q226" s="15" t="s">
        <v>29</v>
      </c>
    </row>
    <row r="227">
      <c r="A227" s="14">
        <v>44246.505814675926</v>
      </c>
      <c r="B227" s="15" t="s">
        <v>516</v>
      </c>
      <c r="C227" s="15" t="s">
        <v>1356</v>
      </c>
      <c r="D227" s="15" t="s">
        <v>358</v>
      </c>
      <c r="E227" s="16">
        <v>44244.0</v>
      </c>
      <c r="F227" s="16">
        <v>680.0</v>
      </c>
      <c r="G227" s="15" t="s">
        <v>21</v>
      </c>
      <c r="H227" s="15" t="s">
        <v>22</v>
      </c>
      <c r="I227" s="15"/>
      <c r="J227" s="15"/>
      <c r="K227" s="15" t="s">
        <v>1357</v>
      </c>
      <c r="L227" s="15" t="s">
        <v>1358</v>
      </c>
      <c r="M227" s="15" t="s">
        <v>1359</v>
      </c>
      <c r="N227" s="15" t="s">
        <v>362</v>
      </c>
      <c r="O227" s="17" t="s">
        <v>524</v>
      </c>
      <c r="P227" s="15"/>
      <c r="Q227" s="15" t="s">
        <v>29</v>
      </c>
    </row>
    <row r="228">
      <c r="A228" s="14">
        <v>44246.57406265046</v>
      </c>
      <c r="B228" s="15" t="s">
        <v>393</v>
      </c>
      <c r="C228" s="15" t="s">
        <v>1361</v>
      </c>
      <c r="D228" s="15" t="s">
        <v>1362</v>
      </c>
      <c r="E228" s="16">
        <v>44245.0</v>
      </c>
      <c r="F228" s="16">
        <v>22373.0</v>
      </c>
      <c r="G228" s="15" t="s">
        <v>136</v>
      </c>
      <c r="H228" s="15" t="s">
        <v>22</v>
      </c>
      <c r="I228" s="15"/>
      <c r="J228" s="15"/>
      <c r="K228" s="15" t="s">
        <v>1363</v>
      </c>
      <c r="L228" s="15" t="s">
        <v>1364</v>
      </c>
      <c r="M228" s="15" t="s">
        <v>1365</v>
      </c>
      <c r="N228" s="15" t="s">
        <v>1366</v>
      </c>
      <c r="O228" s="17" t="s">
        <v>398</v>
      </c>
      <c r="P228" s="15"/>
      <c r="Q228" s="15" t="s">
        <v>29</v>
      </c>
    </row>
    <row r="229">
      <c r="A229" s="14">
        <v>44251.534761504634</v>
      </c>
      <c r="B229" s="15" t="s">
        <v>1368</v>
      </c>
      <c r="C229" s="15" t="s">
        <v>1369</v>
      </c>
      <c r="D229" s="15" t="s">
        <v>358</v>
      </c>
      <c r="E229" s="16">
        <v>43922.0</v>
      </c>
      <c r="F229" s="16">
        <v>0.0</v>
      </c>
      <c r="G229" s="15" t="s">
        <v>136</v>
      </c>
      <c r="H229" s="15" t="s">
        <v>22</v>
      </c>
      <c r="I229" s="15"/>
      <c r="J229" s="15"/>
      <c r="K229" s="15" t="s">
        <v>1370</v>
      </c>
      <c r="L229" s="15" t="s">
        <v>1371</v>
      </c>
      <c r="M229" s="15" t="s">
        <v>1372</v>
      </c>
      <c r="N229" s="15" t="s">
        <v>362</v>
      </c>
      <c r="O229" s="17" t="s">
        <v>1373</v>
      </c>
      <c r="P229" s="15"/>
      <c r="Q229" s="15" t="s">
        <v>29</v>
      </c>
    </row>
    <row r="230">
      <c r="A230" s="14">
        <v>44251.61914659722</v>
      </c>
      <c r="B230" s="15" t="s">
        <v>1375</v>
      </c>
      <c r="C230" s="15" t="s">
        <v>1376</v>
      </c>
      <c r="D230" s="15" t="s">
        <v>20</v>
      </c>
      <c r="E230" s="16">
        <v>44124.0</v>
      </c>
      <c r="F230" s="16">
        <v>2399130.0</v>
      </c>
      <c r="G230" s="15" t="s">
        <v>21</v>
      </c>
      <c r="H230" s="15" t="s">
        <v>22</v>
      </c>
      <c r="I230" s="15"/>
      <c r="J230" s="15"/>
      <c r="K230" s="15" t="s">
        <v>1377</v>
      </c>
      <c r="L230" s="15" t="s">
        <v>1378</v>
      </c>
      <c r="M230" s="15" t="s">
        <v>1379</v>
      </c>
      <c r="N230" s="15" t="s">
        <v>27</v>
      </c>
      <c r="O230" s="17" t="s">
        <v>1380</v>
      </c>
      <c r="P230" s="15"/>
      <c r="Q230" s="15" t="s">
        <v>29</v>
      </c>
    </row>
    <row r="231">
      <c r="A231" s="14">
        <v>44252.54754359953</v>
      </c>
      <c r="B231" s="15" t="s">
        <v>356</v>
      </c>
      <c r="C231" s="15" t="s">
        <v>2196</v>
      </c>
      <c r="D231" s="15" t="s">
        <v>756</v>
      </c>
      <c r="E231" s="16">
        <v>44251.0</v>
      </c>
      <c r="F231" s="16">
        <v>600.0</v>
      </c>
      <c r="G231" s="15" t="s">
        <v>21</v>
      </c>
      <c r="H231" s="15" t="s">
        <v>22</v>
      </c>
      <c r="I231" s="17" t="s">
        <v>1167</v>
      </c>
      <c r="J231" s="15"/>
      <c r="K231" s="15" t="s">
        <v>1382</v>
      </c>
      <c r="L231" s="15" t="s">
        <v>1383</v>
      </c>
      <c r="M231" s="15" t="s">
        <v>2204</v>
      </c>
      <c r="N231" s="15" t="s">
        <v>760</v>
      </c>
      <c r="O231" s="15" t="s">
        <v>363</v>
      </c>
      <c r="P231" s="15" t="s">
        <v>1172</v>
      </c>
      <c r="Q231" s="15" t="s">
        <v>29</v>
      </c>
    </row>
    <row r="232">
      <c r="A232" s="14">
        <v>44252.549329236106</v>
      </c>
      <c r="B232" s="15" t="s">
        <v>356</v>
      </c>
      <c r="C232" s="15" t="s">
        <v>2196</v>
      </c>
      <c r="D232" s="15" t="s">
        <v>756</v>
      </c>
      <c r="E232" s="16">
        <v>44252.0</v>
      </c>
      <c r="F232" s="16">
        <v>250.0</v>
      </c>
      <c r="G232" s="15" t="s">
        <v>21</v>
      </c>
      <c r="H232" s="15" t="s">
        <v>22</v>
      </c>
      <c r="I232" s="17" t="s">
        <v>1167</v>
      </c>
      <c r="J232" s="15"/>
      <c r="K232" s="15" t="s">
        <v>1387</v>
      </c>
      <c r="L232" s="15" t="s">
        <v>1388</v>
      </c>
      <c r="M232" s="15" t="s">
        <v>2204</v>
      </c>
      <c r="N232" s="15" t="s">
        <v>760</v>
      </c>
      <c r="O232" s="15" t="s">
        <v>363</v>
      </c>
      <c r="P232" s="15" t="s">
        <v>1172</v>
      </c>
      <c r="Q232" s="15" t="s">
        <v>1205</v>
      </c>
    </row>
    <row r="233">
      <c r="A233" s="14">
        <v>44252.76870328704</v>
      </c>
      <c r="B233" s="15" t="s">
        <v>1391</v>
      </c>
      <c r="C233" s="15" t="s">
        <v>1136</v>
      </c>
      <c r="D233" s="15" t="s">
        <v>358</v>
      </c>
      <c r="E233" s="16">
        <v>44252.0</v>
      </c>
      <c r="F233" s="16">
        <v>2450.0</v>
      </c>
      <c r="G233" s="15" t="s">
        <v>136</v>
      </c>
      <c r="H233" s="15" t="s">
        <v>22</v>
      </c>
      <c r="I233" s="15"/>
      <c r="J233" s="15" t="s">
        <v>1392</v>
      </c>
      <c r="K233" s="15" t="s">
        <v>1393</v>
      </c>
      <c r="L233" s="15" t="s">
        <v>1394</v>
      </c>
      <c r="M233" s="15" t="s">
        <v>1395</v>
      </c>
      <c r="N233" s="15" t="s">
        <v>362</v>
      </c>
      <c r="O233" s="17" t="s">
        <v>1396</v>
      </c>
      <c r="P233" s="15"/>
      <c r="Q233" s="15" t="s">
        <v>29</v>
      </c>
    </row>
    <row r="234">
      <c r="A234" s="14">
        <v>44266.52996136574</v>
      </c>
      <c r="B234" s="15" t="s">
        <v>461</v>
      </c>
      <c r="C234" s="15" t="s">
        <v>1398</v>
      </c>
      <c r="D234" s="15" t="s">
        <v>756</v>
      </c>
      <c r="E234" s="16">
        <v>44258.0</v>
      </c>
      <c r="F234" s="16">
        <v>576.8</v>
      </c>
      <c r="G234" s="15" t="s">
        <v>21</v>
      </c>
      <c r="H234" s="15" t="s">
        <v>22</v>
      </c>
      <c r="I234" s="15"/>
      <c r="J234" s="15"/>
      <c r="K234" s="15" t="s">
        <v>1399</v>
      </c>
      <c r="L234" s="15" t="s">
        <v>1400</v>
      </c>
      <c r="M234" s="15" t="s">
        <v>1401</v>
      </c>
      <c r="N234" s="15" t="s">
        <v>760</v>
      </c>
      <c r="O234" s="17" t="s">
        <v>466</v>
      </c>
      <c r="P234" s="15"/>
      <c r="Q234" s="15" t="s">
        <v>29</v>
      </c>
    </row>
    <row r="235">
      <c r="A235" s="14">
        <v>44266.54568487269</v>
      </c>
      <c r="B235" s="15" t="s">
        <v>461</v>
      </c>
      <c r="C235" s="15" t="s">
        <v>462</v>
      </c>
      <c r="D235" s="15" t="s">
        <v>756</v>
      </c>
      <c r="E235" s="16">
        <v>44258.0</v>
      </c>
      <c r="F235" s="16">
        <v>576.8</v>
      </c>
      <c r="G235" s="15" t="s">
        <v>21</v>
      </c>
      <c r="H235" s="15" t="s">
        <v>22</v>
      </c>
      <c r="I235" s="15"/>
      <c r="J235" s="15"/>
      <c r="K235" s="15" t="s">
        <v>1399</v>
      </c>
      <c r="L235" s="15" t="s">
        <v>1403</v>
      </c>
      <c r="M235" s="15" t="s">
        <v>1404</v>
      </c>
      <c r="N235" s="15" t="s">
        <v>760</v>
      </c>
      <c r="O235" s="17" t="s">
        <v>466</v>
      </c>
      <c r="P235" s="15"/>
      <c r="Q235" s="15" t="s">
        <v>29</v>
      </c>
    </row>
    <row r="236">
      <c r="A236" s="14">
        <v>44266.64529078704</v>
      </c>
      <c r="B236" s="15" t="s">
        <v>38</v>
      </c>
      <c r="C236" s="15" t="s">
        <v>297</v>
      </c>
      <c r="D236" s="15" t="s">
        <v>756</v>
      </c>
      <c r="E236" s="16">
        <v>44258.0</v>
      </c>
      <c r="F236" s="16">
        <v>1440.0</v>
      </c>
      <c r="G236" s="15" t="s">
        <v>21</v>
      </c>
      <c r="H236" s="15" t="s">
        <v>22</v>
      </c>
      <c r="I236" s="15"/>
      <c r="J236" s="15"/>
      <c r="K236" s="15" t="s">
        <v>1406</v>
      </c>
      <c r="L236" s="15" t="s">
        <v>1407</v>
      </c>
      <c r="M236" s="15" t="s">
        <v>1408</v>
      </c>
      <c r="N236" s="15" t="s">
        <v>760</v>
      </c>
      <c r="O236" s="17" t="s">
        <v>43</v>
      </c>
      <c r="P236" s="15"/>
      <c r="Q236" s="15" t="s">
        <v>29</v>
      </c>
    </row>
    <row r="237">
      <c r="A237" s="14">
        <v>44267.48123295139</v>
      </c>
      <c r="B237" s="15" t="s">
        <v>110</v>
      </c>
      <c r="C237" s="15" t="s">
        <v>111</v>
      </c>
      <c r="D237" s="15" t="s">
        <v>756</v>
      </c>
      <c r="E237" s="16">
        <v>44249.0</v>
      </c>
      <c r="F237" s="16">
        <v>1214.0</v>
      </c>
      <c r="G237" s="15" t="s">
        <v>21</v>
      </c>
      <c r="H237" s="15" t="s">
        <v>22</v>
      </c>
      <c r="I237" s="17" t="s">
        <v>1167</v>
      </c>
      <c r="J237" s="15"/>
      <c r="K237" s="15" t="s">
        <v>1410</v>
      </c>
      <c r="L237" s="15" t="s">
        <v>1411</v>
      </c>
      <c r="M237" s="15" t="s">
        <v>1412</v>
      </c>
      <c r="N237" s="15" t="s">
        <v>760</v>
      </c>
      <c r="O237" s="15" t="s">
        <v>116</v>
      </c>
      <c r="P237" s="15" t="s">
        <v>1172</v>
      </c>
      <c r="Q237" s="15" t="s">
        <v>29</v>
      </c>
    </row>
    <row r="238">
      <c r="A238" s="14">
        <v>44267.49360487268</v>
      </c>
      <c r="B238" s="15" t="s">
        <v>89</v>
      </c>
      <c r="C238" s="15" t="s">
        <v>489</v>
      </c>
      <c r="D238" s="15" t="s">
        <v>756</v>
      </c>
      <c r="E238" s="16">
        <v>44249.0</v>
      </c>
      <c r="F238" s="16">
        <v>773.0</v>
      </c>
      <c r="G238" s="15" t="s">
        <v>21</v>
      </c>
      <c r="H238" s="15" t="s">
        <v>22</v>
      </c>
      <c r="I238" s="17" t="s">
        <v>1167</v>
      </c>
      <c r="J238" s="15"/>
      <c r="K238" s="15" t="s">
        <v>1414</v>
      </c>
      <c r="L238" s="15" t="s">
        <v>1415</v>
      </c>
      <c r="M238" s="15" t="s">
        <v>1416</v>
      </c>
      <c r="N238" s="15" t="s">
        <v>760</v>
      </c>
      <c r="O238" s="15" t="s">
        <v>94</v>
      </c>
      <c r="P238" s="15" t="s">
        <v>1172</v>
      </c>
      <c r="Q238" s="15" t="s">
        <v>29</v>
      </c>
    </row>
    <row r="239">
      <c r="A239" s="14">
        <v>44267.60012398148</v>
      </c>
      <c r="B239" s="15" t="s">
        <v>242</v>
      </c>
      <c r="C239" s="15" t="s">
        <v>243</v>
      </c>
      <c r="D239" s="15" t="s">
        <v>756</v>
      </c>
      <c r="E239" s="16">
        <v>44234.0</v>
      </c>
      <c r="F239" s="16">
        <v>4009.0</v>
      </c>
      <c r="G239" s="15" t="s">
        <v>21</v>
      </c>
      <c r="H239" s="15" t="s">
        <v>22</v>
      </c>
      <c r="I239" s="17" t="s">
        <v>1167</v>
      </c>
      <c r="J239" s="15"/>
      <c r="K239" s="15" t="s">
        <v>1418</v>
      </c>
      <c r="L239" s="15" t="s">
        <v>1419</v>
      </c>
      <c r="M239" s="15" t="s">
        <v>1420</v>
      </c>
      <c r="N239" s="15" t="s">
        <v>760</v>
      </c>
      <c r="O239" s="15" t="s">
        <v>248</v>
      </c>
      <c r="P239" s="15" t="s">
        <v>1172</v>
      </c>
      <c r="Q239" s="15" t="s">
        <v>29</v>
      </c>
    </row>
    <row r="240">
      <c r="A240" s="14">
        <v>44267.60224280093</v>
      </c>
      <c r="B240" s="15" t="s">
        <v>386</v>
      </c>
      <c r="C240" s="15" t="s">
        <v>387</v>
      </c>
      <c r="D240" s="15" t="s">
        <v>756</v>
      </c>
      <c r="E240" s="16">
        <v>44234.0</v>
      </c>
      <c r="F240" s="16">
        <v>840.0</v>
      </c>
      <c r="G240" s="15" t="s">
        <v>21</v>
      </c>
      <c r="H240" s="15" t="s">
        <v>22</v>
      </c>
      <c r="I240" s="17" t="s">
        <v>1167</v>
      </c>
      <c r="J240" s="15"/>
      <c r="K240" s="15" t="s">
        <v>1422</v>
      </c>
      <c r="L240" s="15" t="s">
        <v>1423</v>
      </c>
      <c r="M240" s="15" t="s">
        <v>1424</v>
      </c>
      <c r="N240" s="15" t="s">
        <v>760</v>
      </c>
      <c r="O240" s="15" t="s">
        <v>391</v>
      </c>
      <c r="P240" s="15" t="s">
        <v>1172</v>
      </c>
      <c r="Q240" s="15" t="s">
        <v>1205</v>
      </c>
    </row>
    <row r="241">
      <c r="A241" s="21">
        <v>44284.081468125005</v>
      </c>
      <c r="B241" s="22" t="s">
        <v>830</v>
      </c>
      <c r="C241" s="22" t="s">
        <v>831</v>
      </c>
      <c r="D241" s="22" t="s">
        <v>20</v>
      </c>
      <c r="E241" s="23">
        <v>43768.0</v>
      </c>
      <c r="F241" s="23">
        <v>163727.0</v>
      </c>
      <c r="G241" s="22" t="s">
        <v>21</v>
      </c>
      <c r="H241" s="22" t="s">
        <v>22</v>
      </c>
      <c r="I241" s="22" t="s">
        <v>1426</v>
      </c>
      <c r="J241" s="22" t="s">
        <v>1427</v>
      </c>
      <c r="K241" s="22" t="s">
        <v>1428</v>
      </c>
      <c r="L241" s="22" t="s">
        <v>1429</v>
      </c>
      <c r="M241" s="22" t="s">
        <v>2205</v>
      </c>
      <c r="N241" s="22" t="s">
        <v>27</v>
      </c>
      <c r="O241" s="22" t="s">
        <v>835</v>
      </c>
      <c r="P241" s="22" t="s">
        <v>1431</v>
      </c>
      <c r="Q241" s="22" t="s">
        <v>29</v>
      </c>
    </row>
    <row r="242">
      <c r="A242" s="21">
        <v>44284.084417708335</v>
      </c>
      <c r="B242" s="22" t="s">
        <v>322</v>
      </c>
      <c r="C242" s="22" t="s">
        <v>1433</v>
      </c>
      <c r="D242" s="22" t="s">
        <v>20</v>
      </c>
      <c r="E242" s="23">
        <v>44077.0</v>
      </c>
      <c r="F242" s="23">
        <v>366050.0</v>
      </c>
      <c r="G242" s="22" t="s">
        <v>21</v>
      </c>
      <c r="H242" s="22" t="s">
        <v>22</v>
      </c>
      <c r="I242" s="22" t="s">
        <v>1434</v>
      </c>
      <c r="J242" s="22" t="s">
        <v>1435</v>
      </c>
      <c r="K242" s="22" t="s">
        <v>1436</v>
      </c>
      <c r="L242" s="22" t="s">
        <v>1437</v>
      </c>
      <c r="M242" s="22" t="s">
        <v>2206</v>
      </c>
      <c r="N242" s="22" t="s">
        <v>27</v>
      </c>
      <c r="O242" s="22" t="s">
        <v>327</v>
      </c>
      <c r="P242" s="22" t="s">
        <v>1439</v>
      </c>
      <c r="Q242" s="22" t="s">
        <v>29</v>
      </c>
    </row>
    <row r="243">
      <c r="A243" s="21">
        <v>44284.089304814814</v>
      </c>
      <c r="B243" s="22" t="s">
        <v>823</v>
      </c>
      <c r="C243" s="22" t="s">
        <v>824</v>
      </c>
      <c r="D243" s="22" t="s">
        <v>20</v>
      </c>
      <c r="E243" s="23">
        <v>43824.0</v>
      </c>
      <c r="F243" s="23">
        <v>23750.0</v>
      </c>
      <c r="G243" s="22" t="s">
        <v>21</v>
      </c>
      <c r="H243" s="22" t="s">
        <v>22</v>
      </c>
      <c r="I243" s="24" t="s">
        <v>1441</v>
      </c>
      <c r="J243" s="22"/>
      <c r="K243" s="22" t="s">
        <v>1442</v>
      </c>
      <c r="L243" s="22" t="s">
        <v>1443</v>
      </c>
      <c r="M243" s="22" t="s">
        <v>2207</v>
      </c>
      <c r="N243" s="22" t="s">
        <v>27</v>
      </c>
      <c r="O243" s="22" t="s">
        <v>828</v>
      </c>
      <c r="P243" s="22" t="s">
        <v>1445</v>
      </c>
      <c r="Q243" s="22" t="s">
        <v>29</v>
      </c>
    </row>
    <row r="244">
      <c r="A244" s="14">
        <v>44284.52740760417</v>
      </c>
      <c r="B244" s="15" t="s">
        <v>1447</v>
      </c>
      <c r="C244" s="15" t="s">
        <v>1448</v>
      </c>
      <c r="D244" s="15" t="s">
        <v>358</v>
      </c>
      <c r="E244" s="16">
        <v>44283.0</v>
      </c>
      <c r="F244" s="16">
        <v>17882.0</v>
      </c>
      <c r="G244" s="15" t="s">
        <v>21</v>
      </c>
      <c r="H244" s="15" t="s">
        <v>22</v>
      </c>
      <c r="I244" s="15"/>
      <c r="J244" s="15"/>
      <c r="K244" s="15" t="s">
        <v>1449</v>
      </c>
      <c r="L244" s="15" t="s">
        <v>1450</v>
      </c>
      <c r="M244" s="15" t="s">
        <v>1451</v>
      </c>
      <c r="N244" s="15" t="s">
        <v>362</v>
      </c>
      <c r="O244" s="17" t="s">
        <v>1452</v>
      </c>
      <c r="P244" s="15"/>
      <c r="Q244" s="15" t="s">
        <v>29</v>
      </c>
    </row>
    <row r="245">
      <c r="A245" s="14">
        <v>44285.49629388889</v>
      </c>
      <c r="B245" s="15" t="s">
        <v>341</v>
      </c>
      <c r="C245" s="15" t="s">
        <v>1454</v>
      </c>
      <c r="D245" s="15" t="s">
        <v>358</v>
      </c>
      <c r="E245" s="16">
        <v>44278.0</v>
      </c>
      <c r="F245" s="16">
        <v>1380.0</v>
      </c>
      <c r="G245" s="15" t="s">
        <v>136</v>
      </c>
      <c r="H245" s="15" t="s">
        <v>22</v>
      </c>
      <c r="I245" s="15"/>
      <c r="J245" s="15"/>
      <c r="K245" s="15" t="s">
        <v>1455</v>
      </c>
      <c r="L245" s="15" t="s">
        <v>1456</v>
      </c>
      <c r="M245" s="15" t="s">
        <v>1457</v>
      </c>
      <c r="N245" s="15" t="s">
        <v>362</v>
      </c>
      <c r="O245" s="17" t="s">
        <v>346</v>
      </c>
      <c r="P245" s="15"/>
      <c r="Q245" s="15" t="s">
        <v>29</v>
      </c>
    </row>
    <row r="246">
      <c r="A246" s="14">
        <v>44285.512495069444</v>
      </c>
      <c r="B246" s="15" t="s">
        <v>1459</v>
      </c>
      <c r="C246" s="15" t="s">
        <v>1460</v>
      </c>
      <c r="D246" s="15" t="s">
        <v>358</v>
      </c>
      <c r="E246" s="16">
        <v>44284.0</v>
      </c>
      <c r="F246" s="16">
        <v>2800.0</v>
      </c>
      <c r="G246" s="15" t="s">
        <v>136</v>
      </c>
      <c r="H246" s="15" t="s">
        <v>22</v>
      </c>
      <c r="I246" s="15"/>
      <c r="J246" s="15" t="s">
        <v>1461</v>
      </c>
      <c r="K246" s="15" t="s">
        <v>1462</v>
      </c>
      <c r="L246" s="15" t="s">
        <v>1463</v>
      </c>
      <c r="M246" s="15" t="s">
        <v>1464</v>
      </c>
      <c r="N246" s="15" t="s">
        <v>362</v>
      </c>
      <c r="O246" s="17" t="s">
        <v>1465</v>
      </c>
      <c r="P246" s="15"/>
      <c r="Q246" s="15" t="s">
        <v>29</v>
      </c>
    </row>
    <row r="247">
      <c r="A247" s="14">
        <v>44285.55454045139</v>
      </c>
      <c r="B247" s="15" t="s">
        <v>1467</v>
      </c>
      <c r="C247" s="15" t="s">
        <v>1468</v>
      </c>
      <c r="D247" s="15" t="s">
        <v>1469</v>
      </c>
      <c r="E247" s="16">
        <v>44278.0</v>
      </c>
      <c r="F247" s="16">
        <v>6913.5</v>
      </c>
      <c r="G247" s="15" t="s">
        <v>21</v>
      </c>
      <c r="H247" s="15" t="s">
        <v>22</v>
      </c>
      <c r="I247" s="15"/>
      <c r="J247" s="15"/>
      <c r="K247" s="15" t="s">
        <v>1470</v>
      </c>
      <c r="L247" s="15" t="s">
        <v>1471</v>
      </c>
      <c r="M247" s="15" t="s">
        <v>1472</v>
      </c>
      <c r="N247" s="15" t="s">
        <v>1473</v>
      </c>
      <c r="O247" s="17" t="s">
        <v>1474</v>
      </c>
      <c r="P247" s="15"/>
      <c r="Q247" s="15" t="s">
        <v>29</v>
      </c>
    </row>
    <row r="248">
      <c r="A248" s="21">
        <v>44285.56850172454</v>
      </c>
      <c r="B248" s="22" t="s">
        <v>1323</v>
      </c>
      <c r="C248" s="22" t="s">
        <v>1476</v>
      </c>
      <c r="D248" s="22" t="s">
        <v>1049</v>
      </c>
      <c r="E248" s="23">
        <v>44179.0</v>
      </c>
      <c r="F248" s="23">
        <v>181545.0</v>
      </c>
      <c r="G248" s="22" t="s">
        <v>136</v>
      </c>
      <c r="H248" s="22" t="s">
        <v>22</v>
      </c>
      <c r="I248" s="22" t="s">
        <v>1145</v>
      </c>
      <c r="J248" s="22" t="s">
        <v>1477</v>
      </c>
      <c r="K248" s="22" t="s">
        <v>1478</v>
      </c>
      <c r="L248" s="22" t="s">
        <v>1479</v>
      </c>
      <c r="M248" s="22" t="s">
        <v>2208</v>
      </c>
      <c r="N248" s="22" t="s">
        <v>1054</v>
      </c>
      <c r="O248" s="22" t="s">
        <v>1329</v>
      </c>
      <c r="P248" s="22" t="s">
        <v>1150</v>
      </c>
      <c r="Q248" s="22" t="s">
        <v>29</v>
      </c>
    </row>
    <row r="249">
      <c r="A249" s="14">
        <v>44294.55934313657</v>
      </c>
      <c r="B249" s="15" t="s">
        <v>1447</v>
      </c>
      <c r="C249" s="15" t="s">
        <v>1482</v>
      </c>
      <c r="D249" s="15" t="s">
        <v>358</v>
      </c>
      <c r="E249" s="16">
        <v>44291.0</v>
      </c>
      <c r="F249" s="16">
        <v>227761.0</v>
      </c>
      <c r="G249" s="15" t="s">
        <v>21</v>
      </c>
      <c r="H249" s="15" t="s">
        <v>22</v>
      </c>
      <c r="I249" s="15"/>
      <c r="J249" s="15"/>
      <c r="K249" s="15" t="s">
        <v>1483</v>
      </c>
      <c r="L249" s="15" t="s">
        <v>1484</v>
      </c>
      <c r="M249" s="15" t="s">
        <v>1485</v>
      </c>
      <c r="N249" s="15" t="s">
        <v>362</v>
      </c>
      <c r="O249" s="17" t="s">
        <v>1452</v>
      </c>
      <c r="P249" s="15"/>
      <c r="Q249" s="15" t="s">
        <v>29</v>
      </c>
    </row>
    <row r="250">
      <c r="A250" s="14">
        <v>44299.70879668981</v>
      </c>
      <c r="B250" s="15" t="s">
        <v>1487</v>
      </c>
      <c r="C250" s="15" t="s">
        <v>1488</v>
      </c>
      <c r="D250" s="15" t="s">
        <v>358</v>
      </c>
      <c r="E250" s="16">
        <v>44280.0</v>
      </c>
      <c r="F250" s="16">
        <v>10708.0</v>
      </c>
      <c r="G250" s="15" t="s">
        <v>350</v>
      </c>
      <c r="H250" s="15" t="s">
        <v>22</v>
      </c>
      <c r="I250" s="15"/>
      <c r="J250" s="15"/>
      <c r="K250" s="15" t="s">
        <v>1489</v>
      </c>
      <c r="L250" s="15" t="s">
        <v>1490</v>
      </c>
      <c r="M250" s="15" t="s">
        <v>1491</v>
      </c>
      <c r="N250" s="15" t="s">
        <v>362</v>
      </c>
      <c r="O250" s="17" t="s">
        <v>1492</v>
      </c>
      <c r="P250" s="15"/>
      <c r="Q250" s="15" t="s">
        <v>29</v>
      </c>
    </row>
    <row r="251">
      <c r="A251" s="14">
        <v>44300.55764972222</v>
      </c>
      <c r="B251" s="15" t="s">
        <v>624</v>
      </c>
      <c r="C251" s="15" t="s">
        <v>1494</v>
      </c>
      <c r="D251" s="15" t="s">
        <v>756</v>
      </c>
      <c r="E251" s="16">
        <v>44298.0</v>
      </c>
      <c r="F251" s="16">
        <v>1290.0</v>
      </c>
      <c r="G251" s="15" t="s">
        <v>21</v>
      </c>
      <c r="H251" s="15" t="s">
        <v>22</v>
      </c>
      <c r="I251" s="17" t="s">
        <v>1167</v>
      </c>
      <c r="J251" s="15"/>
      <c r="K251" s="15" t="s">
        <v>1495</v>
      </c>
      <c r="L251" s="15" t="s">
        <v>1496</v>
      </c>
      <c r="M251" s="15" t="s">
        <v>1497</v>
      </c>
      <c r="N251" s="15" t="s">
        <v>760</v>
      </c>
      <c r="O251" s="15" t="s">
        <v>630</v>
      </c>
      <c r="P251" s="15" t="s">
        <v>1172</v>
      </c>
      <c r="Q251" s="15" t="s">
        <v>29</v>
      </c>
    </row>
    <row r="252">
      <c r="A252" s="14">
        <v>44305.52025689815</v>
      </c>
      <c r="B252" s="15" t="s">
        <v>482</v>
      </c>
      <c r="C252" s="15" t="s">
        <v>1499</v>
      </c>
      <c r="D252" s="15" t="s">
        <v>358</v>
      </c>
      <c r="E252" s="16">
        <v>44280.0</v>
      </c>
      <c r="F252" s="16">
        <v>2545.0</v>
      </c>
      <c r="G252" s="15" t="s">
        <v>21</v>
      </c>
      <c r="H252" s="15" t="s">
        <v>22</v>
      </c>
      <c r="I252" s="15"/>
      <c r="J252" s="15"/>
      <c r="K252" s="15" t="s">
        <v>1500</v>
      </c>
      <c r="L252" s="15" t="s">
        <v>1501</v>
      </c>
      <c r="M252" s="15" t="s">
        <v>1502</v>
      </c>
      <c r="N252" s="15" t="s">
        <v>362</v>
      </c>
      <c r="O252" s="17" t="s">
        <v>487</v>
      </c>
      <c r="P252" s="15"/>
      <c r="Q252" s="15" t="s">
        <v>29</v>
      </c>
    </row>
    <row r="253">
      <c r="A253" s="14">
        <v>44307.558252083334</v>
      </c>
      <c r="B253" s="15" t="s">
        <v>482</v>
      </c>
      <c r="C253" s="15" t="s">
        <v>1504</v>
      </c>
      <c r="D253" s="15" t="s">
        <v>358</v>
      </c>
      <c r="E253" s="16">
        <v>44301.0</v>
      </c>
      <c r="F253" s="16">
        <v>2340.0</v>
      </c>
      <c r="G253" s="15" t="s">
        <v>136</v>
      </c>
      <c r="H253" s="15" t="s">
        <v>22</v>
      </c>
      <c r="I253" s="17" t="s">
        <v>1137</v>
      </c>
      <c r="J253" s="15"/>
      <c r="K253" s="15" t="s">
        <v>1505</v>
      </c>
      <c r="L253" s="15" t="s">
        <v>1506</v>
      </c>
      <c r="M253" s="15" t="s">
        <v>1507</v>
      </c>
      <c r="N253" s="15" t="s">
        <v>362</v>
      </c>
      <c r="O253" s="15" t="s">
        <v>487</v>
      </c>
      <c r="P253" s="15" t="s">
        <v>1141</v>
      </c>
      <c r="Q253" s="15" t="s">
        <v>29</v>
      </c>
    </row>
    <row r="254">
      <c r="A254" s="14">
        <v>44315.594828182875</v>
      </c>
      <c r="B254" s="15" t="s">
        <v>1509</v>
      </c>
      <c r="C254" s="15" t="s">
        <v>1510</v>
      </c>
      <c r="D254" s="15" t="s">
        <v>358</v>
      </c>
      <c r="E254" s="16">
        <v>44315.0</v>
      </c>
      <c r="F254" s="16">
        <v>5350.0</v>
      </c>
      <c r="G254" s="15" t="s">
        <v>21</v>
      </c>
      <c r="H254" s="15" t="s">
        <v>22</v>
      </c>
      <c r="I254" s="17" t="s">
        <v>1145</v>
      </c>
      <c r="J254" s="15"/>
      <c r="K254" s="15" t="s">
        <v>1512</v>
      </c>
      <c r="L254" s="15" t="s">
        <v>1513</v>
      </c>
      <c r="M254" s="15" t="s">
        <v>1514</v>
      </c>
      <c r="N254" s="15" t="s">
        <v>362</v>
      </c>
      <c r="O254" s="15" t="s">
        <v>1515</v>
      </c>
      <c r="P254" s="15" t="s">
        <v>1150</v>
      </c>
      <c r="Q254" s="15" t="s">
        <v>29</v>
      </c>
    </row>
    <row r="255">
      <c r="A255" s="14">
        <v>44329.754251377315</v>
      </c>
      <c r="B255" s="15" t="s">
        <v>1517</v>
      </c>
      <c r="C255" s="15" t="s">
        <v>1518</v>
      </c>
      <c r="D255" s="15" t="s">
        <v>358</v>
      </c>
      <c r="E255" s="16">
        <v>44329.0</v>
      </c>
      <c r="F255" s="16">
        <v>4420.0</v>
      </c>
      <c r="G255" s="15" t="s">
        <v>136</v>
      </c>
      <c r="H255" s="15" t="s">
        <v>22</v>
      </c>
      <c r="I255" s="17" t="s">
        <v>1137</v>
      </c>
      <c r="J255" s="15"/>
      <c r="K255" s="15" t="s">
        <v>1519</v>
      </c>
      <c r="L255" s="15" t="s">
        <v>1520</v>
      </c>
      <c r="M255" s="15" t="s">
        <v>1521</v>
      </c>
      <c r="N255" s="15" t="s">
        <v>362</v>
      </c>
      <c r="O255" s="15" t="s">
        <v>1522</v>
      </c>
      <c r="P255" s="15" t="s">
        <v>1141</v>
      </c>
      <c r="Q255" s="15" t="s">
        <v>29</v>
      </c>
    </row>
    <row r="256">
      <c r="A256" s="14">
        <v>44333.72929481481</v>
      </c>
      <c r="B256" s="15" t="s">
        <v>1524</v>
      </c>
      <c r="C256" s="15" t="s">
        <v>1525</v>
      </c>
      <c r="D256" s="15" t="s">
        <v>358</v>
      </c>
      <c r="E256" s="16">
        <v>44208.0</v>
      </c>
      <c r="F256" s="16">
        <v>11441.0</v>
      </c>
      <c r="G256" s="15" t="s">
        <v>21</v>
      </c>
      <c r="H256" s="15" t="s">
        <v>22</v>
      </c>
      <c r="I256" s="15"/>
      <c r="J256" s="15" t="s">
        <v>1526</v>
      </c>
      <c r="K256" s="15" t="s">
        <v>1527</v>
      </c>
      <c r="L256" s="15" t="s">
        <v>1528</v>
      </c>
      <c r="M256" s="15" t="s">
        <v>1529</v>
      </c>
      <c r="N256" s="15" t="s">
        <v>362</v>
      </c>
      <c r="O256" s="17" t="s">
        <v>1530</v>
      </c>
      <c r="P256" s="15"/>
      <c r="Q256" s="15" t="s">
        <v>29</v>
      </c>
    </row>
    <row r="257">
      <c r="A257" s="14">
        <v>44333.73492758102</v>
      </c>
      <c r="B257" s="15" t="s">
        <v>1532</v>
      </c>
      <c r="C257" s="15" t="s">
        <v>1533</v>
      </c>
      <c r="D257" s="15" t="s">
        <v>358</v>
      </c>
      <c r="E257" s="16">
        <v>44287.0</v>
      </c>
      <c r="F257" s="16">
        <v>271416.96</v>
      </c>
      <c r="G257" s="15" t="s">
        <v>136</v>
      </c>
      <c r="H257" s="15" t="s">
        <v>22</v>
      </c>
      <c r="I257" s="15"/>
      <c r="J257" s="15" t="s">
        <v>1534</v>
      </c>
      <c r="K257" s="15" t="s">
        <v>1535</v>
      </c>
      <c r="L257" s="15" t="s">
        <v>1536</v>
      </c>
      <c r="M257" s="15" t="s">
        <v>1537</v>
      </c>
      <c r="N257" s="15" t="s">
        <v>362</v>
      </c>
      <c r="O257" s="17" t="s">
        <v>1538</v>
      </c>
      <c r="P257" s="15"/>
      <c r="Q257" s="15" t="s">
        <v>29</v>
      </c>
    </row>
    <row r="258">
      <c r="A258" s="14">
        <v>44336.63311692129</v>
      </c>
      <c r="B258" s="15" t="s">
        <v>988</v>
      </c>
      <c r="C258" s="15" t="s">
        <v>1540</v>
      </c>
      <c r="D258" s="15" t="s">
        <v>358</v>
      </c>
      <c r="E258" s="16">
        <v>44336.0</v>
      </c>
      <c r="F258" s="16">
        <v>31200.0</v>
      </c>
      <c r="G258" s="15" t="s">
        <v>136</v>
      </c>
      <c r="H258" s="15" t="s">
        <v>22</v>
      </c>
      <c r="I258" s="17" t="s">
        <v>1145</v>
      </c>
      <c r="J258" s="15"/>
      <c r="K258" s="15" t="s">
        <v>1541</v>
      </c>
      <c r="L258" s="15" t="s">
        <v>1542</v>
      </c>
      <c r="M258" s="15" t="s">
        <v>1543</v>
      </c>
      <c r="N258" s="15" t="s">
        <v>362</v>
      </c>
      <c r="O258" s="15" t="s">
        <v>993</v>
      </c>
      <c r="P258" s="15" t="s">
        <v>1150</v>
      </c>
      <c r="Q258" s="15" t="s">
        <v>29</v>
      </c>
    </row>
    <row r="259">
      <c r="A259" s="14">
        <v>44337.63796373842</v>
      </c>
      <c r="B259" s="15" t="s">
        <v>393</v>
      </c>
      <c r="C259" s="15" t="s">
        <v>1545</v>
      </c>
      <c r="D259" s="15" t="s">
        <v>358</v>
      </c>
      <c r="E259" s="16">
        <v>44256.0</v>
      </c>
      <c r="F259" s="16">
        <v>701000.0</v>
      </c>
      <c r="G259" s="15" t="s">
        <v>21</v>
      </c>
      <c r="H259" s="15" t="s">
        <v>22</v>
      </c>
      <c r="I259" s="15"/>
      <c r="J259" s="15"/>
      <c r="K259" s="15" t="s">
        <v>1546</v>
      </c>
      <c r="L259" s="15" t="s">
        <v>1547</v>
      </c>
      <c r="M259" s="15" t="s">
        <v>1548</v>
      </c>
      <c r="N259" s="15" t="s">
        <v>362</v>
      </c>
      <c r="O259" s="17" t="s">
        <v>398</v>
      </c>
      <c r="P259" s="15"/>
      <c r="Q259" s="15" t="s">
        <v>29</v>
      </c>
    </row>
    <row r="260">
      <c r="A260" s="14">
        <v>44337.69600628472</v>
      </c>
      <c r="B260" s="15" t="s">
        <v>1550</v>
      </c>
      <c r="C260" s="15" t="s">
        <v>1551</v>
      </c>
      <c r="D260" s="15" t="s">
        <v>358</v>
      </c>
      <c r="E260" s="16">
        <v>44336.0</v>
      </c>
      <c r="F260" s="16">
        <v>4320.0</v>
      </c>
      <c r="G260" s="15" t="s">
        <v>136</v>
      </c>
      <c r="H260" s="15" t="s">
        <v>22</v>
      </c>
      <c r="I260" s="17" t="s">
        <v>1145</v>
      </c>
      <c r="J260" s="15"/>
      <c r="K260" s="15" t="s">
        <v>1553</v>
      </c>
      <c r="L260" s="15" t="s">
        <v>1554</v>
      </c>
      <c r="M260" s="15" t="s">
        <v>1555</v>
      </c>
      <c r="N260" s="15" t="s">
        <v>362</v>
      </c>
      <c r="O260" s="15" t="s">
        <v>1556</v>
      </c>
      <c r="P260" s="15" t="s">
        <v>1150</v>
      </c>
      <c r="Q260" s="15" t="s">
        <v>29</v>
      </c>
    </row>
    <row r="261">
      <c r="A261" s="14">
        <v>44341.74105887732</v>
      </c>
      <c r="B261" s="15" t="s">
        <v>1550</v>
      </c>
      <c r="C261" s="15" t="s">
        <v>1551</v>
      </c>
      <c r="D261" s="15" t="s">
        <v>518</v>
      </c>
      <c r="E261" s="16">
        <v>44341.0</v>
      </c>
      <c r="F261" s="16">
        <v>0.0</v>
      </c>
      <c r="G261" s="15" t="s">
        <v>350</v>
      </c>
      <c r="H261" s="15" t="s">
        <v>22</v>
      </c>
      <c r="I261" s="17" t="s">
        <v>1145</v>
      </c>
      <c r="J261" s="15"/>
      <c r="K261" s="15" t="s">
        <v>1558</v>
      </c>
      <c r="L261" s="15" t="s">
        <v>1559</v>
      </c>
      <c r="M261" s="15" t="s">
        <v>1560</v>
      </c>
      <c r="N261" s="15" t="s">
        <v>523</v>
      </c>
      <c r="O261" s="15" t="s">
        <v>1556</v>
      </c>
      <c r="P261" s="15" t="s">
        <v>1150</v>
      </c>
      <c r="Q261" s="15" t="s">
        <v>29</v>
      </c>
    </row>
    <row r="262">
      <c r="A262" s="14">
        <v>44341.74266481481</v>
      </c>
      <c r="B262" s="15" t="s">
        <v>1550</v>
      </c>
      <c r="C262" s="15" t="s">
        <v>1551</v>
      </c>
      <c r="D262" s="15" t="s">
        <v>1049</v>
      </c>
      <c r="E262" s="16">
        <v>44336.0</v>
      </c>
      <c r="F262" s="16">
        <v>6000.0</v>
      </c>
      <c r="G262" s="15" t="s">
        <v>136</v>
      </c>
      <c r="H262" s="15" t="s">
        <v>22</v>
      </c>
      <c r="I262" s="17" t="s">
        <v>1145</v>
      </c>
      <c r="J262" s="15"/>
      <c r="K262" s="15" t="s">
        <v>1562</v>
      </c>
      <c r="L262" s="15" t="s">
        <v>1563</v>
      </c>
      <c r="M262" s="15" t="s">
        <v>1564</v>
      </c>
      <c r="N262" s="15" t="s">
        <v>1054</v>
      </c>
      <c r="O262" s="15" t="s">
        <v>1556</v>
      </c>
      <c r="P262" s="15" t="s">
        <v>1150</v>
      </c>
      <c r="Q262" s="15" t="s">
        <v>1205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75"/>
    <col customWidth="1" min="3" max="3" width="38.13"/>
    <col customWidth="1" min="4" max="4" width="54.5"/>
    <col customWidth="1" min="5" max="5" width="11.0"/>
    <col customWidth="1" min="6" max="6" width="9.38"/>
    <col customWidth="1" min="7" max="7" width="10.88"/>
    <col customWidth="1" min="8" max="11" width="18.88"/>
    <col customWidth="1" min="12" max="12" width="36.88"/>
    <col customWidth="1" min="13" max="13" width="145.0"/>
    <col customWidth="1" min="14" max="18" width="18.88"/>
    <col customWidth="1" min="19" max="19" width="49.88"/>
    <col customWidth="1" min="20" max="21" width="18.88"/>
  </cols>
  <sheetData>
    <row r="1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3" t="s">
        <v>2194</v>
      </c>
      <c r="R1" s="3" t="s">
        <v>2209</v>
      </c>
      <c r="S1" s="3" t="s">
        <v>17</v>
      </c>
      <c r="T1" s="3" t="s">
        <v>2210</v>
      </c>
      <c r="U1" s="1" t="str">
        <f t="array" ref="U1:U1450">if(A:A&lt;&gt;"",if(ROW(A:A)=1,"ნომერი","ICE"&amp;row(A:A)-1),"")</f>
        <v>ნომერი</v>
      </c>
    </row>
    <row r="2">
      <c r="A2" s="4">
        <v>44342.728477384255</v>
      </c>
      <c r="B2" s="3" t="s">
        <v>18</v>
      </c>
      <c r="C2" s="3" t="s">
        <v>19</v>
      </c>
      <c r="D2" s="3" t="s">
        <v>20</v>
      </c>
      <c r="E2" s="6">
        <v>43767.0</v>
      </c>
      <c r="F2" s="3">
        <v>350000.0</v>
      </c>
      <c r="G2" s="3" t="s">
        <v>21</v>
      </c>
      <c r="H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Q2" s="3" t="s">
        <v>29</v>
      </c>
      <c r="S2" s="26" t="str">
        <f t="array" ref="S2:S1450">if(A2:A1450&lt;&gt;"",left(M2:M1450,iferror(search("(+)",M2:M1450),search("(-)",M2:M1450))-2)&amp;" "&amp;MID(M2:M1450,SEARCH("|",M2:M1450),1)&amp;" "&amp;left(B2:B1450,SEARCH("(ს.კ.",B2:B1450)-1)&amp;" "&amp;MID(M2:M1450,SEARCH("|",M2:M1450),1)&amp;" "&amp;TEXT(F2:F1450,"#,##0.00")&amp;" "&amp;G2:G1450&amp;" "&amp;MID(M2:M1450,SEARCH("|",M2:M1450),1)&amp;" "&amp;TEXT(E2:E1450,"DD.MM.YYYY"),"")</f>
        <v>Biota Park | 1.1.1. | ოლიმპ ჯორჯია  | 350,000.00 USD | 29.10.2019</v>
      </c>
      <c r="T2" s="27">
        <f>IFERROR(__xludf.DUMMYFUNCTION("ArrayFormula(if( A2:A1450&lt;&gt;"""", vlookup(O2:O1450, QUERY(IMPORTRANGE(""1BB2vegyweFMhmEGshLTiUL8CE4mOZ6zsta5ECrU9TU0"",""Counteragents""&amp;""!A:Z""),CONCATENATE(""Select Col"",MATCH(""კონტრაგენტი_GUID/"",IMPORTRANGE(""1a0yHMlSrZV71Un45oznplcEPzNjsl78Qko9uBFT"&amp;"PIUA"",""Counteragents!1:1""),0),"", Col"",MATCH(""ORIS ID :"",IMPORTRANGE(""1a0yHMlSrZV71Un45oznplcEPzNjsl78Qko9uBFTPIUA"",""Counteragents!1:1""),0))),2,FALSE),""""))"),1270.0)</f>
        <v>1270</v>
      </c>
      <c r="U2" s="1" t="s">
        <v>2211</v>
      </c>
    </row>
    <row r="3">
      <c r="A3" s="4">
        <v>44342.72850405093</v>
      </c>
      <c r="B3" s="3" t="s">
        <v>30</v>
      </c>
      <c r="C3" s="3" t="s">
        <v>31</v>
      </c>
      <c r="D3" s="3" t="s">
        <v>20</v>
      </c>
      <c r="E3" s="6">
        <v>43762.0</v>
      </c>
      <c r="F3" s="28">
        <v>23100.0</v>
      </c>
      <c r="G3" s="3" t="s">
        <v>21</v>
      </c>
      <c r="H3" s="3" t="s">
        <v>22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27</v>
      </c>
      <c r="O3" s="3" t="s">
        <v>36</v>
      </c>
      <c r="Q3" s="3" t="s">
        <v>29</v>
      </c>
      <c r="S3" s="27" t="s">
        <v>37</v>
      </c>
      <c r="T3" s="27">
        <f>IFERROR(__xludf.DUMMYFUNCTION("""COMPUTED_VALUE"""),541.0)</f>
        <v>541</v>
      </c>
      <c r="U3" s="1" t="s">
        <v>2212</v>
      </c>
    </row>
    <row r="4">
      <c r="A4" s="4">
        <v>44342.72852833333</v>
      </c>
      <c r="B4" s="3" t="s">
        <v>38</v>
      </c>
      <c r="C4" s="3" t="s">
        <v>39</v>
      </c>
      <c r="D4" s="3" t="s">
        <v>20</v>
      </c>
      <c r="E4" s="6">
        <v>43767.0</v>
      </c>
      <c r="F4" s="3">
        <v>42500.0</v>
      </c>
      <c r="G4" s="3" t="s">
        <v>21</v>
      </c>
      <c r="H4" s="3" t="s">
        <v>22</v>
      </c>
      <c r="K4" s="3" t="s">
        <v>40</v>
      </c>
      <c r="L4" s="3" t="s">
        <v>41</v>
      </c>
      <c r="M4" s="3" t="s">
        <v>42</v>
      </c>
      <c r="N4" s="3" t="s">
        <v>27</v>
      </c>
      <c r="O4" s="3" t="s">
        <v>43</v>
      </c>
      <c r="Q4" s="3" t="s">
        <v>29</v>
      </c>
      <c r="S4" s="27" t="s">
        <v>44</v>
      </c>
      <c r="T4" s="27">
        <f>IFERROR(__xludf.DUMMYFUNCTION("""COMPUTED_VALUE"""),1257.0)</f>
        <v>1257</v>
      </c>
      <c r="U4" s="1" t="s">
        <v>2213</v>
      </c>
    </row>
    <row r="5">
      <c r="A5" s="4">
        <v>44342.72855267361</v>
      </c>
      <c r="B5" s="3" t="s">
        <v>45</v>
      </c>
      <c r="C5" s="3" t="s">
        <v>46</v>
      </c>
      <c r="D5" s="3" t="s">
        <v>20</v>
      </c>
      <c r="E5" s="6">
        <v>43724.0</v>
      </c>
      <c r="F5" s="3">
        <v>48500.0</v>
      </c>
      <c r="G5" s="3" t="s">
        <v>21</v>
      </c>
      <c r="H5" s="3" t="s">
        <v>22</v>
      </c>
      <c r="J5" s="3" t="s">
        <v>47</v>
      </c>
      <c r="K5" s="3" t="s">
        <v>48</v>
      </c>
      <c r="L5" s="3" t="s">
        <v>49</v>
      </c>
      <c r="M5" s="3" t="s">
        <v>50</v>
      </c>
      <c r="N5" s="3" t="s">
        <v>27</v>
      </c>
      <c r="O5" s="3" t="s">
        <v>51</v>
      </c>
      <c r="Q5" s="3" t="s">
        <v>29</v>
      </c>
      <c r="S5" s="27" t="s">
        <v>52</v>
      </c>
      <c r="T5" s="27">
        <f>IFERROR(__xludf.DUMMYFUNCTION("""COMPUTED_VALUE"""),1252.0)</f>
        <v>1252</v>
      </c>
      <c r="U5" s="1" t="s">
        <v>2214</v>
      </c>
    </row>
    <row r="6">
      <c r="A6" s="4">
        <v>44342.72857759259</v>
      </c>
      <c r="B6" s="3" t="s">
        <v>53</v>
      </c>
      <c r="C6" s="3" t="s">
        <v>54</v>
      </c>
      <c r="D6" s="3" t="s">
        <v>20</v>
      </c>
      <c r="E6" s="6">
        <v>43734.0</v>
      </c>
      <c r="F6" s="3">
        <v>28000.0</v>
      </c>
      <c r="G6" s="3" t="s">
        <v>21</v>
      </c>
      <c r="H6" s="3" t="s">
        <v>22</v>
      </c>
      <c r="K6" s="3" t="s">
        <v>55</v>
      </c>
      <c r="L6" s="3" t="s">
        <v>56</v>
      </c>
      <c r="M6" s="3" t="s">
        <v>57</v>
      </c>
      <c r="N6" s="3" t="s">
        <v>27</v>
      </c>
      <c r="O6" s="3" t="s">
        <v>58</v>
      </c>
      <c r="Q6" s="3" t="s">
        <v>29</v>
      </c>
      <c r="S6" s="27" t="s">
        <v>59</v>
      </c>
      <c r="T6" s="27">
        <f>IFERROR(__xludf.DUMMYFUNCTION("""COMPUTED_VALUE"""),917.0)</f>
        <v>917</v>
      </c>
      <c r="U6" s="1" t="s">
        <v>2215</v>
      </c>
    </row>
    <row r="7">
      <c r="A7" s="4">
        <v>44342.72860324074</v>
      </c>
      <c r="B7" s="3" t="s">
        <v>60</v>
      </c>
      <c r="C7" s="3" t="s">
        <v>61</v>
      </c>
      <c r="D7" s="3" t="s">
        <v>20</v>
      </c>
      <c r="E7" s="6">
        <v>43672.0</v>
      </c>
      <c r="F7" s="3">
        <v>24000.0</v>
      </c>
      <c r="G7" s="3" t="s">
        <v>21</v>
      </c>
      <c r="H7" s="3" t="s">
        <v>22</v>
      </c>
      <c r="K7" s="3" t="s">
        <v>62</v>
      </c>
      <c r="L7" s="3" t="s">
        <v>63</v>
      </c>
      <c r="M7" s="3" t="s">
        <v>64</v>
      </c>
      <c r="N7" s="3" t="s">
        <v>27</v>
      </c>
      <c r="O7" s="3" t="s">
        <v>65</v>
      </c>
      <c r="Q7" s="3" t="s">
        <v>29</v>
      </c>
      <c r="S7" s="27" t="s">
        <v>66</v>
      </c>
      <c r="T7" s="27">
        <f>IFERROR(__xludf.DUMMYFUNCTION("""COMPUTED_VALUE"""),1207.0)</f>
        <v>1207</v>
      </c>
      <c r="U7" s="1" t="s">
        <v>2216</v>
      </c>
    </row>
    <row r="8">
      <c r="A8" s="4">
        <v>44342.72862770833</v>
      </c>
      <c r="B8" s="3" t="s">
        <v>67</v>
      </c>
      <c r="C8" s="3" t="s">
        <v>68</v>
      </c>
      <c r="D8" s="3" t="s">
        <v>20</v>
      </c>
      <c r="E8" s="6">
        <v>43633.0</v>
      </c>
      <c r="F8" s="3">
        <v>32000.0</v>
      </c>
      <c r="G8" s="3" t="s">
        <v>21</v>
      </c>
      <c r="H8" s="3" t="s">
        <v>22</v>
      </c>
      <c r="K8" s="3" t="s">
        <v>69</v>
      </c>
      <c r="L8" s="3" t="s">
        <v>70</v>
      </c>
      <c r="M8" s="3" t="s">
        <v>71</v>
      </c>
      <c r="N8" s="3" t="s">
        <v>27</v>
      </c>
      <c r="O8" s="3" t="s">
        <v>72</v>
      </c>
      <c r="Q8" s="3" t="s">
        <v>29</v>
      </c>
      <c r="S8" s="27" t="s">
        <v>2217</v>
      </c>
      <c r="T8" s="27">
        <f>IFERROR(__xludf.DUMMYFUNCTION("""COMPUTED_VALUE"""),642.0)</f>
        <v>642</v>
      </c>
      <c r="U8" s="1" t="s">
        <v>2218</v>
      </c>
    </row>
    <row r="9">
      <c r="A9" s="4">
        <v>44342.728653240745</v>
      </c>
      <c r="B9" s="3" t="s">
        <v>74</v>
      </c>
      <c r="C9" s="3" t="s">
        <v>75</v>
      </c>
      <c r="D9" s="3" t="s">
        <v>20</v>
      </c>
      <c r="E9" s="6">
        <v>43608.0</v>
      </c>
      <c r="F9" s="3">
        <v>104500.0</v>
      </c>
      <c r="G9" s="3" t="s">
        <v>21</v>
      </c>
      <c r="H9" s="3" t="s">
        <v>22</v>
      </c>
      <c r="K9" s="3" t="s">
        <v>76</v>
      </c>
      <c r="L9" s="3" t="s">
        <v>77</v>
      </c>
      <c r="M9" s="3" t="s">
        <v>78</v>
      </c>
      <c r="N9" s="3" t="s">
        <v>27</v>
      </c>
      <c r="O9" s="3" t="s">
        <v>79</v>
      </c>
      <c r="Q9" s="3" t="s">
        <v>29</v>
      </c>
      <c r="S9" s="27" t="s">
        <v>80</v>
      </c>
      <c r="T9" s="27">
        <f>IFERROR(__xludf.DUMMYFUNCTION("""COMPUTED_VALUE"""),1173.0)</f>
        <v>1173</v>
      </c>
      <c r="U9" s="1" t="s">
        <v>2219</v>
      </c>
    </row>
    <row r="10">
      <c r="A10" s="4">
        <v>44342.72867758102</v>
      </c>
      <c r="B10" s="3" t="s">
        <v>81</v>
      </c>
      <c r="C10" s="3" t="s">
        <v>82</v>
      </c>
      <c r="D10" s="3" t="s">
        <v>20</v>
      </c>
      <c r="E10" s="6">
        <v>43622.0</v>
      </c>
      <c r="F10" s="3">
        <v>31000.0</v>
      </c>
      <c r="G10" s="3" t="s">
        <v>21</v>
      </c>
      <c r="H10" s="3" t="s">
        <v>22</v>
      </c>
      <c r="J10" s="3" t="s">
        <v>83</v>
      </c>
      <c r="K10" s="3" t="s">
        <v>84</v>
      </c>
      <c r="L10" s="3" t="s">
        <v>85</v>
      </c>
      <c r="M10" s="3" t="s">
        <v>86</v>
      </c>
      <c r="N10" s="3" t="s">
        <v>27</v>
      </c>
      <c r="O10" s="3" t="s">
        <v>87</v>
      </c>
      <c r="Q10" s="3" t="s">
        <v>29</v>
      </c>
      <c r="S10" s="27" t="s">
        <v>88</v>
      </c>
      <c r="T10" s="27">
        <f>IFERROR(__xludf.DUMMYFUNCTION("""COMPUTED_VALUE"""),1179.0)</f>
        <v>1179</v>
      </c>
      <c r="U10" s="1" t="s">
        <v>2220</v>
      </c>
    </row>
    <row r="11">
      <c r="A11" s="4">
        <v>44342.728701493055</v>
      </c>
      <c r="B11" s="3" t="s">
        <v>89</v>
      </c>
      <c r="C11" s="3" t="s">
        <v>90</v>
      </c>
      <c r="D11" s="3" t="s">
        <v>20</v>
      </c>
      <c r="E11" s="6">
        <v>43607.0</v>
      </c>
      <c r="F11" s="3">
        <v>340000.0</v>
      </c>
      <c r="G11" s="3" t="s">
        <v>21</v>
      </c>
      <c r="H11" s="3" t="s">
        <v>22</v>
      </c>
      <c r="K11" s="3" t="s">
        <v>91</v>
      </c>
      <c r="L11" s="3" t="s">
        <v>92</v>
      </c>
      <c r="M11" s="3" t="s">
        <v>93</v>
      </c>
      <c r="N11" s="3" t="s">
        <v>27</v>
      </c>
      <c r="O11" s="3" t="s">
        <v>94</v>
      </c>
      <c r="Q11" s="3" t="s">
        <v>29</v>
      </c>
      <c r="S11" s="27" t="s">
        <v>95</v>
      </c>
      <c r="T11" s="27">
        <f>IFERROR(__xludf.DUMMYFUNCTION("""COMPUTED_VALUE"""),902.0)</f>
        <v>902</v>
      </c>
      <c r="U11" s="1" t="s">
        <v>2221</v>
      </c>
    </row>
    <row r="12">
      <c r="A12" s="4">
        <v>44342.728725821755</v>
      </c>
      <c r="B12" s="3" t="s">
        <v>96</v>
      </c>
      <c r="C12" s="3" t="s">
        <v>97</v>
      </c>
      <c r="D12" s="3" t="s">
        <v>20</v>
      </c>
      <c r="E12" s="6">
        <v>43460.0</v>
      </c>
      <c r="F12" s="3">
        <v>160000.0</v>
      </c>
      <c r="G12" s="3" t="s">
        <v>21</v>
      </c>
      <c r="H12" s="3" t="s">
        <v>22</v>
      </c>
      <c r="K12" s="3" t="s">
        <v>98</v>
      </c>
      <c r="L12" s="3" t="s">
        <v>99</v>
      </c>
      <c r="M12" s="3" t="s">
        <v>100</v>
      </c>
      <c r="N12" s="3" t="s">
        <v>27</v>
      </c>
      <c r="O12" s="3" t="s">
        <v>101</v>
      </c>
      <c r="Q12" s="3" t="s">
        <v>29</v>
      </c>
      <c r="S12" s="27" t="s">
        <v>102</v>
      </c>
      <c r="T12" s="27">
        <f>IFERROR(__xludf.DUMMYFUNCTION("""COMPUTED_VALUE"""),1034.0)</f>
        <v>1034</v>
      </c>
      <c r="U12" s="1" t="s">
        <v>2222</v>
      </c>
    </row>
    <row r="13">
      <c r="A13" s="4">
        <v>44342.728751030096</v>
      </c>
      <c r="B13" s="3" t="s">
        <v>103</v>
      </c>
      <c r="C13" s="3" t="s">
        <v>104</v>
      </c>
      <c r="D13" s="3" t="s">
        <v>20</v>
      </c>
      <c r="E13" s="6">
        <v>43479.0</v>
      </c>
      <c r="F13" s="3">
        <v>28650.0</v>
      </c>
      <c r="G13" s="3" t="s">
        <v>21</v>
      </c>
      <c r="H13" s="3" t="s">
        <v>22</v>
      </c>
      <c r="K13" s="3" t="s">
        <v>105</v>
      </c>
      <c r="L13" s="3" t="s">
        <v>106</v>
      </c>
      <c r="M13" s="3" t="s">
        <v>107</v>
      </c>
      <c r="N13" s="3" t="s">
        <v>27</v>
      </c>
      <c r="O13" s="3" t="s">
        <v>108</v>
      </c>
      <c r="Q13" s="3" t="s">
        <v>29</v>
      </c>
      <c r="S13" s="27" t="s">
        <v>109</v>
      </c>
      <c r="T13" s="27">
        <f>IFERROR(__xludf.DUMMYFUNCTION("""COMPUTED_VALUE"""),93.0)</f>
        <v>93</v>
      </c>
      <c r="U13" s="1" t="s">
        <v>2223</v>
      </c>
    </row>
    <row r="14">
      <c r="A14" s="4">
        <v>44342.728777094904</v>
      </c>
      <c r="B14" s="3" t="s">
        <v>110</v>
      </c>
      <c r="C14" s="3" t="s">
        <v>111</v>
      </c>
      <c r="D14" s="3" t="s">
        <v>20</v>
      </c>
      <c r="E14" s="6">
        <v>43363.0</v>
      </c>
      <c r="F14" s="3">
        <v>1046340.0</v>
      </c>
      <c r="G14" s="3" t="s">
        <v>21</v>
      </c>
      <c r="H14" s="3" t="s">
        <v>22</v>
      </c>
      <c r="J14" s="3" t="s">
        <v>112</v>
      </c>
      <c r="K14" s="3" t="s">
        <v>113</v>
      </c>
      <c r="L14" s="3" t="s">
        <v>114</v>
      </c>
      <c r="M14" s="3" t="s">
        <v>115</v>
      </c>
      <c r="N14" s="3" t="s">
        <v>27</v>
      </c>
      <c r="O14" s="3" t="s">
        <v>116</v>
      </c>
      <c r="Q14" s="3" t="s">
        <v>29</v>
      </c>
      <c r="S14" s="27" t="s">
        <v>117</v>
      </c>
      <c r="T14" s="27">
        <f>IFERROR(__xludf.DUMMYFUNCTION("""COMPUTED_VALUE"""),853.0)</f>
        <v>853</v>
      </c>
      <c r="U14" s="1" t="s">
        <v>2224</v>
      </c>
    </row>
    <row r="15">
      <c r="A15" s="4">
        <v>44342.7288019213</v>
      </c>
      <c r="B15" s="3" t="s">
        <v>118</v>
      </c>
      <c r="C15" s="3" t="s">
        <v>119</v>
      </c>
      <c r="D15" s="3" t="s">
        <v>20</v>
      </c>
      <c r="E15" s="6">
        <v>43461.0</v>
      </c>
      <c r="F15" s="3">
        <v>73000.0</v>
      </c>
      <c r="G15" s="3" t="s">
        <v>21</v>
      </c>
      <c r="H15" s="3" t="s">
        <v>22</v>
      </c>
      <c r="J15" s="3" t="s">
        <v>120</v>
      </c>
      <c r="K15" s="3" t="s">
        <v>121</v>
      </c>
      <c r="L15" s="3" t="s">
        <v>122</v>
      </c>
      <c r="M15" s="3" t="s">
        <v>123</v>
      </c>
      <c r="N15" s="3" t="s">
        <v>27</v>
      </c>
      <c r="O15" s="3" t="s">
        <v>124</v>
      </c>
      <c r="Q15" s="3" t="s">
        <v>29</v>
      </c>
      <c r="S15" s="27" t="s">
        <v>125</v>
      </c>
      <c r="T15" s="27">
        <f>IFERROR(__xludf.DUMMYFUNCTION("""COMPUTED_VALUE"""),1039.0)</f>
        <v>1039</v>
      </c>
      <c r="U15" s="1" t="s">
        <v>2225</v>
      </c>
    </row>
    <row r="16">
      <c r="A16" s="4">
        <v>44342.728826412036</v>
      </c>
      <c r="B16" s="3" t="s">
        <v>126</v>
      </c>
      <c r="C16" s="3" t="s">
        <v>127</v>
      </c>
      <c r="D16" s="3" t="s">
        <v>20</v>
      </c>
      <c r="E16" s="6">
        <v>43816.0</v>
      </c>
      <c r="F16" s="29">
        <v>117370.0</v>
      </c>
      <c r="G16" s="3" t="s">
        <v>21</v>
      </c>
      <c r="H16" s="3" t="s">
        <v>22</v>
      </c>
      <c r="J16" s="3" t="s">
        <v>128</v>
      </c>
      <c r="K16" s="3" t="s">
        <v>129</v>
      </c>
      <c r="L16" s="3" t="s">
        <v>130</v>
      </c>
      <c r="M16" s="3" t="s">
        <v>131</v>
      </c>
      <c r="N16" s="3" t="s">
        <v>27</v>
      </c>
      <c r="O16" s="3" t="s">
        <v>132</v>
      </c>
      <c r="Q16" s="3" t="s">
        <v>29</v>
      </c>
      <c r="S16" s="27" t="s">
        <v>2226</v>
      </c>
      <c r="T16" s="27">
        <f>IFERROR(__xludf.DUMMYFUNCTION("""COMPUTED_VALUE"""),1335.0)</f>
        <v>1335</v>
      </c>
      <c r="U16" s="1" t="s">
        <v>2227</v>
      </c>
    </row>
    <row r="17">
      <c r="A17" s="4">
        <v>44342.728850810185</v>
      </c>
      <c r="B17" s="3" t="s">
        <v>134</v>
      </c>
      <c r="C17" s="3" t="s">
        <v>135</v>
      </c>
      <c r="D17" s="3" t="s">
        <v>20</v>
      </c>
      <c r="E17" s="6">
        <v>42948.0</v>
      </c>
      <c r="F17" s="3">
        <v>97000.0</v>
      </c>
      <c r="G17" s="3" t="s">
        <v>136</v>
      </c>
      <c r="H17" s="3" t="s">
        <v>22</v>
      </c>
      <c r="K17" s="3" t="s">
        <v>137</v>
      </c>
      <c r="L17" s="3" t="s">
        <v>138</v>
      </c>
      <c r="M17" s="3" t="s">
        <v>139</v>
      </c>
      <c r="N17" s="3" t="s">
        <v>27</v>
      </c>
      <c r="O17" s="3" t="s">
        <v>140</v>
      </c>
      <c r="Q17" s="3" t="s">
        <v>29</v>
      </c>
      <c r="S17" s="27" t="s">
        <v>141</v>
      </c>
      <c r="T17" s="27">
        <f>IFERROR(__xludf.DUMMYFUNCTION("""COMPUTED_VALUE"""),863.0)</f>
        <v>863</v>
      </c>
      <c r="U17" s="1" t="s">
        <v>2228</v>
      </c>
    </row>
    <row r="18">
      <c r="A18" s="4">
        <v>44342.728874583336</v>
      </c>
      <c r="B18" s="3" t="s">
        <v>142</v>
      </c>
      <c r="C18" s="3" t="s">
        <v>143</v>
      </c>
      <c r="D18" s="3" t="s">
        <v>20</v>
      </c>
      <c r="E18" s="6">
        <v>42923.0</v>
      </c>
      <c r="F18" s="3">
        <v>161000.0</v>
      </c>
      <c r="G18" s="3" t="s">
        <v>21</v>
      </c>
      <c r="H18" s="3" t="s">
        <v>22</v>
      </c>
      <c r="K18" s="3" t="s">
        <v>144</v>
      </c>
      <c r="L18" s="3" t="s">
        <v>145</v>
      </c>
      <c r="M18" s="3" t="s">
        <v>146</v>
      </c>
      <c r="N18" s="3" t="s">
        <v>27</v>
      </c>
      <c r="O18" s="3" t="s">
        <v>147</v>
      </c>
      <c r="Q18" s="3" t="s">
        <v>29</v>
      </c>
      <c r="S18" s="27" t="s">
        <v>148</v>
      </c>
      <c r="T18" s="27">
        <f>IFERROR(__xludf.DUMMYFUNCTION("""COMPUTED_VALUE"""),710.0)</f>
        <v>710</v>
      </c>
      <c r="U18" s="1" t="s">
        <v>2229</v>
      </c>
    </row>
    <row r="19">
      <c r="A19" s="4">
        <v>44342.72890008102</v>
      </c>
      <c r="B19" s="3" t="s">
        <v>149</v>
      </c>
      <c r="C19" s="3" t="s">
        <v>150</v>
      </c>
      <c r="D19" s="3" t="s">
        <v>20</v>
      </c>
      <c r="E19" s="6">
        <v>42536.0</v>
      </c>
      <c r="F19" s="3">
        <v>23924.0</v>
      </c>
      <c r="G19" s="3" t="s">
        <v>21</v>
      </c>
      <c r="H19" s="3" t="s">
        <v>22</v>
      </c>
      <c r="K19" s="3" t="s">
        <v>151</v>
      </c>
      <c r="L19" s="3" t="s">
        <v>152</v>
      </c>
      <c r="M19" s="3" t="s">
        <v>153</v>
      </c>
      <c r="N19" s="3" t="s">
        <v>27</v>
      </c>
      <c r="O19" s="3" t="s">
        <v>154</v>
      </c>
      <c r="Q19" s="3" t="s">
        <v>29</v>
      </c>
      <c r="S19" s="27" t="s">
        <v>155</v>
      </c>
      <c r="T19" s="27">
        <f>IFERROR(__xludf.DUMMYFUNCTION("""COMPUTED_VALUE"""),599.0)</f>
        <v>599</v>
      </c>
      <c r="U19" s="1" t="s">
        <v>2230</v>
      </c>
    </row>
    <row r="20">
      <c r="A20" s="4">
        <v>44342.72892421296</v>
      </c>
      <c r="B20" s="3" t="s">
        <v>156</v>
      </c>
      <c r="C20" s="3" t="s">
        <v>157</v>
      </c>
      <c r="D20" s="3" t="s">
        <v>20</v>
      </c>
      <c r="E20" s="6">
        <v>42885.0</v>
      </c>
      <c r="F20" s="3">
        <v>150000.0</v>
      </c>
      <c r="G20" s="3" t="s">
        <v>21</v>
      </c>
      <c r="H20" s="3" t="s">
        <v>22</v>
      </c>
      <c r="K20" s="3" t="s">
        <v>158</v>
      </c>
      <c r="L20" s="3" t="s">
        <v>159</v>
      </c>
      <c r="M20" s="3" t="s">
        <v>160</v>
      </c>
      <c r="N20" s="3" t="s">
        <v>27</v>
      </c>
      <c r="O20" s="3" t="s">
        <v>161</v>
      </c>
      <c r="Q20" s="3" t="s">
        <v>29</v>
      </c>
      <c r="S20" s="27" t="s">
        <v>162</v>
      </c>
      <c r="T20" s="27">
        <f>IFERROR(__xludf.DUMMYFUNCTION("""COMPUTED_VALUE"""),693.0)</f>
        <v>693</v>
      </c>
      <c r="U20" s="1" t="s">
        <v>2231</v>
      </c>
    </row>
    <row r="21">
      <c r="A21" s="4">
        <v>44342.72894851852</v>
      </c>
      <c r="B21" s="3" t="s">
        <v>163</v>
      </c>
      <c r="C21" s="3" t="s">
        <v>164</v>
      </c>
      <c r="D21" s="3" t="s">
        <v>20</v>
      </c>
      <c r="E21" s="6">
        <v>43460.0</v>
      </c>
      <c r="F21" s="3">
        <v>70360.0</v>
      </c>
      <c r="G21" s="3" t="s">
        <v>21</v>
      </c>
      <c r="H21" s="3" t="s">
        <v>22</v>
      </c>
      <c r="K21" s="3" t="s">
        <v>165</v>
      </c>
      <c r="L21" s="3" t="s">
        <v>166</v>
      </c>
      <c r="M21" s="3" t="s">
        <v>167</v>
      </c>
      <c r="N21" s="3" t="s">
        <v>27</v>
      </c>
      <c r="O21" s="3" t="s">
        <v>168</v>
      </c>
      <c r="Q21" s="3" t="s">
        <v>29</v>
      </c>
      <c r="S21" s="27" t="s">
        <v>169</v>
      </c>
      <c r="T21" s="27">
        <f>IFERROR(__xludf.DUMMYFUNCTION("""COMPUTED_VALUE"""),1038.0)</f>
        <v>1038</v>
      </c>
      <c r="U21" s="1" t="s">
        <v>2232</v>
      </c>
    </row>
    <row r="22">
      <c r="A22" s="4">
        <v>44342.72897322917</v>
      </c>
      <c r="B22" s="3" t="s">
        <v>30</v>
      </c>
      <c r="C22" s="3" t="s">
        <v>170</v>
      </c>
      <c r="D22" s="3" t="s">
        <v>20</v>
      </c>
      <c r="E22" s="6">
        <v>43460.0</v>
      </c>
      <c r="F22" s="28">
        <v>155520.0</v>
      </c>
      <c r="G22" s="3" t="s">
        <v>21</v>
      </c>
      <c r="H22" s="3" t="s">
        <v>22</v>
      </c>
      <c r="K22" s="3" t="s">
        <v>171</v>
      </c>
      <c r="L22" s="3" t="s">
        <v>172</v>
      </c>
      <c r="M22" s="3" t="s">
        <v>173</v>
      </c>
      <c r="N22" s="3" t="s">
        <v>27</v>
      </c>
      <c r="O22" s="3" t="s">
        <v>36</v>
      </c>
      <c r="Q22" s="3" t="s">
        <v>29</v>
      </c>
      <c r="S22" s="27" t="s">
        <v>174</v>
      </c>
      <c r="T22" s="27">
        <f>IFERROR(__xludf.DUMMYFUNCTION("""COMPUTED_VALUE"""),541.0)</f>
        <v>541</v>
      </c>
      <c r="U22" s="1" t="s">
        <v>2233</v>
      </c>
    </row>
    <row r="23">
      <c r="A23" s="4">
        <v>44342.72899693287</v>
      </c>
      <c r="B23" s="3" t="s">
        <v>53</v>
      </c>
      <c r="C23" s="3" t="s">
        <v>175</v>
      </c>
      <c r="D23" s="3" t="s">
        <v>20</v>
      </c>
      <c r="E23" s="6">
        <v>43248.0</v>
      </c>
      <c r="F23" s="3">
        <v>370000.0</v>
      </c>
      <c r="G23" s="3" t="s">
        <v>21</v>
      </c>
      <c r="H23" s="3" t="s">
        <v>22</v>
      </c>
      <c r="J23" s="3" t="s">
        <v>176</v>
      </c>
      <c r="K23" s="3" t="s">
        <v>177</v>
      </c>
      <c r="L23" s="3" t="s">
        <v>178</v>
      </c>
      <c r="M23" s="3" t="s">
        <v>179</v>
      </c>
      <c r="N23" s="3" t="s">
        <v>27</v>
      </c>
      <c r="O23" s="3" t="s">
        <v>58</v>
      </c>
      <c r="Q23" s="3" t="s">
        <v>29</v>
      </c>
      <c r="S23" s="27" t="s">
        <v>180</v>
      </c>
      <c r="T23" s="27">
        <f>IFERROR(__xludf.DUMMYFUNCTION("""COMPUTED_VALUE"""),917.0)</f>
        <v>917</v>
      </c>
      <c r="U23" s="1" t="s">
        <v>2234</v>
      </c>
    </row>
    <row r="24">
      <c r="A24" s="4">
        <v>44342.729022060186</v>
      </c>
      <c r="B24" s="3" t="s">
        <v>181</v>
      </c>
      <c r="C24" s="3" t="s">
        <v>182</v>
      </c>
      <c r="D24" s="3" t="s">
        <v>20</v>
      </c>
      <c r="E24" s="6">
        <v>42598.0</v>
      </c>
      <c r="F24" s="3">
        <v>53454.0</v>
      </c>
      <c r="G24" s="3" t="s">
        <v>21</v>
      </c>
      <c r="H24" s="3" t="s">
        <v>22</v>
      </c>
      <c r="K24" s="3" t="s">
        <v>183</v>
      </c>
      <c r="L24" s="3" t="s">
        <v>184</v>
      </c>
      <c r="M24" s="3" t="s">
        <v>185</v>
      </c>
      <c r="N24" s="3" t="s">
        <v>27</v>
      </c>
      <c r="O24" s="3" t="s">
        <v>186</v>
      </c>
      <c r="Q24" s="3" t="s">
        <v>29</v>
      </c>
      <c r="S24" s="27" t="s">
        <v>187</v>
      </c>
      <c r="T24" s="27">
        <f>IFERROR(__xludf.DUMMYFUNCTION("""COMPUTED_VALUE"""),620.0)</f>
        <v>620</v>
      </c>
      <c r="U24" s="1" t="s">
        <v>2235</v>
      </c>
    </row>
    <row r="25">
      <c r="A25" s="4">
        <v>44342.72904821759</v>
      </c>
      <c r="B25" s="3" t="s">
        <v>188</v>
      </c>
      <c r="C25" s="3" t="s">
        <v>189</v>
      </c>
      <c r="D25" s="3" t="s">
        <v>20</v>
      </c>
      <c r="E25" s="6">
        <v>42536.0</v>
      </c>
      <c r="F25" s="3">
        <v>50206.0</v>
      </c>
      <c r="G25" s="3" t="s">
        <v>21</v>
      </c>
      <c r="H25" s="3" t="s">
        <v>22</v>
      </c>
      <c r="K25" s="3" t="s">
        <v>190</v>
      </c>
      <c r="L25" s="3" t="s">
        <v>191</v>
      </c>
      <c r="M25" s="3" t="s">
        <v>192</v>
      </c>
      <c r="N25" s="3" t="s">
        <v>27</v>
      </c>
      <c r="O25" s="3" t="s">
        <v>193</v>
      </c>
      <c r="Q25" s="3" t="s">
        <v>29</v>
      </c>
      <c r="S25" s="27" t="s">
        <v>194</v>
      </c>
      <c r="T25" s="27">
        <f>IFERROR(__xludf.DUMMYFUNCTION("""COMPUTED_VALUE"""),595.0)</f>
        <v>595</v>
      </c>
      <c r="U25" s="1" t="s">
        <v>2236</v>
      </c>
    </row>
    <row r="26">
      <c r="A26" s="4">
        <v>44342.729073912036</v>
      </c>
      <c r="B26" s="3" t="s">
        <v>195</v>
      </c>
      <c r="C26" s="3" t="s">
        <v>196</v>
      </c>
      <c r="D26" s="3" t="s">
        <v>20</v>
      </c>
      <c r="E26" s="6">
        <v>42647.0</v>
      </c>
      <c r="F26" s="3">
        <v>157608.67</v>
      </c>
      <c r="G26" s="3" t="s">
        <v>21</v>
      </c>
      <c r="H26" s="3" t="s">
        <v>22</v>
      </c>
      <c r="K26" s="3" t="s">
        <v>197</v>
      </c>
      <c r="L26" s="3" t="s">
        <v>198</v>
      </c>
      <c r="M26" s="3" t="s">
        <v>199</v>
      </c>
      <c r="N26" s="3" t="s">
        <v>27</v>
      </c>
      <c r="O26" s="3" t="s">
        <v>200</v>
      </c>
      <c r="Q26" s="3" t="s">
        <v>29</v>
      </c>
      <c r="S26" s="27" t="s">
        <v>201</v>
      </c>
      <c r="T26" s="27">
        <f>IFERROR(__xludf.DUMMYFUNCTION("""COMPUTED_VALUE"""),665.0)</f>
        <v>665</v>
      </c>
      <c r="U26" s="1" t="s">
        <v>2237</v>
      </c>
    </row>
    <row r="27">
      <c r="A27" s="4">
        <v>44342.729098854164</v>
      </c>
      <c r="B27" s="3" t="s">
        <v>202</v>
      </c>
      <c r="C27" s="3" t="s">
        <v>203</v>
      </c>
      <c r="D27" s="3" t="s">
        <v>20</v>
      </c>
      <c r="E27" s="6">
        <v>42723.0</v>
      </c>
      <c r="F27" s="3">
        <v>325000.0</v>
      </c>
      <c r="G27" s="3" t="s">
        <v>21</v>
      </c>
      <c r="H27" s="3" t="s">
        <v>22</v>
      </c>
      <c r="K27" s="3" t="s">
        <v>204</v>
      </c>
      <c r="L27" s="3" t="s">
        <v>205</v>
      </c>
      <c r="M27" s="3" t="s">
        <v>206</v>
      </c>
      <c r="N27" s="3" t="s">
        <v>27</v>
      </c>
      <c r="O27" s="3" t="s">
        <v>207</v>
      </c>
      <c r="Q27" s="3" t="s">
        <v>29</v>
      </c>
      <c r="S27" s="27" t="s">
        <v>208</v>
      </c>
      <c r="T27" s="27">
        <f>IFERROR(__xludf.DUMMYFUNCTION("""COMPUTED_VALUE"""),650.0)</f>
        <v>650</v>
      </c>
      <c r="U27" s="1" t="s">
        <v>2238</v>
      </c>
    </row>
    <row r="28">
      <c r="A28" s="4">
        <v>44342.72912513889</v>
      </c>
      <c r="B28" s="3" t="s">
        <v>67</v>
      </c>
      <c r="C28" s="3" t="s">
        <v>209</v>
      </c>
      <c r="D28" s="3" t="s">
        <v>20</v>
      </c>
      <c r="E28" s="6">
        <v>42641.0</v>
      </c>
      <c r="F28" s="3">
        <v>25000.0</v>
      </c>
      <c r="G28" s="3" t="s">
        <v>21</v>
      </c>
      <c r="H28" s="3" t="s">
        <v>22</v>
      </c>
      <c r="K28" s="3" t="s">
        <v>210</v>
      </c>
      <c r="L28" s="3" t="s">
        <v>211</v>
      </c>
      <c r="M28" s="3" t="s">
        <v>212</v>
      </c>
      <c r="N28" s="3" t="s">
        <v>27</v>
      </c>
      <c r="O28" s="3" t="s">
        <v>72</v>
      </c>
      <c r="Q28" s="3" t="s">
        <v>29</v>
      </c>
      <c r="S28" s="27" t="s">
        <v>213</v>
      </c>
      <c r="T28" s="27">
        <f>IFERROR(__xludf.DUMMYFUNCTION("""COMPUTED_VALUE"""),642.0)</f>
        <v>642</v>
      </c>
      <c r="U28" s="1" t="s">
        <v>2239</v>
      </c>
    </row>
    <row r="29">
      <c r="A29" s="4">
        <v>44342.72915061342</v>
      </c>
      <c r="B29" s="3" t="s">
        <v>214</v>
      </c>
      <c r="C29" s="3" t="s">
        <v>215</v>
      </c>
      <c r="D29" s="3" t="s">
        <v>20</v>
      </c>
      <c r="E29" s="6">
        <v>42485.0</v>
      </c>
      <c r="F29" s="3">
        <v>36577.0</v>
      </c>
      <c r="G29" s="3" t="s">
        <v>21</v>
      </c>
      <c r="H29" s="3" t="s">
        <v>22</v>
      </c>
      <c r="K29" s="3" t="s">
        <v>216</v>
      </c>
      <c r="L29" s="3" t="s">
        <v>217</v>
      </c>
      <c r="M29" s="3" t="s">
        <v>218</v>
      </c>
      <c r="N29" s="3" t="s">
        <v>27</v>
      </c>
      <c r="O29" s="3" t="s">
        <v>219</v>
      </c>
      <c r="Q29" s="3" t="s">
        <v>29</v>
      </c>
      <c r="S29" s="27" t="s">
        <v>220</v>
      </c>
      <c r="T29" s="27">
        <f>IFERROR(__xludf.DUMMYFUNCTION("""COMPUTED_VALUE"""),570.0)</f>
        <v>570</v>
      </c>
      <c r="U29" s="1" t="s">
        <v>2240</v>
      </c>
    </row>
    <row r="30">
      <c r="A30" s="4">
        <v>44342.72917740741</v>
      </c>
      <c r="B30" s="3" t="s">
        <v>221</v>
      </c>
      <c r="C30" s="3" t="s">
        <v>222</v>
      </c>
      <c r="D30" s="3" t="s">
        <v>20</v>
      </c>
      <c r="E30" s="6">
        <v>42355.0</v>
      </c>
      <c r="F30" s="3">
        <v>527700.0</v>
      </c>
      <c r="G30" s="3" t="s">
        <v>21</v>
      </c>
      <c r="H30" s="3" t="s">
        <v>22</v>
      </c>
      <c r="K30" s="3" t="s">
        <v>223</v>
      </c>
      <c r="L30" s="3" t="s">
        <v>224</v>
      </c>
      <c r="M30" s="3" t="s">
        <v>225</v>
      </c>
      <c r="N30" s="3" t="s">
        <v>27</v>
      </c>
      <c r="O30" s="3" t="s">
        <v>226</v>
      </c>
      <c r="Q30" s="3" t="s">
        <v>29</v>
      </c>
      <c r="S30" s="27" t="s">
        <v>227</v>
      </c>
      <c r="T30" s="27">
        <f>IFERROR(__xludf.DUMMYFUNCTION("""COMPUTED_VALUE"""),462.0)</f>
        <v>462</v>
      </c>
      <c r="U30" s="1" t="s">
        <v>2241</v>
      </c>
    </row>
    <row r="31">
      <c r="A31" s="4">
        <v>44342.72920390047</v>
      </c>
      <c r="B31" s="3" t="s">
        <v>228</v>
      </c>
      <c r="C31" s="3" t="s">
        <v>229</v>
      </c>
      <c r="D31" s="3" t="s">
        <v>230</v>
      </c>
      <c r="E31" s="6">
        <v>43831.0</v>
      </c>
      <c r="F31" s="3">
        <v>1.0</v>
      </c>
      <c r="G31" s="3" t="s">
        <v>136</v>
      </c>
      <c r="H31" s="3" t="s">
        <v>22</v>
      </c>
      <c r="J31" s="3" t="s">
        <v>2242</v>
      </c>
      <c r="K31" s="3" t="s">
        <v>231</v>
      </c>
      <c r="L31" s="3" t="s">
        <v>232</v>
      </c>
      <c r="M31" s="3" t="s">
        <v>233</v>
      </c>
      <c r="N31" s="3" t="s">
        <v>234</v>
      </c>
      <c r="O31" s="3" t="s">
        <v>235</v>
      </c>
      <c r="Q31" s="3" t="s">
        <v>29</v>
      </c>
      <c r="S31" s="27" t="s">
        <v>236</v>
      </c>
      <c r="T31" s="27">
        <f>IFERROR(__xludf.DUMMYFUNCTION("""COMPUTED_VALUE"""),1380.0)</f>
        <v>1380</v>
      </c>
      <c r="U31" s="1" t="s">
        <v>2243</v>
      </c>
    </row>
    <row r="32">
      <c r="A32" s="4">
        <v>44342.72923010417</v>
      </c>
      <c r="B32" s="3" t="s">
        <v>195</v>
      </c>
      <c r="C32" s="3" t="s">
        <v>237</v>
      </c>
      <c r="D32" s="3" t="s">
        <v>20</v>
      </c>
      <c r="E32" s="6">
        <v>43742.0</v>
      </c>
      <c r="F32" s="3">
        <v>78804.33</v>
      </c>
      <c r="G32" s="3" t="s">
        <v>21</v>
      </c>
      <c r="H32" s="3" t="s">
        <v>22</v>
      </c>
      <c r="K32" s="3" t="s">
        <v>238</v>
      </c>
      <c r="L32" s="3" t="s">
        <v>239</v>
      </c>
      <c r="M32" s="3" t="s">
        <v>240</v>
      </c>
      <c r="N32" s="3" t="s">
        <v>27</v>
      </c>
      <c r="O32" s="3" t="s">
        <v>200</v>
      </c>
      <c r="Q32" s="3" t="s">
        <v>29</v>
      </c>
      <c r="S32" s="27" t="s">
        <v>241</v>
      </c>
      <c r="T32" s="27">
        <f>IFERROR(__xludf.DUMMYFUNCTION("""COMPUTED_VALUE"""),665.0)</f>
        <v>665</v>
      </c>
      <c r="U32" s="1" t="s">
        <v>2244</v>
      </c>
    </row>
    <row r="33">
      <c r="A33" s="4">
        <v>44342.729253854166</v>
      </c>
      <c r="B33" s="3" t="s">
        <v>242</v>
      </c>
      <c r="C33" s="3" t="s">
        <v>243</v>
      </c>
      <c r="D33" s="3" t="s">
        <v>20</v>
      </c>
      <c r="E33" s="6">
        <v>43059.0</v>
      </c>
      <c r="F33" s="3">
        <v>3273908.0</v>
      </c>
      <c r="G33" s="3" t="s">
        <v>21</v>
      </c>
      <c r="H33" s="3" t="s">
        <v>22</v>
      </c>
      <c r="J33" s="3" t="s">
        <v>244</v>
      </c>
      <c r="K33" s="3" t="s">
        <v>245</v>
      </c>
      <c r="L33" s="3" t="s">
        <v>246</v>
      </c>
      <c r="M33" s="3" t="s">
        <v>247</v>
      </c>
      <c r="N33" s="3" t="s">
        <v>27</v>
      </c>
      <c r="O33" s="3" t="s">
        <v>248</v>
      </c>
      <c r="Q33" s="3" t="s">
        <v>29</v>
      </c>
      <c r="S33" s="27" t="s">
        <v>249</v>
      </c>
      <c r="T33" s="27">
        <f>IFERROR(__xludf.DUMMYFUNCTION("""COMPUTED_VALUE"""),773.0)</f>
        <v>773</v>
      </c>
      <c r="U33" s="1" t="s">
        <v>2245</v>
      </c>
    </row>
    <row r="34">
      <c r="A34" s="4">
        <v>44342.729277962964</v>
      </c>
      <c r="B34" s="3" t="s">
        <v>250</v>
      </c>
      <c r="C34" s="3" t="s">
        <v>251</v>
      </c>
      <c r="D34" s="3" t="s">
        <v>20</v>
      </c>
      <c r="E34" s="6">
        <v>43354.0</v>
      </c>
      <c r="F34" s="3">
        <v>1194345.0</v>
      </c>
      <c r="G34" s="3" t="s">
        <v>21</v>
      </c>
      <c r="H34" s="3" t="s">
        <v>22</v>
      </c>
      <c r="J34" s="3" t="s">
        <v>252</v>
      </c>
      <c r="K34" s="3" t="s">
        <v>253</v>
      </c>
      <c r="L34" s="3" t="s">
        <v>254</v>
      </c>
      <c r="M34" s="3" t="s">
        <v>255</v>
      </c>
      <c r="N34" s="3" t="s">
        <v>27</v>
      </c>
      <c r="O34" s="3" t="s">
        <v>256</v>
      </c>
      <c r="Q34" s="3" t="s">
        <v>29</v>
      </c>
      <c r="S34" s="27" t="s">
        <v>257</v>
      </c>
      <c r="T34" s="27">
        <f>IFERROR(__xludf.DUMMYFUNCTION("""COMPUTED_VALUE"""),971.0)</f>
        <v>971</v>
      </c>
      <c r="U34" s="1" t="s">
        <v>2246</v>
      </c>
    </row>
    <row r="35">
      <c r="A35" s="4">
        <v>44342.72930387731</v>
      </c>
      <c r="B35" s="3" t="s">
        <v>258</v>
      </c>
      <c r="C35" s="3" t="s">
        <v>259</v>
      </c>
      <c r="D35" s="3" t="s">
        <v>20</v>
      </c>
      <c r="E35" s="6">
        <v>43886.0</v>
      </c>
      <c r="F35" s="3">
        <v>26000.0</v>
      </c>
      <c r="G35" s="3" t="s">
        <v>21</v>
      </c>
      <c r="H35" s="3" t="s">
        <v>22</v>
      </c>
      <c r="J35" s="3" t="s">
        <v>260</v>
      </c>
      <c r="K35" s="3" t="s">
        <v>261</v>
      </c>
      <c r="L35" s="3" t="s">
        <v>262</v>
      </c>
      <c r="M35" s="3" t="s">
        <v>263</v>
      </c>
      <c r="N35" s="3" t="s">
        <v>27</v>
      </c>
      <c r="O35" s="3" t="s">
        <v>264</v>
      </c>
      <c r="Q35" s="3" t="s">
        <v>29</v>
      </c>
      <c r="S35" s="27" t="s">
        <v>265</v>
      </c>
      <c r="T35" s="27">
        <f>IFERROR(__xludf.DUMMYFUNCTION("""COMPUTED_VALUE"""),1429.0)</f>
        <v>1429</v>
      </c>
      <c r="U35" s="1" t="s">
        <v>2247</v>
      </c>
    </row>
    <row r="36">
      <c r="A36" s="4">
        <v>44342.72932989583</v>
      </c>
      <c r="B36" s="3" t="s">
        <v>266</v>
      </c>
      <c r="C36" s="3" t="s">
        <v>267</v>
      </c>
      <c r="D36" s="3" t="s">
        <v>20</v>
      </c>
      <c r="E36" s="6">
        <v>43699.0</v>
      </c>
      <c r="F36" s="3">
        <v>20000.0</v>
      </c>
      <c r="G36" s="3" t="s">
        <v>21</v>
      </c>
      <c r="H36" s="3" t="s">
        <v>22</v>
      </c>
      <c r="K36" s="3" t="s">
        <v>268</v>
      </c>
      <c r="L36" s="3" t="s">
        <v>269</v>
      </c>
      <c r="M36" s="3" t="s">
        <v>270</v>
      </c>
      <c r="N36" s="3" t="s">
        <v>27</v>
      </c>
      <c r="O36" s="3" t="s">
        <v>271</v>
      </c>
      <c r="Q36" s="3" t="s">
        <v>29</v>
      </c>
      <c r="S36" s="27" t="s">
        <v>272</v>
      </c>
      <c r="T36" s="27">
        <f>IFERROR(__xludf.DUMMYFUNCTION("""COMPUTED_VALUE"""),1235.0)</f>
        <v>1235</v>
      </c>
      <c r="U36" s="1" t="s">
        <v>2248</v>
      </c>
    </row>
    <row r="37">
      <c r="A37" s="4">
        <v>44342.72935540509</v>
      </c>
      <c r="B37" s="3" t="s">
        <v>38</v>
      </c>
      <c r="C37" s="3" t="s">
        <v>273</v>
      </c>
      <c r="D37" s="3" t="s">
        <v>20</v>
      </c>
      <c r="E37" s="6">
        <v>43477.0</v>
      </c>
      <c r="F37" s="3">
        <v>11000.0</v>
      </c>
      <c r="G37" s="3" t="s">
        <v>136</v>
      </c>
      <c r="H37" s="3" t="s">
        <v>22</v>
      </c>
      <c r="K37" s="3" t="s">
        <v>274</v>
      </c>
      <c r="L37" s="3" t="s">
        <v>275</v>
      </c>
      <c r="M37" s="3" t="s">
        <v>276</v>
      </c>
      <c r="N37" s="3" t="s">
        <v>27</v>
      </c>
      <c r="O37" s="3" t="s">
        <v>43</v>
      </c>
      <c r="Q37" s="3" t="s">
        <v>29</v>
      </c>
      <c r="S37" s="27" t="s">
        <v>277</v>
      </c>
      <c r="T37" s="27">
        <f>IFERROR(__xludf.DUMMYFUNCTION("""COMPUTED_VALUE"""),1257.0)</f>
        <v>1257</v>
      </c>
      <c r="U37" s="1" t="s">
        <v>2249</v>
      </c>
    </row>
    <row r="38">
      <c r="A38" s="4">
        <v>44342.72938047454</v>
      </c>
      <c r="B38" s="3" t="s">
        <v>278</v>
      </c>
      <c r="C38" s="3" t="s">
        <v>279</v>
      </c>
      <c r="D38" s="3" t="s">
        <v>20</v>
      </c>
      <c r="E38" s="6">
        <v>43896.0</v>
      </c>
      <c r="F38" s="3">
        <v>10610.0</v>
      </c>
      <c r="G38" s="3" t="s">
        <v>21</v>
      </c>
      <c r="H38" s="3" t="s">
        <v>22</v>
      </c>
      <c r="K38" s="3" t="s">
        <v>280</v>
      </c>
      <c r="L38" s="3" t="s">
        <v>281</v>
      </c>
      <c r="M38" s="3" t="s">
        <v>282</v>
      </c>
      <c r="N38" s="3" t="s">
        <v>27</v>
      </c>
      <c r="O38" s="3" t="s">
        <v>283</v>
      </c>
      <c r="Q38" s="3" t="s">
        <v>29</v>
      </c>
      <c r="S38" s="27" t="s">
        <v>284</v>
      </c>
      <c r="T38" s="27">
        <f>IFERROR(__xludf.DUMMYFUNCTION("""COMPUTED_VALUE"""),1381.0)</f>
        <v>1381</v>
      </c>
      <c r="U38" s="1" t="s">
        <v>2250</v>
      </c>
    </row>
    <row r="39">
      <c r="A39" s="4">
        <v>44342.72940454861</v>
      </c>
      <c r="B39" s="3" t="s">
        <v>285</v>
      </c>
      <c r="C39" s="3" t="s">
        <v>286</v>
      </c>
      <c r="D39" s="3" t="s">
        <v>20</v>
      </c>
      <c r="E39" s="6">
        <v>43677.0</v>
      </c>
      <c r="F39" s="3">
        <v>26400.0</v>
      </c>
      <c r="G39" s="3" t="s">
        <v>21</v>
      </c>
      <c r="H39" s="3" t="s">
        <v>22</v>
      </c>
      <c r="K39" s="3" t="s">
        <v>287</v>
      </c>
      <c r="L39" s="3" t="s">
        <v>288</v>
      </c>
      <c r="M39" s="3" t="s">
        <v>289</v>
      </c>
      <c r="N39" s="3" t="s">
        <v>27</v>
      </c>
      <c r="O39" s="3" t="s">
        <v>290</v>
      </c>
      <c r="Q39" s="3" t="s">
        <v>29</v>
      </c>
      <c r="S39" s="27" t="s">
        <v>291</v>
      </c>
      <c r="T39" s="27">
        <f>IFERROR(__xludf.DUMMYFUNCTION("""COMPUTED_VALUE"""),1208.0)</f>
        <v>1208</v>
      </c>
      <c r="U39" s="1" t="s">
        <v>2251</v>
      </c>
    </row>
    <row r="40">
      <c r="A40" s="4">
        <v>44342.729429479165</v>
      </c>
      <c r="B40" s="3" t="s">
        <v>242</v>
      </c>
      <c r="C40" s="3" t="s">
        <v>292</v>
      </c>
      <c r="D40" s="3" t="s">
        <v>20</v>
      </c>
      <c r="E40" s="6">
        <v>43788.0</v>
      </c>
      <c r="F40" s="3">
        <v>30000.0</v>
      </c>
      <c r="G40" s="3" t="s">
        <v>21</v>
      </c>
      <c r="H40" s="3" t="s">
        <v>22</v>
      </c>
      <c r="K40" s="3" t="s">
        <v>293</v>
      </c>
      <c r="L40" s="3" t="s">
        <v>294</v>
      </c>
      <c r="M40" s="3" t="s">
        <v>295</v>
      </c>
      <c r="N40" s="3" t="s">
        <v>27</v>
      </c>
      <c r="O40" s="3" t="s">
        <v>248</v>
      </c>
      <c r="Q40" s="3" t="s">
        <v>29</v>
      </c>
      <c r="S40" s="27" t="s">
        <v>296</v>
      </c>
      <c r="T40" s="27">
        <f>IFERROR(__xludf.DUMMYFUNCTION("""COMPUTED_VALUE"""),773.0)</f>
        <v>773</v>
      </c>
      <c r="U40" s="1" t="s">
        <v>2252</v>
      </c>
    </row>
    <row r="41">
      <c r="A41" s="4">
        <v>44342.729453368054</v>
      </c>
      <c r="B41" s="3" t="s">
        <v>38</v>
      </c>
      <c r="C41" s="3" t="s">
        <v>297</v>
      </c>
      <c r="D41" s="3" t="s">
        <v>20</v>
      </c>
      <c r="E41" s="6">
        <v>43719.0</v>
      </c>
      <c r="F41" s="3">
        <v>83750.0</v>
      </c>
      <c r="G41" s="3" t="s">
        <v>21</v>
      </c>
      <c r="H41" s="3" t="s">
        <v>22</v>
      </c>
      <c r="J41" s="3" t="s">
        <v>298</v>
      </c>
      <c r="K41" s="3" t="s">
        <v>299</v>
      </c>
      <c r="L41" s="3" t="s">
        <v>300</v>
      </c>
      <c r="M41" s="3" t="s">
        <v>301</v>
      </c>
      <c r="N41" s="3" t="s">
        <v>27</v>
      </c>
      <c r="O41" s="3" t="s">
        <v>43</v>
      </c>
      <c r="Q41" s="3" t="s">
        <v>29</v>
      </c>
      <c r="S41" s="27" t="s">
        <v>302</v>
      </c>
      <c r="T41" s="27">
        <f>IFERROR(__xludf.DUMMYFUNCTION("""COMPUTED_VALUE"""),1257.0)</f>
        <v>1257</v>
      </c>
      <c r="U41" s="1" t="s">
        <v>2253</v>
      </c>
    </row>
    <row r="42">
      <c r="A42" s="4">
        <v>44342.72947842593</v>
      </c>
      <c r="B42" s="3" t="s">
        <v>303</v>
      </c>
      <c r="C42" s="3" t="s">
        <v>304</v>
      </c>
      <c r="D42" s="3" t="s">
        <v>20</v>
      </c>
      <c r="E42" s="6">
        <v>43769.0</v>
      </c>
      <c r="F42" s="3">
        <v>24000.0</v>
      </c>
      <c r="G42" s="3" t="s">
        <v>21</v>
      </c>
      <c r="H42" s="3" t="s">
        <v>22</v>
      </c>
      <c r="K42" s="3" t="s">
        <v>305</v>
      </c>
      <c r="L42" s="3" t="s">
        <v>306</v>
      </c>
      <c r="M42" s="3" t="s">
        <v>307</v>
      </c>
      <c r="N42" s="3" t="s">
        <v>27</v>
      </c>
      <c r="O42" s="3" t="s">
        <v>308</v>
      </c>
      <c r="Q42" s="3" t="s">
        <v>29</v>
      </c>
      <c r="S42" s="27" t="s">
        <v>309</v>
      </c>
      <c r="T42" s="27">
        <f>IFERROR(__xludf.DUMMYFUNCTION("""COMPUTED_VALUE"""),1276.0)</f>
        <v>1276</v>
      </c>
      <c r="U42" s="1" t="s">
        <v>2254</v>
      </c>
    </row>
    <row r="43">
      <c r="A43" s="4">
        <v>44342.72950277777</v>
      </c>
      <c r="B43" s="3" t="s">
        <v>38</v>
      </c>
      <c r="C43" s="3" t="s">
        <v>310</v>
      </c>
      <c r="D43" s="3" t="s">
        <v>20</v>
      </c>
      <c r="E43" s="6">
        <v>43804.0</v>
      </c>
      <c r="F43" s="3">
        <v>16300.0</v>
      </c>
      <c r="G43" s="3" t="s">
        <v>21</v>
      </c>
      <c r="H43" s="3" t="s">
        <v>22</v>
      </c>
      <c r="K43" s="3" t="s">
        <v>311</v>
      </c>
      <c r="L43" s="3" t="s">
        <v>312</v>
      </c>
      <c r="M43" s="3" t="s">
        <v>313</v>
      </c>
      <c r="N43" s="3" t="s">
        <v>27</v>
      </c>
      <c r="O43" s="3" t="s">
        <v>43</v>
      </c>
      <c r="Q43" s="3" t="s">
        <v>29</v>
      </c>
      <c r="S43" s="27" t="s">
        <v>314</v>
      </c>
      <c r="T43" s="27">
        <f>IFERROR(__xludf.DUMMYFUNCTION("""COMPUTED_VALUE"""),1257.0)</f>
        <v>1257</v>
      </c>
      <c r="U43" s="1" t="s">
        <v>2255</v>
      </c>
    </row>
    <row r="44">
      <c r="A44" s="4">
        <v>44342.72952685185</v>
      </c>
      <c r="B44" s="3" t="s">
        <v>315</v>
      </c>
      <c r="C44" s="3" t="s">
        <v>316</v>
      </c>
      <c r="D44" s="3" t="s">
        <v>20</v>
      </c>
      <c r="E44" s="6">
        <v>43228.0</v>
      </c>
      <c r="F44" s="3">
        <v>353218.0</v>
      </c>
      <c r="G44" s="3" t="s">
        <v>21</v>
      </c>
      <c r="H44" s="3" t="s">
        <v>22</v>
      </c>
      <c r="K44" s="3" t="s">
        <v>317</v>
      </c>
      <c r="L44" s="3" t="s">
        <v>318</v>
      </c>
      <c r="M44" s="3" t="s">
        <v>319</v>
      </c>
      <c r="N44" s="3" t="s">
        <v>27</v>
      </c>
      <c r="O44" s="3" t="s">
        <v>320</v>
      </c>
      <c r="Q44" s="3" t="s">
        <v>29</v>
      </c>
      <c r="S44" s="27" t="s">
        <v>321</v>
      </c>
      <c r="T44" s="27">
        <f>IFERROR(__xludf.DUMMYFUNCTION("""COMPUTED_VALUE"""),892.0)</f>
        <v>892</v>
      </c>
      <c r="U44" s="1" t="s">
        <v>2256</v>
      </c>
    </row>
    <row r="45">
      <c r="A45" s="4">
        <v>44342.72955221064</v>
      </c>
      <c r="B45" s="3" t="s">
        <v>322</v>
      </c>
      <c r="C45" s="3" t="s">
        <v>323</v>
      </c>
      <c r="D45" s="3" t="s">
        <v>20</v>
      </c>
      <c r="E45" s="6">
        <v>43732.0</v>
      </c>
      <c r="F45" s="3">
        <v>81000.0</v>
      </c>
      <c r="G45" s="3" t="s">
        <v>21</v>
      </c>
      <c r="H45" s="3" t="s">
        <v>22</v>
      </c>
      <c r="K45" s="3" t="s">
        <v>324</v>
      </c>
      <c r="L45" s="3" t="s">
        <v>325</v>
      </c>
      <c r="M45" s="3" t="s">
        <v>326</v>
      </c>
      <c r="N45" s="3" t="s">
        <v>27</v>
      </c>
      <c r="O45" s="3" t="s">
        <v>327</v>
      </c>
      <c r="Q45" s="3" t="s">
        <v>29</v>
      </c>
      <c r="S45" s="27" t="s">
        <v>328</v>
      </c>
      <c r="T45" s="27">
        <f>IFERROR(__xludf.DUMMYFUNCTION("""COMPUTED_VALUE"""),1132.0)</f>
        <v>1132</v>
      </c>
      <c r="U45" s="1" t="s">
        <v>2257</v>
      </c>
    </row>
    <row r="46">
      <c r="A46" s="4">
        <v>44342.72957783565</v>
      </c>
      <c r="B46" s="3" t="s">
        <v>322</v>
      </c>
      <c r="C46" s="3" t="s">
        <v>329</v>
      </c>
      <c r="D46" s="3" t="s">
        <v>20</v>
      </c>
      <c r="E46" s="6">
        <v>43589.0</v>
      </c>
      <c r="F46" s="3">
        <v>139932.66</v>
      </c>
      <c r="G46" s="3" t="s">
        <v>21</v>
      </c>
      <c r="H46" s="3" t="s">
        <v>22</v>
      </c>
      <c r="K46" s="3" t="s">
        <v>330</v>
      </c>
      <c r="L46" s="3" t="s">
        <v>331</v>
      </c>
      <c r="M46" s="3" t="s">
        <v>332</v>
      </c>
      <c r="N46" s="3" t="s">
        <v>27</v>
      </c>
      <c r="O46" s="3" t="s">
        <v>327</v>
      </c>
      <c r="Q46" s="3" t="s">
        <v>29</v>
      </c>
      <c r="S46" s="27" t="s">
        <v>333</v>
      </c>
      <c r="T46" s="27">
        <f>IFERROR(__xludf.DUMMYFUNCTION("""COMPUTED_VALUE"""),1132.0)</f>
        <v>1132</v>
      </c>
      <c r="U46" s="1" t="s">
        <v>2258</v>
      </c>
    </row>
    <row r="47">
      <c r="A47" s="4">
        <v>44342.72960209491</v>
      </c>
      <c r="B47" s="3" t="s">
        <v>334</v>
      </c>
      <c r="C47" s="3" t="s">
        <v>335</v>
      </c>
      <c r="D47" s="3" t="s">
        <v>230</v>
      </c>
      <c r="E47" s="6">
        <v>43831.0</v>
      </c>
      <c r="F47" s="3">
        <v>100.0</v>
      </c>
      <c r="G47" s="3" t="s">
        <v>136</v>
      </c>
      <c r="H47" s="3" t="s">
        <v>22</v>
      </c>
      <c r="K47" s="3" t="s">
        <v>336</v>
      </c>
      <c r="L47" s="3" t="s">
        <v>337</v>
      </c>
      <c r="M47" s="3" t="s">
        <v>338</v>
      </c>
      <c r="N47" s="3" t="s">
        <v>234</v>
      </c>
      <c r="O47" s="3" t="s">
        <v>339</v>
      </c>
      <c r="Q47" s="3" t="s">
        <v>29</v>
      </c>
      <c r="S47" s="27" t="s">
        <v>340</v>
      </c>
      <c r="T47" s="27"/>
      <c r="U47" s="1" t="s">
        <v>2259</v>
      </c>
    </row>
    <row r="48">
      <c r="A48" s="4">
        <v>44342.729626099535</v>
      </c>
      <c r="B48" s="3" t="s">
        <v>341</v>
      </c>
      <c r="C48" s="3" t="s">
        <v>342</v>
      </c>
      <c r="D48" s="3" t="s">
        <v>20</v>
      </c>
      <c r="E48" s="6">
        <v>43546.0</v>
      </c>
      <c r="F48" s="3">
        <v>82900.0</v>
      </c>
      <c r="G48" s="3" t="s">
        <v>21</v>
      </c>
      <c r="H48" s="3" t="s">
        <v>22</v>
      </c>
      <c r="K48" s="3" t="s">
        <v>343</v>
      </c>
      <c r="L48" s="3" t="s">
        <v>344</v>
      </c>
      <c r="M48" s="3" t="s">
        <v>345</v>
      </c>
      <c r="N48" s="3" t="s">
        <v>27</v>
      </c>
      <c r="O48" s="3" t="s">
        <v>346</v>
      </c>
      <c r="Q48" s="3" t="s">
        <v>29</v>
      </c>
      <c r="S48" s="27" t="s">
        <v>347</v>
      </c>
      <c r="T48" s="27">
        <f>IFERROR(__xludf.DUMMYFUNCTION("""COMPUTED_VALUE"""),585.0)</f>
        <v>585</v>
      </c>
      <c r="U48" s="1" t="s">
        <v>2260</v>
      </c>
    </row>
    <row r="49">
      <c r="A49" s="4">
        <v>44342.72964962963</v>
      </c>
      <c r="B49" s="3" t="s">
        <v>348</v>
      </c>
      <c r="C49" s="3" t="s">
        <v>349</v>
      </c>
      <c r="D49" s="3" t="s">
        <v>20</v>
      </c>
      <c r="E49" s="6">
        <v>43711.0</v>
      </c>
      <c r="F49" s="3">
        <v>180540.0</v>
      </c>
      <c r="G49" s="3" t="s">
        <v>350</v>
      </c>
      <c r="H49" s="3" t="s">
        <v>22</v>
      </c>
      <c r="K49" s="3" t="s">
        <v>351</v>
      </c>
      <c r="L49" s="3" t="s">
        <v>352</v>
      </c>
      <c r="M49" s="3" t="s">
        <v>353</v>
      </c>
      <c r="N49" s="3" t="s">
        <v>27</v>
      </c>
      <c r="O49" s="3" t="s">
        <v>354</v>
      </c>
      <c r="Q49" s="3" t="s">
        <v>29</v>
      </c>
      <c r="S49" s="27" t="s">
        <v>355</v>
      </c>
      <c r="T49" s="27">
        <f>IFERROR(__xludf.DUMMYFUNCTION("""COMPUTED_VALUE"""),506.0)</f>
        <v>506</v>
      </c>
      <c r="U49" s="1" t="s">
        <v>2261</v>
      </c>
    </row>
    <row r="50">
      <c r="A50" s="4">
        <v>44342.72967587963</v>
      </c>
      <c r="B50" s="3" t="s">
        <v>356</v>
      </c>
      <c r="C50" s="3" t="s">
        <v>357</v>
      </c>
      <c r="D50" s="3" t="s">
        <v>358</v>
      </c>
      <c r="E50" s="6">
        <v>43124.0</v>
      </c>
      <c r="F50" s="3">
        <v>416156.43</v>
      </c>
      <c r="G50" s="3" t="s">
        <v>21</v>
      </c>
      <c r="H50" s="3" t="s">
        <v>22</v>
      </c>
      <c r="K50" s="3" t="s">
        <v>359</v>
      </c>
      <c r="L50" s="3" t="s">
        <v>360</v>
      </c>
      <c r="M50" s="3" t="s">
        <v>361</v>
      </c>
      <c r="N50" s="3" t="s">
        <v>362</v>
      </c>
      <c r="O50" s="3" t="s">
        <v>363</v>
      </c>
      <c r="Q50" s="3" t="s">
        <v>29</v>
      </c>
      <c r="S50" s="27" t="s">
        <v>364</v>
      </c>
      <c r="T50" s="27">
        <f>IFERROR(__xludf.DUMMYFUNCTION("""COMPUTED_VALUE"""),571.0)</f>
        <v>571</v>
      </c>
      <c r="U50" s="1" t="s">
        <v>2262</v>
      </c>
    </row>
    <row r="51">
      <c r="A51" s="4">
        <v>44342.72970113426</v>
      </c>
      <c r="B51" s="3" t="s">
        <v>365</v>
      </c>
      <c r="C51" s="3" t="s">
        <v>366</v>
      </c>
      <c r="D51" s="3" t="s">
        <v>20</v>
      </c>
      <c r="E51" s="6">
        <v>43571.0</v>
      </c>
      <c r="F51" s="3">
        <v>36200.0</v>
      </c>
      <c r="G51" s="3" t="s">
        <v>21</v>
      </c>
      <c r="H51" s="3" t="s">
        <v>22</v>
      </c>
      <c r="K51" s="3" t="s">
        <v>367</v>
      </c>
      <c r="L51" s="3" t="s">
        <v>368</v>
      </c>
      <c r="M51" s="3" t="s">
        <v>369</v>
      </c>
      <c r="N51" s="3" t="s">
        <v>27</v>
      </c>
      <c r="O51" s="3" t="s">
        <v>370</v>
      </c>
      <c r="Q51" s="3" t="s">
        <v>29</v>
      </c>
      <c r="S51" s="27" t="s">
        <v>371</v>
      </c>
      <c r="T51" s="27">
        <f>IFERROR(__xludf.DUMMYFUNCTION("""COMPUTED_VALUE"""),1108.0)</f>
        <v>1108</v>
      </c>
      <c r="U51" s="1" t="s">
        <v>2263</v>
      </c>
    </row>
    <row r="52">
      <c r="A52" s="4">
        <v>44342.729725833335</v>
      </c>
      <c r="B52" s="3" t="s">
        <v>372</v>
      </c>
      <c r="C52" s="3" t="s">
        <v>373</v>
      </c>
      <c r="D52" s="3" t="s">
        <v>20</v>
      </c>
      <c r="E52" s="6">
        <v>43566.0</v>
      </c>
      <c r="F52" s="3">
        <v>37760.0</v>
      </c>
      <c r="G52" s="3" t="s">
        <v>21</v>
      </c>
      <c r="H52" s="3" t="s">
        <v>22</v>
      </c>
      <c r="K52" s="3" t="s">
        <v>374</v>
      </c>
      <c r="L52" s="3" t="s">
        <v>375</v>
      </c>
      <c r="M52" s="3" t="s">
        <v>376</v>
      </c>
      <c r="N52" s="3" t="s">
        <v>27</v>
      </c>
      <c r="O52" s="3" t="s">
        <v>377</v>
      </c>
      <c r="Q52" s="3" t="s">
        <v>29</v>
      </c>
      <c r="S52" s="27" t="s">
        <v>378</v>
      </c>
      <c r="T52" s="27">
        <f>IFERROR(__xludf.DUMMYFUNCTION("""COMPUTED_VALUE"""),1114.0)</f>
        <v>1114</v>
      </c>
      <c r="U52" s="1" t="s">
        <v>2264</v>
      </c>
    </row>
    <row r="53">
      <c r="A53" s="4">
        <v>44342.729749826394</v>
      </c>
      <c r="B53" s="3" t="s">
        <v>379</v>
      </c>
      <c r="C53" s="3" t="s">
        <v>380</v>
      </c>
      <c r="D53" s="3" t="s">
        <v>20</v>
      </c>
      <c r="E53" s="6">
        <v>43861.0</v>
      </c>
      <c r="F53" s="3">
        <v>8900.0</v>
      </c>
      <c r="G53" s="3" t="s">
        <v>21</v>
      </c>
      <c r="H53" s="3" t="s">
        <v>22</v>
      </c>
      <c r="K53" s="3" t="s">
        <v>381</v>
      </c>
      <c r="L53" s="3" t="s">
        <v>382</v>
      </c>
      <c r="M53" s="3" t="s">
        <v>383</v>
      </c>
      <c r="N53" s="3" t="s">
        <v>27</v>
      </c>
      <c r="O53" s="3" t="s">
        <v>384</v>
      </c>
      <c r="Q53" s="3" t="s">
        <v>29</v>
      </c>
      <c r="S53" s="27" t="s">
        <v>385</v>
      </c>
      <c r="T53" s="27">
        <f>IFERROR(__xludf.DUMMYFUNCTION("""COMPUTED_VALUE"""),1350.0)</f>
        <v>1350</v>
      </c>
      <c r="U53" s="1" t="s">
        <v>2265</v>
      </c>
    </row>
    <row r="54">
      <c r="A54" s="4">
        <v>44342.729773831015</v>
      </c>
      <c r="B54" s="3" t="s">
        <v>386</v>
      </c>
      <c r="C54" s="3" t="s">
        <v>387</v>
      </c>
      <c r="D54" s="3" t="s">
        <v>20</v>
      </c>
      <c r="E54" s="6">
        <v>43348.0</v>
      </c>
      <c r="F54" s="3">
        <v>650000.0</v>
      </c>
      <c r="G54" s="3" t="s">
        <v>21</v>
      </c>
      <c r="H54" s="3" t="s">
        <v>22</v>
      </c>
      <c r="K54" s="3" t="s">
        <v>388</v>
      </c>
      <c r="L54" s="3" t="s">
        <v>389</v>
      </c>
      <c r="M54" s="3" t="s">
        <v>390</v>
      </c>
      <c r="N54" s="3" t="s">
        <v>27</v>
      </c>
      <c r="O54" s="3" t="s">
        <v>391</v>
      </c>
      <c r="Q54" s="3" t="s">
        <v>29</v>
      </c>
      <c r="S54" s="27" t="s">
        <v>392</v>
      </c>
      <c r="T54" s="27">
        <f>IFERROR(__xludf.DUMMYFUNCTION("""COMPUTED_VALUE"""),998.0)</f>
        <v>998</v>
      </c>
      <c r="U54" s="1" t="s">
        <v>2266</v>
      </c>
    </row>
    <row r="55">
      <c r="A55" s="4">
        <v>44342.729799305554</v>
      </c>
      <c r="B55" s="3" t="s">
        <v>393</v>
      </c>
      <c r="C55" s="3" t="s">
        <v>394</v>
      </c>
      <c r="D55" s="3" t="s">
        <v>358</v>
      </c>
      <c r="E55" s="6">
        <v>43595.0</v>
      </c>
      <c r="F55" s="3">
        <v>109423.76</v>
      </c>
      <c r="G55" s="3" t="s">
        <v>136</v>
      </c>
      <c r="H55" s="3" t="s">
        <v>22</v>
      </c>
      <c r="K55" s="3" t="s">
        <v>395</v>
      </c>
      <c r="L55" s="3" t="s">
        <v>396</v>
      </c>
      <c r="M55" s="3" t="s">
        <v>397</v>
      </c>
      <c r="N55" s="3" t="s">
        <v>362</v>
      </c>
      <c r="O55" s="3" t="s">
        <v>398</v>
      </c>
      <c r="Q55" s="3" t="s">
        <v>29</v>
      </c>
      <c r="S55" s="27" t="s">
        <v>399</v>
      </c>
      <c r="T55" s="27">
        <f>IFERROR(__xludf.DUMMYFUNCTION("""COMPUTED_VALUE"""),1148.0)</f>
        <v>1148</v>
      </c>
      <c r="U55" s="1" t="s">
        <v>2267</v>
      </c>
    </row>
    <row r="56">
      <c r="A56" s="4">
        <v>44342.72982425926</v>
      </c>
      <c r="B56" s="3" t="s">
        <v>393</v>
      </c>
      <c r="C56" s="3" t="s">
        <v>400</v>
      </c>
      <c r="D56" s="3" t="s">
        <v>358</v>
      </c>
      <c r="E56" s="6">
        <v>43602.0</v>
      </c>
      <c r="F56" s="3">
        <v>11810.0</v>
      </c>
      <c r="G56" s="3" t="s">
        <v>21</v>
      </c>
      <c r="H56" s="3" t="s">
        <v>22</v>
      </c>
      <c r="K56" s="3" t="s">
        <v>401</v>
      </c>
      <c r="L56" s="3" t="s">
        <v>402</v>
      </c>
      <c r="M56" s="3" t="s">
        <v>403</v>
      </c>
      <c r="N56" s="3" t="s">
        <v>362</v>
      </c>
      <c r="O56" s="3" t="s">
        <v>398</v>
      </c>
      <c r="Q56" s="3" t="s">
        <v>29</v>
      </c>
      <c r="S56" s="27" t="s">
        <v>404</v>
      </c>
      <c r="T56" s="27">
        <f>IFERROR(__xludf.DUMMYFUNCTION("""COMPUTED_VALUE"""),1148.0)</f>
        <v>1148</v>
      </c>
      <c r="U56" s="1" t="s">
        <v>2268</v>
      </c>
    </row>
    <row r="57">
      <c r="A57" s="4">
        <v>44342.72984846064</v>
      </c>
      <c r="B57" s="3" t="s">
        <v>393</v>
      </c>
      <c r="C57" s="3" t="s">
        <v>405</v>
      </c>
      <c r="D57" s="3" t="s">
        <v>358</v>
      </c>
      <c r="E57" s="6">
        <v>43633.0</v>
      </c>
      <c r="F57" s="3">
        <f>319728.97-7068.01</f>
        <v>312660.96</v>
      </c>
      <c r="G57" s="3" t="s">
        <v>21</v>
      </c>
      <c r="H57" s="3" t="s">
        <v>22</v>
      </c>
      <c r="K57" s="3" t="s">
        <v>406</v>
      </c>
      <c r="L57" s="3" t="s">
        <v>407</v>
      </c>
      <c r="M57" s="3" t="s">
        <v>408</v>
      </c>
      <c r="N57" s="3" t="s">
        <v>362</v>
      </c>
      <c r="O57" s="3" t="s">
        <v>398</v>
      </c>
      <c r="Q57" s="3" t="s">
        <v>29</v>
      </c>
      <c r="S57" s="27" t="s">
        <v>2269</v>
      </c>
      <c r="T57" s="27">
        <f>IFERROR(__xludf.DUMMYFUNCTION("""COMPUTED_VALUE"""),1148.0)</f>
        <v>1148</v>
      </c>
      <c r="U57" s="1" t="s">
        <v>2270</v>
      </c>
    </row>
    <row r="58">
      <c r="A58" s="4">
        <v>44342.729873171294</v>
      </c>
      <c r="B58" s="3" t="s">
        <v>393</v>
      </c>
      <c r="C58" s="3" t="s">
        <v>410</v>
      </c>
      <c r="D58" s="3" t="s">
        <v>358</v>
      </c>
      <c r="E58" s="6">
        <v>43693.0</v>
      </c>
      <c r="F58" s="3">
        <v>11636.28</v>
      </c>
      <c r="G58" s="3" t="s">
        <v>21</v>
      </c>
      <c r="H58" s="3" t="s">
        <v>22</v>
      </c>
      <c r="K58" s="3" t="s">
        <v>411</v>
      </c>
      <c r="L58" s="3" t="s">
        <v>412</v>
      </c>
      <c r="M58" s="3" t="s">
        <v>413</v>
      </c>
      <c r="N58" s="3" t="s">
        <v>362</v>
      </c>
      <c r="O58" s="3" t="s">
        <v>398</v>
      </c>
      <c r="Q58" s="3" t="s">
        <v>29</v>
      </c>
      <c r="S58" s="27" t="s">
        <v>414</v>
      </c>
      <c r="T58" s="27">
        <f>IFERROR(__xludf.DUMMYFUNCTION("""COMPUTED_VALUE"""),1148.0)</f>
        <v>1148</v>
      </c>
      <c r="U58" s="1" t="s">
        <v>2271</v>
      </c>
    </row>
    <row r="59">
      <c r="A59" s="4">
        <v>44342.72992332176</v>
      </c>
      <c r="B59" s="3" t="s">
        <v>393</v>
      </c>
      <c r="C59" s="3" t="s">
        <v>415</v>
      </c>
      <c r="D59" s="3" t="s">
        <v>358</v>
      </c>
      <c r="E59" s="6">
        <v>43597.0</v>
      </c>
      <c r="F59" s="3">
        <v>2872.57</v>
      </c>
      <c r="G59" s="3" t="s">
        <v>21</v>
      </c>
      <c r="H59" s="3" t="s">
        <v>22</v>
      </c>
      <c r="K59" s="3" t="s">
        <v>416</v>
      </c>
      <c r="L59" s="3" t="s">
        <v>417</v>
      </c>
      <c r="M59" s="3" t="s">
        <v>418</v>
      </c>
      <c r="N59" s="3" t="s">
        <v>362</v>
      </c>
      <c r="O59" s="3" t="s">
        <v>398</v>
      </c>
      <c r="Q59" s="3" t="s">
        <v>29</v>
      </c>
      <c r="S59" s="27" t="s">
        <v>419</v>
      </c>
      <c r="T59" s="27">
        <f>IFERROR(__xludf.DUMMYFUNCTION("""COMPUTED_VALUE"""),1148.0)</f>
        <v>1148</v>
      </c>
      <c r="U59" s="1" t="s">
        <v>2272</v>
      </c>
    </row>
    <row r="60">
      <c r="A60" s="4">
        <v>44342.729897847224</v>
      </c>
      <c r="B60" s="3" t="s">
        <v>393</v>
      </c>
      <c r="C60" s="3" t="s">
        <v>420</v>
      </c>
      <c r="D60" s="3" t="s">
        <v>358</v>
      </c>
      <c r="E60" s="6">
        <v>43759.0</v>
      </c>
      <c r="F60" s="3">
        <v>2245.13</v>
      </c>
      <c r="G60" s="3" t="s">
        <v>21</v>
      </c>
      <c r="H60" s="3" t="s">
        <v>22</v>
      </c>
      <c r="K60" s="3" t="s">
        <v>421</v>
      </c>
      <c r="L60" s="3" t="s">
        <v>422</v>
      </c>
      <c r="M60" s="3" t="s">
        <v>423</v>
      </c>
      <c r="N60" s="3" t="s">
        <v>362</v>
      </c>
      <c r="O60" s="3" t="s">
        <v>398</v>
      </c>
      <c r="Q60" s="3" t="s">
        <v>29</v>
      </c>
      <c r="S60" s="27" t="s">
        <v>2273</v>
      </c>
      <c r="T60" s="27">
        <f>IFERROR(__xludf.DUMMYFUNCTION("""COMPUTED_VALUE"""),1148.0)</f>
        <v>1148</v>
      </c>
      <c r="U60" s="1" t="s">
        <v>2274</v>
      </c>
    </row>
    <row r="61">
      <c r="A61" s="4">
        <v>44342.7299719213</v>
      </c>
      <c r="B61" s="3" t="s">
        <v>393</v>
      </c>
      <c r="C61" s="3" t="s">
        <v>425</v>
      </c>
      <c r="D61" s="3" t="s">
        <v>358</v>
      </c>
      <c r="E61" s="6">
        <v>43882.0</v>
      </c>
      <c r="F61" s="3">
        <v>7201.2</v>
      </c>
      <c r="G61" s="3" t="s">
        <v>136</v>
      </c>
      <c r="H61" s="3" t="s">
        <v>22</v>
      </c>
      <c r="K61" s="3" t="s">
        <v>426</v>
      </c>
      <c r="L61" s="3" t="s">
        <v>427</v>
      </c>
      <c r="M61" s="3" t="s">
        <v>428</v>
      </c>
      <c r="N61" s="3" t="s">
        <v>362</v>
      </c>
      <c r="O61" s="3" t="s">
        <v>398</v>
      </c>
      <c r="Q61" s="3" t="s">
        <v>29</v>
      </c>
      <c r="S61" s="27" t="s">
        <v>2275</v>
      </c>
      <c r="T61" s="27">
        <f>IFERROR(__xludf.DUMMYFUNCTION("""COMPUTED_VALUE"""),1148.0)</f>
        <v>1148</v>
      </c>
      <c r="U61" s="1" t="s">
        <v>2276</v>
      </c>
    </row>
    <row r="62">
      <c r="A62" s="4">
        <v>44342.72994770833</v>
      </c>
      <c r="B62" s="3" t="s">
        <v>393</v>
      </c>
      <c r="C62" s="3" t="s">
        <v>430</v>
      </c>
      <c r="D62" s="3" t="s">
        <v>358</v>
      </c>
      <c r="E62" s="6">
        <v>43815.0</v>
      </c>
      <c r="F62" s="3">
        <v>881.46</v>
      </c>
      <c r="G62" s="3" t="s">
        <v>350</v>
      </c>
      <c r="H62" s="3" t="s">
        <v>22</v>
      </c>
      <c r="K62" s="3" t="s">
        <v>431</v>
      </c>
      <c r="L62" s="3" t="s">
        <v>432</v>
      </c>
      <c r="M62" s="3" t="s">
        <v>433</v>
      </c>
      <c r="N62" s="3" t="s">
        <v>362</v>
      </c>
      <c r="O62" s="3" t="s">
        <v>398</v>
      </c>
      <c r="Q62" s="3" t="s">
        <v>29</v>
      </c>
      <c r="S62" s="27" t="s">
        <v>434</v>
      </c>
      <c r="T62" s="27">
        <f>IFERROR(__xludf.DUMMYFUNCTION("""COMPUTED_VALUE"""),1148.0)</f>
        <v>1148</v>
      </c>
      <c r="U62" s="1" t="s">
        <v>2277</v>
      </c>
    </row>
    <row r="63">
      <c r="A63" s="4">
        <v>44342.72999732639</v>
      </c>
      <c r="B63" s="3" t="s">
        <v>393</v>
      </c>
      <c r="C63" s="3" t="s">
        <v>435</v>
      </c>
      <c r="D63" s="3" t="s">
        <v>358</v>
      </c>
      <c r="E63" s="6">
        <v>43894.0</v>
      </c>
      <c r="F63" s="3">
        <v>87484.25</v>
      </c>
      <c r="G63" s="3" t="s">
        <v>21</v>
      </c>
      <c r="H63" s="3" t="s">
        <v>22</v>
      </c>
      <c r="K63" s="3" t="s">
        <v>436</v>
      </c>
      <c r="L63" s="3" t="s">
        <v>437</v>
      </c>
      <c r="M63" s="3" t="s">
        <v>438</v>
      </c>
      <c r="N63" s="3" t="s">
        <v>362</v>
      </c>
      <c r="O63" s="3" t="s">
        <v>398</v>
      </c>
      <c r="Q63" s="3" t="s">
        <v>29</v>
      </c>
      <c r="S63" s="27" t="s">
        <v>439</v>
      </c>
      <c r="T63" s="27">
        <f>IFERROR(__xludf.DUMMYFUNCTION("""COMPUTED_VALUE"""),1148.0)</f>
        <v>1148</v>
      </c>
      <c r="U63" s="1" t="s">
        <v>2278</v>
      </c>
    </row>
    <row r="64">
      <c r="A64" s="4">
        <v>44342.73002239583</v>
      </c>
      <c r="B64" s="3" t="s">
        <v>393</v>
      </c>
      <c r="C64" s="3" t="s">
        <v>440</v>
      </c>
      <c r="D64" s="3" t="s">
        <v>358</v>
      </c>
      <c r="E64" s="6">
        <v>43900.0</v>
      </c>
      <c r="F64" s="3">
        <v>56818.84</v>
      </c>
      <c r="G64" s="3" t="s">
        <v>21</v>
      </c>
      <c r="H64" s="3" t="s">
        <v>22</v>
      </c>
      <c r="J64" s="1" t="s">
        <v>2279</v>
      </c>
      <c r="K64" s="3" t="s">
        <v>441</v>
      </c>
      <c r="L64" s="3" t="s">
        <v>442</v>
      </c>
      <c r="M64" s="3" t="s">
        <v>443</v>
      </c>
      <c r="N64" s="3" t="s">
        <v>362</v>
      </c>
      <c r="O64" s="3" t="s">
        <v>398</v>
      </c>
      <c r="Q64" s="3" t="s">
        <v>29</v>
      </c>
      <c r="S64" s="27" t="s">
        <v>444</v>
      </c>
      <c r="T64" s="27">
        <f>IFERROR(__xludf.DUMMYFUNCTION("""COMPUTED_VALUE"""),1148.0)</f>
        <v>1148</v>
      </c>
      <c r="U64" s="1" t="s">
        <v>2280</v>
      </c>
    </row>
    <row r="65">
      <c r="A65" s="4">
        <v>44342.73005005787</v>
      </c>
      <c r="B65" s="3" t="s">
        <v>393</v>
      </c>
      <c r="C65" s="3" t="s">
        <v>445</v>
      </c>
      <c r="D65" s="3" t="s">
        <v>358</v>
      </c>
      <c r="E65" s="6">
        <v>43903.0</v>
      </c>
      <c r="F65" s="3">
        <v>8684.86</v>
      </c>
      <c r="G65" s="3" t="s">
        <v>21</v>
      </c>
      <c r="H65" s="3" t="s">
        <v>22</v>
      </c>
      <c r="K65" s="3" t="s">
        <v>446</v>
      </c>
      <c r="L65" s="3" t="s">
        <v>447</v>
      </c>
      <c r="M65" s="3" t="s">
        <v>448</v>
      </c>
      <c r="N65" s="3" t="s">
        <v>362</v>
      </c>
      <c r="O65" s="3" t="s">
        <v>398</v>
      </c>
      <c r="Q65" s="3" t="s">
        <v>29</v>
      </c>
      <c r="S65" s="27" t="s">
        <v>449</v>
      </c>
      <c r="T65" s="27">
        <f>IFERROR(__xludf.DUMMYFUNCTION("""COMPUTED_VALUE"""),1148.0)</f>
        <v>1148</v>
      </c>
      <c r="U65" s="1" t="s">
        <v>2281</v>
      </c>
    </row>
    <row r="66">
      <c r="A66" s="4">
        <v>44342.73007460649</v>
      </c>
      <c r="B66" s="3" t="s">
        <v>110</v>
      </c>
      <c r="C66" s="3" t="s">
        <v>450</v>
      </c>
      <c r="D66" s="3" t="s">
        <v>20</v>
      </c>
      <c r="E66" s="6">
        <v>44170.0</v>
      </c>
      <c r="F66" s="3">
        <v>20800.0</v>
      </c>
      <c r="G66" s="3" t="s">
        <v>21</v>
      </c>
      <c r="H66" s="3" t="s">
        <v>22</v>
      </c>
      <c r="K66" s="3" t="s">
        <v>451</v>
      </c>
      <c r="L66" s="3" t="s">
        <v>452</v>
      </c>
      <c r="M66" s="3" t="s">
        <v>453</v>
      </c>
      <c r="N66" s="3" t="s">
        <v>27</v>
      </c>
      <c r="O66" s="3" t="s">
        <v>116</v>
      </c>
      <c r="Q66" s="3" t="s">
        <v>29</v>
      </c>
      <c r="S66" s="27" t="s">
        <v>454</v>
      </c>
      <c r="T66" s="27">
        <f>IFERROR(__xludf.DUMMYFUNCTION("""COMPUTED_VALUE"""),853.0)</f>
        <v>853</v>
      </c>
      <c r="U66" s="1" t="s">
        <v>2282</v>
      </c>
    </row>
    <row r="67">
      <c r="A67" s="4">
        <v>44342.73009892361</v>
      </c>
      <c r="B67" s="3" t="s">
        <v>322</v>
      </c>
      <c r="C67" s="3" t="s">
        <v>455</v>
      </c>
      <c r="D67" s="3" t="s">
        <v>20</v>
      </c>
      <c r="E67" s="6">
        <v>43955.0</v>
      </c>
      <c r="F67" s="3">
        <v>107760.0</v>
      </c>
      <c r="G67" s="3" t="s">
        <v>21</v>
      </c>
      <c r="H67" s="3" t="s">
        <v>22</v>
      </c>
      <c r="J67" s="3" t="s">
        <v>456</v>
      </c>
      <c r="K67" s="3" t="s">
        <v>457</v>
      </c>
      <c r="L67" s="3" t="s">
        <v>458</v>
      </c>
      <c r="M67" s="3" t="s">
        <v>459</v>
      </c>
      <c r="N67" s="3" t="s">
        <v>27</v>
      </c>
      <c r="O67" s="3" t="s">
        <v>327</v>
      </c>
      <c r="Q67" s="3" t="s">
        <v>29</v>
      </c>
      <c r="S67" s="27" t="s">
        <v>460</v>
      </c>
      <c r="T67" s="27">
        <f>IFERROR(__xludf.DUMMYFUNCTION("""COMPUTED_VALUE"""),1132.0)</f>
        <v>1132</v>
      </c>
      <c r="U67" s="1" t="s">
        <v>2283</v>
      </c>
    </row>
    <row r="68">
      <c r="A68" s="4">
        <v>44342.730124953705</v>
      </c>
      <c r="B68" s="3" t="s">
        <v>461</v>
      </c>
      <c r="C68" s="3" t="s">
        <v>462</v>
      </c>
      <c r="D68" s="3" t="s">
        <v>230</v>
      </c>
      <c r="E68" s="6">
        <v>43800.0</v>
      </c>
      <c r="F68" s="3">
        <v>1800.0</v>
      </c>
      <c r="G68" s="3" t="s">
        <v>136</v>
      </c>
      <c r="H68" s="3" t="s">
        <v>22</v>
      </c>
      <c r="K68" s="3" t="s">
        <v>463</v>
      </c>
      <c r="L68" s="3" t="s">
        <v>464</v>
      </c>
      <c r="M68" s="3" t="s">
        <v>465</v>
      </c>
      <c r="N68" s="3" t="s">
        <v>234</v>
      </c>
      <c r="O68" s="3" t="s">
        <v>466</v>
      </c>
      <c r="Q68" s="3" t="s">
        <v>29</v>
      </c>
      <c r="S68" s="27" t="s">
        <v>467</v>
      </c>
      <c r="T68" s="27">
        <f>IFERROR(__xludf.DUMMYFUNCTION("""COMPUTED_VALUE"""),666.0)</f>
        <v>666</v>
      </c>
      <c r="U68" s="1" t="s">
        <v>2284</v>
      </c>
    </row>
    <row r="69">
      <c r="A69" s="4">
        <v>44342.73015004629</v>
      </c>
      <c r="B69" s="3" t="s">
        <v>468</v>
      </c>
      <c r="C69" s="3" t="s">
        <v>469</v>
      </c>
      <c r="D69" s="3" t="s">
        <v>230</v>
      </c>
      <c r="E69" s="6">
        <v>43617.0</v>
      </c>
      <c r="F69" s="3">
        <v>300.0</v>
      </c>
      <c r="G69" s="3" t="s">
        <v>21</v>
      </c>
      <c r="H69" s="3" t="s">
        <v>22</v>
      </c>
      <c r="J69" s="1" t="s">
        <v>2285</v>
      </c>
      <c r="K69" s="3" t="s">
        <v>470</v>
      </c>
      <c r="L69" s="3" t="s">
        <v>471</v>
      </c>
      <c r="M69" s="3" t="s">
        <v>472</v>
      </c>
      <c r="N69" s="3" t="s">
        <v>234</v>
      </c>
      <c r="O69" s="3" t="s">
        <v>473</v>
      </c>
      <c r="Q69" s="3" t="s">
        <v>29</v>
      </c>
      <c r="S69" s="27" t="s">
        <v>474</v>
      </c>
      <c r="T69" s="27">
        <f>IFERROR(__xludf.DUMMYFUNCTION("""COMPUTED_VALUE"""),1221.0)</f>
        <v>1221</v>
      </c>
      <c r="U69" s="1" t="s">
        <v>2286</v>
      </c>
    </row>
    <row r="70">
      <c r="A70" s="4">
        <v>44342.7301753125</v>
      </c>
      <c r="B70" s="3" t="s">
        <v>475</v>
      </c>
      <c r="C70" s="3" t="s">
        <v>476</v>
      </c>
      <c r="D70" s="3" t="s">
        <v>230</v>
      </c>
      <c r="E70" s="6">
        <v>43586.0</v>
      </c>
      <c r="F70" s="3">
        <v>200.0</v>
      </c>
      <c r="G70" s="3" t="s">
        <v>136</v>
      </c>
      <c r="H70" s="3" t="s">
        <v>22</v>
      </c>
      <c r="K70" s="3" t="s">
        <v>477</v>
      </c>
      <c r="L70" s="3" t="s">
        <v>478</v>
      </c>
      <c r="M70" s="3" t="s">
        <v>479</v>
      </c>
      <c r="N70" s="3" t="s">
        <v>234</v>
      </c>
      <c r="O70" s="3" t="s">
        <v>480</v>
      </c>
      <c r="Q70" s="3" t="s">
        <v>29</v>
      </c>
      <c r="S70" s="27" t="s">
        <v>481</v>
      </c>
      <c r="T70" s="27">
        <f>IFERROR(__xludf.DUMMYFUNCTION("""COMPUTED_VALUE"""),145.0)</f>
        <v>145</v>
      </c>
      <c r="U70" s="1" t="s">
        <v>2287</v>
      </c>
    </row>
    <row r="71">
      <c r="A71" s="4">
        <v>44342.730200729166</v>
      </c>
      <c r="B71" s="3" t="s">
        <v>482</v>
      </c>
      <c r="C71" s="3" t="s">
        <v>483</v>
      </c>
      <c r="D71" s="3" t="s">
        <v>230</v>
      </c>
      <c r="E71" s="6">
        <v>43497.0</v>
      </c>
      <c r="F71" s="3">
        <v>750.0</v>
      </c>
      <c r="G71" s="3" t="s">
        <v>136</v>
      </c>
      <c r="H71" s="3" t="s">
        <v>22</v>
      </c>
      <c r="K71" s="3" t="s">
        <v>484</v>
      </c>
      <c r="L71" s="3" t="s">
        <v>485</v>
      </c>
      <c r="M71" s="3" t="s">
        <v>486</v>
      </c>
      <c r="N71" s="3" t="s">
        <v>234</v>
      </c>
      <c r="O71" s="3" t="s">
        <v>487</v>
      </c>
      <c r="Q71" s="3" t="s">
        <v>29</v>
      </c>
      <c r="S71" s="27" t="s">
        <v>488</v>
      </c>
      <c r="T71" s="27">
        <f>IFERROR(__xludf.DUMMYFUNCTION("""COMPUTED_VALUE"""),4.0)</f>
        <v>4</v>
      </c>
      <c r="U71" s="1" t="s">
        <v>2288</v>
      </c>
    </row>
    <row r="72">
      <c r="A72" s="4">
        <v>44342.73022631944</v>
      </c>
      <c r="B72" s="3" t="s">
        <v>89</v>
      </c>
      <c r="C72" s="3" t="s">
        <v>489</v>
      </c>
      <c r="D72" s="3" t="s">
        <v>230</v>
      </c>
      <c r="E72" s="6">
        <v>43539.0</v>
      </c>
      <c r="F72" s="3">
        <v>1500.0</v>
      </c>
      <c r="G72" s="3" t="s">
        <v>136</v>
      </c>
      <c r="H72" s="3" t="s">
        <v>22</v>
      </c>
      <c r="J72" s="3" t="s">
        <v>490</v>
      </c>
      <c r="K72" s="3" t="s">
        <v>491</v>
      </c>
      <c r="L72" s="3" t="s">
        <v>492</v>
      </c>
      <c r="M72" s="3" t="s">
        <v>493</v>
      </c>
      <c r="N72" s="3" t="s">
        <v>234</v>
      </c>
      <c r="O72" s="3" t="s">
        <v>94</v>
      </c>
      <c r="Q72" s="3" t="s">
        <v>29</v>
      </c>
      <c r="S72" s="27" t="s">
        <v>494</v>
      </c>
      <c r="T72" s="27">
        <f>IFERROR(__xludf.DUMMYFUNCTION("""COMPUTED_VALUE"""),902.0)</f>
        <v>902</v>
      </c>
      <c r="U72" s="1" t="s">
        <v>2289</v>
      </c>
    </row>
    <row r="73">
      <c r="A73" s="4">
        <v>44342.73025202546</v>
      </c>
      <c r="B73" s="3" t="s">
        <v>495</v>
      </c>
      <c r="C73" s="3" t="s">
        <v>496</v>
      </c>
      <c r="D73" s="3" t="s">
        <v>230</v>
      </c>
      <c r="E73" s="6">
        <v>43435.0</v>
      </c>
      <c r="F73" s="3">
        <v>1645.0</v>
      </c>
      <c r="G73" s="3" t="s">
        <v>21</v>
      </c>
      <c r="H73" s="3" t="s">
        <v>22</v>
      </c>
      <c r="J73" s="3" t="s">
        <v>497</v>
      </c>
      <c r="K73" s="3" t="s">
        <v>498</v>
      </c>
      <c r="L73" s="3" t="s">
        <v>499</v>
      </c>
      <c r="M73" s="3" t="s">
        <v>500</v>
      </c>
      <c r="N73" s="3" t="s">
        <v>234</v>
      </c>
      <c r="O73" s="3" t="s">
        <v>501</v>
      </c>
      <c r="Q73" s="3" t="s">
        <v>29</v>
      </c>
      <c r="S73" s="27" t="s">
        <v>502</v>
      </c>
      <c r="T73" s="27">
        <f>IFERROR(__xludf.DUMMYFUNCTION("""COMPUTED_VALUE"""),1044.0)</f>
        <v>1044</v>
      </c>
      <c r="U73" s="1" t="s">
        <v>2290</v>
      </c>
    </row>
    <row r="74">
      <c r="A74" s="4">
        <v>44342.730277939816</v>
      </c>
      <c r="B74" s="3" t="s">
        <v>503</v>
      </c>
      <c r="C74" s="3" t="s">
        <v>504</v>
      </c>
      <c r="D74" s="3" t="s">
        <v>230</v>
      </c>
      <c r="E74" s="6">
        <v>43462.0</v>
      </c>
      <c r="F74" s="3">
        <v>1000.0</v>
      </c>
      <c r="G74" s="3" t="s">
        <v>136</v>
      </c>
      <c r="H74" s="3" t="s">
        <v>22</v>
      </c>
      <c r="J74" s="1" t="s">
        <v>2291</v>
      </c>
      <c r="K74" s="3" t="s">
        <v>505</v>
      </c>
      <c r="L74" s="3" t="s">
        <v>506</v>
      </c>
      <c r="M74" s="3" t="s">
        <v>507</v>
      </c>
      <c r="N74" s="3" t="s">
        <v>234</v>
      </c>
      <c r="O74" s="3" t="s">
        <v>508</v>
      </c>
      <c r="Q74" s="3" t="s">
        <v>29</v>
      </c>
      <c r="S74" s="27" t="s">
        <v>509</v>
      </c>
      <c r="T74" s="27">
        <f>IFERROR(__xludf.DUMMYFUNCTION("""COMPUTED_VALUE"""),1059.0)</f>
        <v>1059</v>
      </c>
      <c r="U74" s="1" t="s">
        <v>2292</v>
      </c>
    </row>
    <row r="75">
      <c r="A75" s="4">
        <v>44342.730303703705</v>
      </c>
      <c r="B75" s="3" t="s">
        <v>482</v>
      </c>
      <c r="C75" s="3" t="s">
        <v>510</v>
      </c>
      <c r="D75" s="3" t="s">
        <v>230</v>
      </c>
      <c r="E75" s="6">
        <v>43862.0</v>
      </c>
      <c r="F75" s="3">
        <v>1.0</v>
      </c>
      <c r="G75" s="3" t="s">
        <v>21</v>
      </c>
      <c r="H75" s="3" t="s">
        <v>22</v>
      </c>
      <c r="J75" s="3" t="s">
        <v>511</v>
      </c>
      <c r="K75" s="3" t="s">
        <v>512</v>
      </c>
      <c r="L75" s="3" t="s">
        <v>513</v>
      </c>
      <c r="M75" s="3" t="s">
        <v>514</v>
      </c>
      <c r="N75" s="3" t="s">
        <v>234</v>
      </c>
      <c r="O75" s="3" t="s">
        <v>487</v>
      </c>
      <c r="Q75" s="3" t="s">
        <v>29</v>
      </c>
      <c r="S75" s="27" t="s">
        <v>2293</v>
      </c>
      <c r="T75" s="27">
        <f>IFERROR(__xludf.DUMMYFUNCTION("""COMPUTED_VALUE"""),4.0)</f>
        <v>4</v>
      </c>
      <c r="U75" s="1" t="s">
        <v>2294</v>
      </c>
    </row>
    <row r="76">
      <c r="A76" s="4">
        <v>44342.73032939815</v>
      </c>
      <c r="B76" s="3" t="s">
        <v>516</v>
      </c>
      <c r="C76" s="3" t="s">
        <v>517</v>
      </c>
      <c r="D76" s="3" t="s">
        <v>518</v>
      </c>
      <c r="E76" s="6">
        <v>44075.0</v>
      </c>
      <c r="F76" s="3">
        <v>1.0</v>
      </c>
      <c r="G76" s="3" t="s">
        <v>136</v>
      </c>
      <c r="H76" s="3" t="s">
        <v>22</v>
      </c>
      <c r="J76" s="3" t="s">
        <v>519</v>
      </c>
      <c r="K76" s="3" t="s">
        <v>520</v>
      </c>
      <c r="L76" s="3" t="s">
        <v>521</v>
      </c>
      <c r="M76" s="3" t="s">
        <v>522</v>
      </c>
      <c r="N76" s="3" t="s">
        <v>523</v>
      </c>
      <c r="O76" s="3" t="s">
        <v>524</v>
      </c>
      <c r="Q76" s="3" t="s">
        <v>29</v>
      </c>
      <c r="S76" s="27" t="s">
        <v>525</v>
      </c>
      <c r="T76" s="27">
        <f>IFERROR(__xludf.DUMMYFUNCTION("""COMPUTED_VALUE"""),1371.0)</f>
        <v>1371</v>
      </c>
      <c r="U76" s="1" t="s">
        <v>2295</v>
      </c>
    </row>
    <row r="77">
      <c r="A77" s="4">
        <v>44342.730354479165</v>
      </c>
      <c r="B77" s="3" t="s">
        <v>526</v>
      </c>
      <c r="C77" s="3" t="s">
        <v>527</v>
      </c>
      <c r="D77" s="3" t="s">
        <v>230</v>
      </c>
      <c r="E77" s="6">
        <v>43831.0</v>
      </c>
      <c r="F77" s="3">
        <v>1.0</v>
      </c>
      <c r="G77" s="3" t="s">
        <v>136</v>
      </c>
      <c r="H77" s="3" t="s">
        <v>22</v>
      </c>
      <c r="K77" s="3" t="s">
        <v>528</v>
      </c>
      <c r="L77" s="3" t="s">
        <v>529</v>
      </c>
      <c r="M77" s="3" t="s">
        <v>530</v>
      </c>
      <c r="N77" s="3" t="s">
        <v>234</v>
      </c>
      <c r="O77" s="3" t="s">
        <v>531</v>
      </c>
      <c r="Q77" s="3" t="s">
        <v>29</v>
      </c>
      <c r="S77" s="27" t="s">
        <v>532</v>
      </c>
      <c r="T77" s="27"/>
      <c r="U77" s="1" t="s">
        <v>2296</v>
      </c>
    </row>
    <row r="78">
      <c r="A78" s="4">
        <v>44342.73037978009</v>
      </c>
      <c r="B78" s="3" t="s">
        <v>242</v>
      </c>
      <c r="C78" s="3" t="s">
        <v>533</v>
      </c>
      <c r="D78" s="3" t="s">
        <v>230</v>
      </c>
      <c r="E78" s="6">
        <v>43831.0</v>
      </c>
      <c r="F78" s="3">
        <v>1.0</v>
      </c>
      <c r="G78" s="3" t="s">
        <v>136</v>
      </c>
      <c r="H78" s="3" t="s">
        <v>22</v>
      </c>
      <c r="K78" s="3" t="s">
        <v>534</v>
      </c>
      <c r="L78" s="3" t="s">
        <v>535</v>
      </c>
      <c r="M78" s="3" t="s">
        <v>536</v>
      </c>
      <c r="N78" s="3" t="s">
        <v>234</v>
      </c>
      <c r="O78" s="3" t="s">
        <v>248</v>
      </c>
      <c r="Q78" s="3" t="s">
        <v>29</v>
      </c>
      <c r="S78" s="27" t="s">
        <v>537</v>
      </c>
      <c r="T78" s="27">
        <f>IFERROR(__xludf.DUMMYFUNCTION("""COMPUTED_VALUE"""),773.0)</f>
        <v>773</v>
      </c>
      <c r="U78" s="1" t="s">
        <v>2297</v>
      </c>
    </row>
    <row r="79">
      <c r="A79" s="4">
        <v>44342.73040480324</v>
      </c>
      <c r="B79" s="3" t="s">
        <v>538</v>
      </c>
      <c r="C79" s="3" t="s">
        <v>539</v>
      </c>
      <c r="D79" s="3" t="s">
        <v>20</v>
      </c>
      <c r="E79" s="6">
        <v>43122.0</v>
      </c>
      <c r="F79" s="3">
        <v>132998.0</v>
      </c>
      <c r="G79" s="3" t="s">
        <v>21</v>
      </c>
      <c r="H79" s="3" t="s">
        <v>22</v>
      </c>
      <c r="K79" s="3" t="s">
        <v>540</v>
      </c>
      <c r="L79" s="3" t="s">
        <v>541</v>
      </c>
      <c r="M79" s="3" t="s">
        <v>542</v>
      </c>
      <c r="N79" s="3" t="s">
        <v>27</v>
      </c>
      <c r="O79" s="3" t="s">
        <v>543</v>
      </c>
      <c r="Q79" s="3" t="s">
        <v>29</v>
      </c>
      <c r="S79" s="27" t="s">
        <v>544</v>
      </c>
      <c r="T79" s="27">
        <f>IFERROR(__xludf.DUMMYFUNCTION("""COMPUTED_VALUE"""),189.0)</f>
        <v>189</v>
      </c>
      <c r="U79" s="1" t="s">
        <v>2298</v>
      </c>
    </row>
    <row r="80">
      <c r="A80" s="4">
        <v>44342.73042961805</v>
      </c>
      <c r="B80" s="3" t="s">
        <v>545</v>
      </c>
      <c r="C80" s="3" t="s">
        <v>546</v>
      </c>
      <c r="D80" s="3" t="s">
        <v>230</v>
      </c>
      <c r="E80" s="6">
        <v>43831.0</v>
      </c>
      <c r="F80" s="3">
        <v>1.0</v>
      </c>
      <c r="G80" s="3" t="s">
        <v>21</v>
      </c>
      <c r="H80" s="3" t="s">
        <v>22</v>
      </c>
      <c r="K80" s="3" t="s">
        <v>547</v>
      </c>
      <c r="L80" s="3" t="s">
        <v>548</v>
      </c>
      <c r="M80" s="3" t="s">
        <v>549</v>
      </c>
      <c r="N80" s="3" t="s">
        <v>234</v>
      </c>
      <c r="O80" s="3" t="s">
        <v>550</v>
      </c>
      <c r="Q80" s="3" t="s">
        <v>29</v>
      </c>
      <c r="S80" s="27" t="s">
        <v>2299</v>
      </c>
      <c r="T80" s="27">
        <f>IFERROR(__xludf.DUMMYFUNCTION("""COMPUTED_VALUE"""),1314.0)</f>
        <v>1314</v>
      </c>
      <c r="U80" s="1" t="s">
        <v>2300</v>
      </c>
    </row>
    <row r="81">
      <c r="A81" s="4">
        <v>44342.730454282406</v>
      </c>
      <c r="B81" s="3" t="s">
        <v>552</v>
      </c>
      <c r="C81" s="3" t="s">
        <v>553</v>
      </c>
      <c r="D81" s="3" t="s">
        <v>230</v>
      </c>
      <c r="E81" s="6">
        <v>43831.0</v>
      </c>
      <c r="F81" s="3">
        <v>1.0</v>
      </c>
      <c r="G81" s="3" t="s">
        <v>136</v>
      </c>
      <c r="H81" s="3" t="s">
        <v>22</v>
      </c>
      <c r="K81" s="3" t="s">
        <v>554</v>
      </c>
      <c r="L81" s="3" t="s">
        <v>555</v>
      </c>
      <c r="M81" s="3" t="s">
        <v>556</v>
      </c>
      <c r="N81" s="3" t="s">
        <v>234</v>
      </c>
      <c r="O81" s="3" t="s">
        <v>557</v>
      </c>
      <c r="Q81" s="3" t="s">
        <v>29</v>
      </c>
      <c r="S81" s="27" t="s">
        <v>558</v>
      </c>
      <c r="T81" s="27">
        <f>IFERROR(__xludf.DUMMYFUNCTION("""COMPUTED_VALUE"""),1382.0)</f>
        <v>1382</v>
      </c>
      <c r="U81" s="1" t="s">
        <v>2301</v>
      </c>
    </row>
    <row r="82">
      <c r="A82" s="4">
        <v>44342.73047980324</v>
      </c>
      <c r="B82" s="3" t="s">
        <v>559</v>
      </c>
      <c r="C82" s="3" t="s">
        <v>560</v>
      </c>
      <c r="D82" s="3" t="s">
        <v>230</v>
      </c>
      <c r="E82" s="6">
        <v>43466.0</v>
      </c>
      <c r="F82" s="3">
        <v>1200.0</v>
      </c>
      <c r="G82" s="3" t="s">
        <v>136</v>
      </c>
      <c r="H82" s="3" t="s">
        <v>22</v>
      </c>
      <c r="K82" s="3" t="s">
        <v>561</v>
      </c>
      <c r="L82" s="3" t="s">
        <v>562</v>
      </c>
      <c r="M82" s="3" t="s">
        <v>563</v>
      </c>
      <c r="N82" s="3" t="s">
        <v>234</v>
      </c>
      <c r="O82" s="3" t="s">
        <v>564</v>
      </c>
      <c r="Q82" s="3" t="s">
        <v>29</v>
      </c>
      <c r="S82" s="27" t="s">
        <v>565</v>
      </c>
      <c r="T82" s="27">
        <f>IFERROR(__xludf.DUMMYFUNCTION("""COMPUTED_VALUE"""),1184.0)</f>
        <v>1184</v>
      </c>
      <c r="U82" s="1" t="s">
        <v>2302</v>
      </c>
    </row>
    <row r="83">
      <c r="A83" s="4">
        <v>44342.73050447917</v>
      </c>
      <c r="B83" s="3" t="s">
        <v>566</v>
      </c>
      <c r="C83" s="3" t="s">
        <v>560</v>
      </c>
      <c r="D83" s="3" t="s">
        <v>230</v>
      </c>
      <c r="E83" s="6">
        <v>43471.0</v>
      </c>
      <c r="F83" s="3">
        <v>10.0</v>
      </c>
      <c r="G83" s="3" t="s">
        <v>136</v>
      </c>
      <c r="H83" s="3" t="s">
        <v>22</v>
      </c>
      <c r="K83" s="3" t="s">
        <v>567</v>
      </c>
      <c r="L83" s="3" t="s">
        <v>568</v>
      </c>
      <c r="M83" s="3" t="s">
        <v>569</v>
      </c>
      <c r="N83" s="3" t="s">
        <v>234</v>
      </c>
      <c r="O83" s="3" t="s">
        <v>570</v>
      </c>
      <c r="Q83" s="3" t="s">
        <v>29</v>
      </c>
      <c r="S83" s="27" t="s">
        <v>571</v>
      </c>
      <c r="T83" s="27">
        <f>IFERROR(__xludf.DUMMYFUNCTION("""COMPUTED_VALUE"""),1066.0)</f>
        <v>1066</v>
      </c>
      <c r="U83" s="1" t="s">
        <v>2303</v>
      </c>
    </row>
    <row r="84">
      <c r="A84" s="4">
        <v>44342.73053008102</v>
      </c>
      <c r="B84" s="3" t="s">
        <v>572</v>
      </c>
      <c r="C84" s="3" t="s">
        <v>573</v>
      </c>
      <c r="D84" s="3" t="s">
        <v>20</v>
      </c>
      <c r="E84" s="6">
        <v>44170.0</v>
      </c>
      <c r="F84" s="3">
        <v>136600.0</v>
      </c>
      <c r="G84" s="3" t="s">
        <v>21</v>
      </c>
      <c r="H84" s="3" t="s">
        <v>22</v>
      </c>
      <c r="J84" s="3" t="s">
        <v>574</v>
      </c>
      <c r="K84" s="3" t="s">
        <v>575</v>
      </c>
      <c r="L84" s="3" t="s">
        <v>576</v>
      </c>
      <c r="M84" s="3" t="s">
        <v>577</v>
      </c>
      <c r="N84" s="3" t="s">
        <v>27</v>
      </c>
      <c r="O84" s="3" t="s">
        <v>578</v>
      </c>
      <c r="Q84" s="3" t="s">
        <v>29</v>
      </c>
      <c r="S84" s="27" t="s">
        <v>579</v>
      </c>
      <c r="T84" s="27">
        <f>IFERROR(__xludf.DUMMYFUNCTION("""COMPUTED_VALUE"""),1453.0)</f>
        <v>1453</v>
      </c>
      <c r="U84" s="1" t="s">
        <v>2304</v>
      </c>
    </row>
    <row r="85">
      <c r="A85" s="4">
        <v>44342.73055489583</v>
      </c>
      <c r="B85" s="3" t="s">
        <v>580</v>
      </c>
      <c r="C85" s="3" t="s">
        <v>581</v>
      </c>
      <c r="D85" s="3" t="s">
        <v>358</v>
      </c>
      <c r="E85" s="6">
        <v>43990.0</v>
      </c>
      <c r="F85" s="3">
        <v>55680.0</v>
      </c>
      <c r="G85" s="3" t="s">
        <v>350</v>
      </c>
      <c r="H85" s="3" t="s">
        <v>22</v>
      </c>
      <c r="K85" s="3" t="s">
        <v>582</v>
      </c>
      <c r="L85" s="3" t="s">
        <v>583</v>
      </c>
      <c r="M85" s="3" t="s">
        <v>584</v>
      </c>
      <c r="N85" s="3" t="s">
        <v>362</v>
      </c>
      <c r="O85" s="3" t="s">
        <v>585</v>
      </c>
      <c r="Q85" s="3" t="s">
        <v>29</v>
      </c>
      <c r="S85" s="27" t="s">
        <v>586</v>
      </c>
      <c r="T85" s="27">
        <f>IFERROR(__xludf.DUMMYFUNCTION("""COMPUTED_VALUE"""),415.0)</f>
        <v>415</v>
      </c>
      <c r="U85" s="1" t="s">
        <v>2305</v>
      </c>
    </row>
    <row r="86">
      <c r="A86" s="4">
        <v>44342.73058048611</v>
      </c>
      <c r="B86" s="3" t="s">
        <v>587</v>
      </c>
      <c r="C86" s="3" t="s">
        <v>510</v>
      </c>
      <c r="D86" s="3" t="s">
        <v>230</v>
      </c>
      <c r="E86" s="6">
        <v>43497.0</v>
      </c>
      <c r="F86" s="3">
        <v>3500.0</v>
      </c>
      <c r="G86" s="3" t="s">
        <v>21</v>
      </c>
      <c r="H86" s="3" t="s">
        <v>22</v>
      </c>
      <c r="K86" s="3" t="s">
        <v>588</v>
      </c>
      <c r="L86" s="3" t="s">
        <v>589</v>
      </c>
      <c r="M86" s="3" t="s">
        <v>590</v>
      </c>
      <c r="N86" s="3" t="s">
        <v>234</v>
      </c>
      <c r="O86" s="3" t="s">
        <v>591</v>
      </c>
      <c r="Q86" s="3" t="s">
        <v>29</v>
      </c>
      <c r="S86" s="27" t="s">
        <v>592</v>
      </c>
      <c r="T86" s="27">
        <f>IFERROR(__xludf.DUMMYFUNCTION("""COMPUTED_VALUE"""),979.0)</f>
        <v>979</v>
      </c>
      <c r="U86" s="1" t="s">
        <v>2306</v>
      </c>
    </row>
    <row r="87">
      <c r="A87" s="4">
        <v>44342.73060491898</v>
      </c>
      <c r="B87" s="3" t="s">
        <v>593</v>
      </c>
      <c r="C87" s="3" t="s">
        <v>222</v>
      </c>
      <c r="D87" s="3" t="s">
        <v>230</v>
      </c>
      <c r="E87" s="6">
        <v>43146.0</v>
      </c>
      <c r="F87" s="3">
        <v>1400.0</v>
      </c>
      <c r="G87" s="3" t="s">
        <v>21</v>
      </c>
      <c r="H87" s="3" t="s">
        <v>22</v>
      </c>
      <c r="K87" s="3" t="s">
        <v>594</v>
      </c>
      <c r="L87" s="3" t="s">
        <v>595</v>
      </c>
      <c r="M87" s="3" t="s">
        <v>596</v>
      </c>
      <c r="N87" s="3" t="s">
        <v>234</v>
      </c>
      <c r="O87" s="3" t="s">
        <v>597</v>
      </c>
      <c r="Q87" s="3" t="s">
        <v>29</v>
      </c>
      <c r="S87" s="27" t="s">
        <v>598</v>
      </c>
      <c r="T87" s="27">
        <f>IFERROR(__xludf.DUMMYFUNCTION("""COMPUTED_VALUE"""),546.0)</f>
        <v>546</v>
      </c>
      <c r="U87" s="1" t="s">
        <v>2307</v>
      </c>
    </row>
    <row r="88">
      <c r="A88" s="4">
        <v>44342.73063153935</v>
      </c>
      <c r="B88" s="3" t="s">
        <v>599</v>
      </c>
      <c r="C88" s="3" t="s">
        <v>600</v>
      </c>
      <c r="D88" s="3" t="s">
        <v>358</v>
      </c>
      <c r="E88" s="6">
        <v>43999.0</v>
      </c>
      <c r="F88" s="3">
        <v>8214.0</v>
      </c>
      <c r="G88" s="3" t="s">
        <v>21</v>
      </c>
      <c r="H88" s="3" t="s">
        <v>22</v>
      </c>
      <c r="K88" s="3" t="s">
        <v>601</v>
      </c>
      <c r="L88" s="3" t="s">
        <v>602</v>
      </c>
      <c r="M88" s="3" t="s">
        <v>603</v>
      </c>
      <c r="N88" s="3" t="s">
        <v>362</v>
      </c>
      <c r="O88" s="3" t="s">
        <v>604</v>
      </c>
      <c r="Q88" s="3" t="s">
        <v>29</v>
      </c>
      <c r="S88" s="27" t="s">
        <v>605</v>
      </c>
      <c r="T88" s="27">
        <f>IFERROR(__xludf.DUMMYFUNCTION("""COMPUTED_VALUE"""),1462.0)</f>
        <v>1462</v>
      </c>
      <c r="U88" s="1" t="s">
        <v>2308</v>
      </c>
    </row>
    <row r="89">
      <c r="A89" s="4">
        <v>44342.73065603009</v>
      </c>
      <c r="B89" s="3" t="s">
        <v>482</v>
      </c>
      <c r="C89" s="3" t="s">
        <v>606</v>
      </c>
      <c r="D89" s="3" t="s">
        <v>230</v>
      </c>
      <c r="E89" s="6">
        <v>43497.0</v>
      </c>
      <c r="F89" s="3">
        <v>250.0</v>
      </c>
      <c r="G89" s="3" t="s">
        <v>136</v>
      </c>
      <c r="H89" s="3" t="s">
        <v>22</v>
      </c>
      <c r="K89" s="3" t="s">
        <v>484</v>
      </c>
      <c r="L89" s="3" t="s">
        <v>607</v>
      </c>
      <c r="M89" s="3" t="s">
        <v>608</v>
      </c>
      <c r="N89" s="3" t="s">
        <v>234</v>
      </c>
      <c r="O89" s="3" t="s">
        <v>487</v>
      </c>
      <c r="Q89" s="3" t="s">
        <v>29</v>
      </c>
      <c r="S89" s="27" t="s">
        <v>609</v>
      </c>
      <c r="T89" s="27">
        <f>IFERROR(__xludf.DUMMYFUNCTION("""COMPUTED_VALUE"""),4.0)</f>
        <v>4</v>
      </c>
      <c r="U89" s="1" t="s">
        <v>2309</v>
      </c>
    </row>
    <row r="90">
      <c r="A90" s="4">
        <v>44342.7306809375</v>
      </c>
      <c r="B90" s="3" t="s">
        <v>482</v>
      </c>
      <c r="C90" s="3" t="s">
        <v>610</v>
      </c>
      <c r="D90" s="3" t="s">
        <v>230</v>
      </c>
      <c r="E90" s="6">
        <v>43497.0</v>
      </c>
      <c r="F90" s="3">
        <v>500.0</v>
      </c>
      <c r="G90" s="3" t="s">
        <v>136</v>
      </c>
      <c r="H90" s="3" t="s">
        <v>22</v>
      </c>
      <c r="K90" s="3" t="s">
        <v>484</v>
      </c>
      <c r="L90" s="3" t="s">
        <v>611</v>
      </c>
      <c r="M90" s="3" t="s">
        <v>612</v>
      </c>
      <c r="N90" s="3" t="s">
        <v>234</v>
      </c>
      <c r="O90" s="3" t="s">
        <v>487</v>
      </c>
      <c r="Q90" s="3" t="s">
        <v>29</v>
      </c>
      <c r="S90" s="27" t="s">
        <v>613</v>
      </c>
      <c r="T90" s="27">
        <f>IFERROR(__xludf.DUMMYFUNCTION("""COMPUTED_VALUE"""),4.0)</f>
        <v>4</v>
      </c>
      <c r="U90" s="1" t="s">
        <v>2310</v>
      </c>
    </row>
    <row r="91">
      <c r="A91" s="4">
        <v>44342.73070688658</v>
      </c>
      <c r="B91" s="3" t="s">
        <v>475</v>
      </c>
      <c r="C91" s="3" t="s">
        <v>614</v>
      </c>
      <c r="D91" s="3" t="s">
        <v>230</v>
      </c>
      <c r="E91" s="6">
        <v>43617.0</v>
      </c>
      <c r="F91" s="3">
        <v>300.0</v>
      </c>
      <c r="G91" s="3" t="s">
        <v>136</v>
      </c>
      <c r="H91" s="3" t="s">
        <v>22</v>
      </c>
      <c r="K91" s="3" t="s">
        <v>615</v>
      </c>
      <c r="L91" s="3" t="s">
        <v>616</v>
      </c>
      <c r="M91" s="3" t="s">
        <v>617</v>
      </c>
      <c r="N91" s="3" t="s">
        <v>234</v>
      </c>
      <c r="O91" s="3" t="s">
        <v>480</v>
      </c>
      <c r="Q91" s="3" t="s">
        <v>29</v>
      </c>
      <c r="S91" s="27" t="s">
        <v>618</v>
      </c>
      <c r="T91" s="27">
        <f>IFERROR(__xludf.DUMMYFUNCTION("""COMPUTED_VALUE"""),145.0)</f>
        <v>145</v>
      </c>
      <c r="U91" s="1" t="s">
        <v>2311</v>
      </c>
    </row>
    <row r="92">
      <c r="A92" s="4">
        <v>44342.73073113426</v>
      </c>
      <c r="B92" s="3" t="s">
        <v>67</v>
      </c>
      <c r="C92" s="3" t="s">
        <v>619</v>
      </c>
      <c r="D92" s="3" t="s">
        <v>230</v>
      </c>
      <c r="E92" s="6">
        <v>43592.0</v>
      </c>
      <c r="F92" s="3">
        <v>400.0</v>
      </c>
      <c r="G92" s="3" t="s">
        <v>136</v>
      </c>
      <c r="H92" s="3" t="s">
        <v>22</v>
      </c>
      <c r="K92" s="3" t="s">
        <v>620</v>
      </c>
      <c r="L92" s="3" t="s">
        <v>621</v>
      </c>
      <c r="M92" s="3" t="s">
        <v>622</v>
      </c>
      <c r="N92" s="3" t="s">
        <v>234</v>
      </c>
      <c r="O92" s="3" t="s">
        <v>72</v>
      </c>
      <c r="Q92" s="3" t="s">
        <v>29</v>
      </c>
      <c r="S92" s="27" t="s">
        <v>623</v>
      </c>
      <c r="T92" s="27">
        <f>IFERROR(__xludf.DUMMYFUNCTION("""COMPUTED_VALUE"""),642.0)</f>
        <v>642</v>
      </c>
      <c r="U92" s="1" t="s">
        <v>2312</v>
      </c>
    </row>
    <row r="93">
      <c r="A93" s="4">
        <v>44342.73075715278</v>
      </c>
      <c r="B93" s="3" t="s">
        <v>624</v>
      </c>
      <c r="C93" s="3" t="s">
        <v>625</v>
      </c>
      <c r="D93" s="3" t="s">
        <v>230</v>
      </c>
      <c r="E93" s="6">
        <v>44013.0</v>
      </c>
      <c r="F93" s="3">
        <v>3000.0</v>
      </c>
      <c r="G93" s="3" t="s">
        <v>136</v>
      </c>
      <c r="H93" s="3" t="s">
        <v>22</v>
      </c>
      <c r="J93" s="3" t="s">
        <v>626</v>
      </c>
      <c r="K93" s="3" t="s">
        <v>627</v>
      </c>
      <c r="L93" s="3" t="s">
        <v>628</v>
      </c>
      <c r="M93" s="3" t="s">
        <v>629</v>
      </c>
      <c r="N93" s="3" t="s">
        <v>234</v>
      </c>
      <c r="O93" s="3" t="s">
        <v>630</v>
      </c>
      <c r="Q93" s="3" t="s">
        <v>29</v>
      </c>
      <c r="S93" s="27" t="s">
        <v>631</v>
      </c>
      <c r="T93" s="27">
        <f>IFERROR(__xludf.DUMMYFUNCTION("""COMPUTED_VALUE"""),1485.0)</f>
        <v>1485</v>
      </c>
      <c r="U93" s="1" t="s">
        <v>2313</v>
      </c>
    </row>
    <row r="94">
      <c r="A94" s="4">
        <v>44342.730782060185</v>
      </c>
      <c r="B94" s="3" t="s">
        <v>632</v>
      </c>
      <c r="C94" s="3" t="s">
        <v>633</v>
      </c>
      <c r="D94" s="3" t="s">
        <v>230</v>
      </c>
      <c r="E94" s="6">
        <v>44014.0</v>
      </c>
      <c r="F94" s="3">
        <v>500.0</v>
      </c>
      <c r="G94" s="3" t="s">
        <v>136</v>
      </c>
      <c r="H94" s="3" t="s">
        <v>22</v>
      </c>
      <c r="J94" s="3" t="s">
        <v>634</v>
      </c>
      <c r="K94" s="3" t="s">
        <v>635</v>
      </c>
      <c r="L94" s="3" t="s">
        <v>636</v>
      </c>
      <c r="M94" s="3" t="s">
        <v>637</v>
      </c>
      <c r="N94" s="3" t="s">
        <v>234</v>
      </c>
      <c r="O94" s="3" t="s">
        <v>638</v>
      </c>
      <c r="Q94" s="3" t="s">
        <v>29</v>
      </c>
      <c r="S94" s="27" t="s">
        <v>639</v>
      </c>
      <c r="T94" s="27">
        <f>IFERROR(__xludf.DUMMYFUNCTION("""COMPUTED_VALUE"""),1470.0)</f>
        <v>1470</v>
      </c>
      <c r="U94" s="1" t="s">
        <v>2314</v>
      </c>
    </row>
    <row r="95">
      <c r="A95" s="4">
        <v>44342.730807685184</v>
      </c>
      <c r="B95" s="3" t="s">
        <v>640</v>
      </c>
      <c r="C95" s="3" t="s">
        <v>641</v>
      </c>
      <c r="D95" s="3" t="s">
        <v>20</v>
      </c>
      <c r="E95" s="6">
        <v>44013.0</v>
      </c>
      <c r="F95" s="3">
        <v>64790.0</v>
      </c>
      <c r="G95" s="3" t="s">
        <v>21</v>
      </c>
      <c r="H95" s="3" t="s">
        <v>22</v>
      </c>
      <c r="J95" s="3" t="s">
        <v>642</v>
      </c>
      <c r="K95" s="3" t="s">
        <v>643</v>
      </c>
      <c r="L95" s="3" t="s">
        <v>644</v>
      </c>
      <c r="M95" s="3" t="s">
        <v>645</v>
      </c>
      <c r="N95" s="3" t="s">
        <v>27</v>
      </c>
      <c r="O95" s="3" t="s">
        <v>646</v>
      </c>
      <c r="Q95" s="3" t="s">
        <v>29</v>
      </c>
      <c r="S95" s="27" t="s">
        <v>2315</v>
      </c>
      <c r="T95" s="27">
        <f>IFERROR(__xludf.DUMMYFUNCTION("""COMPUTED_VALUE"""),1471.0)</f>
        <v>1471</v>
      </c>
      <c r="U95" s="1" t="s">
        <v>2316</v>
      </c>
    </row>
    <row r="96">
      <c r="A96" s="4">
        <v>44342.73083263889</v>
      </c>
      <c r="B96" s="3" t="s">
        <v>393</v>
      </c>
      <c r="C96" s="3" t="s">
        <v>648</v>
      </c>
      <c r="D96" s="3" t="s">
        <v>358</v>
      </c>
      <c r="E96" s="6">
        <v>43983.0</v>
      </c>
      <c r="F96" s="3">
        <v>4580.94</v>
      </c>
      <c r="G96" s="3" t="s">
        <v>21</v>
      </c>
      <c r="H96" s="3" t="s">
        <v>22</v>
      </c>
      <c r="K96" s="3" t="s">
        <v>649</v>
      </c>
      <c r="L96" s="3" t="s">
        <v>650</v>
      </c>
      <c r="M96" s="3" t="s">
        <v>651</v>
      </c>
      <c r="N96" s="3" t="s">
        <v>362</v>
      </c>
      <c r="O96" s="3" t="s">
        <v>398</v>
      </c>
      <c r="Q96" s="3" t="s">
        <v>29</v>
      </c>
      <c r="S96" s="27" t="s">
        <v>652</v>
      </c>
      <c r="T96" s="27">
        <f>IFERROR(__xludf.DUMMYFUNCTION("""COMPUTED_VALUE"""),1148.0)</f>
        <v>1148</v>
      </c>
      <c r="U96" s="1" t="s">
        <v>2317</v>
      </c>
    </row>
    <row r="97">
      <c r="A97" s="4">
        <v>44342.730858703704</v>
      </c>
      <c r="B97" s="3" t="s">
        <v>103</v>
      </c>
      <c r="C97" s="3" t="s">
        <v>104</v>
      </c>
      <c r="D97" s="3" t="s">
        <v>230</v>
      </c>
      <c r="E97" s="6">
        <v>44013.0</v>
      </c>
      <c r="F97" s="3">
        <v>1.0</v>
      </c>
      <c r="G97" s="3" t="s">
        <v>136</v>
      </c>
      <c r="H97" s="3" t="s">
        <v>22</v>
      </c>
      <c r="K97" s="3" t="s">
        <v>653</v>
      </c>
      <c r="L97" s="3" t="s">
        <v>654</v>
      </c>
      <c r="M97" s="3" t="s">
        <v>655</v>
      </c>
      <c r="N97" s="3" t="s">
        <v>234</v>
      </c>
      <c r="O97" s="3" t="s">
        <v>108</v>
      </c>
      <c r="Q97" s="3" t="s">
        <v>29</v>
      </c>
      <c r="S97" s="27" t="s">
        <v>656</v>
      </c>
      <c r="T97" s="27">
        <f>IFERROR(__xludf.DUMMYFUNCTION("""COMPUTED_VALUE"""),93.0)</f>
        <v>93</v>
      </c>
      <c r="U97" s="1" t="s">
        <v>2318</v>
      </c>
    </row>
    <row r="98">
      <c r="A98" s="4">
        <v>44342.73088454861</v>
      </c>
      <c r="B98" s="3" t="s">
        <v>657</v>
      </c>
      <c r="C98" s="3" t="s">
        <v>658</v>
      </c>
      <c r="D98" s="3" t="s">
        <v>358</v>
      </c>
      <c r="E98" s="6">
        <v>44004.0</v>
      </c>
      <c r="F98" s="3">
        <v>9885.0</v>
      </c>
      <c r="G98" s="3" t="s">
        <v>136</v>
      </c>
      <c r="H98" s="3" t="s">
        <v>22</v>
      </c>
      <c r="K98" s="3" t="s">
        <v>659</v>
      </c>
      <c r="L98" s="3" t="s">
        <v>660</v>
      </c>
      <c r="M98" s="3" t="s">
        <v>661</v>
      </c>
      <c r="N98" s="3" t="s">
        <v>362</v>
      </c>
      <c r="O98" s="3" t="s">
        <v>662</v>
      </c>
      <c r="Q98" s="3" t="s">
        <v>29</v>
      </c>
      <c r="S98" s="27" t="s">
        <v>663</v>
      </c>
      <c r="T98" s="27">
        <f>IFERROR(__xludf.DUMMYFUNCTION("""COMPUTED_VALUE"""),1459.0)</f>
        <v>1459</v>
      </c>
      <c r="U98" s="1" t="s">
        <v>2319</v>
      </c>
    </row>
    <row r="99">
      <c r="A99" s="4">
        <v>44342.73090928241</v>
      </c>
      <c r="B99" s="3" t="s">
        <v>285</v>
      </c>
      <c r="C99" s="3" t="s">
        <v>286</v>
      </c>
      <c r="D99" s="3" t="s">
        <v>230</v>
      </c>
      <c r="E99" s="6">
        <v>43891.0</v>
      </c>
      <c r="F99" s="3">
        <v>1.0</v>
      </c>
      <c r="G99" s="3" t="s">
        <v>136</v>
      </c>
      <c r="H99" s="3" t="s">
        <v>22</v>
      </c>
      <c r="K99" s="3" t="s">
        <v>664</v>
      </c>
      <c r="L99" s="3" t="s">
        <v>665</v>
      </c>
      <c r="M99" s="3" t="s">
        <v>666</v>
      </c>
      <c r="N99" s="3" t="s">
        <v>234</v>
      </c>
      <c r="O99" s="3" t="s">
        <v>290</v>
      </c>
      <c r="Q99" s="3" t="s">
        <v>29</v>
      </c>
      <c r="S99" s="27" t="s">
        <v>667</v>
      </c>
      <c r="T99" s="27">
        <f>IFERROR(__xludf.DUMMYFUNCTION("""COMPUTED_VALUE"""),1208.0)</f>
        <v>1208</v>
      </c>
      <c r="U99" s="1" t="s">
        <v>2320</v>
      </c>
    </row>
    <row r="100">
      <c r="A100" s="4">
        <v>44342.7309347338</v>
      </c>
      <c r="B100" s="3" t="s">
        <v>134</v>
      </c>
      <c r="C100" s="3" t="s">
        <v>668</v>
      </c>
      <c r="D100" s="3" t="s">
        <v>230</v>
      </c>
      <c r="E100" s="6">
        <v>44019.0</v>
      </c>
      <c r="F100" s="3">
        <v>1.0</v>
      </c>
      <c r="G100" s="3" t="s">
        <v>136</v>
      </c>
      <c r="H100" s="3" t="s">
        <v>22</v>
      </c>
      <c r="J100" s="1" t="s">
        <v>2321</v>
      </c>
      <c r="K100" s="3" t="s">
        <v>669</v>
      </c>
      <c r="L100" s="3" t="s">
        <v>670</v>
      </c>
      <c r="M100" s="3" t="s">
        <v>671</v>
      </c>
      <c r="N100" s="3" t="s">
        <v>234</v>
      </c>
      <c r="O100" s="3" t="s">
        <v>140</v>
      </c>
      <c r="Q100" s="3" t="s">
        <v>29</v>
      </c>
      <c r="S100" s="27" t="s">
        <v>672</v>
      </c>
      <c r="T100" s="27">
        <f>IFERROR(__xludf.DUMMYFUNCTION("""COMPUTED_VALUE"""),863.0)</f>
        <v>863</v>
      </c>
      <c r="U100" s="1" t="s">
        <v>2322</v>
      </c>
    </row>
    <row r="101">
      <c r="A101" s="4">
        <v>44342.730960879635</v>
      </c>
      <c r="B101" s="3" t="s">
        <v>30</v>
      </c>
      <c r="C101" s="3" t="s">
        <v>170</v>
      </c>
      <c r="D101" s="3" t="s">
        <v>230</v>
      </c>
      <c r="E101" s="6">
        <v>43102.0</v>
      </c>
      <c r="F101" s="28">
        <v>1.0</v>
      </c>
      <c r="G101" s="3" t="s">
        <v>136</v>
      </c>
      <c r="H101" s="3" t="s">
        <v>22</v>
      </c>
      <c r="K101" s="3" t="s">
        <v>673</v>
      </c>
      <c r="L101" s="3" t="s">
        <v>674</v>
      </c>
      <c r="M101" s="3" t="s">
        <v>675</v>
      </c>
      <c r="N101" s="3" t="s">
        <v>234</v>
      </c>
      <c r="O101" s="3" t="s">
        <v>36</v>
      </c>
      <c r="Q101" s="3" t="s">
        <v>29</v>
      </c>
      <c r="S101" s="27" t="s">
        <v>676</v>
      </c>
      <c r="T101" s="27">
        <f>IFERROR(__xludf.DUMMYFUNCTION("""COMPUTED_VALUE"""),541.0)</f>
        <v>541</v>
      </c>
      <c r="U101" s="1" t="s">
        <v>2323</v>
      </c>
    </row>
    <row r="102">
      <c r="A102" s="4">
        <v>44342.730987939816</v>
      </c>
      <c r="B102" s="3" t="s">
        <v>677</v>
      </c>
      <c r="C102" s="3" t="s">
        <v>222</v>
      </c>
      <c r="D102" s="3" t="s">
        <v>230</v>
      </c>
      <c r="E102" s="6">
        <v>43647.0</v>
      </c>
      <c r="F102" s="3">
        <v>1.0</v>
      </c>
      <c r="G102" s="3" t="s">
        <v>21</v>
      </c>
      <c r="H102" s="3" t="s">
        <v>22</v>
      </c>
      <c r="J102" s="3" t="s">
        <v>2324</v>
      </c>
      <c r="K102" s="3" t="s">
        <v>678</v>
      </c>
      <c r="L102" s="3" t="s">
        <v>679</v>
      </c>
      <c r="M102" s="3" t="s">
        <v>680</v>
      </c>
      <c r="N102" s="3" t="s">
        <v>234</v>
      </c>
      <c r="O102" s="3" t="s">
        <v>681</v>
      </c>
      <c r="Q102" s="3" t="s">
        <v>29</v>
      </c>
      <c r="S102" s="27" t="s">
        <v>682</v>
      </c>
      <c r="T102" s="27">
        <f>IFERROR(__xludf.DUMMYFUNCTION("""COMPUTED_VALUE"""),1233.0)</f>
        <v>1233</v>
      </c>
      <c r="U102" s="1" t="s">
        <v>2325</v>
      </c>
    </row>
    <row r="103">
      <c r="A103" s="4">
        <v>44342.731013275465</v>
      </c>
      <c r="B103" s="3" t="s">
        <v>89</v>
      </c>
      <c r="C103" s="3" t="s">
        <v>683</v>
      </c>
      <c r="D103" s="3" t="s">
        <v>230</v>
      </c>
      <c r="E103" s="6">
        <v>44013.0</v>
      </c>
      <c r="F103" s="3">
        <v>1.0</v>
      </c>
      <c r="G103" s="3" t="s">
        <v>136</v>
      </c>
      <c r="H103" s="3" t="s">
        <v>22</v>
      </c>
      <c r="K103" s="3" t="s">
        <v>684</v>
      </c>
      <c r="L103" s="3" t="s">
        <v>685</v>
      </c>
      <c r="M103" s="3" t="s">
        <v>686</v>
      </c>
      <c r="N103" s="3" t="s">
        <v>234</v>
      </c>
      <c r="O103" s="3" t="s">
        <v>94</v>
      </c>
      <c r="Q103" s="3" t="s">
        <v>29</v>
      </c>
      <c r="S103" s="27" t="s">
        <v>687</v>
      </c>
      <c r="T103" s="27">
        <f>IFERROR(__xludf.DUMMYFUNCTION("""COMPUTED_VALUE"""),902.0)</f>
        <v>902</v>
      </c>
      <c r="U103" s="1" t="s">
        <v>2326</v>
      </c>
    </row>
    <row r="104">
      <c r="A104" s="4">
        <v>44342.731038564816</v>
      </c>
      <c r="B104" s="3" t="s">
        <v>181</v>
      </c>
      <c r="C104" s="3" t="s">
        <v>182</v>
      </c>
      <c r="D104" s="3" t="s">
        <v>230</v>
      </c>
      <c r="E104" s="6">
        <v>43831.0</v>
      </c>
      <c r="F104" s="3">
        <v>1.0</v>
      </c>
      <c r="G104" s="3" t="s">
        <v>136</v>
      </c>
      <c r="H104" s="3" t="s">
        <v>22</v>
      </c>
      <c r="K104" s="3" t="s">
        <v>688</v>
      </c>
      <c r="L104" s="3" t="s">
        <v>689</v>
      </c>
      <c r="M104" s="3" t="s">
        <v>690</v>
      </c>
      <c r="N104" s="3" t="s">
        <v>234</v>
      </c>
      <c r="O104" s="3" t="s">
        <v>186</v>
      </c>
      <c r="Q104" s="3" t="s">
        <v>29</v>
      </c>
      <c r="S104" s="27" t="s">
        <v>691</v>
      </c>
      <c r="T104" s="27">
        <f>IFERROR(__xludf.DUMMYFUNCTION("""COMPUTED_VALUE"""),620.0)</f>
        <v>620</v>
      </c>
      <c r="U104" s="1" t="s">
        <v>2327</v>
      </c>
    </row>
    <row r="105">
      <c r="A105" s="4">
        <v>44342.73106417824</v>
      </c>
      <c r="B105" s="3" t="s">
        <v>67</v>
      </c>
      <c r="C105" s="3" t="s">
        <v>209</v>
      </c>
      <c r="D105" s="3" t="s">
        <v>230</v>
      </c>
      <c r="E105" s="6">
        <v>43586.0</v>
      </c>
      <c r="F105" s="3">
        <v>1.0</v>
      </c>
      <c r="G105" s="3" t="s">
        <v>136</v>
      </c>
      <c r="H105" s="3" t="s">
        <v>22</v>
      </c>
      <c r="J105" s="3" t="s">
        <v>692</v>
      </c>
      <c r="K105" s="3" t="s">
        <v>693</v>
      </c>
      <c r="L105" s="3" t="s">
        <v>694</v>
      </c>
      <c r="M105" s="3" t="s">
        <v>695</v>
      </c>
      <c r="N105" s="3" t="s">
        <v>234</v>
      </c>
      <c r="O105" s="3" t="s">
        <v>72</v>
      </c>
      <c r="Q105" s="3" t="s">
        <v>29</v>
      </c>
      <c r="S105" s="27" t="s">
        <v>696</v>
      </c>
      <c r="T105" s="27">
        <f>IFERROR(__xludf.DUMMYFUNCTION("""COMPUTED_VALUE"""),642.0)</f>
        <v>642</v>
      </c>
      <c r="U105" s="1" t="s">
        <v>2328</v>
      </c>
    </row>
    <row r="106">
      <c r="A106" s="4">
        <v>44342.73108834491</v>
      </c>
      <c r="B106" s="3" t="s">
        <v>697</v>
      </c>
      <c r="C106" s="3" t="s">
        <v>203</v>
      </c>
      <c r="D106" s="3" t="s">
        <v>230</v>
      </c>
      <c r="E106" s="6">
        <v>43466.0</v>
      </c>
      <c r="F106" s="3">
        <v>1.0</v>
      </c>
      <c r="G106" s="3" t="s">
        <v>21</v>
      </c>
      <c r="H106" s="3" t="s">
        <v>22</v>
      </c>
      <c r="J106" s="3" t="s">
        <v>2329</v>
      </c>
      <c r="K106" s="3" t="s">
        <v>698</v>
      </c>
      <c r="L106" s="3" t="s">
        <v>699</v>
      </c>
      <c r="M106" s="3" t="s">
        <v>700</v>
      </c>
      <c r="N106" s="3" t="s">
        <v>234</v>
      </c>
      <c r="O106" s="3" t="s">
        <v>701</v>
      </c>
      <c r="Q106" s="3" t="s">
        <v>29</v>
      </c>
      <c r="S106" s="27" t="s">
        <v>702</v>
      </c>
      <c r="T106" s="27">
        <f>IFERROR(__xludf.DUMMYFUNCTION("""COMPUTED_VALUE"""),848.0)</f>
        <v>848</v>
      </c>
      <c r="U106" s="1" t="s">
        <v>2330</v>
      </c>
    </row>
    <row r="107">
      <c r="A107" s="4">
        <v>44342.73111317129</v>
      </c>
      <c r="B107" s="3" t="s">
        <v>703</v>
      </c>
      <c r="C107" s="3" t="s">
        <v>215</v>
      </c>
      <c r="D107" s="3" t="s">
        <v>230</v>
      </c>
      <c r="E107" s="6">
        <v>43132.0</v>
      </c>
      <c r="F107" s="3">
        <v>1.0</v>
      </c>
      <c r="G107" s="3" t="s">
        <v>136</v>
      </c>
      <c r="H107" s="3" t="s">
        <v>22</v>
      </c>
      <c r="J107" s="1" t="s">
        <v>2331</v>
      </c>
      <c r="K107" s="3" t="s">
        <v>704</v>
      </c>
      <c r="L107" s="3" t="s">
        <v>705</v>
      </c>
      <c r="M107" s="3" t="s">
        <v>706</v>
      </c>
      <c r="N107" s="3" t="s">
        <v>234</v>
      </c>
      <c r="O107" s="3" t="s">
        <v>707</v>
      </c>
      <c r="Q107" s="3" t="s">
        <v>29</v>
      </c>
      <c r="S107" s="27" t="s">
        <v>708</v>
      </c>
      <c r="T107" s="27">
        <f>IFERROR(__xludf.DUMMYFUNCTION("""COMPUTED_VALUE"""),882.0)</f>
        <v>882</v>
      </c>
      <c r="U107" s="1" t="s">
        <v>2332</v>
      </c>
    </row>
    <row r="108">
      <c r="A108" s="4">
        <v>44342.73113724537</v>
      </c>
      <c r="B108" s="3" t="s">
        <v>96</v>
      </c>
      <c r="C108" s="3" t="s">
        <v>97</v>
      </c>
      <c r="D108" s="3" t="s">
        <v>230</v>
      </c>
      <c r="E108" s="6">
        <v>43957.0</v>
      </c>
      <c r="F108" s="3">
        <v>1.0</v>
      </c>
      <c r="G108" s="3" t="s">
        <v>136</v>
      </c>
      <c r="H108" s="3" t="s">
        <v>22</v>
      </c>
      <c r="K108" s="3" t="s">
        <v>709</v>
      </c>
      <c r="L108" s="3" t="s">
        <v>710</v>
      </c>
      <c r="M108" s="3" t="s">
        <v>711</v>
      </c>
      <c r="N108" s="3" t="s">
        <v>234</v>
      </c>
      <c r="O108" s="3" t="s">
        <v>101</v>
      </c>
      <c r="Q108" s="3" t="s">
        <v>29</v>
      </c>
      <c r="S108" s="27" t="s">
        <v>712</v>
      </c>
      <c r="T108" s="27">
        <f>IFERROR(__xludf.DUMMYFUNCTION("""COMPUTED_VALUE"""),1034.0)</f>
        <v>1034</v>
      </c>
      <c r="U108" s="1" t="s">
        <v>2333</v>
      </c>
    </row>
    <row r="109">
      <c r="A109" s="4">
        <v>44342.73116282407</v>
      </c>
      <c r="B109" s="3" t="s">
        <v>67</v>
      </c>
      <c r="C109" s="3" t="s">
        <v>68</v>
      </c>
      <c r="D109" s="3" t="s">
        <v>230</v>
      </c>
      <c r="E109" s="6">
        <v>43633.0</v>
      </c>
      <c r="F109" s="3">
        <v>1.0</v>
      </c>
      <c r="G109" s="3" t="s">
        <v>136</v>
      </c>
      <c r="H109" s="3" t="s">
        <v>22</v>
      </c>
      <c r="K109" s="3" t="s">
        <v>713</v>
      </c>
      <c r="L109" s="3" t="s">
        <v>714</v>
      </c>
      <c r="M109" s="3" t="s">
        <v>715</v>
      </c>
      <c r="N109" s="3" t="s">
        <v>234</v>
      </c>
      <c r="O109" s="3" t="s">
        <v>72</v>
      </c>
      <c r="Q109" s="3" t="s">
        <v>29</v>
      </c>
      <c r="S109" s="27" t="s">
        <v>716</v>
      </c>
      <c r="T109" s="27">
        <f>IFERROR(__xludf.DUMMYFUNCTION("""COMPUTED_VALUE"""),642.0)</f>
        <v>642</v>
      </c>
      <c r="U109" s="1" t="s">
        <v>2334</v>
      </c>
    </row>
    <row r="110">
      <c r="A110" s="4">
        <v>44342.73118761574</v>
      </c>
      <c r="B110" s="3" t="s">
        <v>156</v>
      </c>
      <c r="C110" s="3" t="s">
        <v>157</v>
      </c>
      <c r="D110" s="3" t="s">
        <v>230</v>
      </c>
      <c r="E110" s="6">
        <v>43311.0</v>
      </c>
      <c r="F110" s="3">
        <v>1.0</v>
      </c>
      <c r="G110" s="3" t="s">
        <v>21</v>
      </c>
      <c r="H110" s="3" t="s">
        <v>22</v>
      </c>
      <c r="K110" s="3" t="s">
        <v>717</v>
      </c>
      <c r="L110" s="3" t="s">
        <v>718</v>
      </c>
      <c r="M110" s="3" t="s">
        <v>719</v>
      </c>
      <c r="N110" s="3" t="s">
        <v>234</v>
      </c>
      <c r="O110" s="3" t="s">
        <v>161</v>
      </c>
      <c r="Q110" s="3" t="s">
        <v>29</v>
      </c>
      <c r="S110" s="27" t="s">
        <v>720</v>
      </c>
      <c r="T110" s="27">
        <f>IFERROR(__xludf.DUMMYFUNCTION("""COMPUTED_VALUE"""),693.0)</f>
        <v>693</v>
      </c>
      <c r="U110" s="1" t="s">
        <v>2335</v>
      </c>
    </row>
    <row r="111">
      <c r="A111" s="4">
        <v>44342.73121252315</v>
      </c>
      <c r="B111" s="3" t="s">
        <v>242</v>
      </c>
      <c r="C111" s="3" t="s">
        <v>292</v>
      </c>
      <c r="D111" s="3" t="s">
        <v>230</v>
      </c>
      <c r="E111" s="6">
        <v>43788.0</v>
      </c>
      <c r="F111" s="3">
        <v>1.0</v>
      </c>
      <c r="G111" s="3" t="s">
        <v>21</v>
      </c>
      <c r="H111" s="3" t="s">
        <v>22</v>
      </c>
      <c r="K111" s="3" t="s">
        <v>721</v>
      </c>
      <c r="L111" s="3" t="s">
        <v>722</v>
      </c>
      <c r="M111" s="3" t="s">
        <v>723</v>
      </c>
      <c r="N111" s="3" t="s">
        <v>234</v>
      </c>
      <c r="O111" s="3" t="s">
        <v>248</v>
      </c>
      <c r="Q111" s="3" t="s">
        <v>29</v>
      </c>
      <c r="S111" s="27" t="s">
        <v>724</v>
      </c>
      <c r="T111" s="27">
        <f>IFERROR(__xludf.DUMMYFUNCTION("""COMPUTED_VALUE"""),773.0)</f>
        <v>773</v>
      </c>
      <c r="U111" s="1" t="s">
        <v>2336</v>
      </c>
    </row>
    <row r="112">
      <c r="A112" s="4">
        <v>44342.731237175925</v>
      </c>
      <c r="B112" s="3" t="s">
        <v>725</v>
      </c>
      <c r="C112" s="3" t="s">
        <v>175</v>
      </c>
      <c r="D112" s="3" t="s">
        <v>230</v>
      </c>
      <c r="E112" s="6">
        <v>43879.0</v>
      </c>
      <c r="F112" s="3">
        <v>1.0</v>
      </c>
      <c r="G112" s="3" t="s">
        <v>21</v>
      </c>
      <c r="H112" s="3" t="s">
        <v>22</v>
      </c>
      <c r="J112" s="1" t="s">
        <v>2337</v>
      </c>
      <c r="K112" s="3" t="s">
        <v>726</v>
      </c>
      <c r="L112" s="3" t="s">
        <v>727</v>
      </c>
      <c r="M112" s="3" t="s">
        <v>728</v>
      </c>
      <c r="N112" s="3" t="s">
        <v>234</v>
      </c>
      <c r="O112" s="3" t="s">
        <v>729</v>
      </c>
      <c r="Q112" s="3" t="s">
        <v>29</v>
      </c>
      <c r="S112" s="27" t="s">
        <v>730</v>
      </c>
      <c r="T112" s="27">
        <f>IFERROR(__xludf.DUMMYFUNCTION("""COMPUTED_VALUE"""),1166.0)</f>
        <v>1166</v>
      </c>
      <c r="U112" s="1" t="s">
        <v>2338</v>
      </c>
    </row>
    <row r="113">
      <c r="A113" s="4">
        <v>44342.73126231482</v>
      </c>
      <c r="B113" s="3" t="s">
        <v>731</v>
      </c>
      <c r="C113" s="3" t="s">
        <v>237</v>
      </c>
      <c r="D113" s="3" t="s">
        <v>230</v>
      </c>
      <c r="E113" s="6">
        <v>43770.0</v>
      </c>
      <c r="F113" s="3">
        <v>1.0</v>
      </c>
      <c r="G113" s="3" t="s">
        <v>21</v>
      </c>
      <c r="H113" s="3" t="s">
        <v>22</v>
      </c>
      <c r="K113" s="3" t="s">
        <v>732</v>
      </c>
      <c r="L113" s="3" t="s">
        <v>733</v>
      </c>
      <c r="M113" s="3" t="s">
        <v>734</v>
      </c>
      <c r="N113" s="3" t="s">
        <v>234</v>
      </c>
      <c r="O113" s="3" t="s">
        <v>735</v>
      </c>
      <c r="Q113" s="3" t="s">
        <v>29</v>
      </c>
      <c r="S113" s="27" t="s">
        <v>736</v>
      </c>
      <c r="T113" s="27">
        <f>IFERROR(__xludf.DUMMYFUNCTION("""COMPUTED_VALUE"""),731.0)</f>
        <v>731</v>
      </c>
      <c r="U113" s="1" t="s">
        <v>2339</v>
      </c>
    </row>
    <row r="114">
      <c r="A114" s="4">
        <v>44342.73128715278</v>
      </c>
      <c r="B114" s="3" t="s">
        <v>356</v>
      </c>
      <c r="C114" s="3" t="s">
        <v>737</v>
      </c>
      <c r="D114" s="3" t="s">
        <v>230</v>
      </c>
      <c r="E114" s="6">
        <v>43586.0</v>
      </c>
      <c r="F114" s="3">
        <v>1.0</v>
      </c>
      <c r="G114" s="3" t="s">
        <v>21</v>
      </c>
      <c r="H114" s="3" t="s">
        <v>22</v>
      </c>
      <c r="K114" s="3" t="s">
        <v>738</v>
      </c>
      <c r="L114" s="3" t="s">
        <v>739</v>
      </c>
      <c r="M114" s="3" t="s">
        <v>740</v>
      </c>
      <c r="N114" s="3" t="s">
        <v>234</v>
      </c>
      <c r="O114" s="3" t="s">
        <v>363</v>
      </c>
      <c r="Q114" s="3" t="s">
        <v>29</v>
      </c>
      <c r="S114" s="27" t="s">
        <v>741</v>
      </c>
      <c r="T114" s="27">
        <f>IFERROR(__xludf.DUMMYFUNCTION("""COMPUTED_VALUE"""),571.0)</f>
        <v>571</v>
      </c>
      <c r="U114" s="1" t="s">
        <v>2340</v>
      </c>
    </row>
    <row r="115">
      <c r="A115" s="4">
        <v>44342.73131215278</v>
      </c>
      <c r="B115" s="3" t="s">
        <v>365</v>
      </c>
      <c r="C115" s="3" t="s">
        <v>366</v>
      </c>
      <c r="D115" s="3" t="s">
        <v>230</v>
      </c>
      <c r="E115" s="6">
        <v>43571.0</v>
      </c>
      <c r="F115" s="3">
        <v>1.0</v>
      </c>
      <c r="G115" s="3" t="s">
        <v>21</v>
      </c>
      <c r="H115" s="3" t="s">
        <v>22</v>
      </c>
      <c r="J115" s="1" t="s">
        <v>2341</v>
      </c>
      <c r="K115" s="3" t="s">
        <v>742</v>
      </c>
      <c r="L115" s="3" t="s">
        <v>743</v>
      </c>
      <c r="M115" s="3" t="s">
        <v>744</v>
      </c>
      <c r="N115" s="3" t="s">
        <v>234</v>
      </c>
      <c r="O115" s="3" t="s">
        <v>370</v>
      </c>
      <c r="Q115" s="3" t="s">
        <v>29</v>
      </c>
      <c r="S115" s="27" t="s">
        <v>745</v>
      </c>
      <c r="T115" s="27">
        <f>IFERROR(__xludf.DUMMYFUNCTION("""COMPUTED_VALUE"""),1108.0)</f>
        <v>1108</v>
      </c>
      <c r="U115" s="1" t="s">
        <v>2342</v>
      </c>
    </row>
    <row r="116">
      <c r="A116" s="4">
        <v>44342.731336956014</v>
      </c>
      <c r="B116" s="3" t="s">
        <v>142</v>
      </c>
      <c r="C116" s="3" t="s">
        <v>143</v>
      </c>
      <c r="D116" s="3" t="s">
        <v>230</v>
      </c>
      <c r="E116" s="6">
        <v>43108.0</v>
      </c>
      <c r="F116" s="3">
        <v>1.0</v>
      </c>
      <c r="G116" s="3" t="s">
        <v>21</v>
      </c>
      <c r="H116" s="3" t="s">
        <v>22</v>
      </c>
      <c r="K116" s="3" t="s">
        <v>746</v>
      </c>
      <c r="L116" s="3" t="s">
        <v>747</v>
      </c>
      <c r="M116" s="3" t="s">
        <v>748</v>
      </c>
      <c r="N116" s="3" t="s">
        <v>234</v>
      </c>
      <c r="O116" s="3" t="s">
        <v>147</v>
      </c>
      <c r="Q116" s="3" t="s">
        <v>29</v>
      </c>
      <c r="S116" s="27" t="s">
        <v>2343</v>
      </c>
      <c r="T116" s="27">
        <f>IFERROR(__xludf.DUMMYFUNCTION("""COMPUTED_VALUE"""),710.0)</f>
        <v>710</v>
      </c>
      <c r="U116" s="1" t="s">
        <v>2344</v>
      </c>
    </row>
    <row r="117">
      <c r="A117" s="4">
        <v>44342.731362210645</v>
      </c>
      <c r="B117" s="3" t="s">
        <v>110</v>
      </c>
      <c r="C117" s="3" t="s">
        <v>111</v>
      </c>
      <c r="D117" s="3" t="s">
        <v>230</v>
      </c>
      <c r="E117" s="6">
        <v>44075.0</v>
      </c>
      <c r="F117" s="3">
        <v>1.0</v>
      </c>
      <c r="G117" s="3" t="s">
        <v>21</v>
      </c>
      <c r="H117" s="3" t="s">
        <v>22</v>
      </c>
      <c r="J117" s="3" t="s">
        <v>750</v>
      </c>
      <c r="K117" s="3" t="s">
        <v>751</v>
      </c>
      <c r="L117" s="3" t="s">
        <v>752</v>
      </c>
      <c r="M117" s="3" t="s">
        <v>753</v>
      </c>
      <c r="N117" s="3" t="s">
        <v>234</v>
      </c>
      <c r="O117" s="3" t="s">
        <v>116</v>
      </c>
      <c r="Q117" s="3" t="s">
        <v>29</v>
      </c>
      <c r="S117" s="27" t="s">
        <v>754</v>
      </c>
      <c r="T117" s="27">
        <f>IFERROR(__xludf.DUMMYFUNCTION("""COMPUTED_VALUE"""),853.0)</f>
        <v>853</v>
      </c>
      <c r="U117" s="1" t="s">
        <v>2345</v>
      </c>
    </row>
    <row r="118">
      <c r="A118" s="4">
        <v>44342.731386354164</v>
      </c>
      <c r="B118" s="3" t="s">
        <v>142</v>
      </c>
      <c r="C118" s="3" t="s">
        <v>755</v>
      </c>
      <c r="D118" s="3" t="s">
        <v>756</v>
      </c>
      <c r="E118" s="6">
        <v>44013.0</v>
      </c>
      <c r="F118" s="3">
        <v>2000.0</v>
      </c>
      <c r="G118" s="3" t="s">
        <v>136</v>
      </c>
      <c r="H118" s="3" t="s">
        <v>22</v>
      </c>
      <c r="K118" s="3" t="s">
        <v>757</v>
      </c>
      <c r="L118" s="3" t="s">
        <v>758</v>
      </c>
      <c r="M118" s="3" t="s">
        <v>759</v>
      </c>
      <c r="N118" s="3" t="s">
        <v>760</v>
      </c>
      <c r="O118" s="3" t="s">
        <v>147</v>
      </c>
      <c r="Q118" s="3" t="s">
        <v>29</v>
      </c>
      <c r="S118" s="27" t="s">
        <v>761</v>
      </c>
      <c r="T118" s="27">
        <f>IFERROR(__xludf.DUMMYFUNCTION("""COMPUTED_VALUE"""),710.0)</f>
        <v>710</v>
      </c>
      <c r="U118" s="1" t="s">
        <v>2346</v>
      </c>
    </row>
    <row r="119">
      <c r="A119" s="4">
        <v>44342.73141129629</v>
      </c>
      <c r="B119" s="3" t="s">
        <v>110</v>
      </c>
      <c r="C119" s="3" t="s">
        <v>450</v>
      </c>
      <c r="D119" s="3" t="s">
        <v>230</v>
      </c>
      <c r="E119" s="6">
        <v>44170.0</v>
      </c>
      <c r="F119" s="3">
        <v>1.0</v>
      </c>
      <c r="G119" s="3" t="s">
        <v>21</v>
      </c>
      <c r="H119" s="3" t="s">
        <v>22</v>
      </c>
      <c r="K119" s="3" t="s">
        <v>762</v>
      </c>
      <c r="L119" s="3" t="s">
        <v>763</v>
      </c>
      <c r="M119" s="3" t="s">
        <v>764</v>
      </c>
      <c r="N119" s="3" t="s">
        <v>234</v>
      </c>
      <c r="O119" s="3" t="s">
        <v>116</v>
      </c>
      <c r="Q119" s="3" t="s">
        <v>29</v>
      </c>
      <c r="S119" s="27" t="s">
        <v>765</v>
      </c>
      <c r="T119" s="27">
        <f>IFERROR(__xludf.DUMMYFUNCTION("""COMPUTED_VALUE"""),853.0)</f>
        <v>853</v>
      </c>
      <c r="U119" s="1" t="s">
        <v>2347</v>
      </c>
    </row>
    <row r="120">
      <c r="A120" s="4">
        <v>44342.73143721065</v>
      </c>
      <c r="B120" s="3" t="s">
        <v>81</v>
      </c>
      <c r="C120" s="3" t="s">
        <v>82</v>
      </c>
      <c r="D120" s="3" t="s">
        <v>230</v>
      </c>
      <c r="E120" s="6">
        <v>43622.0</v>
      </c>
      <c r="F120" s="3">
        <v>1.0</v>
      </c>
      <c r="G120" s="3" t="s">
        <v>21</v>
      </c>
      <c r="H120" s="3" t="s">
        <v>22</v>
      </c>
      <c r="K120" s="3" t="s">
        <v>766</v>
      </c>
      <c r="L120" s="3" t="s">
        <v>767</v>
      </c>
      <c r="M120" s="3" t="s">
        <v>768</v>
      </c>
      <c r="N120" s="3" t="s">
        <v>234</v>
      </c>
      <c r="O120" s="3" t="s">
        <v>87</v>
      </c>
      <c r="Q120" s="3" t="s">
        <v>29</v>
      </c>
      <c r="S120" s="27" t="s">
        <v>769</v>
      </c>
      <c r="T120" s="27">
        <f>IFERROR(__xludf.DUMMYFUNCTION("""COMPUTED_VALUE"""),1179.0)</f>
        <v>1179</v>
      </c>
      <c r="U120" s="1" t="s">
        <v>2348</v>
      </c>
    </row>
    <row r="121">
      <c r="A121" s="4">
        <v>44342.73146333333</v>
      </c>
      <c r="B121" s="3" t="s">
        <v>322</v>
      </c>
      <c r="C121" s="3" t="s">
        <v>329</v>
      </c>
      <c r="D121" s="3" t="s">
        <v>230</v>
      </c>
      <c r="E121" s="6">
        <v>43589.0</v>
      </c>
      <c r="F121" s="3">
        <v>1.0</v>
      </c>
      <c r="G121" s="3" t="s">
        <v>21</v>
      </c>
      <c r="H121" s="3" t="s">
        <v>22</v>
      </c>
      <c r="K121" s="3" t="s">
        <v>770</v>
      </c>
      <c r="L121" s="3" t="s">
        <v>771</v>
      </c>
      <c r="M121" s="3" t="s">
        <v>772</v>
      </c>
      <c r="N121" s="3" t="s">
        <v>234</v>
      </c>
      <c r="O121" s="3" t="s">
        <v>327</v>
      </c>
      <c r="Q121" s="3" t="s">
        <v>29</v>
      </c>
      <c r="S121" s="27" t="s">
        <v>773</v>
      </c>
      <c r="T121" s="27">
        <f>IFERROR(__xludf.DUMMYFUNCTION("""COMPUTED_VALUE"""),1132.0)</f>
        <v>1132</v>
      </c>
      <c r="U121" s="1" t="s">
        <v>2349</v>
      </c>
    </row>
    <row r="122">
      <c r="A122" s="4">
        <v>44342.731489108795</v>
      </c>
      <c r="B122" s="3" t="s">
        <v>774</v>
      </c>
      <c r="C122" s="3" t="s">
        <v>455</v>
      </c>
      <c r="D122" s="3" t="s">
        <v>230</v>
      </c>
      <c r="E122" s="6">
        <v>43956.0</v>
      </c>
      <c r="F122" s="3">
        <v>1.0</v>
      </c>
      <c r="G122" s="3" t="s">
        <v>21</v>
      </c>
      <c r="H122" s="3" t="s">
        <v>22</v>
      </c>
      <c r="J122" s="3" t="s">
        <v>775</v>
      </c>
      <c r="K122" s="3" t="s">
        <v>776</v>
      </c>
      <c r="L122" s="3" t="s">
        <v>777</v>
      </c>
      <c r="M122" s="3" t="s">
        <v>778</v>
      </c>
      <c r="N122" s="3" t="s">
        <v>234</v>
      </c>
      <c r="O122" s="3" t="s">
        <v>779</v>
      </c>
      <c r="Q122" s="3" t="s">
        <v>29</v>
      </c>
      <c r="S122" s="27" t="s">
        <v>780</v>
      </c>
      <c r="T122" s="27">
        <f>IFERROR(__xludf.DUMMYFUNCTION("""COMPUTED_VALUE"""),1717.0)</f>
        <v>1717</v>
      </c>
      <c r="U122" s="1" t="s">
        <v>2350</v>
      </c>
    </row>
    <row r="123">
      <c r="A123" s="4">
        <v>44342.73151416666</v>
      </c>
      <c r="B123" s="3" t="s">
        <v>118</v>
      </c>
      <c r="C123" s="3" t="s">
        <v>119</v>
      </c>
      <c r="D123" s="3" t="s">
        <v>230</v>
      </c>
      <c r="E123" s="6">
        <v>43461.0</v>
      </c>
      <c r="F123" s="3">
        <v>1.0</v>
      </c>
      <c r="G123" s="3" t="s">
        <v>21</v>
      </c>
      <c r="H123" s="3" t="s">
        <v>22</v>
      </c>
      <c r="K123" s="3" t="s">
        <v>781</v>
      </c>
      <c r="L123" s="3" t="s">
        <v>782</v>
      </c>
      <c r="M123" s="3" t="s">
        <v>783</v>
      </c>
      <c r="N123" s="3" t="s">
        <v>234</v>
      </c>
      <c r="O123" s="3" t="s">
        <v>124</v>
      </c>
      <c r="Q123" s="3" t="s">
        <v>29</v>
      </c>
      <c r="S123" s="27" t="s">
        <v>784</v>
      </c>
      <c r="T123" s="27">
        <f>IFERROR(__xludf.DUMMYFUNCTION("""COMPUTED_VALUE"""),1039.0)</f>
        <v>1039</v>
      </c>
      <c r="U123" s="1" t="s">
        <v>2351</v>
      </c>
    </row>
    <row r="124">
      <c r="A124" s="4">
        <v>44342.731539409724</v>
      </c>
      <c r="B124" s="3" t="s">
        <v>785</v>
      </c>
      <c r="C124" s="3" t="s">
        <v>75</v>
      </c>
      <c r="D124" s="3" t="s">
        <v>230</v>
      </c>
      <c r="E124" s="6">
        <v>43608.0</v>
      </c>
      <c r="F124" s="3">
        <v>1.0</v>
      </c>
      <c r="G124" s="3" t="s">
        <v>21</v>
      </c>
      <c r="H124" s="3" t="s">
        <v>22</v>
      </c>
      <c r="K124" s="3" t="s">
        <v>786</v>
      </c>
      <c r="L124" s="3" t="s">
        <v>787</v>
      </c>
      <c r="M124" s="3" t="s">
        <v>788</v>
      </c>
      <c r="N124" s="3" t="s">
        <v>234</v>
      </c>
      <c r="O124" s="3" t="s">
        <v>789</v>
      </c>
      <c r="Q124" s="3" t="s">
        <v>29</v>
      </c>
      <c r="S124" s="27" t="s">
        <v>790</v>
      </c>
      <c r="T124" s="27"/>
      <c r="U124" s="1" t="s">
        <v>2352</v>
      </c>
    </row>
    <row r="125">
      <c r="A125" s="4">
        <v>44342.731566574075</v>
      </c>
      <c r="B125" s="3" t="s">
        <v>38</v>
      </c>
      <c r="C125" s="3" t="s">
        <v>39</v>
      </c>
      <c r="D125" s="3" t="s">
        <v>230</v>
      </c>
      <c r="E125" s="6">
        <v>43767.0</v>
      </c>
      <c r="F125" s="3">
        <v>1.0</v>
      </c>
      <c r="G125" s="3" t="s">
        <v>21</v>
      </c>
      <c r="H125" s="3" t="s">
        <v>22</v>
      </c>
      <c r="K125" s="3" t="s">
        <v>791</v>
      </c>
      <c r="L125" s="3" t="s">
        <v>792</v>
      </c>
      <c r="M125" s="3" t="s">
        <v>793</v>
      </c>
      <c r="N125" s="3" t="s">
        <v>234</v>
      </c>
      <c r="O125" s="3" t="s">
        <v>43</v>
      </c>
      <c r="Q125" s="3" t="s">
        <v>29</v>
      </c>
      <c r="S125" s="27" t="s">
        <v>794</v>
      </c>
      <c r="T125" s="27">
        <f>IFERROR(__xludf.DUMMYFUNCTION("""COMPUTED_VALUE"""),1257.0)</f>
        <v>1257</v>
      </c>
      <c r="U125" s="1" t="s">
        <v>2353</v>
      </c>
    </row>
    <row r="126">
      <c r="A126" s="4">
        <v>44342.731592233795</v>
      </c>
      <c r="B126" s="3" t="s">
        <v>38</v>
      </c>
      <c r="C126" s="3" t="s">
        <v>297</v>
      </c>
      <c r="D126" s="3" t="s">
        <v>230</v>
      </c>
      <c r="E126" s="6">
        <v>43719.0</v>
      </c>
      <c r="F126" s="3">
        <v>1.0</v>
      </c>
      <c r="G126" s="3" t="s">
        <v>21</v>
      </c>
      <c r="H126" s="3" t="s">
        <v>22</v>
      </c>
      <c r="J126" s="3" t="s">
        <v>298</v>
      </c>
      <c r="K126" s="3" t="s">
        <v>795</v>
      </c>
      <c r="L126" s="3" t="s">
        <v>796</v>
      </c>
      <c r="M126" s="3" t="s">
        <v>797</v>
      </c>
      <c r="N126" s="3" t="s">
        <v>234</v>
      </c>
      <c r="O126" s="3" t="s">
        <v>43</v>
      </c>
      <c r="Q126" s="3" t="s">
        <v>29</v>
      </c>
      <c r="S126" s="27" t="s">
        <v>798</v>
      </c>
      <c r="T126" s="27">
        <f>IFERROR(__xludf.DUMMYFUNCTION("""COMPUTED_VALUE"""),1257.0)</f>
        <v>1257</v>
      </c>
      <c r="U126" s="1" t="s">
        <v>2354</v>
      </c>
    </row>
    <row r="127">
      <c r="A127" s="4">
        <v>44342.73161811342</v>
      </c>
      <c r="B127" s="3" t="s">
        <v>38</v>
      </c>
      <c r="C127" s="3" t="s">
        <v>310</v>
      </c>
      <c r="D127" s="3" t="s">
        <v>230</v>
      </c>
      <c r="E127" s="6">
        <v>43804.0</v>
      </c>
      <c r="F127" s="3">
        <v>1.0</v>
      </c>
      <c r="G127" s="3" t="s">
        <v>21</v>
      </c>
      <c r="H127" s="3" t="s">
        <v>22</v>
      </c>
      <c r="K127" s="3" t="s">
        <v>799</v>
      </c>
      <c r="L127" s="3" t="s">
        <v>800</v>
      </c>
      <c r="M127" s="3" t="s">
        <v>801</v>
      </c>
      <c r="N127" s="3" t="s">
        <v>234</v>
      </c>
      <c r="O127" s="3" t="s">
        <v>43</v>
      </c>
      <c r="Q127" s="3" t="s">
        <v>29</v>
      </c>
      <c r="S127" s="27" t="s">
        <v>802</v>
      </c>
      <c r="T127" s="27">
        <f>IFERROR(__xludf.DUMMYFUNCTION("""COMPUTED_VALUE"""),1257.0)</f>
        <v>1257</v>
      </c>
      <c r="U127" s="1" t="s">
        <v>2355</v>
      </c>
    </row>
    <row r="128">
      <c r="A128" s="4">
        <v>44342.73165018519</v>
      </c>
      <c r="B128" s="3" t="s">
        <v>45</v>
      </c>
      <c r="C128" s="3" t="s">
        <v>46</v>
      </c>
      <c r="D128" s="3" t="s">
        <v>230</v>
      </c>
      <c r="E128" s="6">
        <v>43724.0</v>
      </c>
      <c r="F128" s="3">
        <v>1.0</v>
      </c>
      <c r="G128" s="3" t="s">
        <v>21</v>
      </c>
      <c r="H128" s="3" t="s">
        <v>22</v>
      </c>
      <c r="K128" s="3" t="s">
        <v>803</v>
      </c>
      <c r="L128" s="3" t="s">
        <v>804</v>
      </c>
      <c r="M128" s="3" t="s">
        <v>805</v>
      </c>
      <c r="N128" s="3" t="s">
        <v>234</v>
      </c>
      <c r="O128" s="3" t="s">
        <v>51</v>
      </c>
      <c r="Q128" s="3" t="s">
        <v>29</v>
      </c>
      <c r="S128" s="27" t="s">
        <v>806</v>
      </c>
      <c r="T128" s="27">
        <f>IFERROR(__xludf.DUMMYFUNCTION("""COMPUTED_VALUE"""),1252.0)</f>
        <v>1252</v>
      </c>
      <c r="U128" s="1" t="s">
        <v>2356</v>
      </c>
    </row>
    <row r="129">
      <c r="A129" s="4">
        <v>44342.73167732639</v>
      </c>
      <c r="B129" s="3" t="s">
        <v>372</v>
      </c>
      <c r="C129" s="3" t="s">
        <v>373</v>
      </c>
      <c r="D129" s="3" t="s">
        <v>230</v>
      </c>
      <c r="E129" s="6">
        <v>43566.0</v>
      </c>
      <c r="F129" s="3">
        <v>1.0</v>
      </c>
      <c r="G129" s="3" t="s">
        <v>21</v>
      </c>
      <c r="H129" s="3" t="s">
        <v>22</v>
      </c>
      <c r="K129" s="3" t="s">
        <v>807</v>
      </c>
      <c r="L129" s="3" t="s">
        <v>808</v>
      </c>
      <c r="M129" s="3" t="s">
        <v>809</v>
      </c>
      <c r="N129" s="3" t="s">
        <v>234</v>
      </c>
      <c r="O129" s="3" t="s">
        <v>377</v>
      </c>
      <c r="Q129" s="3" t="s">
        <v>29</v>
      </c>
      <c r="S129" s="27" t="s">
        <v>810</v>
      </c>
      <c r="T129" s="27">
        <f>IFERROR(__xludf.DUMMYFUNCTION("""COMPUTED_VALUE"""),1114.0)</f>
        <v>1114</v>
      </c>
      <c r="U129" s="1" t="s">
        <v>2357</v>
      </c>
    </row>
    <row r="130">
      <c r="A130" s="4">
        <v>44342.73170471065</v>
      </c>
      <c r="B130" s="3" t="s">
        <v>163</v>
      </c>
      <c r="C130" s="3" t="s">
        <v>164</v>
      </c>
      <c r="D130" s="3" t="s">
        <v>230</v>
      </c>
      <c r="E130" s="6">
        <v>43460.0</v>
      </c>
      <c r="F130" s="3">
        <v>1.0</v>
      </c>
      <c r="G130" s="3" t="s">
        <v>21</v>
      </c>
      <c r="H130" s="3" t="s">
        <v>22</v>
      </c>
      <c r="K130" s="3" t="s">
        <v>811</v>
      </c>
      <c r="L130" s="3" t="s">
        <v>812</v>
      </c>
      <c r="M130" s="3" t="s">
        <v>813</v>
      </c>
      <c r="N130" s="3" t="s">
        <v>234</v>
      </c>
      <c r="O130" s="3" t="s">
        <v>168</v>
      </c>
      <c r="Q130" s="3" t="s">
        <v>29</v>
      </c>
      <c r="S130" s="27" t="s">
        <v>814</v>
      </c>
      <c r="T130" s="27">
        <f>IFERROR(__xludf.DUMMYFUNCTION("""COMPUTED_VALUE"""),1038.0)</f>
        <v>1038</v>
      </c>
      <c r="U130" s="1" t="s">
        <v>2358</v>
      </c>
    </row>
    <row r="131">
      <c r="A131" s="4">
        <v>44342.731728831015</v>
      </c>
      <c r="B131" s="3" t="s">
        <v>341</v>
      </c>
      <c r="C131" s="3" t="s">
        <v>342</v>
      </c>
      <c r="D131" s="3" t="s">
        <v>230</v>
      </c>
      <c r="E131" s="6">
        <v>43546.0</v>
      </c>
      <c r="F131" s="3">
        <v>1.0</v>
      </c>
      <c r="G131" s="3" t="s">
        <v>136</v>
      </c>
      <c r="H131" s="3" t="s">
        <v>22</v>
      </c>
      <c r="K131" s="3" t="s">
        <v>815</v>
      </c>
      <c r="L131" s="3" t="s">
        <v>816</v>
      </c>
      <c r="M131" s="3" t="s">
        <v>817</v>
      </c>
      <c r="N131" s="3" t="s">
        <v>234</v>
      </c>
      <c r="O131" s="3" t="s">
        <v>346</v>
      </c>
      <c r="Q131" s="3" t="s">
        <v>29</v>
      </c>
      <c r="S131" s="27" t="s">
        <v>818</v>
      </c>
      <c r="T131" s="27">
        <f>IFERROR(__xludf.DUMMYFUNCTION("""COMPUTED_VALUE"""),585.0)</f>
        <v>585</v>
      </c>
      <c r="U131" s="1" t="s">
        <v>2359</v>
      </c>
    </row>
    <row r="132">
      <c r="A132" s="4">
        <v>44342.731753935186</v>
      </c>
      <c r="B132" s="3" t="s">
        <v>30</v>
      </c>
      <c r="C132" s="3" t="s">
        <v>31</v>
      </c>
      <c r="D132" s="3" t="s">
        <v>230</v>
      </c>
      <c r="E132" s="6">
        <v>43762.0</v>
      </c>
      <c r="F132" s="28">
        <v>1.0</v>
      </c>
      <c r="G132" s="3" t="s">
        <v>21</v>
      </c>
      <c r="H132" s="3" t="s">
        <v>22</v>
      </c>
      <c r="K132" s="3" t="s">
        <v>819</v>
      </c>
      <c r="L132" s="3" t="s">
        <v>820</v>
      </c>
      <c r="M132" s="3" t="s">
        <v>821</v>
      </c>
      <c r="N132" s="3" t="s">
        <v>234</v>
      </c>
      <c r="O132" s="3" t="s">
        <v>36</v>
      </c>
      <c r="Q132" s="3" t="s">
        <v>29</v>
      </c>
      <c r="S132" s="27" t="s">
        <v>822</v>
      </c>
      <c r="T132" s="27">
        <f>IFERROR(__xludf.DUMMYFUNCTION("""COMPUTED_VALUE"""),541.0)</f>
        <v>541</v>
      </c>
      <c r="U132" s="1" t="s">
        <v>2360</v>
      </c>
    </row>
    <row r="133">
      <c r="A133" s="4">
        <v>44342.731778726855</v>
      </c>
      <c r="B133" s="3" t="s">
        <v>823</v>
      </c>
      <c r="C133" s="3" t="s">
        <v>824</v>
      </c>
      <c r="D133" s="3" t="s">
        <v>230</v>
      </c>
      <c r="E133" s="6">
        <v>43824.0</v>
      </c>
      <c r="F133" s="3">
        <v>1.0</v>
      </c>
      <c r="G133" s="3" t="s">
        <v>21</v>
      </c>
      <c r="H133" s="3" t="s">
        <v>22</v>
      </c>
      <c r="K133" s="3" t="s">
        <v>825</v>
      </c>
      <c r="L133" s="3" t="s">
        <v>826</v>
      </c>
      <c r="M133" s="3" t="s">
        <v>827</v>
      </c>
      <c r="N133" s="3" t="s">
        <v>234</v>
      </c>
      <c r="O133" s="3" t="s">
        <v>828</v>
      </c>
      <c r="Q133" s="3" t="s">
        <v>29</v>
      </c>
      <c r="S133" s="27" t="s">
        <v>829</v>
      </c>
      <c r="T133" s="27">
        <f>IFERROR(__xludf.DUMMYFUNCTION("""COMPUTED_VALUE"""),1337.0)</f>
        <v>1337</v>
      </c>
      <c r="U133" s="1" t="s">
        <v>2361</v>
      </c>
    </row>
    <row r="134">
      <c r="A134" s="4">
        <v>44342.73180594908</v>
      </c>
      <c r="B134" s="3" t="s">
        <v>830</v>
      </c>
      <c r="C134" s="3" t="s">
        <v>831</v>
      </c>
      <c r="D134" s="3" t="s">
        <v>230</v>
      </c>
      <c r="E134" s="6">
        <v>43768.0</v>
      </c>
      <c r="F134" s="3">
        <v>1.0</v>
      </c>
      <c r="G134" s="3" t="s">
        <v>136</v>
      </c>
      <c r="H134" s="3" t="s">
        <v>22</v>
      </c>
      <c r="K134" s="3" t="s">
        <v>832</v>
      </c>
      <c r="L134" s="3" t="s">
        <v>833</v>
      </c>
      <c r="M134" s="3" t="s">
        <v>834</v>
      </c>
      <c r="N134" s="3" t="s">
        <v>234</v>
      </c>
      <c r="O134" s="3" t="s">
        <v>835</v>
      </c>
      <c r="Q134" s="3" t="s">
        <v>29</v>
      </c>
      <c r="S134" s="27" t="s">
        <v>2362</v>
      </c>
      <c r="T134" s="27">
        <f>IFERROR(__xludf.DUMMYFUNCTION("""COMPUTED_VALUE"""),1271.0)</f>
        <v>1271</v>
      </c>
      <c r="U134" s="1" t="s">
        <v>2363</v>
      </c>
    </row>
    <row r="135">
      <c r="A135" s="4">
        <v>44342.73183236111</v>
      </c>
      <c r="B135" s="3" t="s">
        <v>303</v>
      </c>
      <c r="C135" s="3" t="s">
        <v>304</v>
      </c>
      <c r="D135" s="3" t="s">
        <v>230</v>
      </c>
      <c r="E135" s="6">
        <v>43769.0</v>
      </c>
      <c r="F135" s="3">
        <v>1.0</v>
      </c>
      <c r="G135" s="3" t="s">
        <v>21</v>
      </c>
      <c r="H135" s="3" t="s">
        <v>22</v>
      </c>
      <c r="K135" s="3" t="s">
        <v>837</v>
      </c>
      <c r="L135" s="3" t="s">
        <v>838</v>
      </c>
      <c r="M135" s="3" t="s">
        <v>839</v>
      </c>
      <c r="N135" s="3" t="s">
        <v>234</v>
      </c>
      <c r="O135" s="3" t="s">
        <v>308</v>
      </c>
      <c r="Q135" s="3" t="s">
        <v>29</v>
      </c>
      <c r="S135" s="27" t="s">
        <v>840</v>
      </c>
      <c r="T135" s="27">
        <f>IFERROR(__xludf.DUMMYFUNCTION("""COMPUTED_VALUE"""),1276.0)</f>
        <v>1276</v>
      </c>
      <c r="U135" s="1" t="s">
        <v>2364</v>
      </c>
    </row>
    <row r="136">
      <c r="A136" s="4">
        <v>44342.731858796295</v>
      </c>
      <c r="B136" s="3" t="s">
        <v>60</v>
      </c>
      <c r="C136" s="3" t="s">
        <v>61</v>
      </c>
      <c r="D136" s="3" t="s">
        <v>230</v>
      </c>
      <c r="E136" s="6">
        <v>43672.0</v>
      </c>
      <c r="F136" s="3">
        <v>1.0</v>
      </c>
      <c r="G136" s="3" t="s">
        <v>21</v>
      </c>
      <c r="H136" s="3" t="s">
        <v>22</v>
      </c>
      <c r="K136" s="3" t="s">
        <v>841</v>
      </c>
      <c r="L136" s="3" t="s">
        <v>842</v>
      </c>
      <c r="M136" s="3" t="s">
        <v>843</v>
      </c>
      <c r="N136" s="3" t="s">
        <v>234</v>
      </c>
      <c r="O136" s="3" t="s">
        <v>65</v>
      </c>
      <c r="Q136" s="3" t="s">
        <v>29</v>
      </c>
      <c r="S136" s="27" t="s">
        <v>844</v>
      </c>
      <c r="T136" s="27">
        <f>IFERROR(__xludf.DUMMYFUNCTION("""COMPUTED_VALUE"""),1207.0)</f>
        <v>1207</v>
      </c>
      <c r="U136" s="1" t="s">
        <v>2365</v>
      </c>
    </row>
    <row r="137">
      <c r="A137" s="4">
        <v>44342.731886249996</v>
      </c>
      <c r="B137" s="3" t="s">
        <v>538</v>
      </c>
      <c r="C137" s="3" t="s">
        <v>539</v>
      </c>
      <c r="D137" s="3" t="s">
        <v>230</v>
      </c>
      <c r="E137" s="6">
        <v>43122.0</v>
      </c>
      <c r="F137" s="3">
        <v>1.0</v>
      </c>
      <c r="G137" s="3" t="s">
        <v>136</v>
      </c>
      <c r="H137" s="3" t="s">
        <v>22</v>
      </c>
      <c r="K137" s="3" t="s">
        <v>845</v>
      </c>
      <c r="L137" s="3" t="s">
        <v>846</v>
      </c>
      <c r="M137" s="3" t="s">
        <v>847</v>
      </c>
      <c r="N137" s="3" t="s">
        <v>234</v>
      </c>
      <c r="O137" s="3" t="s">
        <v>543</v>
      </c>
      <c r="Q137" s="3" t="s">
        <v>29</v>
      </c>
      <c r="S137" s="27" t="s">
        <v>848</v>
      </c>
      <c r="T137" s="27">
        <f>IFERROR(__xludf.DUMMYFUNCTION("""COMPUTED_VALUE"""),189.0)</f>
        <v>189</v>
      </c>
      <c r="U137" s="1" t="s">
        <v>2366</v>
      </c>
    </row>
    <row r="138">
      <c r="A138" s="4">
        <v>44342.73191577547</v>
      </c>
      <c r="B138" s="3" t="s">
        <v>18</v>
      </c>
      <c r="C138" s="3" t="s">
        <v>19</v>
      </c>
      <c r="D138" s="3" t="s">
        <v>230</v>
      </c>
      <c r="E138" s="6">
        <v>43767.0</v>
      </c>
      <c r="F138" s="3">
        <v>1.0</v>
      </c>
      <c r="G138" s="3" t="s">
        <v>21</v>
      </c>
      <c r="H138" s="3" t="s">
        <v>22</v>
      </c>
      <c r="J138" s="3" t="s">
        <v>849</v>
      </c>
      <c r="K138" s="3" t="s">
        <v>850</v>
      </c>
      <c r="L138" s="3" t="s">
        <v>851</v>
      </c>
      <c r="M138" s="3" t="s">
        <v>852</v>
      </c>
      <c r="N138" s="3" t="s">
        <v>234</v>
      </c>
      <c r="O138" s="3" t="s">
        <v>28</v>
      </c>
      <c r="Q138" s="3" t="s">
        <v>29</v>
      </c>
      <c r="S138" s="27" t="s">
        <v>853</v>
      </c>
      <c r="T138" s="27">
        <f>IFERROR(__xludf.DUMMYFUNCTION("""COMPUTED_VALUE"""),1270.0)</f>
        <v>1270</v>
      </c>
      <c r="U138" s="1" t="s">
        <v>2367</v>
      </c>
    </row>
    <row r="139">
      <c r="A139" s="4">
        <v>44342.73194041666</v>
      </c>
      <c r="B139" s="3" t="s">
        <v>386</v>
      </c>
      <c r="C139" s="3" t="s">
        <v>387</v>
      </c>
      <c r="D139" s="3" t="s">
        <v>230</v>
      </c>
      <c r="E139" s="6">
        <v>43348.0</v>
      </c>
      <c r="F139" s="3">
        <v>1.0</v>
      </c>
      <c r="G139" s="3" t="s">
        <v>21</v>
      </c>
      <c r="H139" s="3" t="s">
        <v>22</v>
      </c>
      <c r="J139" s="1" t="s">
        <v>2368</v>
      </c>
      <c r="K139" s="3" t="s">
        <v>854</v>
      </c>
      <c r="L139" s="3" t="s">
        <v>855</v>
      </c>
      <c r="M139" s="3" t="s">
        <v>856</v>
      </c>
      <c r="N139" s="3" t="s">
        <v>234</v>
      </c>
      <c r="O139" s="3" t="s">
        <v>391</v>
      </c>
      <c r="Q139" s="3" t="s">
        <v>29</v>
      </c>
      <c r="S139" s="27" t="s">
        <v>857</v>
      </c>
      <c r="T139" s="27">
        <f>IFERROR(__xludf.DUMMYFUNCTION("""COMPUTED_VALUE"""),998.0)</f>
        <v>998</v>
      </c>
      <c r="U139" s="1" t="s">
        <v>2369</v>
      </c>
    </row>
    <row r="140">
      <c r="A140" s="4">
        <v>44342.73196524306</v>
      </c>
      <c r="B140" s="3" t="s">
        <v>242</v>
      </c>
      <c r="C140" s="3" t="s">
        <v>858</v>
      </c>
      <c r="D140" s="3" t="s">
        <v>230</v>
      </c>
      <c r="E140" s="6">
        <v>44013.0</v>
      </c>
      <c r="F140" s="3">
        <v>1.0</v>
      </c>
      <c r="G140" s="3" t="s">
        <v>21</v>
      </c>
      <c r="H140" s="3" t="s">
        <v>22</v>
      </c>
      <c r="J140" s="3" t="s">
        <v>859</v>
      </c>
      <c r="K140" s="3" t="s">
        <v>860</v>
      </c>
      <c r="L140" s="3" t="s">
        <v>861</v>
      </c>
      <c r="M140" s="3" t="s">
        <v>862</v>
      </c>
      <c r="N140" s="3" t="s">
        <v>234</v>
      </c>
      <c r="O140" s="3" t="s">
        <v>248</v>
      </c>
      <c r="Q140" s="3" t="s">
        <v>29</v>
      </c>
      <c r="S140" s="27" t="s">
        <v>863</v>
      </c>
      <c r="T140" s="27">
        <f>IFERROR(__xludf.DUMMYFUNCTION("""COMPUTED_VALUE"""),773.0)</f>
        <v>773</v>
      </c>
      <c r="U140" s="1" t="s">
        <v>2370</v>
      </c>
    </row>
    <row r="141">
      <c r="A141" s="4">
        <v>44342.73198993056</v>
      </c>
      <c r="B141" s="3" t="s">
        <v>725</v>
      </c>
      <c r="C141" s="3" t="s">
        <v>323</v>
      </c>
      <c r="D141" s="3" t="s">
        <v>230</v>
      </c>
      <c r="E141" s="6">
        <v>43732.0</v>
      </c>
      <c r="F141" s="3">
        <v>1.0</v>
      </c>
      <c r="G141" s="3" t="s">
        <v>21</v>
      </c>
      <c r="H141" s="3" t="s">
        <v>22</v>
      </c>
      <c r="K141" s="3" t="s">
        <v>864</v>
      </c>
      <c r="L141" s="3" t="s">
        <v>865</v>
      </c>
      <c r="M141" s="3" t="s">
        <v>866</v>
      </c>
      <c r="N141" s="3" t="s">
        <v>234</v>
      </c>
      <c r="O141" s="3" t="s">
        <v>729</v>
      </c>
      <c r="Q141" s="3" t="s">
        <v>29</v>
      </c>
      <c r="S141" s="27" t="s">
        <v>867</v>
      </c>
      <c r="T141" s="27">
        <f>IFERROR(__xludf.DUMMYFUNCTION("""COMPUTED_VALUE"""),1166.0)</f>
        <v>1166</v>
      </c>
      <c r="U141" s="1" t="s">
        <v>2371</v>
      </c>
    </row>
    <row r="142">
      <c r="A142" s="4">
        <v>44342.7320144213</v>
      </c>
      <c r="B142" s="3" t="s">
        <v>258</v>
      </c>
      <c r="C142" s="3" t="s">
        <v>259</v>
      </c>
      <c r="D142" s="3" t="s">
        <v>230</v>
      </c>
      <c r="E142" s="6">
        <v>43886.0</v>
      </c>
      <c r="F142" s="3">
        <v>1.0</v>
      </c>
      <c r="G142" s="3" t="s">
        <v>21</v>
      </c>
      <c r="H142" s="3" t="s">
        <v>22</v>
      </c>
      <c r="K142" s="3" t="s">
        <v>868</v>
      </c>
      <c r="L142" s="3" t="s">
        <v>869</v>
      </c>
      <c r="M142" s="3" t="s">
        <v>870</v>
      </c>
      <c r="N142" s="3" t="s">
        <v>234</v>
      </c>
      <c r="O142" s="3" t="s">
        <v>264</v>
      </c>
      <c r="Q142" s="3" t="s">
        <v>29</v>
      </c>
      <c r="S142" s="27" t="s">
        <v>871</v>
      </c>
      <c r="T142" s="27">
        <f>IFERROR(__xludf.DUMMYFUNCTION("""COMPUTED_VALUE"""),1429.0)</f>
        <v>1429</v>
      </c>
      <c r="U142" s="1" t="s">
        <v>2372</v>
      </c>
    </row>
    <row r="143">
      <c r="A143" s="4">
        <v>44342.73203935185</v>
      </c>
      <c r="B143" s="3" t="s">
        <v>126</v>
      </c>
      <c r="C143" s="3" t="s">
        <v>127</v>
      </c>
      <c r="D143" s="3" t="s">
        <v>230</v>
      </c>
      <c r="E143" s="6">
        <v>43816.0</v>
      </c>
      <c r="F143" s="3">
        <v>1.0</v>
      </c>
      <c r="G143" s="3" t="s">
        <v>21</v>
      </c>
      <c r="H143" s="3" t="s">
        <v>22</v>
      </c>
      <c r="K143" s="3" t="s">
        <v>872</v>
      </c>
      <c r="L143" s="3" t="s">
        <v>873</v>
      </c>
      <c r="M143" s="3" t="s">
        <v>874</v>
      </c>
      <c r="N143" s="3" t="s">
        <v>234</v>
      </c>
      <c r="O143" s="3" t="s">
        <v>132</v>
      </c>
      <c r="Q143" s="3" t="s">
        <v>29</v>
      </c>
      <c r="S143" s="27" t="s">
        <v>875</v>
      </c>
      <c r="T143" s="27">
        <f>IFERROR(__xludf.DUMMYFUNCTION("""COMPUTED_VALUE"""),1335.0)</f>
        <v>1335</v>
      </c>
      <c r="U143" s="1" t="s">
        <v>2373</v>
      </c>
    </row>
    <row r="144">
      <c r="A144" s="4">
        <v>44342.73206429398</v>
      </c>
      <c r="B144" s="3" t="s">
        <v>266</v>
      </c>
      <c r="C144" s="3" t="s">
        <v>267</v>
      </c>
      <c r="D144" s="3" t="s">
        <v>230</v>
      </c>
      <c r="E144" s="6">
        <v>43699.0</v>
      </c>
      <c r="F144" s="3">
        <v>1.0</v>
      </c>
      <c r="G144" s="3" t="s">
        <v>136</v>
      </c>
      <c r="H144" s="3" t="s">
        <v>22</v>
      </c>
      <c r="K144" s="3" t="s">
        <v>876</v>
      </c>
      <c r="L144" s="3" t="s">
        <v>877</v>
      </c>
      <c r="M144" s="3" t="s">
        <v>878</v>
      </c>
      <c r="N144" s="3" t="s">
        <v>234</v>
      </c>
      <c r="O144" s="3" t="s">
        <v>271</v>
      </c>
      <c r="Q144" s="3" t="s">
        <v>29</v>
      </c>
      <c r="S144" s="27" t="s">
        <v>879</v>
      </c>
      <c r="T144" s="27">
        <f>IFERROR(__xludf.DUMMYFUNCTION("""COMPUTED_VALUE"""),1235.0)</f>
        <v>1235</v>
      </c>
      <c r="U144" s="1" t="s">
        <v>2374</v>
      </c>
    </row>
    <row r="145">
      <c r="A145" s="4">
        <v>44342.73209160879</v>
      </c>
      <c r="B145" s="3" t="s">
        <v>572</v>
      </c>
      <c r="C145" s="3" t="s">
        <v>573</v>
      </c>
      <c r="D145" s="3" t="s">
        <v>230</v>
      </c>
      <c r="E145" s="6">
        <v>44170.0</v>
      </c>
      <c r="F145" s="3">
        <v>1.0</v>
      </c>
      <c r="G145" s="3" t="s">
        <v>21</v>
      </c>
      <c r="H145" s="3" t="s">
        <v>22</v>
      </c>
      <c r="J145" s="3" t="s">
        <v>2375</v>
      </c>
      <c r="K145" s="3" t="s">
        <v>880</v>
      </c>
      <c r="L145" s="3" t="s">
        <v>881</v>
      </c>
      <c r="M145" s="3" t="s">
        <v>882</v>
      </c>
      <c r="N145" s="3" t="s">
        <v>234</v>
      </c>
      <c r="O145" s="3" t="s">
        <v>578</v>
      </c>
      <c r="Q145" s="3" t="s">
        <v>29</v>
      </c>
      <c r="S145" s="27" t="s">
        <v>883</v>
      </c>
      <c r="T145" s="27">
        <f>IFERROR(__xludf.DUMMYFUNCTION("""COMPUTED_VALUE"""),1453.0)</f>
        <v>1453</v>
      </c>
      <c r="U145" s="1" t="s">
        <v>2376</v>
      </c>
    </row>
    <row r="146">
      <c r="A146" s="4">
        <v>44342.73211668982</v>
      </c>
      <c r="B146" s="3" t="s">
        <v>725</v>
      </c>
      <c r="C146" s="3" t="s">
        <v>54</v>
      </c>
      <c r="D146" s="3" t="s">
        <v>230</v>
      </c>
      <c r="E146" s="6">
        <v>43734.0</v>
      </c>
      <c r="F146" s="3">
        <v>1.0</v>
      </c>
      <c r="G146" s="3" t="s">
        <v>21</v>
      </c>
      <c r="H146" s="3" t="s">
        <v>22</v>
      </c>
      <c r="K146" s="3" t="s">
        <v>884</v>
      </c>
      <c r="L146" s="3" t="s">
        <v>885</v>
      </c>
      <c r="M146" s="3" t="s">
        <v>886</v>
      </c>
      <c r="N146" s="3" t="s">
        <v>234</v>
      </c>
      <c r="O146" s="3" t="s">
        <v>729</v>
      </c>
      <c r="Q146" s="3" t="s">
        <v>29</v>
      </c>
      <c r="S146" s="27" t="s">
        <v>887</v>
      </c>
      <c r="T146" s="27">
        <f>IFERROR(__xludf.DUMMYFUNCTION("""COMPUTED_VALUE"""),1166.0)</f>
        <v>1166</v>
      </c>
      <c r="U146" s="1" t="s">
        <v>2377</v>
      </c>
    </row>
    <row r="147">
      <c r="A147" s="4">
        <v>44342.73214407408</v>
      </c>
      <c r="B147" s="3" t="s">
        <v>250</v>
      </c>
      <c r="C147" s="3" t="s">
        <v>251</v>
      </c>
      <c r="D147" s="3" t="s">
        <v>230</v>
      </c>
      <c r="E147" s="6">
        <v>43354.0</v>
      </c>
      <c r="F147" s="3">
        <v>1.0</v>
      </c>
      <c r="G147" s="3" t="s">
        <v>21</v>
      </c>
      <c r="H147" s="3" t="s">
        <v>22</v>
      </c>
      <c r="J147" s="3" t="s">
        <v>888</v>
      </c>
      <c r="K147" s="3" t="s">
        <v>889</v>
      </c>
      <c r="L147" s="3" t="s">
        <v>890</v>
      </c>
      <c r="M147" s="3" t="s">
        <v>891</v>
      </c>
      <c r="N147" s="3" t="s">
        <v>234</v>
      </c>
      <c r="O147" s="3" t="s">
        <v>256</v>
      </c>
      <c r="Q147" s="3" t="s">
        <v>29</v>
      </c>
      <c r="S147" s="27" t="s">
        <v>892</v>
      </c>
      <c r="T147" s="27">
        <f>IFERROR(__xludf.DUMMYFUNCTION("""COMPUTED_VALUE"""),971.0)</f>
        <v>971</v>
      </c>
      <c r="U147" s="1" t="s">
        <v>2378</v>
      </c>
    </row>
    <row r="148">
      <c r="A148" s="4">
        <v>44342.73216935185</v>
      </c>
      <c r="B148" s="3" t="s">
        <v>893</v>
      </c>
      <c r="C148" s="3" t="s">
        <v>349</v>
      </c>
      <c r="D148" s="3" t="s">
        <v>230</v>
      </c>
      <c r="E148" s="6">
        <v>43711.0</v>
      </c>
      <c r="F148" s="3">
        <v>1.0</v>
      </c>
      <c r="G148" s="3" t="s">
        <v>21</v>
      </c>
      <c r="H148" s="3" t="s">
        <v>22</v>
      </c>
      <c r="K148" s="3" t="s">
        <v>894</v>
      </c>
      <c r="L148" s="3" t="s">
        <v>895</v>
      </c>
      <c r="M148" s="3" t="s">
        <v>896</v>
      </c>
      <c r="N148" s="3" t="s">
        <v>234</v>
      </c>
      <c r="O148" s="3" t="s">
        <v>897</v>
      </c>
      <c r="Q148" s="3" t="s">
        <v>29</v>
      </c>
      <c r="S148" s="27" t="s">
        <v>898</v>
      </c>
      <c r="T148" s="27">
        <f>IFERROR(__xludf.DUMMYFUNCTION("""COMPUTED_VALUE"""),1329.0)</f>
        <v>1329</v>
      </c>
      <c r="U148" s="1" t="s">
        <v>2379</v>
      </c>
    </row>
    <row r="149">
      <c r="A149" s="4">
        <v>44342.73219420139</v>
      </c>
      <c r="B149" s="3" t="s">
        <v>188</v>
      </c>
      <c r="C149" s="3" t="s">
        <v>189</v>
      </c>
      <c r="D149" s="3" t="s">
        <v>230</v>
      </c>
      <c r="E149" s="6">
        <v>42536.0</v>
      </c>
      <c r="F149" s="3">
        <v>1.0</v>
      </c>
      <c r="G149" s="3" t="s">
        <v>21</v>
      </c>
      <c r="H149" s="3" t="s">
        <v>22</v>
      </c>
      <c r="K149" s="3" t="s">
        <v>899</v>
      </c>
      <c r="L149" s="3" t="s">
        <v>900</v>
      </c>
      <c r="M149" s="3" t="s">
        <v>901</v>
      </c>
      <c r="N149" s="3" t="s">
        <v>234</v>
      </c>
      <c r="O149" s="3" t="s">
        <v>193</v>
      </c>
      <c r="Q149" s="3" t="s">
        <v>29</v>
      </c>
      <c r="S149" s="27" t="s">
        <v>902</v>
      </c>
      <c r="T149" s="27">
        <f>IFERROR(__xludf.DUMMYFUNCTION("""COMPUTED_VALUE"""),595.0)</f>
        <v>595</v>
      </c>
      <c r="U149" s="1" t="s">
        <v>2380</v>
      </c>
    </row>
    <row r="150">
      <c r="A150" s="4">
        <v>44342.73221891204</v>
      </c>
      <c r="B150" s="3" t="s">
        <v>149</v>
      </c>
      <c r="C150" s="3" t="s">
        <v>150</v>
      </c>
      <c r="D150" s="3" t="s">
        <v>230</v>
      </c>
      <c r="E150" s="6">
        <v>42536.0</v>
      </c>
      <c r="F150" s="3">
        <v>1.0</v>
      </c>
      <c r="G150" s="3" t="s">
        <v>136</v>
      </c>
      <c r="H150" s="3" t="s">
        <v>22</v>
      </c>
      <c r="K150" s="3" t="s">
        <v>903</v>
      </c>
      <c r="L150" s="3" t="s">
        <v>904</v>
      </c>
      <c r="M150" s="3" t="s">
        <v>905</v>
      </c>
      <c r="N150" s="3" t="s">
        <v>234</v>
      </c>
      <c r="O150" s="3" t="s">
        <v>154</v>
      </c>
      <c r="Q150" s="3" t="s">
        <v>29</v>
      </c>
      <c r="S150" s="27" t="s">
        <v>906</v>
      </c>
      <c r="T150" s="27">
        <f>IFERROR(__xludf.DUMMYFUNCTION("""COMPUTED_VALUE"""),599.0)</f>
        <v>599</v>
      </c>
      <c r="U150" s="1" t="s">
        <v>2381</v>
      </c>
    </row>
    <row r="151">
      <c r="A151" s="4">
        <v>44342.73224408565</v>
      </c>
      <c r="B151" s="3" t="s">
        <v>214</v>
      </c>
      <c r="C151" s="3" t="s">
        <v>215</v>
      </c>
      <c r="D151" s="3" t="s">
        <v>230</v>
      </c>
      <c r="E151" s="6">
        <v>43146.0</v>
      </c>
      <c r="F151" s="3">
        <v>1.0</v>
      </c>
      <c r="G151" s="3" t="s">
        <v>136</v>
      </c>
      <c r="H151" s="3" t="s">
        <v>22</v>
      </c>
      <c r="K151" s="3" t="s">
        <v>907</v>
      </c>
      <c r="L151" s="3" t="s">
        <v>908</v>
      </c>
      <c r="M151" s="3" t="s">
        <v>909</v>
      </c>
      <c r="N151" s="3" t="s">
        <v>234</v>
      </c>
      <c r="O151" s="3" t="s">
        <v>219</v>
      </c>
      <c r="Q151" s="3" t="s">
        <v>29</v>
      </c>
      <c r="S151" s="27" t="s">
        <v>910</v>
      </c>
      <c r="T151" s="27">
        <f>IFERROR(__xludf.DUMMYFUNCTION("""COMPUTED_VALUE"""),570.0)</f>
        <v>570</v>
      </c>
      <c r="U151" s="1" t="s">
        <v>2382</v>
      </c>
    </row>
    <row r="152">
      <c r="A152" s="4">
        <v>44342.732268356485</v>
      </c>
      <c r="B152" s="3" t="s">
        <v>482</v>
      </c>
      <c r="C152" s="3" t="s">
        <v>911</v>
      </c>
      <c r="D152" s="3" t="s">
        <v>358</v>
      </c>
      <c r="E152" s="6">
        <v>44032.0</v>
      </c>
      <c r="F152" s="3">
        <v>5100.0</v>
      </c>
      <c r="G152" s="3" t="s">
        <v>21</v>
      </c>
      <c r="H152" s="3" t="s">
        <v>22</v>
      </c>
      <c r="K152" s="3" t="s">
        <v>912</v>
      </c>
      <c r="L152" s="3" t="s">
        <v>913</v>
      </c>
      <c r="M152" s="3" t="s">
        <v>914</v>
      </c>
      <c r="N152" s="3" t="s">
        <v>362</v>
      </c>
      <c r="O152" s="3" t="s">
        <v>487</v>
      </c>
      <c r="Q152" s="3" t="s">
        <v>29</v>
      </c>
      <c r="S152" s="27" t="s">
        <v>915</v>
      </c>
      <c r="T152" s="27">
        <f>IFERROR(__xludf.DUMMYFUNCTION("""COMPUTED_VALUE"""),4.0)</f>
        <v>4</v>
      </c>
      <c r="U152" s="1" t="s">
        <v>2383</v>
      </c>
    </row>
    <row r="153">
      <c r="A153" s="4">
        <v>44342.73229356481</v>
      </c>
      <c r="B153" s="3" t="s">
        <v>393</v>
      </c>
      <c r="C153" s="3" t="s">
        <v>916</v>
      </c>
      <c r="D153" s="3" t="s">
        <v>358</v>
      </c>
      <c r="E153" s="6">
        <v>43997.0</v>
      </c>
      <c r="F153" s="3">
        <v>3658.893</v>
      </c>
      <c r="G153" s="3" t="s">
        <v>350</v>
      </c>
      <c r="H153" s="3" t="s">
        <v>22</v>
      </c>
      <c r="K153" s="3" t="s">
        <v>917</v>
      </c>
      <c r="L153" s="3" t="s">
        <v>918</v>
      </c>
      <c r="M153" s="3" t="s">
        <v>919</v>
      </c>
      <c r="N153" s="3" t="s">
        <v>362</v>
      </c>
      <c r="O153" s="3" t="s">
        <v>398</v>
      </c>
      <c r="Q153" s="3" t="s">
        <v>29</v>
      </c>
      <c r="S153" s="27" t="s">
        <v>2384</v>
      </c>
      <c r="T153" s="27">
        <f>IFERROR(__xludf.DUMMYFUNCTION("""COMPUTED_VALUE"""),1148.0)</f>
        <v>1148</v>
      </c>
      <c r="U153" s="1" t="s">
        <v>2385</v>
      </c>
    </row>
    <row r="154">
      <c r="A154" s="4">
        <v>44342.732319710645</v>
      </c>
      <c r="B154" s="3" t="s">
        <v>640</v>
      </c>
      <c r="C154" s="3" t="s">
        <v>641</v>
      </c>
      <c r="D154" s="3" t="s">
        <v>230</v>
      </c>
      <c r="E154" s="6">
        <v>44013.0</v>
      </c>
      <c r="F154" s="3">
        <v>1.0</v>
      </c>
      <c r="G154" s="3" t="s">
        <v>136</v>
      </c>
      <c r="H154" s="3" t="s">
        <v>22</v>
      </c>
      <c r="K154" s="3" t="s">
        <v>921</v>
      </c>
      <c r="L154" s="3" t="s">
        <v>922</v>
      </c>
      <c r="M154" s="3" t="s">
        <v>923</v>
      </c>
      <c r="N154" s="3" t="s">
        <v>234</v>
      </c>
      <c r="O154" s="3" t="s">
        <v>646</v>
      </c>
      <c r="Q154" s="3" t="s">
        <v>29</v>
      </c>
      <c r="S154" s="27" t="s">
        <v>924</v>
      </c>
      <c r="T154" s="27">
        <f>IFERROR(__xludf.DUMMYFUNCTION("""COMPUTED_VALUE"""),1471.0)</f>
        <v>1471</v>
      </c>
      <c r="U154" s="1" t="s">
        <v>2386</v>
      </c>
    </row>
    <row r="155">
      <c r="A155" s="4">
        <v>44342.732343923606</v>
      </c>
      <c r="B155" s="3" t="s">
        <v>393</v>
      </c>
      <c r="C155" s="3" t="s">
        <v>925</v>
      </c>
      <c r="D155" s="3" t="s">
        <v>358</v>
      </c>
      <c r="E155" s="6">
        <v>44032.0</v>
      </c>
      <c r="F155" s="3">
        <v>124122.43</v>
      </c>
      <c r="G155" s="3" t="s">
        <v>21</v>
      </c>
      <c r="H155" s="3" t="s">
        <v>22</v>
      </c>
      <c r="K155" s="3" t="s">
        <v>926</v>
      </c>
      <c r="L155" s="3" t="s">
        <v>927</v>
      </c>
      <c r="M155" s="3" t="s">
        <v>928</v>
      </c>
      <c r="N155" s="3" t="s">
        <v>362</v>
      </c>
      <c r="O155" s="3" t="s">
        <v>398</v>
      </c>
      <c r="Q155" s="3" t="s">
        <v>29</v>
      </c>
      <c r="S155" s="27" t="s">
        <v>929</v>
      </c>
      <c r="T155" s="27">
        <f>IFERROR(__xludf.DUMMYFUNCTION("""COMPUTED_VALUE"""),1148.0)</f>
        <v>1148</v>
      </c>
      <c r="U155" s="1" t="s">
        <v>2387</v>
      </c>
    </row>
    <row r="156">
      <c r="A156" s="4">
        <v>44342.732368530094</v>
      </c>
      <c r="B156" s="3" t="s">
        <v>930</v>
      </c>
      <c r="C156" s="3" t="s">
        <v>931</v>
      </c>
      <c r="D156" s="3" t="s">
        <v>358</v>
      </c>
      <c r="E156" s="6">
        <v>44032.0</v>
      </c>
      <c r="F156" s="3">
        <v>2812.46</v>
      </c>
      <c r="G156" s="3" t="s">
        <v>21</v>
      </c>
      <c r="H156" s="3" t="s">
        <v>22</v>
      </c>
      <c r="K156" s="3" t="s">
        <v>932</v>
      </c>
      <c r="L156" s="3" t="s">
        <v>933</v>
      </c>
      <c r="M156" s="3" t="s">
        <v>934</v>
      </c>
      <c r="N156" s="3" t="s">
        <v>362</v>
      </c>
      <c r="O156" s="3" t="s">
        <v>935</v>
      </c>
      <c r="Q156" s="3" t="s">
        <v>29</v>
      </c>
      <c r="S156" s="27" t="s">
        <v>936</v>
      </c>
      <c r="T156" s="27">
        <f>IFERROR(__xludf.DUMMYFUNCTION("""COMPUTED_VALUE"""),132.0)</f>
        <v>132</v>
      </c>
      <c r="U156" s="1" t="s">
        <v>2388</v>
      </c>
    </row>
    <row r="157">
      <c r="A157" s="4">
        <v>44342.73239311343</v>
      </c>
      <c r="B157" s="3" t="s">
        <v>482</v>
      </c>
      <c r="C157" s="3" t="s">
        <v>937</v>
      </c>
      <c r="D157" s="3" t="s">
        <v>358</v>
      </c>
      <c r="E157" s="6">
        <v>44053.0</v>
      </c>
      <c r="F157" s="3">
        <v>9490.0</v>
      </c>
      <c r="G157" s="3" t="s">
        <v>136</v>
      </c>
      <c r="H157" s="3" t="s">
        <v>22</v>
      </c>
      <c r="K157" s="3" t="s">
        <v>938</v>
      </c>
      <c r="L157" s="3" t="s">
        <v>939</v>
      </c>
      <c r="M157" s="3" t="s">
        <v>940</v>
      </c>
      <c r="N157" s="3" t="s">
        <v>362</v>
      </c>
      <c r="O157" s="3" t="s">
        <v>487</v>
      </c>
      <c r="Q157" s="3" t="s">
        <v>29</v>
      </c>
      <c r="S157" s="27" t="s">
        <v>941</v>
      </c>
      <c r="T157" s="27">
        <f>IFERROR(__xludf.DUMMYFUNCTION("""COMPUTED_VALUE"""),4.0)</f>
        <v>4</v>
      </c>
      <c r="U157" s="1" t="s">
        <v>2389</v>
      </c>
    </row>
    <row r="158">
      <c r="A158" s="4">
        <v>44342.732418217594</v>
      </c>
      <c r="B158" s="3" t="s">
        <v>250</v>
      </c>
      <c r="C158" s="3" t="s">
        <v>942</v>
      </c>
      <c r="D158" s="3" t="s">
        <v>20</v>
      </c>
      <c r="E158" s="6">
        <v>44054.0</v>
      </c>
      <c r="F158" s="3">
        <v>10200.0</v>
      </c>
      <c r="G158" s="3" t="s">
        <v>21</v>
      </c>
      <c r="H158" s="3" t="s">
        <v>22</v>
      </c>
      <c r="K158" s="3" t="s">
        <v>943</v>
      </c>
      <c r="L158" s="3" t="s">
        <v>944</v>
      </c>
      <c r="M158" s="3" t="s">
        <v>945</v>
      </c>
      <c r="N158" s="3" t="s">
        <v>27</v>
      </c>
      <c r="O158" s="3" t="s">
        <v>256</v>
      </c>
      <c r="Q158" s="3" t="s">
        <v>29</v>
      </c>
      <c r="S158" s="27" t="s">
        <v>946</v>
      </c>
      <c r="T158" s="27">
        <f>IFERROR(__xludf.DUMMYFUNCTION("""COMPUTED_VALUE"""),971.0)</f>
        <v>971</v>
      </c>
      <c r="U158" s="1" t="s">
        <v>2390</v>
      </c>
    </row>
    <row r="159">
      <c r="A159" s="4">
        <v>44342.732443229164</v>
      </c>
      <c r="B159" s="3" t="s">
        <v>947</v>
      </c>
      <c r="C159" s="3" t="s">
        <v>948</v>
      </c>
      <c r="D159" s="3" t="s">
        <v>358</v>
      </c>
      <c r="E159" s="6">
        <v>44041.0</v>
      </c>
      <c r="F159" s="3">
        <v>11508.0</v>
      </c>
      <c r="G159" s="3" t="s">
        <v>21</v>
      </c>
      <c r="H159" s="3" t="s">
        <v>22</v>
      </c>
      <c r="J159" s="3" t="s">
        <v>949</v>
      </c>
      <c r="K159" s="3" t="s">
        <v>950</v>
      </c>
      <c r="L159" s="3" t="s">
        <v>951</v>
      </c>
      <c r="M159" s="3" t="s">
        <v>952</v>
      </c>
      <c r="N159" s="3" t="s">
        <v>362</v>
      </c>
      <c r="O159" s="3" t="s">
        <v>953</v>
      </c>
      <c r="Q159" s="3" t="s">
        <v>29</v>
      </c>
      <c r="S159" s="27" t="s">
        <v>954</v>
      </c>
      <c r="T159" s="27">
        <f>IFERROR(__xludf.DUMMYFUNCTION("""COMPUTED_VALUE"""),1481.0)</f>
        <v>1481</v>
      </c>
      <c r="U159" s="1" t="s">
        <v>2391</v>
      </c>
    </row>
    <row r="160">
      <c r="A160" s="4">
        <v>44342.73246893518</v>
      </c>
      <c r="B160" s="3" t="s">
        <v>947</v>
      </c>
      <c r="C160" s="3" t="s">
        <v>955</v>
      </c>
      <c r="D160" s="3" t="s">
        <v>358</v>
      </c>
      <c r="E160" s="6">
        <v>44039.0</v>
      </c>
      <c r="F160" s="3">
        <v>3492.0</v>
      </c>
      <c r="G160" s="3" t="s">
        <v>136</v>
      </c>
      <c r="H160" s="3" t="s">
        <v>22</v>
      </c>
      <c r="J160" s="3" t="s">
        <v>949</v>
      </c>
      <c r="K160" s="3" t="s">
        <v>956</v>
      </c>
      <c r="L160" s="3" t="s">
        <v>957</v>
      </c>
      <c r="M160" s="3" t="s">
        <v>958</v>
      </c>
      <c r="N160" s="3" t="s">
        <v>362</v>
      </c>
      <c r="O160" s="3" t="s">
        <v>953</v>
      </c>
      <c r="Q160" s="3" t="s">
        <v>29</v>
      </c>
      <c r="S160" s="27" t="s">
        <v>959</v>
      </c>
      <c r="T160" s="27">
        <f>IFERROR(__xludf.DUMMYFUNCTION("""COMPUTED_VALUE"""),1481.0)</f>
        <v>1481</v>
      </c>
      <c r="U160" s="1" t="s">
        <v>2392</v>
      </c>
    </row>
    <row r="161">
      <c r="A161" s="4">
        <v>44342.732494861106</v>
      </c>
      <c r="B161" s="3" t="s">
        <v>242</v>
      </c>
      <c r="C161" s="3" t="s">
        <v>960</v>
      </c>
      <c r="D161" s="3" t="s">
        <v>20</v>
      </c>
      <c r="E161" s="6">
        <v>43224.0</v>
      </c>
      <c r="F161" s="3">
        <v>5343.0</v>
      </c>
      <c r="G161" s="3" t="s">
        <v>21</v>
      </c>
      <c r="H161" s="3" t="s">
        <v>22</v>
      </c>
      <c r="K161" s="3" t="s">
        <v>961</v>
      </c>
      <c r="L161" s="3" t="s">
        <v>962</v>
      </c>
      <c r="M161" s="3" t="s">
        <v>963</v>
      </c>
      <c r="N161" s="3" t="s">
        <v>27</v>
      </c>
      <c r="O161" s="3" t="s">
        <v>248</v>
      </c>
      <c r="Q161" s="3" t="s">
        <v>29</v>
      </c>
      <c r="S161" s="27" t="s">
        <v>964</v>
      </c>
      <c r="T161" s="27">
        <f>IFERROR(__xludf.DUMMYFUNCTION("""COMPUTED_VALUE"""),773.0)</f>
        <v>773</v>
      </c>
      <c r="U161" s="1" t="s">
        <v>2393</v>
      </c>
    </row>
    <row r="162">
      <c r="A162" s="4">
        <v>44342.73252143519</v>
      </c>
      <c r="B162" s="3" t="s">
        <v>242</v>
      </c>
      <c r="C162" s="3" t="s">
        <v>965</v>
      </c>
      <c r="D162" s="3" t="s">
        <v>20</v>
      </c>
      <c r="E162" s="6">
        <v>43095.0</v>
      </c>
      <c r="F162" s="3">
        <v>5343.0</v>
      </c>
      <c r="G162" s="3" t="s">
        <v>21</v>
      </c>
      <c r="H162" s="3" t="s">
        <v>22</v>
      </c>
      <c r="K162" s="3" t="s">
        <v>966</v>
      </c>
      <c r="L162" s="3" t="s">
        <v>967</v>
      </c>
      <c r="M162" s="3" t="s">
        <v>968</v>
      </c>
      <c r="N162" s="3" t="s">
        <v>27</v>
      </c>
      <c r="O162" s="3" t="s">
        <v>248</v>
      </c>
      <c r="Q162" s="3" t="s">
        <v>29</v>
      </c>
      <c r="S162" s="27" t="s">
        <v>969</v>
      </c>
      <c r="T162" s="27">
        <f>IFERROR(__xludf.DUMMYFUNCTION("""COMPUTED_VALUE"""),773.0)</f>
        <v>773</v>
      </c>
      <c r="U162" s="1" t="s">
        <v>2394</v>
      </c>
    </row>
    <row r="163">
      <c r="A163" s="4">
        <v>44342.7325472338</v>
      </c>
      <c r="B163" s="3" t="s">
        <v>67</v>
      </c>
      <c r="C163" s="3" t="s">
        <v>970</v>
      </c>
      <c r="D163" s="3" t="s">
        <v>20</v>
      </c>
      <c r="E163" s="6">
        <v>43976.0</v>
      </c>
      <c r="F163" s="3">
        <v>44100.0</v>
      </c>
      <c r="G163" s="3" t="s">
        <v>21</v>
      </c>
      <c r="H163" s="3" t="s">
        <v>22</v>
      </c>
      <c r="J163" s="3" t="s">
        <v>971</v>
      </c>
      <c r="K163" s="3" t="s">
        <v>972</v>
      </c>
      <c r="L163" s="3" t="s">
        <v>973</v>
      </c>
      <c r="M163" s="3" t="s">
        <v>974</v>
      </c>
      <c r="N163" s="3" t="s">
        <v>27</v>
      </c>
      <c r="O163" s="3" t="s">
        <v>72</v>
      </c>
      <c r="Q163" s="3" t="s">
        <v>29</v>
      </c>
      <c r="S163" s="27" t="s">
        <v>975</v>
      </c>
      <c r="T163" s="27">
        <f>IFERROR(__xludf.DUMMYFUNCTION("""COMPUTED_VALUE"""),642.0)</f>
        <v>642</v>
      </c>
      <c r="U163" s="1" t="s">
        <v>2395</v>
      </c>
    </row>
    <row r="164">
      <c r="A164" s="4">
        <v>44342.73257256944</v>
      </c>
      <c r="B164" s="3" t="s">
        <v>976</v>
      </c>
      <c r="C164" s="3" t="s">
        <v>977</v>
      </c>
      <c r="D164" s="3" t="s">
        <v>358</v>
      </c>
      <c r="E164" s="6">
        <v>43983.0</v>
      </c>
      <c r="F164" s="3">
        <v>5250.0</v>
      </c>
      <c r="G164" s="3" t="s">
        <v>136</v>
      </c>
      <c r="H164" s="3" t="s">
        <v>22</v>
      </c>
      <c r="K164" s="3" t="s">
        <v>978</v>
      </c>
      <c r="L164" s="3" t="s">
        <v>979</v>
      </c>
      <c r="M164" s="3" t="s">
        <v>980</v>
      </c>
      <c r="N164" s="3" t="s">
        <v>362</v>
      </c>
      <c r="O164" s="3" t="s">
        <v>981</v>
      </c>
      <c r="Q164" s="3" t="s">
        <v>29</v>
      </c>
      <c r="S164" s="27" t="s">
        <v>982</v>
      </c>
      <c r="T164" s="27">
        <f>IFERROR(__xludf.DUMMYFUNCTION("""COMPUTED_VALUE"""),1461.0)</f>
        <v>1461</v>
      </c>
      <c r="U164" s="1" t="s">
        <v>2396</v>
      </c>
    </row>
    <row r="165">
      <c r="A165" s="4">
        <v>44342.734347233796</v>
      </c>
      <c r="B165" s="3" t="s">
        <v>242</v>
      </c>
      <c r="C165" s="3" t="s">
        <v>983</v>
      </c>
      <c r="D165" s="3" t="s">
        <v>20</v>
      </c>
      <c r="E165" s="6">
        <v>43273.0</v>
      </c>
      <c r="F165" s="3">
        <v>16000.0</v>
      </c>
      <c r="G165" s="3" t="s">
        <v>136</v>
      </c>
      <c r="H165" s="3" t="s">
        <v>22</v>
      </c>
      <c r="K165" s="3" t="s">
        <v>984</v>
      </c>
      <c r="L165" s="3" t="s">
        <v>985</v>
      </c>
      <c r="M165" s="3" t="s">
        <v>986</v>
      </c>
      <c r="N165" s="3" t="s">
        <v>27</v>
      </c>
      <c r="O165" s="3" t="s">
        <v>248</v>
      </c>
      <c r="Q165" s="3" t="s">
        <v>29</v>
      </c>
      <c r="S165" s="27" t="s">
        <v>987</v>
      </c>
      <c r="T165" s="27">
        <f>IFERROR(__xludf.DUMMYFUNCTION("""COMPUTED_VALUE"""),773.0)</f>
        <v>773</v>
      </c>
      <c r="U165" s="1" t="s">
        <v>2397</v>
      </c>
    </row>
    <row r="166">
      <c r="A166" s="4">
        <v>44342.734363807875</v>
      </c>
      <c r="B166" s="3" t="s">
        <v>988</v>
      </c>
      <c r="C166" s="3" t="s">
        <v>989</v>
      </c>
      <c r="D166" s="3" t="s">
        <v>358</v>
      </c>
      <c r="E166" s="6">
        <v>44070.0</v>
      </c>
      <c r="F166" s="3">
        <v>19200.0</v>
      </c>
      <c r="G166" s="3" t="s">
        <v>136</v>
      </c>
      <c r="H166" s="3" t="s">
        <v>22</v>
      </c>
      <c r="K166" s="3" t="s">
        <v>990</v>
      </c>
      <c r="L166" s="3" t="s">
        <v>991</v>
      </c>
      <c r="M166" s="3" t="s">
        <v>992</v>
      </c>
      <c r="N166" s="3" t="s">
        <v>362</v>
      </c>
      <c r="O166" s="3" t="s">
        <v>993</v>
      </c>
      <c r="Q166" s="3" t="s">
        <v>29</v>
      </c>
      <c r="S166" s="27" t="s">
        <v>994</v>
      </c>
      <c r="T166" s="27">
        <f>IFERROR(__xludf.DUMMYFUNCTION("""COMPUTED_VALUE"""),113.0)</f>
        <v>113</v>
      </c>
      <c r="U166" s="1" t="s">
        <v>2398</v>
      </c>
    </row>
    <row r="167">
      <c r="A167" s="4">
        <v>44342.73438010417</v>
      </c>
      <c r="B167" s="3" t="s">
        <v>516</v>
      </c>
      <c r="C167" s="3" t="s">
        <v>995</v>
      </c>
      <c r="D167" s="3" t="s">
        <v>358</v>
      </c>
      <c r="E167" s="6">
        <v>43878.0</v>
      </c>
      <c r="F167" s="3">
        <v>25200.0</v>
      </c>
      <c r="G167" s="3" t="s">
        <v>21</v>
      </c>
      <c r="H167" s="3" t="s">
        <v>22</v>
      </c>
      <c r="K167" s="3" t="s">
        <v>996</v>
      </c>
      <c r="L167" s="3" t="s">
        <v>997</v>
      </c>
      <c r="M167" s="3" t="s">
        <v>998</v>
      </c>
      <c r="N167" s="3" t="s">
        <v>362</v>
      </c>
      <c r="O167" s="3" t="s">
        <v>524</v>
      </c>
      <c r="Q167" s="3" t="s">
        <v>29</v>
      </c>
      <c r="S167" s="27" t="s">
        <v>999</v>
      </c>
      <c r="T167" s="27">
        <f>IFERROR(__xludf.DUMMYFUNCTION("""COMPUTED_VALUE"""),1371.0)</f>
        <v>1371</v>
      </c>
      <c r="U167" s="1" t="s">
        <v>2399</v>
      </c>
    </row>
    <row r="168">
      <c r="A168" s="4">
        <v>44342.73439725694</v>
      </c>
      <c r="B168" s="3" t="s">
        <v>516</v>
      </c>
      <c r="C168" s="3" t="s">
        <v>1000</v>
      </c>
      <c r="D168" s="3" t="s">
        <v>358</v>
      </c>
      <c r="E168" s="6">
        <v>44005.0</v>
      </c>
      <c r="F168" s="3">
        <v>6800.0</v>
      </c>
      <c r="G168" s="3" t="s">
        <v>136</v>
      </c>
      <c r="H168" s="3" t="s">
        <v>22</v>
      </c>
      <c r="K168" s="3" t="s">
        <v>1001</v>
      </c>
      <c r="L168" s="3" t="s">
        <v>1002</v>
      </c>
      <c r="M168" s="3" t="s">
        <v>1003</v>
      </c>
      <c r="N168" s="3" t="s">
        <v>362</v>
      </c>
      <c r="O168" s="3" t="s">
        <v>524</v>
      </c>
      <c r="Q168" s="3" t="s">
        <v>29</v>
      </c>
      <c r="S168" s="27" t="s">
        <v>1004</v>
      </c>
      <c r="T168" s="27">
        <f>IFERROR(__xludf.DUMMYFUNCTION("""COMPUTED_VALUE"""),1371.0)</f>
        <v>1371</v>
      </c>
      <c r="U168" s="1" t="s">
        <v>2400</v>
      </c>
    </row>
    <row r="169">
      <c r="A169" s="4">
        <v>44342.73441538194</v>
      </c>
      <c r="B169" s="3" t="s">
        <v>1005</v>
      </c>
      <c r="C169" s="3" t="s">
        <v>1006</v>
      </c>
      <c r="D169" s="3" t="s">
        <v>358</v>
      </c>
      <c r="E169" s="6">
        <v>43902.0</v>
      </c>
      <c r="F169" s="3">
        <v>22240.0</v>
      </c>
      <c r="G169" s="3" t="s">
        <v>136</v>
      </c>
      <c r="H169" s="3" t="s">
        <v>22</v>
      </c>
      <c r="K169" s="3" t="s">
        <v>1007</v>
      </c>
      <c r="L169" s="3" t="s">
        <v>1008</v>
      </c>
      <c r="M169" s="3" t="s">
        <v>1009</v>
      </c>
      <c r="N169" s="3" t="s">
        <v>362</v>
      </c>
      <c r="O169" s="3" t="s">
        <v>1010</v>
      </c>
      <c r="Q169" s="3" t="s">
        <v>29</v>
      </c>
      <c r="S169" s="27" t="s">
        <v>1011</v>
      </c>
      <c r="T169" s="27">
        <f>IFERROR(__xludf.DUMMYFUNCTION("""COMPUTED_VALUE"""),1386.0)</f>
        <v>1386</v>
      </c>
      <c r="U169" s="1" t="s">
        <v>2401</v>
      </c>
    </row>
    <row r="170">
      <c r="A170" s="4">
        <v>44342.73443098379</v>
      </c>
      <c r="B170" s="3" t="s">
        <v>1012</v>
      </c>
      <c r="C170" s="3" t="s">
        <v>1013</v>
      </c>
      <c r="D170" s="3" t="s">
        <v>358</v>
      </c>
      <c r="E170" s="6">
        <v>44062.0</v>
      </c>
      <c r="F170" s="3">
        <v>7350.0</v>
      </c>
      <c r="G170" s="3" t="s">
        <v>21</v>
      </c>
      <c r="H170" s="3" t="s">
        <v>22</v>
      </c>
      <c r="J170" s="1" t="s">
        <v>2402</v>
      </c>
      <c r="K170" s="3" t="s">
        <v>1014</v>
      </c>
      <c r="L170" s="3" t="s">
        <v>1015</v>
      </c>
      <c r="M170" s="3" t="s">
        <v>1016</v>
      </c>
      <c r="N170" s="3" t="s">
        <v>362</v>
      </c>
      <c r="O170" s="3" t="s">
        <v>1017</v>
      </c>
      <c r="Q170" s="3" t="s">
        <v>29</v>
      </c>
      <c r="S170" s="27" t="s">
        <v>1018</v>
      </c>
      <c r="T170" s="27">
        <f>IFERROR(__xludf.DUMMYFUNCTION("""COMPUTED_VALUE"""),1468.0)</f>
        <v>1468</v>
      </c>
      <c r="U170" s="1" t="s">
        <v>2403</v>
      </c>
    </row>
    <row r="171">
      <c r="A171" s="4">
        <v>44342.73444645833</v>
      </c>
      <c r="B171" s="3" t="s">
        <v>516</v>
      </c>
      <c r="C171" s="3" t="s">
        <v>1019</v>
      </c>
      <c r="D171" s="3" t="s">
        <v>358</v>
      </c>
      <c r="E171" s="6">
        <v>44084.0</v>
      </c>
      <c r="F171" s="3">
        <v>1150.0</v>
      </c>
      <c r="G171" s="3" t="s">
        <v>136</v>
      </c>
      <c r="H171" s="3" t="s">
        <v>22</v>
      </c>
      <c r="K171" s="3" t="s">
        <v>1020</v>
      </c>
      <c r="L171" s="3" t="s">
        <v>1021</v>
      </c>
      <c r="M171" s="3" t="s">
        <v>1022</v>
      </c>
      <c r="N171" s="3" t="s">
        <v>362</v>
      </c>
      <c r="O171" s="3" t="s">
        <v>524</v>
      </c>
      <c r="Q171" s="3" t="s">
        <v>29</v>
      </c>
      <c r="S171" s="27" t="s">
        <v>1023</v>
      </c>
      <c r="T171" s="27">
        <f>IFERROR(__xludf.DUMMYFUNCTION("""COMPUTED_VALUE"""),1371.0)</f>
        <v>1371</v>
      </c>
      <c r="U171" s="1" t="s">
        <v>2404</v>
      </c>
    </row>
    <row r="172">
      <c r="A172" s="4">
        <v>44342.73446157407</v>
      </c>
      <c r="B172" s="3" t="s">
        <v>1024</v>
      </c>
      <c r="C172" s="3" t="s">
        <v>1025</v>
      </c>
      <c r="D172" s="3" t="s">
        <v>358</v>
      </c>
      <c r="E172" s="6">
        <v>44091.0</v>
      </c>
      <c r="F172" s="3">
        <v>6000.0</v>
      </c>
      <c r="G172" s="3" t="s">
        <v>136</v>
      </c>
      <c r="H172" s="3" t="s">
        <v>22</v>
      </c>
      <c r="K172" s="3" t="s">
        <v>1026</v>
      </c>
      <c r="L172" s="3" t="s">
        <v>1027</v>
      </c>
      <c r="M172" s="3" t="s">
        <v>1028</v>
      </c>
      <c r="N172" s="3" t="s">
        <v>362</v>
      </c>
      <c r="O172" s="3" t="s">
        <v>1029</v>
      </c>
      <c r="Q172" s="3" t="s">
        <v>29</v>
      </c>
      <c r="S172" s="27" t="s">
        <v>1030</v>
      </c>
      <c r="T172" s="27">
        <f>IFERROR(__xludf.DUMMYFUNCTION("""COMPUTED_VALUE"""),980.0)</f>
        <v>980</v>
      </c>
      <c r="U172" s="1" t="s">
        <v>2405</v>
      </c>
    </row>
    <row r="173">
      <c r="A173" s="4">
        <v>44342.73447703704</v>
      </c>
      <c r="B173" s="3" t="s">
        <v>1031</v>
      </c>
      <c r="C173" s="3" t="s">
        <v>1032</v>
      </c>
      <c r="D173" s="3" t="s">
        <v>358</v>
      </c>
      <c r="E173" s="6">
        <v>44063.0</v>
      </c>
      <c r="F173" s="3">
        <v>824.0</v>
      </c>
      <c r="G173" s="3" t="s">
        <v>350</v>
      </c>
      <c r="H173" s="3" t="s">
        <v>22</v>
      </c>
      <c r="K173" s="3" t="s">
        <v>1033</v>
      </c>
      <c r="L173" s="3" t="s">
        <v>1034</v>
      </c>
      <c r="M173" s="3" t="s">
        <v>1035</v>
      </c>
      <c r="N173" s="3" t="s">
        <v>362</v>
      </c>
      <c r="O173" s="3" t="s">
        <v>1036</v>
      </c>
      <c r="Q173" s="3" t="s">
        <v>29</v>
      </c>
      <c r="S173" s="27" t="s">
        <v>1037</v>
      </c>
      <c r="T173" s="27">
        <f>IFERROR(__xludf.DUMMYFUNCTION("""COMPUTED_VALUE"""),1497.0)</f>
        <v>1497</v>
      </c>
      <c r="U173" s="1" t="s">
        <v>2406</v>
      </c>
    </row>
    <row r="174">
      <c r="A174" s="4">
        <v>44342.73449219907</v>
      </c>
      <c r="B174" s="3" t="s">
        <v>393</v>
      </c>
      <c r="C174" s="3" t="s">
        <v>1038</v>
      </c>
      <c r="D174" s="3" t="s">
        <v>358</v>
      </c>
      <c r="E174" s="6">
        <v>44095.0</v>
      </c>
      <c r="F174" s="3">
        <v>2458.27</v>
      </c>
      <c r="G174" s="3" t="s">
        <v>21</v>
      </c>
      <c r="H174" s="3" t="s">
        <v>22</v>
      </c>
      <c r="K174" s="3" t="s">
        <v>1039</v>
      </c>
      <c r="L174" s="3" t="s">
        <v>1040</v>
      </c>
      <c r="M174" s="3" t="s">
        <v>1041</v>
      </c>
      <c r="N174" s="3" t="s">
        <v>362</v>
      </c>
      <c r="O174" s="3" t="s">
        <v>398</v>
      </c>
      <c r="Q174" s="3" t="s">
        <v>29</v>
      </c>
      <c r="S174" s="27" t="s">
        <v>1042</v>
      </c>
      <c r="T174" s="27">
        <f>IFERROR(__xludf.DUMMYFUNCTION("""COMPUTED_VALUE"""),1148.0)</f>
        <v>1148</v>
      </c>
      <c r="U174" s="1" t="s">
        <v>2407</v>
      </c>
    </row>
    <row r="175">
      <c r="A175" s="4">
        <v>44342.734507326386</v>
      </c>
      <c r="B175" s="3" t="s">
        <v>516</v>
      </c>
      <c r="C175" s="3" t="s">
        <v>1043</v>
      </c>
      <c r="D175" s="3" t="s">
        <v>358</v>
      </c>
      <c r="E175" s="6">
        <v>44091.0</v>
      </c>
      <c r="F175" s="3">
        <v>12410.0</v>
      </c>
      <c r="G175" s="3" t="s">
        <v>21</v>
      </c>
      <c r="H175" s="3" t="s">
        <v>22</v>
      </c>
      <c r="K175" s="3" t="s">
        <v>1044</v>
      </c>
      <c r="L175" s="3" t="s">
        <v>1045</v>
      </c>
      <c r="M175" s="3" t="s">
        <v>1046</v>
      </c>
      <c r="N175" s="3" t="s">
        <v>362</v>
      </c>
      <c r="O175" s="3" t="s">
        <v>524</v>
      </c>
      <c r="Q175" s="3" t="s">
        <v>29</v>
      </c>
      <c r="S175" s="27" t="s">
        <v>1047</v>
      </c>
      <c r="T175" s="27">
        <f>IFERROR(__xludf.DUMMYFUNCTION("""COMPUTED_VALUE"""),1371.0)</f>
        <v>1371</v>
      </c>
      <c r="U175" s="1" t="s">
        <v>2408</v>
      </c>
    </row>
    <row r="176">
      <c r="A176" s="4">
        <v>44342.73452370371</v>
      </c>
      <c r="B176" s="3" t="s">
        <v>1012</v>
      </c>
      <c r="C176" s="3" t="s">
        <v>1048</v>
      </c>
      <c r="D176" s="3" t="s">
        <v>1049</v>
      </c>
      <c r="E176" s="6">
        <v>44102.0</v>
      </c>
      <c r="F176" s="3">
        <v>7600.0</v>
      </c>
      <c r="G176" s="3" t="s">
        <v>136</v>
      </c>
      <c r="H176" s="3" t="s">
        <v>22</v>
      </c>
      <c r="J176" s="3" t="s">
        <v>1050</v>
      </c>
      <c r="K176" s="3" t="s">
        <v>1051</v>
      </c>
      <c r="L176" s="3" t="s">
        <v>1052</v>
      </c>
      <c r="M176" s="3" t="s">
        <v>1053</v>
      </c>
      <c r="N176" s="3" t="s">
        <v>1054</v>
      </c>
      <c r="O176" s="3" t="s">
        <v>1017</v>
      </c>
      <c r="Q176" s="3" t="s">
        <v>29</v>
      </c>
      <c r="S176" s="27" t="s">
        <v>1055</v>
      </c>
      <c r="T176" s="27">
        <f>IFERROR(__xludf.DUMMYFUNCTION("""COMPUTED_VALUE"""),1468.0)</f>
        <v>1468</v>
      </c>
      <c r="U176" s="1" t="s">
        <v>2409</v>
      </c>
    </row>
    <row r="177">
      <c r="A177" s="4">
        <v>44342.734538923614</v>
      </c>
      <c r="B177" s="3" t="s">
        <v>266</v>
      </c>
      <c r="C177" s="3" t="s">
        <v>1056</v>
      </c>
      <c r="D177" s="3" t="s">
        <v>20</v>
      </c>
      <c r="E177" s="6">
        <v>44060.0</v>
      </c>
      <c r="F177" s="3">
        <v>65300.0</v>
      </c>
      <c r="G177" s="3" t="s">
        <v>21</v>
      </c>
      <c r="H177" s="3" t="s">
        <v>22</v>
      </c>
      <c r="J177" s="3" t="s">
        <v>1057</v>
      </c>
      <c r="K177" s="3" t="s">
        <v>1058</v>
      </c>
      <c r="L177" s="3" t="s">
        <v>1059</v>
      </c>
      <c r="M177" s="3" t="s">
        <v>1060</v>
      </c>
      <c r="N177" s="3" t="s">
        <v>27</v>
      </c>
      <c r="O177" s="3" t="s">
        <v>271</v>
      </c>
      <c r="Q177" s="3" t="s">
        <v>29</v>
      </c>
      <c r="S177" s="27" t="s">
        <v>1061</v>
      </c>
      <c r="T177" s="27">
        <f>IFERROR(__xludf.DUMMYFUNCTION("""COMPUTED_VALUE"""),1235.0)</f>
        <v>1235</v>
      </c>
      <c r="U177" s="1" t="s">
        <v>2410</v>
      </c>
    </row>
    <row r="178">
      <c r="A178" s="4">
        <v>44342.73455407408</v>
      </c>
      <c r="B178" s="3" t="s">
        <v>89</v>
      </c>
      <c r="C178" s="3" t="s">
        <v>1062</v>
      </c>
      <c r="D178" s="3" t="s">
        <v>230</v>
      </c>
      <c r="E178" s="6">
        <v>44102.0</v>
      </c>
      <c r="F178" s="3">
        <v>800.0</v>
      </c>
      <c r="G178" s="3" t="s">
        <v>21</v>
      </c>
      <c r="H178" s="3" t="s">
        <v>22</v>
      </c>
      <c r="K178" s="3" t="s">
        <v>1063</v>
      </c>
      <c r="L178" s="3" t="s">
        <v>1064</v>
      </c>
      <c r="M178" s="3" t="s">
        <v>1065</v>
      </c>
      <c r="N178" s="3" t="s">
        <v>234</v>
      </c>
      <c r="O178" s="3" t="s">
        <v>94</v>
      </c>
      <c r="Q178" s="3" t="s">
        <v>29</v>
      </c>
      <c r="S178" s="27" t="s">
        <v>1066</v>
      </c>
      <c r="T178" s="27">
        <f>IFERROR(__xludf.DUMMYFUNCTION("""COMPUTED_VALUE"""),902.0)</f>
        <v>902</v>
      </c>
      <c r="U178" s="1" t="s">
        <v>2411</v>
      </c>
    </row>
    <row r="179">
      <c r="A179" s="4">
        <v>44342.73456946759</v>
      </c>
      <c r="B179" s="3" t="s">
        <v>393</v>
      </c>
      <c r="C179" s="3" t="s">
        <v>1067</v>
      </c>
      <c r="D179" s="3" t="s">
        <v>358</v>
      </c>
      <c r="E179" s="6">
        <v>44105.0</v>
      </c>
      <c r="F179" s="3">
        <v>51684.38</v>
      </c>
      <c r="G179" s="3" t="s">
        <v>350</v>
      </c>
      <c r="H179" s="3" t="s">
        <v>22</v>
      </c>
      <c r="K179" s="3" t="s">
        <v>1068</v>
      </c>
      <c r="L179" s="3" t="s">
        <v>1069</v>
      </c>
      <c r="M179" s="3" t="s">
        <v>1070</v>
      </c>
      <c r="N179" s="3" t="s">
        <v>362</v>
      </c>
      <c r="O179" s="3" t="s">
        <v>398</v>
      </c>
      <c r="Q179" s="3" t="s">
        <v>29</v>
      </c>
      <c r="S179" s="27" t="s">
        <v>1071</v>
      </c>
      <c r="T179" s="27">
        <f>IFERROR(__xludf.DUMMYFUNCTION("""COMPUTED_VALUE"""),1148.0)</f>
        <v>1148</v>
      </c>
      <c r="U179" s="1" t="s">
        <v>2412</v>
      </c>
    </row>
    <row r="180">
      <c r="A180" s="4">
        <v>44342.734584861115</v>
      </c>
      <c r="B180" s="3" t="s">
        <v>1072</v>
      </c>
      <c r="C180" s="3" t="s">
        <v>1073</v>
      </c>
      <c r="D180" s="3" t="s">
        <v>358</v>
      </c>
      <c r="E180" s="6">
        <v>44075.0</v>
      </c>
      <c r="F180" s="3">
        <v>31550.0</v>
      </c>
      <c r="G180" s="3" t="s">
        <v>21</v>
      </c>
      <c r="H180" s="3" t="s">
        <v>22</v>
      </c>
      <c r="J180" s="3" t="s">
        <v>2413</v>
      </c>
      <c r="K180" s="3" t="s">
        <v>1074</v>
      </c>
      <c r="L180" s="3" t="s">
        <v>1075</v>
      </c>
      <c r="M180" s="3" t="s">
        <v>1076</v>
      </c>
      <c r="N180" s="3" t="s">
        <v>362</v>
      </c>
      <c r="O180" s="3" t="s">
        <v>1077</v>
      </c>
      <c r="Q180" s="3" t="s">
        <v>29</v>
      </c>
      <c r="R180" s="3" t="b">
        <v>1</v>
      </c>
      <c r="S180" s="27" t="s">
        <v>1078</v>
      </c>
      <c r="T180" s="27">
        <f>IFERROR(__xludf.DUMMYFUNCTION("""COMPUTED_VALUE"""),724.0)</f>
        <v>724</v>
      </c>
      <c r="U180" s="1" t="s">
        <v>2414</v>
      </c>
    </row>
    <row r="181">
      <c r="A181" s="4">
        <v>44342.73460195602</v>
      </c>
      <c r="B181" s="3" t="s">
        <v>1012</v>
      </c>
      <c r="C181" s="3" t="s">
        <v>1079</v>
      </c>
      <c r="D181" s="3" t="s">
        <v>230</v>
      </c>
      <c r="E181" s="6">
        <v>43998.0</v>
      </c>
      <c r="F181" s="3">
        <v>600.0</v>
      </c>
      <c r="G181" s="3" t="s">
        <v>136</v>
      </c>
      <c r="H181" s="3" t="s">
        <v>22</v>
      </c>
      <c r="K181" s="3" t="s">
        <v>1080</v>
      </c>
      <c r="L181" s="3" t="s">
        <v>1081</v>
      </c>
      <c r="M181" s="3" t="s">
        <v>1082</v>
      </c>
      <c r="N181" s="3" t="s">
        <v>234</v>
      </c>
      <c r="O181" s="3" t="s">
        <v>1017</v>
      </c>
      <c r="Q181" s="3" t="s">
        <v>29</v>
      </c>
      <c r="S181" s="27" t="s">
        <v>1083</v>
      </c>
      <c r="T181" s="27">
        <f>IFERROR(__xludf.DUMMYFUNCTION("""COMPUTED_VALUE"""),1468.0)</f>
        <v>1468</v>
      </c>
      <c r="U181" s="1" t="s">
        <v>2415</v>
      </c>
    </row>
    <row r="182">
      <c r="A182" s="4">
        <v>44342.73461762731</v>
      </c>
      <c r="B182" s="3" t="s">
        <v>1084</v>
      </c>
      <c r="C182" s="3" t="s">
        <v>335</v>
      </c>
      <c r="D182" s="3" t="s">
        <v>20</v>
      </c>
      <c r="E182" s="6">
        <v>43518.0</v>
      </c>
      <c r="F182" s="3">
        <v>31350.0</v>
      </c>
      <c r="G182" s="3" t="s">
        <v>21</v>
      </c>
      <c r="H182" s="3" t="s">
        <v>22</v>
      </c>
      <c r="K182" s="3" t="s">
        <v>1085</v>
      </c>
      <c r="L182" s="3" t="s">
        <v>1086</v>
      </c>
      <c r="M182" s="3" t="s">
        <v>1087</v>
      </c>
      <c r="N182" s="3" t="s">
        <v>27</v>
      </c>
      <c r="O182" s="3" t="s">
        <v>1088</v>
      </c>
      <c r="Q182" s="3" t="s">
        <v>29</v>
      </c>
      <c r="S182" s="27" t="s">
        <v>1089</v>
      </c>
      <c r="T182" s="27">
        <f>IFERROR(__xludf.DUMMYFUNCTION("""COMPUTED_VALUE"""),1079.0)</f>
        <v>1079</v>
      </c>
      <c r="U182" s="1" t="s">
        <v>2416</v>
      </c>
    </row>
    <row r="183">
      <c r="A183" s="4">
        <v>44342.734634513894</v>
      </c>
      <c r="B183" s="3" t="s">
        <v>1090</v>
      </c>
      <c r="C183" s="3" t="s">
        <v>1091</v>
      </c>
      <c r="D183" s="3" t="s">
        <v>358</v>
      </c>
      <c r="E183" s="6">
        <v>44099.0</v>
      </c>
      <c r="F183" s="3">
        <v>5700.0</v>
      </c>
      <c r="G183" s="3" t="s">
        <v>21</v>
      </c>
      <c r="H183" s="3" t="s">
        <v>22</v>
      </c>
      <c r="K183" s="3" t="s">
        <v>1092</v>
      </c>
      <c r="L183" s="3" t="s">
        <v>1093</v>
      </c>
      <c r="M183" s="3" t="s">
        <v>1094</v>
      </c>
      <c r="N183" s="3" t="s">
        <v>362</v>
      </c>
      <c r="O183" s="3" t="s">
        <v>1095</v>
      </c>
      <c r="Q183" s="3" t="s">
        <v>29</v>
      </c>
      <c r="S183" s="27" t="s">
        <v>1096</v>
      </c>
      <c r="T183" s="27">
        <f>IFERROR(__xludf.DUMMYFUNCTION("""COMPUTED_VALUE"""),1509.0)</f>
        <v>1509</v>
      </c>
      <c r="U183" s="1" t="s">
        <v>2417</v>
      </c>
    </row>
    <row r="184">
      <c r="A184" s="4">
        <v>44342.734649618054</v>
      </c>
      <c r="B184" s="3" t="s">
        <v>1024</v>
      </c>
      <c r="C184" s="3" t="s">
        <v>1097</v>
      </c>
      <c r="D184" s="3" t="s">
        <v>358</v>
      </c>
      <c r="E184" s="6">
        <v>44114.0</v>
      </c>
      <c r="F184" s="3">
        <v>2260.0</v>
      </c>
      <c r="G184" s="3" t="s">
        <v>136</v>
      </c>
      <c r="H184" s="3" t="s">
        <v>22</v>
      </c>
      <c r="K184" s="3" t="s">
        <v>1098</v>
      </c>
      <c r="L184" s="3" t="s">
        <v>1099</v>
      </c>
      <c r="M184" s="3" t="s">
        <v>1100</v>
      </c>
      <c r="N184" s="3" t="s">
        <v>362</v>
      </c>
      <c r="O184" s="3" t="s">
        <v>1029</v>
      </c>
      <c r="Q184" s="3" t="s">
        <v>29</v>
      </c>
      <c r="S184" s="27" t="s">
        <v>1101</v>
      </c>
      <c r="T184" s="27">
        <f>IFERROR(__xludf.DUMMYFUNCTION("""COMPUTED_VALUE"""),980.0)</f>
        <v>980</v>
      </c>
      <c r="U184" s="1" t="s">
        <v>2418</v>
      </c>
    </row>
    <row r="185">
      <c r="A185" s="4">
        <v>44342.73466483796</v>
      </c>
      <c r="B185" s="3" t="s">
        <v>341</v>
      </c>
      <c r="C185" s="3" t="s">
        <v>1102</v>
      </c>
      <c r="D185" s="3" t="s">
        <v>358</v>
      </c>
      <c r="E185" s="6">
        <v>44117.0</v>
      </c>
      <c r="F185" s="3">
        <v>2640.0</v>
      </c>
      <c r="G185" s="3" t="s">
        <v>136</v>
      </c>
      <c r="H185" s="3" t="s">
        <v>22</v>
      </c>
      <c r="K185" s="3" t="s">
        <v>1103</v>
      </c>
      <c r="L185" s="3" t="s">
        <v>1104</v>
      </c>
      <c r="M185" s="3" t="s">
        <v>1105</v>
      </c>
      <c r="N185" s="3" t="s">
        <v>362</v>
      </c>
      <c r="O185" s="3" t="s">
        <v>346</v>
      </c>
      <c r="Q185" s="3" t="s">
        <v>29</v>
      </c>
      <c r="S185" s="27" t="s">
        <v>1106</v>
      </c>
      <c r="T185" s="27">
        <f>IFERROR(__xludf.DUMMYFUNCTION("""COMPUTED_VALUE"""),585.0)</f>
        <v>585</v>
      </c>
      <c r="U185" s="1" t="s">
        <v>2419</v>
      </c>
    </row>
    <row r="186">
      <c r="A186" s="4">
        <v>44342.73468013889</v>
      </c>
      <c r="B186" s="3" t="s">
        <v>1107</v>
      </c>
      <c r="C186" s="3" t="s">
        <v>1025</v>
      </c>
      <c r="D186" s="3" t="s">
        <v>358</v>
      </c>
      <c r="E186" s="6">
        <v>44116.0</v>
      </c>
      <c r="F186" s="3">
        <v>10420.0</v>
      </c>
      <c r="G186" s="3" t="s">
        <v>136</v>
      </c>
      <c r="H186" s="3" t="s">
        <v>22</v>
      </c>
      <c r="J186" s="3" t="s">
        <v>1108</v>
      </c>
      <c r="K186" s="3" t="s">
        <v>1109</v>
      </c>
      <c r="L186" s="3" t="s">
        <v>1110</v>
      </c>
      <c r="M186" s="3" t="s">
        <v>1111</v>
      </c>
      <c r="N186" s="3" t="s">
        <v>362</v>
      </c>
      <c r="O186" s="3" t="s">
        <v>1112</v>
      </c>
      <c r="Q186" s="3" t="s">
        <v>29</v>
      </c>
      <c r="S186" s="27" t="s">
        <v>1113</v>
      </c>
      <c r="T186" s="27">
        <f>IFERROR(__xludf.DUMMYFUNCTION("""COMPUTED_VALUE"""),1511.0)</f>
        <v>1511</v>
      </c>
      <c r="U186" s="1" t="s">
        <v>2420</v>
      </c>
    </row>
    <row r="187">
      <c r="A187" s="4">
        <v>44342.73469564815</v>
      </c>
      <c r="B187" s="3" t="s">
        <v>1114</v>
      </c>
      <c r="C187" s="3" t="s">
        <v>1115</v>
      </c>
      <c r="D187" s="3" t="s">
        <v>20</v>
      </c>
      <c r="E187" s="6">
        <v>44118.0</v>
      </c>
      <c r="F187" s="3">
        <v>449870.0</v>
      </c>
      <c r="G187" s="3" t="s">
        <v>21</v>
      </c>
      <c r="H187" s="3" t="s">
        <v>22</v>
      </c>
      <c r="I187" s="3" t="s">
        <v>1116</v>
      </c>
      <c r="J187" s="3" t="s">
        <v>1117</v>
      </c>
      <c r="K187" s="3" t="s">
        <v>1118</v>
      </c>
      <c r="L187" s="3" t="s">
        <v>1119</v>
      </c>
      <c r="M187" s="3" t="s">
        <v>1120</v>
      </c>
      <c r="N187" s="3" t="s">
        <v>27</v>
      </c>
      <c r="O187" s="3" t="s">
        <v>1121</v>
      </c>
      <c r="P187" s="3" t="s">
        <v>1122</v>
      </c>
      <c r="Q187" s="3" t="s">
        <v>29</v>
      </c>
      <c r="S187" s="27" t="s">
        <v>1123</v>
      </c>
      <c r="T187" s="27">
        <f>IFERROR(__xludf.DUMMYFUNCTION("""COMPUTED_VALUE"""),1514.0)</f>
        <v>1514</v>
      </c>
      <c r="U187" s="1" t="s">
        <v>2421</v>
      </c>
    </row>
    <row r="188">
      <c r="A188" s="4">
        <v>44342.73471135416</v>
      </c>
      <c r="B188" s="3" t="s">
        <v>1124</v>
      </c>
      <c r="C188" s="3" t="s">
        <v>1125</v>
      </c>
      <c r="D188" s="3" t="s">
        <v>358</v>
      </c>
      <c r="E188" s="6">
        <v>44127.0</v>
      </c>
      <c r="F188" s="3">
        <v>2720.0</v>
      </c>
      <c r="G188" s="3" t="s">
        <v>136</v>
      </c>
      <c r="H188" s="3" t="s">
        <v>22</v>
      </c>
      <c r="K188" s="3" t="s">
        <v>1126</v>
      </c>
      <c r="L188" s="3" t="s">
        <v>1127</v>
      </c>
      <c r="M188" s="3" t="s">
        <v>1128</v>
      </c>
      <c r="N188" s="3" t="s">
        <v>362</v>
      </c>
      <c r="O188" s="3" t="s">
        <v>1129</v>
      </c>
      <c r="Q188" s="3" t="s">
        <v>29</v>
      </c>
      <c r="S188" s="27" t="s">
        <v>1130</v>
      </c>
      <c r="T188" s="27">
        <f>IFERROR(__xludf.DUMMYFUNCTION("""COMPUTED_VALUE"""),509.0)</f>
        <v>509</v>
      </c>
      <c r="U188" s="1" t="s">
        <v>2422</v>
      </c>
    </row>
    <row r="189">
      <c r="A189" s="4">
        <v>44342.73472930556</v>
      </c>
      <c r="B189" s="3" t="s">
        <v>930</v>
      </c>
      <c r="C189" s="3" t="s">
        <v>1131</v>
      </c>
      <c r="D189" s="3" t="s">
        <v>358</v>
      </c>
      <c r="E189" s="6">
        <v>44127.0</v>
      </c>
      <c r="F189" s="3">
        <v>5670.0</v>
      </c>
      <c r="G189" s="3" t="s">
        <v>136</v>
      </c>
      <c r="H189" s="3" t="s">
        <v>22</v>
      </c>
      <c r="K189" s="3" t="s">
        <v>1132</v>
      </c>
      <c r="L189" s="3" t="s">
        <v>1133</v>
      </c>
      <c r="M189" s="3" t="s">
        <v>1134</v>
      </c>
      <c r="N189" s="3" t="s">
        <v>362</v>
      </c>
      <c r="O189" s="3" t="s">
        <v>935</v>
      </c>
      <c r="Q189" s="3" t="s">
        <v>29</v>
      </c>
      <c r="S189" s="27" t="s">
        <v>1135</v>
      </c>
      <c r="T189" s="27">
        <f>IFERROR(__xludf.DUMMYFUNCTION("""COMPUTED_VALUE"""),132.0)</f>
        <v>132</v>
      </c>
      <c r="U189" s="1" t="s">
        <v>2423</v>
      </c>
    </row>
    <row r="190">
      <c r="A190" s="4">
        <v>44342.73474452546</v>
      </c>
      <c r="B190" s="3" t="s">
        <v>482</v>
      </c>
      <c r="C190" s="3" t="s">
        <v>1136</v>
      </c>
      <c r="D190" s="3" t="s">
        <v>358</v>
      </c>
      <c r="E190" s="6">
        <v>44120.0</v>
      </c>
      <c r="F190" s="3">
        <v>7320.0</v>
      </c>
      <c r="G190" s="3" t="s">
        <v>136</v>
      </c>
      <c r="H190" s="3" t="s">
        <v>22</v>
      </c>
      <c r="I190" s="3" t="s">
        <v>1137</v>
      </c>
      <c r="K190" s="3" t="s">
        <v>1138</v>
      </c>
      <c r="L190" s="3" t="s">
        <v>1139</v>
      </c>
      <c r="M190" s="3" t="s">
        <v>1140</v>
      </c>
      <c r="N190" s="3" t="s">
        <v>362</v>
      </c>
      <c r="O190" s="3" t="s">
        <v>487</v>
      </c>
      <c r="P190" s="3" t="s">
        <v>1141</v>
      </c>
      <c r="Q190" s="3" t="s">
        <v>29</v>
      </c>
      <c r="S190" s="27" t="s">
        <v>1142</v>
      </c>
      <c r="T190" s="27">
        <f>IFERROR(__xludf.DUMMYFUNCTION("""COMPUTED_VALUE"""),4.0)</f>
        <v>4</v>
      </c>
      <c r="U190" s="1" t="s">
        <v>2424</v>
      </c>
    </row>
    <row r="191">
      <c r="A191" s="4">
        <v>44342.734759583334</v>
      </c>
      <c r="B191" s="3" t="s">
        <v>1143</v>
      </c>
      <c r="C191" s="3" t="s">
        <v>1144</v>
      </c>
      <c r="D191" s="3" t="s">
        <v>1049</v>
      </c>
      <c r="E191" s="6">
        <v>44078.0</v>
      </c>
      <c r="F191" s="3">
        <v>2000.0</v>
      </c>
      <c r="G191" s="3" t="s">
        <v>350</v>
      </c>
      <c r="H191" s="3" t="s">
        <v>22</v>
      </c>
      <c r="I191" s="3" t="s">
        <v>1145</v>
      </c>
      <c r="K191" s="3" t="s">
        <v>1146</v>
      </c>
      <c r="L191" s="3" t="s">
        <v>1147</v>
      </c>
      <c r="M191" s="3" t="s">
        <v>1148</v>
      </c>
      <c r="N191" s="3" t="s">
        <v>1054</v>
      </c>
      <c r="O191" s="3" t="s">
        <v>1149</v>
      </c>
      <c r="P191" s="3" t="s">
        <v>1150</v>
      </c>
      <c r="Q191" s="3" t="s">
        <v>29</v>
      </c>
      <c r="S191" s="27" t="s">
        <v>1151</v>
      </c>
      <c r="T191" s="27">
        <f>IFERROR(__xludf.DUMMYFUNCTION("""COMPUTED_VALUE"""),7.0)</f>
        <v>7</v>
      </c>
      <c r="U191" s="1" t="s">
        <v>2425</v>
      </c>
    </row>
    <row r="192">
      <c r="A192" s="4">
        <v>44342.73477494213</v>
      </c>
      <c r="B192" s="3" t="s">
        <v>1152</v>
      </c>
      <c r="C192" s="3" t="s">
        <v>1153</v>
      </c>
      <c r="D192" s="3" t="s">
        <v>358</v>
      </c>
      <c r="E192" s="6">
        <v>43798.0</v>
      </c>
      <c r="F192" s="3">
        <v>1180.0</v>
      </c>
      <c r="G192" s="3" t="s">
        <v>136</v>
      </c>
      <c r="H192" s="3" t="s">
        <v>22</v>
      </c>
      <c r="I192" s="3" t="s">
        <v>1137</v>
      </c>
      <c r="K192" s="3" t="s">
        <v>1154</v>
      </c>
      <c r="L192" s="3" t="s">
        <v>1155</v>
      </c>
      <c r="M192" s="3" t="s">
        <v>1156</v>
      </c>
      <c r="N192" s="3" t="s">
        <v>362</v>
      </c>
      <c r="O192" s="3" t="s">
        <v>1157</v>
      </c>
      <c r="P192" s="3" t="s">
        <v>1141</v>
      </c>
      <c r="Q192" s="3" t="s">
        <v>29</v>
      </c>
      <c r="S192" s="27" t="s">
        <v>1158</v>
      </c>
      <c r="T192" s="27">
        <f>IFERROR(__xludf.DUMMYFUNCTION("""COMPUTED_VALUE"""),1315.0)</f>
        <v>1315</v>
      </c>
      <c r="U192" s="1" t="s">
        <v>2426</v>
      </c>
    </row>
    <row r="193">
      <c r="A193" s="4">
        <v>44342.734790393515</v>
      </c>
      <c r="B193" s="3" t="s">
        <v>1107</v>
      </c>
      <c r="C193" s="3" t="s">
        <v>1159</v>
      </c>
      <c r="D193" s="3" t="s">
        <v>358</v>
      </c>
      <c r="E193" s="6">
        <v>44116.0</v>
      </c>
      <c r="F193" s="3">
        <v>10420.0</v>
      </c>
      <c r="G193" s="3" t="s">
        <v>136</v>
      </c>
      <c r="H193" s="3" t="s">
        <v>22</v>
      </c>
      <c r="I193" s="3" t="s">
        <v>1160</v>
      </c>
      <c r="K193" s="3" t="s">
        <v>1109</v>
      </c>
      <c r="L193" s="3" t="s">
        <v>1161</v>
      </c>
      <c r="M193" s="3" t="s">
        <v>1162</v>
      </c>
      <c r="N193" s="3" t="s">
        <v>362</v>
      </c>
      <c r="O193" s="3" t="s">
        <v>1112</v>
      </c>
      <c r="P193" s="3" t="s">
        <v>1163</v>
      </c>
      <c r="Q193" s="3" t="s">
        <v>29</v>
      </c>
      <c r="S193" s="27" t="s">
        <v>1164</v>
      </c>
      <c r="T193" s="27">
        <f>IFERROR(__xludf.DUMMYFUNCTION("""COMPUTED_VALUE"""),1511.0)</f>
        <v>1511</v>
      </c>
      <c r="U193" s="1" t="s">
        <v>2427</v>
      </c>
    </row>
    <row r="194">
      <c r="A194" s="4">
        <v>44342.734805810185</v>
      </c>
      <c r="B194" s="3" t="s">
        <v>1165</v>
      </c>
      <c r="C194" s="3" t="s">
        <v>1166</v>
      </c>
      <c r="D194" s="3" t="s">
        <v>756</v>
      </c>
      <c r="E194" s="6">
        <v>44130.0</v>
      </c>
      <c r="F194" s="3">
        <v>200.0</v>
      </c>
      <c r="G194" s="3" t="s">
        <v>136</v>
      </c>
      <c r="H194" s="3" t="s">
        <v>22</v>
      </c>
      <c r="I194" s="3" t="s">
        <v>1167</v>
      </c>
      <c r="J194" s="3" t="s">
        <v>511</v>
      </c>
      <c r="K194" s="3" t="s">
        <v>1168</v>
      </c>
      <c r="L194" s="3" t="s">
        <v>1169</v>
      </c>
      <c r="M194" s="3" t="s">
        <v>1170</v>
      </c>
      <c r="N194" s="3" t="s">
        <v>760</v>
      </c>
      <c r="O194" s="3" t="s">
        <v>1171</v>
      </c>
      <c r="P194" s="3" t="s">
        <v>1172</v>
      </c>
      <c r="Q194" s="3" t="s">
        <v>29</v>
      </c>
      <c r="S194" s="27" t="s">
        <v>1173</v>
      </c>
      <c r="T194" s="27">
        <f>IFERROR(__xludf.DUMMYFUNCTION("""COMPUTED_VALUE"""),1167.0)</f>
        <v>1167</v>
      </c>
      <c r="U194" s="1" t="s">
        <v>2428</v>
      </c>
    </row>
    <row r="195">
      <c r="A195" s="4">
        <v>44342.73482113426</v>
      </c>
      <c r="B195" s="3" t="s">
        <v>348</v>
      </c>
      <c r="C195" s="3" t="s">
        <v>1174</v>
      </c>
      <c r="D195" s="3" t="s">
        <v>358</v>
      </c>
      <c r="E195" s="6">
        <v>44132.0</v>
      </c>
      <c r="F195" s="3">
        <v>3849.0</v>
      </c>
      <c r="G195" s="3" t="s">
        <v>136</v>
      </c>
      <c r="H195" s="3" t="s">
        <v>22</v>
      </c>
      <c r="I195" s="3" t="s">
        <v>1145</v>
      </c>
      <c r="K195" s="3" t="s">
        <v>1175</v>
      </c>
      <c r="L195" s="3" t="s">
        <v>1176</v>
      </c>
      <c r="M195" s="3" t="s">
        <v>1177</v>
      </c>
      <c r="N195" s="3" t="s">
        <v>362</v>
      </c>
      <c r="O195" s="3" t="s">
        <v>354</v>
      </c>
      <c r="P195" s="3" t="s">
        <v>1150</v>
      </c>
      <c r="Q195" s="3" t="s">
        <v>29</v>
      </c>
      <c r="S195" s="27" t="s">
        <v>1178</v>
      </c>
      <c r="T195" s="27">
        <f>IFERROR(__xludf.DUMMYFUNCTION("""COMPUTED_VALUE"""),506.0)</f>
        <v>506</v>
      </c>
      <c r="U195" s="1" t="s">
        <v>2429</v>
      </c>
    </row>
    <row r="196">
      <c r="A196" s="4">
        <v>44342.73483760416</v>
      </c>
      <c r="B196" s="3" t="s">
        <v>67</v>
      </c>
      <c r="C196" s="3" t="s">
        <v>1179</v>
      </c>
      <c r="D196" s="3" t="s">
        <v>20</v>
      </c>
      <c r="E196" s="6">
        <v>44097.0</v>
      </c>
      <c r="F196" s="3">
        <v>23000.0</v>
      </c>
      <c r="G196" s="3" t="s">
        <v>21</v>
      </c>
      <c r="H196" s="3" t="s">
        <v>22</v>
      </c>
      <c r="I196" s="3" t="s">
        <v>1116</v>
      </c>
      <c r="K196" s="3" t="s">
        <v>1180</v>
      </c>
      <c r="L196" s="3" t="s">
        <v>1181</v>
      </c>
      <c r="M196" s="3" t="s">
        <v>1182</v>
      </c>
      <c r="N196" s="3" t="s">
        <v>27</v>
      </c>
      <c r="O196" s="3" t="s">
        <v>72</v>
      </c>
      <c r="P196" s="3" t="s">
        <v>1122</v>
      </c>
      <c r="Q196" s="3" t="s">
        <v>29</v>
      </c>
      <c r="S196" s="27" t="s">
        <v>1183</v>
      </c>
      <c r="T196" s="27">
        <f>IFERROR(__xludf.DUMMYFUNCTION("""COMPUTED_VALUE"""),642.0)</f>
        <v>642</v>
      </c>
      <c r="U196" s="1" t="s">
        <v>2430</v>
      </c>
    </row>
    <row r="197">
      <c r="A197" s="4">
        <v>44342.73485282407</v>
      </c>
      <c r="B197" s="3" t="s">
        <v>482</v>
      </c>
      <c r="C197" s="3" t="s">
        <v>1184</v>
      </c>
      <c r="D197" s="3" t="s">
        <v>358</v>
      </c>
      <c r="E197" s="6">
        <v>44140.0</v>
      </c>
      <c r="F197" s="3">
        <v>1180.0</v>
      </c>
      <c r="G197" s="3" t="s">
        <v>21</v>
      </c>
      <c r="H197" s="3" t="s">
        <v>22</v>
      </c>
      <c r="K197" s="3" t="s">
        <v>1185</v>
      </c>
      <c r="L197" s="3" t="s">
        <v>1186</v>
      </c>
      <c r="M197" s="3" t="s">
        <v>1187</v>
      </c>
      <c r="N197" s="3" t="s">
        <v>362</v>
      </c>
      <c r="O197" s="3" t="s">
        <v>487</v>
      </c>
      <c r="Q197" s="3" t="s">
        <v>29</v>
      </c>
      <c r="S197" s="27" t="s">
        <v>1188</v>
      </c>
      <c r="T197" s="27">
        <f>IFERROR(__xludf.DUMMYFUNCTION("""COMPUTED_VALUE"""),4.0)</f>
        <v>4</v>
      </c>
      <c r="U197" s="1" t="s">
        <v>2431</v>
      </c>
    </row>
    <row r="198">
      <c r="A198" s="4">
        <v>44342.73486993056</v>
      </c>
      <c r="B198" s="3" t="s">
        <v>341</v>
      </c>
      <c r="C198" s="3" t="s">
        <v>1189</v>
      </c>
      <c r="D198" s="3" t="s">
        <v>358</v>
      </c>
      <c r="E198" s="6">
        <v>44126.0</v>
      </c>
      <c r="F198" s="3">
        <v>500.0</v>
      </c>
      <c r="G198" s="3" t="s">
        <v>21</v>
      </c>
      <c r="H198" s="3" t="s">
        <v>22</v>
      </c>
      <c r="I198" s="3" t="s">
        <v>1145</v>
      </c>
      <c r="K198" s="3" t="s">
        <v>1190</v>
      </c>
      <c r="L198" s="3" t="s">
        <v>1191</v>
      </c>
      <c r="M198" s="3" t="s">
        <v>1192</v>
      </c>
      <c r="N198" s="3" t="s">
        <v>362</v>
      </c>
      <c r="O198" s="3" t="s">
        <v>346</v>
      </c>
      <c r="P198" s="3" t="s">
        <v>1150</v>
      </c>
      <c r="Q198" s="3" t="s">
        <v>29</v>
      </c>
      <c r="S198" s="27" t="s">
        <v>1193</v>
      </c>
      <c r="T198" s="27">
        <f>IFERROR(__xludf.DUMMYFUNCTION("""COMPUTED_VALUE"""),585.0)</f>
        <v>585</v>
      </c>
      <c r="U198" s="1" t="s">
        <v>2432</v>
      </c>
    </row>
    <row r="199">
      <c r="A199" s="4">
        <v>44342.73488591435</v>
      </c>
      <c r="B199" s="3" t="s">
        <v>341</v>
      </c>
      <c r="C199" s="3" t="s">
        <v>1194</v>
      </c>
      <c r="D199" s="3" t="s">
        <v>358</v>
      </c>
      <c r="E199" s="6">
        <v>44152.0</v>
      </c>
      <c r="F199" s="3">
        <v>5500.0</v>
      </c>
      <c r="G199" s="3" t="s">
        <v>136</v>
      </c>
      <c r="H199" s="3" t="s">
        <v>22</v>
      </c>
      <c r="I199" s="3" t="s">
        <v>1160</v>
      </c>
      <c r="K199" s="3" t="s">
        <v>1195</v>
      </c>
      <c r="L199" s="3" t="s">
        <v>1196</v>
      </c>
      <c r="M199" s="3" t="s">
        <v>1197</v>
      </c>
      <c r="N199" s="3" t="s">
        <v>362</v>
      </c>
      <c r="O199" s="3" t="s">
        <v>346</v>
      </c>
      <c r="P199" s="3" t="s">
        <v>1163</v>
      </c>
      <c r="Q199" s="3" t="s">
        <v>29</v>
      </c>
      <c r="S199" s="27" t="s">
        <v>1198</v>
      </c>
      <c r="T199" s="27">
        <f>IFERROR(__xludf.DUMMYFUNCTION("""COMPUTED_VALUE"""),585.0)</f>
        <v>585</v>
      </c>
      <c r="U199" s="1" t="s">
        <v>2433</v>
      </c>
    </row>
    <row r="200">
      <c r="A200" s="4">
        <v>44342.734900717594</v>
      </c>
      <c r="B200" s="3" t="s">
        <v>1199</v>
      </c>
      <c r="C200" s="3" t="s">
        <v>1200</v>
      </c>
      <c r="D200" s="3" t="s">
        <v>358</v>
      </c>
      <c r="E200" s="6">
        <v>44151.0</v>
      </c>
      <c r="F200" s="3">
        <v>3965.0</v>
      </c>
      <c r="G200" s="3" t="s">
        <v>21</v>
      </c>
      <c r="H200" s="3" t="s">
        <v>22</v>
      </c>
      <c r="I200" s="3" t="s">
        <v>1145</v>
      </c>
      <c r="K200" s="3" t="s">
        <v>1201</v>
      </c>
      <c r="L200" s="3" t="s">
        <v>1202</v>
      </c>
      <c r="M200" s="3" t="s">
        <v>1203</v>
      </c>
      <c r="N200" s="3" t="s">
        <v>362</v>
      </c>
      <c r="O200" s="7" t="s">
        <v>1204</v>
      </c>
      <c r="P200" s="3" t="s">
        <v>1150</v>
      </c>
      <c r="Q200" s="3" t="s">
        <v>1205</v>
      </c>
      <c r="S200" s="27" t="s">
        <v>1206</v>
      </c>
      <c r="T200" s="27">
        <f>IFERROR(__xludf.DUMMYFUNCTION("""COMPUTED_VALUE"""),1528.0)</f>
        <v>1528</v>
      </c>
      <c r="U200" s="1" t="s">
        <v>2434</v>
      </c>
    </row>
    <row r="201">
      <c r="A201" s="4">
        <v>44342.73491587963</v>
      </c>
      <c r="B201" s="3" t="s">
        <v>341</v>
      </c>
      <c r="C201" s="3" t="s">
        <v>1207</v>
      </c>
      <c r="D201" s="3" t="s">
        <v>358</v>
      </c>
      <c r="E201" s="6">
        <v>44138.0</v>
      </c>
      <c r="F201" s="3">
        <v>14728.5</v>
      </c>
      <c r="G201" s="3" t="s">
        <v>136</v>
      </c>
      <c r="H201" s="3" t="s">
        <v>22</v>
      </c>
      <c r="K201" s="3" t="s">
        <v>1208</v>
      </c>
      <c r="L201" s="3" t="s">
        <v>1209</v>
      </c>
      <c r="M201" s="3" t="s">
        <v>1210</v>
      </c>
      <c r="N201" s="3" t="s">
        <v>362</v>
      </c>
      <c r="O201" s="3" t="s">
        <v>346</v>
      </c>
      <c r="Q201" s="3" t="s">
        <v>29</v>
      </c>
      <c r="S201" s="27" t="s">
        <v>1211</v>
      </c>
      <c r="T201" s="27">
        <f>IFERROR(__xludf.DUMMYFUNCTION("""COMPUTED_VALUE"""),585.0)</f>
        <v>585</v>
      </c>
      <c r="U201" s="1" t="s">
        <v>2435</v>
      </c>
    </row>
    <row r="202">
      <c r="A202" s="4">
        <v>44342.73493265046</v>
      </c>
      <c r="B202" s="3" t="s">
        <v>386</v>
      </c>
      <c r="C202" s="3" t="s">
        <v>1212</v>
      </c>
      <c r="D202" s="3" t="s">
        <v>20</v>
      </c>
      <c r="E202" s="6">
        <v>44112.0</v>
      </c>
      <c r="F202" s="3">
        <v>6000.0</v>
      </c>
      <c r="G202" s="3" t="s">
        <v>136</v>
      </c>
      <c r="H202" s="3" t="s">
        <v>22</v>
      </c>
      <c r="J202" s="3" t="s">
        <v>1213</v>
      </c>
      <c r="K202" s="3" t="s">
        <v>1214</v>
      </c>
      <c r="L202" s="3" t="s">
        <v>1215</v>
      </c>
      <c r="M202" s="3" t="s">
        <v>1216</v>
      </c>
      <c r="N202" s="3" t="s">
        <v>27</v>
      </c>
      <c r="O202" s="3" t="s">
        <v>391</v>
      </c>
      <c r="Q202" s="3" t="s">
        <v>29</v>
      </c>
      <c r="S202" s="27" t="s">
        <v>1217</v>
      </c>
      <c r="T202" s="27">
        <f>IFERROR(__xludf.DUMMYFUNCTION("""COMPUTED_VALUE"""),998.0)</f>
        <v>998</v>
      </c>
      <c r="U202" s="1" t="s">
        <v>2436</v>
      </c>
    </row>
    <row r="203">
      <c r="A203" s="4">
        <v>44342.73494829861</v>
      </c>
      <c r="B203" s="3" t="s">
        <v>1218</v>
      </c>
      <c r="C203" s="3" t="s">
        <v>1219</v>
      </c>
      <c r="D203" s="3" t="s">
        <v>20</v>
      </c>
      <c r="E203" s="6">
        <v>44183.0</v>
      </c>
      <c r="F203" s="3">
        <v>0.0</v>
      </c>
      <c r="G203" s="3" t="s">
        <v>136</v>
      </c>
      <c r="H203" s="3" t="s">
        <v>22</v>
      </c>
      <c r="J203" s="3" t="s">
        <v>2437</v>
      </c>
      <c r="K203" s="3" t="s">
        <v>1220</v>
      </c>
      <c r="L203" s="3" t="s">
        <v>1221</v>
      </c>
      <c r="M203" s="3" t="s">
        <v>1222</v>
      </c>
      <c r="N203" s="3" t="s">
        <v>27</v>
      </c>
      <c r="O203" s="3" t="s">
        <v>1223</v>
      </c>
      <c r="Q203" s="3" t="s">
        <v>29</v>
      </c>
      <c r="S203" s="27" t="s">
        <v>1224</v>
      </c>
      <c r="T203" s="27">
        <f>IFERROR(__xludf.DUMMYFUNCTION("""COMPUTED_VALUE"""),1771.0)</f>
        <v>1771</v>
      </c>
      <c r="U203" s="1" t="s">
        <v>2438</v>
      </c>
    </row>
    <row r="204">
      <c r="A204" s="4">
        <v>44342.73496346065</v>
      </c>
      <c r="B204" s="3" t="s">
        <v>930</v>
      </c>
      <c r="C204" s="3" t="s">
        <v>1225</v>
      </c>
      <c r="D204" s="3" t="s">
        <v>358</v>
      </c>
      <c r="E204" s="6">
        <v>44183.0</v>
      </c>
      <c r="F204" s="3">
        <v>800.0</v>
      </c>
      <c r="G204" s="3" t="s">
        <v>21</v>
      </c>
      <c r="H204" s="3" t="s">
        <v>22</v>
      </c>
      <c r="K204" s="3" t="s">
        <v>1226</v>
      </c>
      <c r="L204" s="3" t="s">
        <v>1227</v>
      </c>
      <c r="M204" s="3" t="s">
        <v>1228</v>
      </c>
      <c r="N204" s="3" t="s">
        <v>362</v>
      </c>
      <c r="O204" s="3" t="s">
        <v>935</v>
      </c>
      <c r="Q204" s="3" t="s">
        <v>29</v>
      </c>
      <c r="S204" s="27" t="s">
        <v>1229</v>
      </c>
      <c r="T204" s="27">
        <f>IFERROR(__xludf.DUMMYFUNCTION("""COMPUTED_VALUE"""),132.0)</f>
        <v>132</v>
      </c>
      <c r="U204" s="1" t="s">
        <v>2439</v>
      </c>
    </row>
    <row r="205">
      <c r="A205" s="4">
        <v>44342.73497899306</v>
      </c>
      <c r="B205" s="3" t="s">
        <v>482</v>
      </c>
      <c r="C205" s="3" t="s">
        <v>1230</v>
      </c>
      <c r="D205" s="3" t="s">
        <v>358</v>
      </c>
      <c r="E205" s="6">
        <v>44154.0</v>
      </c>
      <c r="F205" s="3">
        <v>1735.0</v>
      </c>
      <c r="G205" s="3" t="s">
        <v>21</v>
      </c>
      <c r="H205" s="3" t="s">
        <v>22</v>
      </c>
      <c r="I205" s="3" t="s">
        <v>1137</v>
      </c>
      <c r="K205" s="3" t="s">
        <v>1231</v>
      </c>
      <c r="L205" s="3" t="s">
        <v>1232</v>
      </c>
      <c r="M205" s="3" t="s">
        <v>1233</v>
      </c>
      <c r="N205" s="3" t="s">
        <v>362</v>
      </c>
      <c r="O205" s="3" t="s">
        <v>487</v>
      </c>
      <c r="P205" s="3" t="s">
        <v>1141</v>
      </c>
      <c r="Q205" s="3" t="s">
        <v>29</v>
      </c>
      <c r="S205" s="27" t="s">
        <v>1234</v>
      </c>
      <c r="T205" s="27">
        <f>IFERROR(__xludf.DUMMYFUNCTION("""COMPUTED_VALUE"""),4.0)</f>
        <v>4</v>
      </c>
      <c r="U205" s="1" t="s">
        <v>2440</v>
      </c>
    </row>
    <row r="206">
      <c r="A206" s="4">
        <v>44342.734994178245</v>
      </c>
      <c r="B206" s="3" t="s">
        <v>1165</v>
      </c>
      <c r="C206" s="3" t="s">
        <v>1235</v>
      </c>
      <c r="D206" s="3" t="s">
        <v>756</v>
      </c>
      <c r="E206" s="6">
        <v>44159.0</v>
      </c>
      <c r="F206" s="3">
        <v>600.0</v>
      </c>
      <c r="G206" s="3" t="s">
        <v>21</v>
      </c>
      <c r="H206" s="3" t="s">
        <v>22</v>
      </c>
      <c r="I206" s="3" t="s">
        <v>1167</v>
      </c>
      <c r="K206" s="3" t="s">
        <v>1236</v>
      </c>
      <c r="L206" s="3" t="s">
        <v>1237</v>
      </c>
      <c r="M206" s="3" t="s">
        <v>1238</v>
      </c>
      <c r="N206" s="3" t="s">
        <v>760</v>
      </c>
      <c r="O206" s="3" t="s">
        <v>1171</v>
      </c>
      <c r="P206" s="3" t="s">
        <v>1172</v>
      </c>
      <c r="Q206" s="3" t="s">
        <v>1205</v>
      </c>
      <c r="S206" s="27" t="s">
        <v>1239</v>
      </c>
      <c r="T206" s="27">
        <f>IFERROR(__xludf.DUMMYFUNCTION("""COMPUTED_VALUE"""),1167.0)</f>
        <v>1167</v>
      </c>
      <c r="U206" s="1" t="s">
        <v>2441</v>
      </c>
    </row>
    <row r="207">
      <c r="A207" s="4">
        <v>44342.73500930556</v>
      </c>
      <c r="B207" s="3" t="s">
        <v>89</v>
      </c>
      <c r="C207" s="3" t="s">
        <v>1240</v>
      </c>
      <c r="D207" s="3" t="s">
        <v>756</v>
      </c>
      <c r="E207" s="6">
        <v>44106.0</v>
      </c>
      <c r="F207" s="3">
        <v>800.0</v>
      </c>
      <c r="G207" s="3" t="s">
        <v>21</v>
      </c>
      <c r="H207" s="3" t="s">
        <v>22</v>
      </c>
      <c r="K207" s="3" t="s">
        <v>1241</v>
      </c>
      <c r="L207" s="3" t="s">
        <v>1242</v>
      </c>
      <c r="M207" s="3" t="s">
        <v>1243</v>
      </c>
      <c r="N207" s="3" t="s">
        <v>760</v>
      </c>
      <c r="O207" s="3" t="s">
        <v>94</v>
      </c>
      <c r="Q207" s="3" t="s">
        <v>1205</v>
      </c>
      <c r="S207" s="27" t="s">
        <v>1244</v>
      </c>
      <c r="T207" s="27">
        <f>IFERROR(__xludf.DUMMYFUNCTION("""COMPUTED_VALUE"""),902.0)</f>
        <v>902</v>
      </c>
      <c r="U207" s="1" t="s">
        <v>2442</v>
      </c>
    </row>
    <row r="208">
      <c r="A208" s="4">
        <v>44342.73502479166</v>
      </c>
      <c r="B208" s="3" t="s">
        <v>1245</v>
      </c>
      <c r="C208" s="3" t="s">
        <v>1246</v>
      </c>
      <c r="D208" s="3" t="s">
        <v>358</v>
      </c>
      <c r="E208" s="6">
        <v>44187.0</v>
      </c>
      <c r="F208" s="3">
        <v>18970.0</v>
      </c>
      <c r="G208" s="3" t="s">
        <v>21</v>
      </c>
      <c r="H208" s="3" t="s">
        <v>22</v>
      </c>
      <c r="I208" s="3"/>
      <c r="J208" s="8" t="s">
        <v>1247</v>
      </c>
      <c r="K208" s="3" t="s">
        <v>1248</v>
      </c>
      <c r="L208" s="3" t="s">
        <v>1249</v>
      </c>
      <c r="M208" s="3" t="s">
        <v>1250</v>
      </c>
      <c r="N208" s="3" t="s">
        <v>362</v>
      </c>
      <c r="O208" s="3" t="s">
        <v>1251</v>
      </c>
      <c r="Q208" s="3" t="s">
        <v>1205</v>
      </c>
      <c r="S208" s="27" t="s">
        <v>1252</v>
      </c>
      <c r="T208" s="27">
        <f>IFERROR(__xludf.DUMMYFUNCTION("""COMPUTED_VALUE"""),1543.0)</f>
        <v>1543</v>
      </c>
      <c r="U208" s="1" t="s">
        <v>2443</v>
      </c>
    </row>
    <row r="209">
      <c r="A209" s="4">
        <v>44342.73504047454</v>
      </c>
      <c r="B209" s="3" t="s">
        <v>1253</v>
      </c>
      <c r="C209" s="3" t="s">
        <v>1254</v>
      </c>
      <c r="D209" s="3" t="s">
        <v>358</v>
      </c>
      <c r="E209" s="6">
        <v>44162.0</v>
      </c>
      <c r="F209" s="3">
        <v>17000.0</v>
      </c>
      <c r="G209" s="3" t="s">
        <v>21</v>
      </c>
      <c r="H209" s="3" t="s">
        <v>22</v>
      </c>
      <c r="I209" s="3" t="s">
        <v>1145</v>
      </c>
      <c r="J209" s="3" t="s">
        <v>1255</v>
      </c>
      <c r="K209" s="3" t="s">
        <v>1256</v>
      </c>
      <c r="L209" s="3" t="s">
        <v>1257</v>
      </c>
      <c r="M209" s="3" t="s">
        <v>1258</v>
      </c>
      <c r="N209" s="3" t="s">
        <v>362</v>
      </c>
      <c r="O209" s="3" t="s">
        <v>1259</v>
      </c>
      <c r="P209" s="3" t="s">
        <v>1150</v>
      </c>
      <c r="Q209" s="3" t="s">
        <v>1205</v>
      </c>
      <c r="S209" s="27" t="s">
        <v>1260</v>
      </c>
      <c r="T209" s="27">
        <f>IFERROR(__xludf.DUMMYFUNCTION("""COMPUTED_VALUE"""),1529.0)</f>
        <v>1529</v>
      </c>
      <c r="U209" s="1" t="s">
        <v>2444</v>
      </c>
    </row>
    <row r="210">
      <c r="A210" s="4">
        <v>44342.73505643518</v>
      </c>
      <c r="B210" s="3" t="s">
        <v>1261</v>
      </c>
      <c r="C210" s="3" t="s">
        <v>1262</v>
      </c>
      <c r="D210" s="3" t="s">
        <v>358</v>
      </c>
      <c r="E210" s="6">
        <v>44166.0</v>
      </c>
      <c r="F210" s="3">
        <v>1900.0</v>
      </c>
      <c r="G210" s="3" t="s">
        <v>21</v>
      </c>
      <c r="H210" s="3" t="s">
        <v>22</v>
      </c>
      <c r="I210" s="3" t="s">
        <v>1145</v>
      </c>
      <c r="K210" s="3" t="s">
        <v>1263</v>
      </c>
      <c r="L210" s="3" t="s">
        <v>1264</v>
      </c>
      <c r="M210" s="3" t="s">
        <v>1265</v>
      </c>
      <c r="N210" s="3" t="s">
        <v>362</v>
      </c>
      <c r="O210" s="3" t="s">
        <v>1266</v>
      </c>
      <c r="P210" s="3" t="s">
        <v>1150</v>
      </c>
      <c r="Q210" s="3" t="s">
        <v>29</v>
      </c>
      <c r="S210" s="27" t="s">
        <v>1267</v>
      </c>
      <c r="T210" s="27">
        <f>IFERROR(__xludf.DUMMYFUNCTION("""COMPUTED_VALUE"""),1537.0)</f>
        <v>1537</v>
      </c>
      <c r="U210" s="1" t="s">
        <v>2445</v>
      </c>
    </row>
    <row r="211">
      <c r="A211" s="4">
        <v>44342.73507217593</v>
      </c>
      <c r="B211" s="3" t="s">
        <v>1261</v>
      </c>
      <c r="C211" s="3" t="s">
        <v>1268</v>
      </c>
      <c r="D211" s="3" t="s">
        <v>358</v>
      </c>
      <c r="E211" s="6">
        <v>44166.0</v>
      </c>
      <c r="F211" s="3">
        <v>150.0</v>
      </c>
      <c r="G211" s="3" t="s">
        <v>136</v>
      </c>
      <c r="H211" s="3" t="s">
        <v>22</v>
      </c>
      <c r="I211" s="3" t="s">
        <v>1145</v>
      </c>
      <c r="K211" s="3" t="s">
        <v>1263</v>
      </c>
      <c r="L211" s="3" t="s">
        <v>1269</v>
      </c>
      <c r="M211" s="3" t="s">
        <v>1270</v>
      </c>
      <c r="N211" s="3" t="s">
        <v>362</v>
      </c>
      <c r="O211" s="3" t="s">
        <v>1266</v>
      </c>
      <c r="P211" s="3" t="s">
        <v>1150</v>
      </c>
      <c r="Q211" s="3" t="s">
        <v>29</v>
      </c>
      <c r="S211" s="27" t="s">
        <v>1271</v>
      </c>
      <c r="T211" s="27">
        <f>IFERROR(__xludf.DUMMYFUNCTION("""COMPUTED_VALUE"""),1537.0)</f>
        <v>1537</v>
      </c>
      <c r="U211" s="1" t="s">
        <v>2446</v>
      </c>
    </row>
    <row r="212">
      <c r="A212" s="4">
        <v>44342.73508883102</v>
      </c>
      <c r="B212" s="3" t="s">
        <v>1218</v>
      </c>
      <c r="C212" s="3" t="s">
        <v>1272</v>
      </c>
      <c r="D212" s="3" t="s">
        <v>20</v>
      </c>
      <c r="E212" s="6">
        <v>40544.0</v>
      </c>
      <c r="F212" s="3">
        <v>0.0</v>
      </c>
      <c r="G212" s="3" t="s">
        <v>136</v>
      </c>
      <c r="H212" s="3" t="s">
        <v>22</v>
      </c>
      <c r="J212" s="3" t="s">
        <v>2437</v>
      </c>
      <c r="K212" s="3" t="s">
        <v>1220</v>
      </c>
      <c r="L212" s="3" t="s">
        <v>1273</v>
      </c>
      <c r="M212" s="3" t="s">
        <v>1274</v>
      </c>
      <c r="N212" s="3" t="s">
        <v>27</v>
      </c>
      <c r="O212" s="3" t="s">
        <v>1223</v>
      </c>
      <c r="Q212" s="3" t="s">
        <v>29</v>
      </c>
      <c r="S212" s="27" t="s">
        <v>1275</v>
      </c>
      <c r="T212" s="27">
        <f>IFERROR(__xludf.DUMMYFUNCTION("""COMPUTED_VALUE"""),1771.0)</f>
        <v>1771</v>
      </c>
      <c r="U212" s="1" t="s">
        <v>2447</v>
      </c>
    </row>
    <row r="213">
      <c r="A213" s="4">
        <v>44342.735105810185</v>
      </c>
      <c r="B213" s="3" t="s">
        <v>1218</v>
      </c>
      <c r="C213" s="3" t="s">
        <v>1276</v>
      </c>
      <c r="D213" s="3" t="s">
        <v>20</v>
      </c>
      <c r="E213" s="6">
        <v>40544.0</v>
      </c>
      <c r="F213" s="3">
        <v>0.0</v>
      </c>
      <c r="G213" s="3" t="s">
        <v>136</v>
      </c>
      <c r="H213" s="3" t="s">
        <v>22</v>
      </c>
      <c r="J213" s="3" t="s">
        <v>2437</v>
      </c>
      <c r="K213" s="3" t="s">
        <v>1220</v>
      </c>
      <c r="L213" s="3" t="s">
        <v>1277</v>
      </c>
      <c r="M213" s="3" t="s">
        <v>1278</v>
      </c>
      <c r="N213" s="3" t="s">
        <v>27</v>
      </c>
      <c r="O213" s="3" t="s">
        <v>1223</v>
      </c>
      <c r="Q213" s="3" t="s">
        <v>29</v>
      </c>
      <c r="S213" s="27" t="s">
        <v>1279</v>
      </c>
      <c r="T213" s="27">
        <f>IFERROR(__xludf.DUMMYFUNCTION("""COMPUTED_VALUE"""),1771.0)</f>
        <v>1771</v>
      </c>
      <c r="U213" s="1" t="s">
        <v>2448</v>
      </c>
    </row>
    <row r="214">
      <c r="A214" s="4">
        <v>44342.7351221412</v>
      </c>
      <c r="B214" s="3" t="s">
        <v>1280</v>
      </c>
      <c r="C214" s="3" t="s">
        <v>539</v>
      </c>
      <c r="D214" s="3" t="s">
        <v>230</v>
      </c>
      <c r="E214" s="6">
        <v>44211.0</v>
      </c>
      <c r="F214" s="3">
        <v>350.0</v>
      </c>
      <c r="G214" s="3" t="s">
        <v>136</v>
      </c>
      <c r="H214" s="3" t="s">
        <v>22</v>
      </c>
      <c r="I214" s="3" t="s">
        <v>1167</v>
      </c>
      <c r="J214" s="1" t="s">
        <v>2449</v>
      </c>
      <c r="K214" s="3" t="s">
        <v>1281</v>
      </c>
      <c r="L214" s="3" t="s">
        <v>1282</v>
      </c>
      <c r="M214" s="3" t="s">
        <v>1283</v>
      </c>
      <c r="N214" s="3" t="s">
        <v>234</v>
      </c>
      <c r="O214" s="3" t="s">
        <v>1284</v>
      </c>
      <c r="P214" s="3" t="s">
        <v>1172</v>
      </c>
      <c r="Q214" s="3" t="s">
        <v>29</v>
      </c>
      <c r="S214" s="27" t="s">
        <v>1285</v>
      </c>
      <c r="T214" s="27">
        <f>IFERROR(__xludf.DUMMYFUNCTION("""COMPUTED_VALUE"""),1559.0)</f>
        <v>1559</v>
      </c>
      <c r="U214" s="1" t="s">
        <v>2450</v>
      </c>
    </row>
    <row r="215">
      <c r="A215" s="4">
        <v>44342.735138020835</v>
      </c>
      <c r="B215" s="3" t="s">
        <v>482</v>
      </c>
      <c r="C215" s="3" t="s">
        <v>1286</v>
      </c>
      <c r="D215" s="3" t="s">
        <v>358</v>
      </c>
      <c r="E215" s="6">
        <v>44195.0</v>
      </c>
      <c r="F215" s="3">
        <v>60886.0</v>
      </c>
      <c r="G215" s="3" t="s">
        <v>21</v>
      </c>
      <c r="H215" s="3" t="s">
        <v>22</v>
      </c>
      <c r="I215" s="3" t="s">
        <v>1137</v>
      </c>
      <c r="K215" s="3" t="s">
        <v>1287</v>
      </c>
      <c r="L215" s="3" t="s">
        <v>1288</v>
      </c>
      <c r="M215" s="3" t="s">
        <v>1289</v>
      </c>
      <c r="N215" s="3" t="s">
        <v>362</v>
      </c>
      <c r="O215" s="3" t="s">
        <v>487</v>
      </c>
      <c r="P215" s="3" t="s">
        <v>1141</v>
      </c>
      <c r="Q215" s="3" t="s">
        <v>1205</v>
      </c>
      <c r="S215" s="27" t="s">
        <v>1290</v>
      </c>
      <c r="T215" s="27">
        <f>IFERROR(__xludf.DUMMYFUNCTION("""COMPUTED_VALUE"""),4.0)</f>
        <v>4</v>
      </c>
      <c r="U215" s="1" t="s">
        <v>2451</v>
      </c>
    </row>
    <row r="216">
      <c r="A216" s="4">
        <v>44342.735154560185</v>
      </c>
      <c r="B216" s="3" t="s">
        <v>1072</v>
      </c>
      <c r="C216" s="3" t="s">
        <v>1291</v>
      </c>
      <c r="D216" s="3" t="s">
        <v>20</v>
      </c>
      <c r="E216" s="6">
        <v>44075.0</v>
      </c>
      <c r="F216" s="3">
        <v>29270.0</v>
      </c>
      <c r="G216" s="3" t="s">
        <v>350</v>
      </c>
      <c r="H216" s="3" t="s">
        <v>22</v>
      </c>
      <c r="J216" s="3" t="s">
        <v>2452</v>
      </c>
      <c r="K216" s="3" t="s">
        <v>1293</v>
      </c>
      <c r="L216" s="3" t="s">
        <v>1294</v>
      </c>
      <c r="M216" s="3" t="s">
        <v>1295</v>
      </c>
      <c r="N216" s="3" t="s">
        <v>27</v>
      </c>
      <c r="O216" s="3" t="s">
        <v>1077</v>
      </c>
      <c r="Q216" s="3" t="s">
        <v>29</v>
      </c>
      <c r="S216" s="27" t="s">
        <v>1296</v>
      </c>
      <c r="T216" s="27">
        <f>IFERROR(__xludf.DUMMYFUNCTION("""COMPUTED_VALUE"""),724.0)</f>
        <v>724</v>
      </c>
      <c r="U216" s="1" t="s">
        <v>2453</v>
      </c>
    </row>
    <row r="217">
      <c r="A217" s="4">
        <v>44342.73517028935</v>
      </c>
      <c r="B217" s="3" t="s">
        <v>482</v>
      </c>
      <c r="C217" s="3" t="s">
        <v>510</v>
      </c>
      <c r="D217" s="3" t="s">
        <v>756</v>
      </c>
      <c r="E217" s="6">
        <v>44173.0</v>
      </c>
      <c r="F217" s="3">
        <v>2585.4</v>
      </c>
      <c r="G217" s="3" t="s">
        <v>21</v>
      </c>
      <c r="H217" s="3" t="s">
        <v>22</v>
      </c>
      <c r="I217" s="3" t="s">
        <v>1167</v>
      </c>
      <c r="K217" s="3" t="s">
        <v>1297</v>
      </c>
      <c r="L217" s="3" t="s">
        <v>1298</v>
      </c>
      <c r="M217" s="3" t="s">
        <v>1299</v>
      </c>
      <c r="N217" s="3" t="s">
        <v>760</v>
      </c>
      <c r="O217" s="3" t="s">
        <v>487</v>
      </c>
      <c r="P217" s="3" t="s">
        <v>1172</v>
      </c>
      <c r="Q217" s="3" t="s">
        <v>29</v>
      </c>
      <c r="S217" s="27" t="s">
        <v>1300</v>
      </c>
      <c r="T217" s="27">
        <f>IFERROR(__xludf.DUMMYFUNCTION("""COMPUTED_VALUE"""),4.0)</f>
        <v>4</v>
      </c>
      <c r="U217" s="1" t="s">
        <v>2454</v>
      </c>
    </row>
    <row r="218">
      <c r="A218" s="4">
        <v>44342.73518962963</v>
      </c>
      <c r="B218" s="3" t="s">
        <v>1301</v>
      </c>
      <c r="C218" s="3" t="s">
        <v>1302</v>
      </c>
      <c r="D218" s="3" t="s">
        <v>358</v>
      </c>
      <c r="E218" s="6">
        <v>44239.0</v>
      </c>
      <c r="F218" s="3">
        <v>1550.0</v>
      </c>
      <c r="G218" s="3" t="s">
        <v>136</v>
      </c>
      <c r="H218" s="3" t="s">
        <v>22</v>
      </c>
      <c r="K218" s="3" t="s">
        <v>1303</v>
      </c>
      <c r="L218" s="3" t="s">
        <v>1304</v>
      </c>
      <c r="M218" s="3" t="s">
        <v>1305</v>
      </c>
      <c r="N218" s="3" t="s">
        <v>362</v>
      </c>
      <c r="O218" s="3" t="s">
        <v>1306</v>
      </c>
      <c r="Q218" s="3" t="s">
        <v>29</v>
      </c>
      <c r="S218" s="27" t="s">
        <v>1307</v>
      </c>
      <c r="T218" s="27">
        <f>IFERROR(__xludf.DUMMYFUNCTION("""COMPUTED_VALUE"""),954.0)</f>
        <v>954</v>
      </c>
      <c r="U218" s="1" t="s">
        <v>2455</v>
      </c>
    </row>
    <row r="219">
      <c r="A219" s="4">
        <v>44342.73520517361</v>
      </c>
      <c r="B219" s="3" t="s">
        <v>482</v>
      </c>
      <c r="C219" s="3" t="s">
        <v>1308</v>
      </c>
      <c r="D219" s="3" t="s">
        <v>358</v>
      </c>
      <c r="E219" s="6">
        <v>44236.0</v>
      </c>
      <c r="F219" s="3">
        <v>6950.0</v>
      </c>
      <c r="G219" s="3" t="s">
        <v>21</v>
      </c>
      <c r="H219" s="3" t="s">
        <v>22</v>
      </c>
      <c r="I219" s="3" t="s">
        <v>1137</v>
      </c>
      <c r="K219" s="3" t="s">
        <v>1309</v>
      </c>
      <c r="L219" s="3" t="s">
        <v>1310</v>
      </c>
      <c r="M219" s="3" t="s">
        <v>1311</v>
      </c>
      <c r="N219" s="3" t="s">
        <v>362</v>
      </c>
      <c r="O219" s="3" t="s">
        <v>487</v>
      </c>
      <c r="P219" s="3" t="s">
        <v>1141</v>
      </c>
      <c r="Q219" s="3" t="s">
        <v>29</v>
      </c>
      <c r="S219" s="27" t="s">
        <v>1312</v>
      </c>
      <c r="T219" s="27">
        <f>IFERROR(__xludf.DUMMYFUNCTION("""COMPUTED_VALUE"""),4.0)</f>
        <v>4</v>
      </c>
      <c r="U219" s="1" t="s">
        <v>2456</v>
      </c>
    </row>
    <row r="220">
      <c r="A220" s="4">
        <v>44342.735221145835</v>
      </c>
      <c r="B220" s="3" t="s">
        <v>1165</v>
      </c>
      <c r="C220" s="3" t="s">
        <v>1313</v>
      </c>
      <c r="D220" s="3" t="s">
        <v>756</v>
      </c>
      <c r="E220" s="6">
        <v>44068.0</v>
      </c>
      <c r="F220" s="3">
        <v>7335.0</v>
      </c>
      <c r="G220" s="3" t="s">
        <v>21</v>
      </c>
      <c r="H220" s="3" t="s">
        <v>22</v>
      </c>
      <c r="I220" s="3" t="s">
        <v>1167</v>
      </c>
      <c r="K220" s="3" t="s">
        <v>1314</v>
      </c>
      <c r="L220" s="3" t="s">
        <v>1315</v>
      </c>
      <c r="M220" s="3" t="s">
        <v>1316</v>
      </c>
      <c r="N220" s="3" t="s">
        <v>760</v>
      </c>
      <c r="O220" s="3" t="s">
        <v>1171</v>
      </c>
      <c r="P220" s="3" t="s">
        <v>1172</v>
      </c>
      <c r="Q220" s="3" t="s">
        <v>29</v>
      </c>
      <c r="S220" s="27" t="s">
        <v>1317</v>
      </c>
      <c r="T220" s="27">
        <f>IFERROR(__xludf.DUMMYFUNCTION("""COMPUTED_VALUE"""),1167.0)</f>
        <v>1167</v>
      </c>
      <c r="U220" s="1" t="s">
        <v>2457</v>
      </c>
    </row>
    <row r="221">
      <c r="A221" s="4">
        <v>44342.73523689815</v>
      </c>
      <c r="B221" s="3" t="s">
        <v>1165</v>
      </c>
      <c r="C221" s="3" t="s">
        <v>1318</v>
      </c>
      <c r="D221" s="3" t="s">
        <v>756</v>
      </c>
      <c r="E221" s="6">
        <v>44243.0</v>
      </c>
      <c r="F221" s="3">
        <v>3420.0</v>
      </c>
      <c r="G221" s="3" t="s">
        <v>21</v>
      </c>
      <c r="H221" s="3" t="s">
        <v>22</v>
      </c>
      <c r="I221" s="3" t="s">
        <v>1167</v>
      </c>
      <c r="K221" s="3" t="s">
        <v>1319</v>
      </c>
      <c r="L221" s="3" t="s">
        <v>1320</v>
      </c>
      <c r="M221" s="3" t="s">
        <v>1321</v>
      </c>
      <c r="N221" s="3" t="s">
        <v>760</v>
      </c>
      <c r="O221" s="3" t="s">
        <v>1171</v>
      </c>
      <c r="Q221" s="3" t="s">
        <v>1205</v>
      </c>
      <c r="S221" s="27" t="s">
        <v>1322</v>
      </c>
      <c r="T221" s="27">
        <f>IFERROR(__xludf.DUMMYFUNCTION("""COMPUTED_VALUE"""),1167.0)</f>
        <v>1167</v>
      </c>
      <c r="U221" s="1" t="s">
        <v>2458</v>
      </c>
    </row>
    <row r="222">
      <c r="A222" s="4">
        <v>44342.73525359954</v>
      </c>
      <c r="B222" s="3" t="s">
        <v>1323</v>
      </c>
      <c r="C222" s="3" t="s">
        <v>1324</v>
      </c>
      <c r="D222" s="3" t="s">
        <v>20</v>
      </c>
      <c r="E222" s="6">
        <v>44165.0</v>
      </c>
      <c r="F222" s="3">
        <v>220000.0</v>
      </c>
      <c r="G222" s="3" t="s">
        <v>21</v>
      </c>
      <c r="H222" s="3" t="s">
        <v>22</v>
      </c>
      <c r="J222" s="3" t="s">
        <v>1325</v>
      </c>
      <c r="K222" s="3" t="s">
        <v>1326</v>
      </c>
      <c r="L222" s="3" t="s">
        <v>1327</v>
      </c>
      <c r="M222" s="3" t="s">
        <v>1328</v>
      </c>
      <c r="N222" s="3" t="s">
        <v>27</v>
      </c>
      <c r="O222" s="3" t="s">
        <v>1329</v>
      </c>
      <c r="Q222" s="3" t="s">
        <v>29</v>
      </c>
      <c r="S222" s="27" t="s">
        <v>1330</v>
      </c>
      <c r="T222" s="27">
        <f>IFERROR(__xludf.DUMMYFUNCTION("""COMPUTED_VALUE"""),1538.0)</f>
        <v>1538</v>
      </c>
      <c r="U222" s="1" t="s">
        <v>2459</v>
      </c>
    </row>
    <row r="223">
      <c r="A223" s="4">
        <v>44342.73527020833</v>
      </c>
      <c r="B223" s="3" t="s">
        <v>1072</v>
      </c>
      <c r="C223" s="3" t="s">
        <v>1331</v>
      </c>
      <c r="D223" s="3" t="s">
        <v>20</v>
      </c>
      <c r="E223" s="6">
        <v>44075.0</v>
      </c>
      <c r="F223" s="3">
        <v>29270.0</v>
      </c>
      <c r="G223" s="3" t="s">
        <v>136</v>
      </c>
      <c r="H223" s="3" t="s">
        <v>22</v>
      </c>
      <c r="K223" s="3" t="s">
        <v>1293</v>
      </c>
      <c r="L223" s="3" t="s">
        <v>1332</v>
      </c>
      <c r="M223" s="3" t="s">
        <v>1333</v>
      </c>
      <c r="N223" s="3" t="s">
        <v>27</v>
      </c>
      <c r="O223" s="3" t="s">
        <v>1077</v>
      </c>
      <c r="Q223" s="3" t="s">
        <v>29</v>
      </c>
      <c r="R223" s="3" t="b">
        <v>1</v>
      </c>
      <c r="S223" s="27" t="s">
        <v>1334</v>
      </c>
      <c r="T223" s="27">
        <f>IFERROR(__xludf.DUMMYFUNCTION("""COMPUTED_VALUE"""),724.0)</f>
        <v>724</v>
      </c>
      <c r="U223" s="1" t="s">
        <v>2460</v>
      </c>
    </row>
    <row r="224">
      <c r="A224" s="4">
        <v>44342.73528623843</v>
      </c>
      <c r="B224" s="3" t="s">
        <v>1335</v>
      </c>
      <c r="C224" s="3" t="s">
        <v>1336</v>
      </c>
      <c r="D224" s="3" t="s">
        <v>20</v>
      </c>
      <c r="E224" s="6">
        <v>44185.0</v>
      </c>
      <c r="F224" s="3">
        <v>126360.0</v>
      </c>
      <c r="G224" s="3" t="s">
        <v>21</v>
      </c>
      <c r="H224" s="3" t="s">
        <v>22</v>
      </c>
      <c r="J224" s="3" t="s">
        <v>1337</v>
      </c>
      <c r="K224" s="3" t="s">
        <v>1338</v>
      </c>
      <c r="L224" s="3" t="s">
        <v>1339</v>
      </c>
      <c r="M224" s="3" t="s">
        <v>1340</v>
      </c>
      <c r="N224" s="3" t="s">
        <v>27</v>
      </c>
      <c r="O224" s="3" t="s">
        <v>1341</v>
      </c>
      <c r="Q224" s="3" t="s">
        <v>29</v>
      </c>
      <c r="S224" s="27" t="s">
        <v>1342</v>
      </c>
      <c r="T224" s="27">
        <f>IFERROR(__xludf.DUMMYFUNCTION("""COMPUTED_VALUE"""),1555.0)</f>
        <v>1555</v>
      </c>
      <c r="U224" s="1" t="s">
        <v>2461</v>
      </c>
    </row>
    <row r="225">
      <c r="A225" s="4">
        <v>44342.73530186343</v>
      </c>
      <c r="B225" s="3" t="s">
        <v>1343</v>
      </c>
      <c r="C225" s="3" t="s">
        <v>1344</v>
      </c>
      <c r="D225" s="3" t="s">
        <v>20</v>
      </c>
      <c r="E225" s="6">
        <v>44185.0</v>
      </c>
      <c r="F225" s="3">
        <v>30140.0</v>
      </c>
      <c r="G225" s="3" t="s">
        <v>21</v>
      </c>
      <c r="H225" s="3" t="s">
        <v>22</v>
      </c>
      <c r="J225" s="3" t="s">
        <v>2462</v>
      </c>
      <c r="K225" s="3" t="s">
        <v>1345</v>
      </c>
      <c r="L225" s="3" t="s">
        <v>1346</v>
      </c>
      <c r="M225" s="3" t="s">
        <v>1347</v>
      </c>
      <c r="N225" s="3" t="s">
        <v>27</v>
      </c>
      <c r="O225" s="3" t="s">
        <v>1348</v>
      </c>
      <c r="Q225" s="3" t="s">
        <v>29</v>
      </c>
      <c r="S225" s="27" t="s">
        <v>1349</v>
      </c>
      <c r="T225" s="27">
        <f>IFERROR(__xludf.DUMMYFUNCTION("""COMPUTED_VALUE"""),1554.0)</f>
        <v>1554</v>
      </c>
      <c r="U225" s="1" t="s">
        <v>2463</v>
      </c>
    </row>
    <row r="226">
      <c r="A226" s="4">
        <v>44342.73531849537</v>
      </c>
      <c r="B226" s="3" t="s">
        <v>482</v>
      </c>
      <c r="C226" s="3" t="s">
        <v>1350</v>
      </c>
      <c r="D226" s="3" t="s">
        <v>20</v>
      </c>
      <c r="E226" s="6">
        <v>44166.0</v>
      </c>
      <c r="F226" s="3">
        <v>53260.0</v>
      </c>
      <c r="G226" s="3" t="s">
        <v>21</v>
      </c>
      <c r="H226" s="3" t="s">
        <v>22</v>
      </c>
      <c r="J226" s="3" t="s">
        <v>1351</v>
      </c>
      <c r="K226" s="3" t="s">
        <v>1352</v>
      </c>
      <c r="L226" s="3" t="s">
        <v>1353</v>
      </c>
      <c r="M226" s="3" t="s">
        <v>1354</v>
      </c>
      <c r="N226" s="3" t="s">
        <v>27</v>
      </c>
      <c r="O226" s="3" t="s">
        <v>487</v>
      </c>
      <c r="Q226" s="3" t="s">
        <v>29</v>
      </c>
      <c r="S226" s="27" t="s">
        <v>1355</v>
      </c>
      <c r="T226" s="27">
        <f>IFERROR(__xludf.DUMMYFUNCTION("""COMPUTED_VALUE"""),4.0)</f>
        <v>4</v>
      </c>
      <c r="U226" s="1" t="s">
        <v>2464</v>
      </c>
    </row>
    <row r="227">
      <c r="A227" s="4">
        <v>44342.735336134254</v>
      </c>
      <c r="B227" s="3" t="s">
        <v>516</v>
      </c>
      <c r="C227" s="3" t="s">
        <v>1356</v>
      </c>
      <c r="D227" s="3" t="s">
        <v>358</v>
      </c>
      <c r="E227" s="6">
        <v>44244.0</v>
      </c>
      <c r="F227" s="3">
        <v>680.0</v>
      </c>
      <c r="G227" s="3" t="s">
        <v>21</v>
      </c>
      <c r="H227" s="3" t="s">
        <v>22</v>
      </c>
      <c r="K227" s="3" t="s">
        <v>1357</v>
      </c>
      <c r="L227" s="3" t="s">
        <v>1358</v>
      </c>
      <c r="M227" s="3" t="s">
        <v>1359</v>
      </c>
      <c r="N227" s="3" t="s">
        <v>362</v>
      </c>
      <c r="O227" s="3" t="s">
        <v>524</v>
      </c>
      <c r="Q227" s="3" t="s">
        <v>29</v>
      </c>
      <c r="S227" s="27" t="s">
        <v>1360</v>
      </c>
      <c r="T227" s="27">
        <f>IFERROR(__xludf.DUMMYFUNCTION("""COMPUTED_VALUE"""),1371.0)</f>
        <v>1371</v>
      </c>
      <c r="U227" s="1" t="s">
        <v>2465</v>
      </c>
    </row>
    <row r="228">
      <c r="A228" s="4">
        <v>44342.735352557866</v>
      </c>
      <c r="B228" s="3" t="s">
        <v>393</v>
      </c>
      <c r="C228" s="3" t="s">
        <v>1361</v>
      </c>
      <c r="D228" s="3" t="s">
        <v>1362</v>
      </c>
      <c r="E228" s="6">
        <v>44245.0</v>
      </c>
      <c r="F228" s="3">
        <v>22373.0</v>
      </c>
      <c r="G228" s="3" t="s">
        <v>136</v>
      </c>
      <c r="H228" s="3" t="s">
        <v>22</v>
      </c>
      <c r="K228" s="3" t="s">
        <v>1363</v>
      </c>
      <c r="L228" s="3" t="s">
        <v>1364</v>
      </c>
      <c r="M228" s="3" t="s">
        <v>1365</v>
      </c>
      <c r="N228" s="3" t="s">
        <v>1366</v>
      </c>
      <c r="O228" s="3" t="s">
        <v>398</v>
      </c>
      <c r="Q228" s="3" t="s">
        <v>29</v>
      </c>
      <c r="S228" s="27" t="s">
        <v>1367</v>
      </c>
      <c r="T228" s="27">
        <f>IFERROR(__xludf.DUMMYFUNCTION("""COMPUTED_VALUE"""),1148.0)</f>
        <v>1148</v>
      </c>
      <c r="U228" s="1" t="s">
        <v>2466</v>
      </c>
    </row>
    <row r="229">
      <c r="A229" s="4">
        <v>44342.735368333335</v>
      </c>
      <c r="B229" s="3" t="s">
        <v>1368</v>
      </c>
      <c r="C229" s="3" t="s">
        <v>1369</v>
      </c>
      <c r="D229" s="3" t="s">
        <v>358</v>
      </c>
      <c r="E229" s="6">
        <v>43922.0</v>
      </c>
      <c r="F229" s="3">
        <v>0.0</v>
      </c>
      <c r="G229" s="3" t="s">
        <v>136</v>
      </c>
      <c r="H229" s="3" t="s">
        <v>22</v>
      </c>
      <c r="K229" s="3" t="s">
        <v>1370</v>
      </c>
      <c r="L229" s="3" t="s">
        <v>1371</v>
      </c>
      <c r="M229" s="3" t="s">
        <v>1372</v>
      </c>
      <c r="N229" s="3" t="s">
        <v>362</v>
      </c>
      <c r="O229" s="3" t="s">
        <v>1373</v>
      </c>
      <c r="Q229" s="3" t="s">
        <v>29</v>
      </c>
      <c r="S229" s="27" t="s">
        <v>1374</v>
      </c>
      <c r="T229" s="27">
        <f>IFERROR(__xludf.DUMMYFUNCTION("""COMPUTED_VALUE"""),229.0)</f>
        <v>229</v>
      </c>
      <c r="U229" s="1" t="s">
        <v>2467</v>
      </c>
    </row>
    <row r="230">
      <c r="A230" s="4">
        <v>44342.73538466435</v>
      </c>
      <c r="B230" s="3" t="s">
        <v>1375</v>
      </c>
      <c r="C230" s="3" t="s">
        <v>1376</v>
      </c>
      <c r="D230" s="3" t="s">
        <v>20</v>
      </c>
      <c r="E230" s="6">
        <v>44124.0</v>
      </c>
      <c r="F230" s="3">
        <v>2399130.0</v>
      </c>
      <c r="G230" s="3" t="s">
        <v>21</v>
      </c>
      <c r="H230" s="3" t="s">
        <v>22</v>
      </c>
      <c r="K230" s="3" t="s">
        <v>1377</v>
      </c>
      <c r="L230" s="3" t="s">
        <v>1378</v>
      </c>
      <c r="M230" s="3" t="s">
        <v>1379</v>
      </c>
      <c r="N230" s="3" t="s">
        <v>27</v>
      </c>
      <c r="O230" s="3" t="s">
        <v>1380</v>
      </c>
      <c r="Q230" s="3" t="s">
        <v>29</v>
      </c>
      <c r="S230" s="27" t="s">
        <v>1381</v>
      </c>
      <c r="T230" s="27"/>
      <c r="U230" s="1" t="s">
        <v>2468</v>
      </c>
    </row>
    <row r="231">
      <c r="A231" s="4">
        <v>44342.73540100694</v>
      </c>
      <c r="B231" s="3" t="s">
        <v>356</v>
      </c>
      <c r="C231" s="3" t="s">
        <v>196</v>
      </c>
      <c r="D231" s="3" t="s">
        <v>756</v>
      </c>
      <c r="E231" s="6">
        <v>44251.0</v>
      </c>
      <c r="F231" s="3">
        <v>600.0</v>
      </c>
      <c r="G231" s="3" t="s">
        <v>21</v>
      </c>
      <c r="H231" s="3" t="s">
        <v>22</v>
      </c>
      <c r="I231" s="3" t="s">
        <v>1167</v>
      </c>
      <c r="K231" s="3" t="s">
        <v>1382</v>
      </c>
      <c r="L231" s="3" t="s">
        <v>1383</v>
      </c>
      <c r="M231" s="3" t="s">
        <v>1384</v>
      </c>
      <c r="N231" s="3" t="s">
        <v>760</v>
      </c>
      <c r="O231" s="3" t="s">
        <v>363</v>
      </c>
      <c r="P231" s="3" t="s">
        <v>1172</v>
      </c>
      <c r="Q231" s="3" t="s">
        <v>29</v>
      </c>
      <c r="S231" s="27" t="s">
        <v>1385</v>
      </c>
      <c r="T231" s="27">
        <f>IFERROR(__xludf.DUMMYFUNCTION("""COMPUTED_VALUE"""),571.0)</f>
        <v>571</v>
      </c>
      <c r="U231" s="1" t="s">
        <v>2469</v>
      </c>
    </row>
    <row r="232">
      <c r="A232" s="4">
        <v>44342.735417013886</v>
      </c>
      <c r="B232" s="3" t="s">
        <v>356</v>
      </c>
      <c r="C232" s="3" t="s">
        <v>1386</v>
      </c>
      <c r="D232" s="3" t="s">
        <v>756</v>
      </c>
      <c r="E232" s="6">
        <v>44252.0</v>
      </c>
      <c r="F232" s="3">
        <v>250.0</v>
      </c>
      <c r="G232" s="3" t="s">
        <v>21</v>
      </c>
      <c r="H232" s="3" t="s">
        <v>22</v>
      </c>
      <c r="I232" s="3" t="s">
        <v>1167</v>
      </c>
      <c r="K232" s="3" t="s">
        <v>1387</v>
      </c>
      <c r="L232" s="3" t="s">
        <v>1388</v>
      </c>
      <c r="M232" s="3" t="s">
        <v>1389</v>
      </c>
      <c r="N232" s="3" t="s">
        <v>760</v>
      </c>
      <c r="O232" s="3" t="s">
        <v>363</v>
      </c>
      <c r="P232" s="3" t="s">
        <v>1172</v>
      </c>
      <c r="Q232" s="3" t="s">
        <v>1205</v>
      </c>
      <c r="S232" s="27" t="s">
        <v>1390</v>
      </c>
      <c r="T232" s="27">
        <f>IFERROR(__xludf.DUMMYFUNCTION("""COMPUTED_VALUE"""),571.0)</f>
        <v>571</v>
      </c>
      <c r="U232" s="1" t="s">
        <v>2470</v>
      </c>
    </row>
    <row r="233">
      <c r="A233" s="4">
        <v>44342.73543310185</v>
      </c>
      <c r="B233" s="3" t="s">
        <v>1391</v>
      </c>
      <c r="C233" s="3" t="s">
        <v>1136</v>
      </c>
      <c r="D233" s="3" t="s">
        <v>358</v>
      </c>
      <c r="E233" s="6">
        <v>44252.0</v>
      </c>
      <c r="F233" s="3">
        <v>2450.0</v>
      </c>
      <c r="G233" s="3" t="s">
        <v>136</v>
      </c>
      <c r="H233" s="3" t="s">
        <v>22</v>
      </c>
      <c r="J233" s="3" t="s">
        <v>1392</v>
      </c>
      <c r="K233" s="3" t="s">
        <v>1393</v>
      </c>
      <c r="L233" s="3" t="s">
        <v>1394</v>
      </c>
      <c r="M233" s="3" t="s">
        <v>1395</v>
      </c>
      <c r="N233" s="3" t="s">
        <v>362</v>
      </c>
      <c r="O233" s="3" t="s">
        <v>1396</v>
      </c>
      <c r="Q233" s="3" t="s">
        <v>29</v>
      </c>
      <c r="S233" s="27" t="s">
        <v>1397</v>
      </c>
      <c r="T233" s="27">
        <f>IFERROR(__xludf.DUMMYFUNCTION("""COMPUTED_VALUE"""),1573.0)</f>
        <v>1573</v>
      </c>
      <c r="U233" s="1" t="s">
        <v>2471</v>
      </c>
    </row>
    <row r="234">
      <c r="A234" s="4">
        <v>44342.735448935186</v>
      </c>
      <c r="B234" s="3" t="s">
        <v>461</v>
      </c>
      <c r="C234" s="3" t="s">
        <v>1398</v>
      </c>
      <c r="D234" s="3" t="s">
        <v>756</v>
      </c>
      <c r="E234" s="6">
        <v>44258.0</v>
      </c>
      <c r="F234" s="3">
        <v>576.8</v>
      </c>
      <c r="G234" s="3" t="s">
        <v>21</v>
      </c>
      <c r="H234" s="3" t="s">
        <v>22</v>
      </c>
      <c r="K234" s="3" t="s">
        <v>1399</v>
      </c>
      <c r="L234" s="3" t="s">
        <v>1400</v>
      </c>
      <c r="M234" s="3" t="s">
        <v>1401</v>
      </c>
      <c r="N234" s="3" t="s">
        <v>760</v>
      </c>
      <c r="O234" s="3" t="s">
        <v>466</v>
      </c>
      <c r="Q234" s="3" t="s">
        <v>29</v>
      </c>
      <c r="S234" s="27" t="s">
        <v>1402</v>
      </c>
      <c r="T234" s="27">
        <f>IFERROR(__xludf.DUMMYFUNCTION("""COMPUTED_VALUE"""),666.0)</f>
        <v>666</v>
      </c>
      <c r="U234" s="1" t="s">
        <v>2472</v>
      </c>
    </row>
    <row r="235">
      <c r="A235" s="4">
        <v>44342.73546506945</v>
      </c>
      <c r="B235" s="3" t="s">
        <v>461</v>
      </c>
      <c r="C235" s="3" t="s">
        <v>462</v>
      </c>
      <c r="D235" s="3" t="s">
        <v>756</v>
      </c>
      <c r="E235" s="6">
        <v>44258.0</v>
      </c>
      <c r="F235" s="3">
        <v>576.8</v>
      </c>
      <c r="G235" s="3" t="s">
        <v>21</v>
      </c>
      <c r="H235" s="3" t="s">
        <v>22</v>
      </c>
      <c r="K235" s="3" t="s">
        <v>1399</v>
      </c>
      <c r="L235" s="3" t="s">
        <v>1403</v>
      </c>
      <c r="M235" s="3" t="s">
        <v>1404</v>
      </c>
      <c r="N235" s="3" t="s">
        <v>760</v>
      </c>
      <c r="O235" s="3" t="s">
        <v>466</v>
      </c>
      <c r="Q235" s="3" t="s">
        <v>29</v>
      </c>
      <c r="S235" s="27" t="s">
        <v>1405</v>
      </c>
      <c r="T235" s="27">
        <f>IFERROR(__xludf.DUMMYFUNCTION("""COMPUTED_VALUE"""),666.0)</f>
        <v>666</v>
      </c>
      <c r="U235" s="1" t="s">
        <v>2473</v>
      </c>
    </row>
    <row r="236">
      <c r="A236" s="4">
        <v>44342.7354806713</v>
      </c>
      <c r="B236" s="3" t="s">
        <v>38</v>
      </c>
      <c r="C236" s="3" t="s">
        <v>297</v>
      </c>
      <c r="D236" s="3" t="s">
        <v>756</v>
      </c>
      <c r="E236" s="6">
        <v>44258.0</v>
      </c>
      <c r="F236" s="3">
        <v>1440.0</v>
      </c>
      <c r="G236" s="3" t="s">
        <v>21</v>
      </c>
      <c r="H236" s="3" t="s">
        <v>22</v>
      </c>
      <c r="K236" s="3" t="s">
        <v>1406</v>
      </c>
      <c r="L236" s="3" t="s">
        <v>1407</v>
      </c>
      <c r="M236" s="3" t="s">
        <v>1408</v>
      </c>
      <c r="N236" s="3" t="s">
        <v>760</v>
      </c>
      <c r="O236" s="3" t="s">
        <v>43</v>
      </c>
      <c r="Q236" s="3" t="s">
        <v>29</v>
      </c>
      <c r="S236" s="27" t="s">
        <v>1409</v>
      </c>
      <c r="T236" s="27">
        <f>IFERROR(__xludf.DUMMYFUNCTION("""COMPUTED_VALUE"""),1257.0)</f>
        <v>1257</v>
      </c>
      <c r="U236" s="1" t="s">
        <v>2474</v>
      </c>
    </row>
    <row r="237">
      <c r="A237" s="4">
        <v>44342.73549644676</v>
      </c>
      <c r="B237" s="3" t="s">
        <v>110</v>
      </c>
      <c r="C237" s="3" t="s">
        <v>111</v>
      </c>
      <c r="D237" s="3" t="s">
        <v>756</v>
      </c>
      <c r="E237" s="6">
        <v>44249.0</v>
      </c>
      <c r="F237" s="3">
        <v>1214.0</v>
      </c>
      <c r="G237" s="3" t="s">
        <v>21</v>
      </c>
      <c r="H237" s="3" t="s">
        <v>22</v>
      </c>
      <c r="I237" s="3" t="s">
        <v>1167</v>
      </c>
      <c r="J237" s="1" t="s">
        <v>750</v>
      </c>
      <c r="K237" s="3" t="s">
        <v>1410</v>
      </c>
      <c r="L237" s="3" t="s">
        <v>1411</v>
      </c>
      <c r="M237" s="3" t="s">
        <v>1412</v>
      </c>
      <c r="N237" s="3" t="s">
        <v>760</v>
      </c>
      <c r="O237" s="3" t="s">
        <v>116</v>
      </c>
      <c r="P237" s="3" t="s">
        <v>1172</v>
      </c>
      <c r="Q237" s="3" t="s">
        <v>29</v>
      </c>
      <c r="S237" s="27" t="s">
        <v>1413</v>
      </c>
      <c r="T237" s="27">
        <f>IFERROR(__xludf.DUMMYFUNCTION("""COMPUTED_VALUE"""),853.0)</f>
        <v>853</v>
      </c>
      <c r="U237" s="1" t="s">
        <v>2475</v>
      </c>
    </row>
    <row r="238">
      <c r="A238" s="4">
        <v>44342.735512037034</v>
      </c>
      <c r="B238" s="3" t="s">
        <v>89</v>
      </c>
      <c r="C238" s="3" t="s">
        <v>489</v>
      </c>
      <c r="D238" s="3" t="s">
        <v>756</v>
      </c>
      <c r="E238" s="6">
        <v>44249.0</v>
      </c>
      <c r="F238" s="3">
        <v>773.0</v>
      </c>
      <c r="G238" s="3" t="s">
        <v>21</v>
      </c>
      <c r="H238" s="3" t="s">
        <v>22</v>
      </c>
      <c r="I238" s="3" t="s">
        <v>1167</v>
      </c>
      <c r="K238" s="3" t="s">
        <v>1414</v>
      </c>
      <c r="L238" s="3" t="s">
        <v>1415</v>
      </c>
      <c r="M238" s="3" t="s">
        <v>1416</v>
      </c>
      <c r="N238" s="3" t="s">
        <v>760</v>
      </c>
      <c r="O238" s="3" t="s">
        <v>94</v>
      </c>
      <c r="P238" s="3" t="s">
        <v>1172</v>
      </c>
      <c r="Q238" s="3" t="s">
        <v>29</v>
      </c>
      <c r="S238" s="27" t="s">
        <v>1417</v>
      </c>
      <c r="T238" s="27">
        <f>IFERROR(__xludf.DUMMYFUNCTION("""COMPUTED_VALUE"""),902.0)</f>
        <v>902</v>
      </c>
      <c r="U238" s="1" t="s">
        <v>2476</v>
      </c>
    </row>
    <row r="239">
      <c r="A239" s="4">
        <v>44342.73552787037</v>
      </c>
      <c r="B239" s="3" t="s">
        <v>242</v>
      </c>
      <c r="C239" s="3" t="s">
        <v>243</v>
      </c>
      <c r="D239" s="3" t="s">
        <v>756</v>
      </c>
      <c r="E239" s="6">
        <v>44234.0</v>
      </c>
      <c r="F239" s="3">
        <v>4009.0</v>
      </c>
      <c r="G239" s="3" t="s">
        <v>21</v>
      </c>
      <c r="H239" s="3" t="s">
        <v>22</v>
      </c>
      <c r="I239" s="3" t="s">
        <v>1167</v>
      </c>
      <c r="K239" s="3" t="s">
        <v>1418</v>
      </c>
      <c r="L239" s="3" t="s">
        <v>1419</v>
      </c>
      <c r="M239" s="3" t="s">
        <v>1420</v>
      </c>
      <c r="N239" s="3" t="s">
        <v>760</v>
      </c>
      <c r="O239" s="3" t="s">
        <v>248</v>
      </c>
      <c r="P239" s="3" t="s">
        <v>1172</v>
      </c>
      <c r="Q239" s="3" t="s">
        <v>29</v>
      </c>
      <c r="S239" s="27" t="s">
        <v>1421</v>
      </c>
      <c r="T239" s="27">
        <f>IFERROR(__xludf.DUMMYFUNCTION("""COMPUTED_VALUE"""),773.0)</f>
        <v>773</v>
      </c>
      <c r="U239" s="1" t="s">
        <v>2477</v>
      </c>
    </row>
    <row r="240">
      <c r="A240" s="4">
        <v>44342.73554574074</v>
      </c>
      <c r="B240" s="3" t="s">
        <v>386</v>
      </c>
      <c r="C240" s="3" t="s">
        <v>387</v>
      </c>
      <c r="D240" s="3" t="s">
        <v>756</v>
      </c>
      <c r="E240" s="6">
        <v>44234.0</v>
      </c>
      <c r="F240" s="3">
        <v>840.0</v>
      </c>
      <c r="G240" s="3" t="s">
        <v>21</v>
      </c>
      <c r="H240" s="3" t="s">
        <v>22</v>
      </c>
      <c r="I240" s="3" t="s">
        <v>1167</v>
      </c>
      <c r="K240" s="3" t="s">
        <v>1422</v>
      </c>
      <c r="L240" s="3" t="s">
        <v>1423</v>
      </c>
      <c r="M240" s="3" t="s">
        <v>1424</v>
      </c>
      <c r="N240" s="3" t="s">
        <v>760</v>
      </c>
      <c r="O240" s="3" t="s">
        <v>391</v>
      </c>
      <c r="P240" s="3" t="s">
        <v>1172</v>
      </c>
      <c r="Q240" s="3" t="s">
        <v>1205</v>
      </c>
      <c r="S240" s="27" t="s">
        <v>1425</v>
      </c>
      <c r="T240" s="27">
        <f>IFERROR(__xludf.DUMMYFUNCTION("""COMPUTED_VALUE"""),998.0)</f>
        <v>998</v>
      </c>
      <c r="U240" s="1" t="s">
        <v>2478</v>
      </c>
    </row>
    <row r="241">
      <c r="A241" s="4">
        <v>44342.7355615625</v>
      </c>
      <c r="B241" s="3" t="s">
        <v>830</v>
      </c>
      <c r="C241" s="3" t="s">
        <v>831</v>
      </c>
      <c r="D241" s="3" t="s">
        <v>20</v>
      </c>
      <c r="E241" s="6">
        <v>43768.0</v>
      </c>
      <c r="F241" s="3">
        <v>163727.0</v>
      </c>
      <c r="G241" s="3" t="s">
        <v>21</v>
      </c>
      <c r="H241" s="3" t="s">
        <v>22</v>
      </c>
      <c r="I241" s="3" t="s">
        <v>1426</v>
      </c>
      <c r="J241" s="3" t="s">
        <v>1427</v>
      </c>
      <c r="K241" s="3" t="s">
        <v>1428</v>
      </c>
      <c r="L241" s="3" t="s">
        <v>1429</v>
      </c>
      <c r="M241" s="3" t="s">
        <v>1430</v>
      </c>
      <c r="N241" s="3" t="s">
        <v>27</v>
      </c>
      <c r="O241" s="3" t="s">
        <v>835</v>
      </c>
      <c r="P241" s="3" t="s">
        <v>1431</v>
      </c>
      <c r="Q241" s="3" t="s">
        <v>29</v>
      </c>
      <c r="S241" s="27" t="s">
        <v>1432</v>
      </c>
      <c r="T241" s="27">
        <f>IFERROR(__xludf.DUMMYFUNCTION("""COMPUTED_VALUE"""),1271.0)</f>
        <v>1271</v>
      </c>
      <c r="U241" s="1" t="s">
        <v>2479</v>
      </c>
    </row>
    <row r="242">
      <c r="A242" s="4">
        <v>44342.73557821759</v>
      </c>
      <c r="B242" s="3" t="s">
        <v>322</v>
      </c>
      <c r="C242" s="3" t="s">
        <v>1433</v>
      </c>
      <c r="D242" s="3" t="s">
        <v>20</v>
      </c>
      <c r="E242" s="6">
        <v>44077.0</v>
      </c>
      <c r="F242" s="3">
        <v>366050.0</v>
      </c>
      <c r="G242" s="3" t="s">
        <v>21</v>
      </c>
      <c r="H242" s="3" t="s">
        <v>22</v>
      </c>
      <c r="I242" s="3" t="s">
        <v>1434</v>
      </c>
      <c r="J242" s="3" t="s">
        <v>1435</v>
      </c>
      <c r="K242" s="3" t="s">
        <v>1436</v>
      </c>
      <c r="L242" s="3" t="s">
        <v>1437</v>
      </c>
      <c r="M242" s="3" t="s">
        <v>1438</v>
      </c>
      <c r="N242" s="3" t="s">
        <v>27</v>
      </c>
      <c r="O242" s="3" t="s">
        <v>327</v>
      </c>
      <c r="P242" s="3" t="s">
        <v>1439</v>
      </c>
      <c r="Q242" s="3" t="s">
        <v>29</v>
      </c>
      <c r="S242" s="27" t="s">
        <v>1440</v>
      </c>
      <c r="T242" s="27">
        <f>IFERROR(__xludf.DUMMYFUNCTION("""COMPUTED_VALUE"""),1132.0)</f>
        <v>1132</v>
      </c>
      <c r="U242" s="1" t="s">
        <v>2480</v>
      </c>
    </row>
    <row r="243">
      <c r="A243" s="4">
        <v>44342.73559414352</v>
      </c>
      <c r="B243" s="3" t="s">
        <v>823</v>
      </c>
      <c r="C243" s="3" t="s">
        <v>824</v>
      </c>
      <c r="D243" s="3" t="s">
        <v>20</v>
      </c>
      <c r="E243" s="6">
        <v>43824.0</v>
      </c>
      <c r="F243" s="3">
        <v>23750.0</v>
      </c>
      <c r="G243" s="3" t="s">
        <v>21</v>
      </c>
      <c r="H243" s="3" t="s">
        <v>22</v>
      </c>
      <c r="I243" s="3" t="s">
        <v>1441</v>
      </c>
      <c r="K243" s="3" t="s">
        <v>1442</v>
      </c>
      <c r="L243" s="3" t="s">
        <v>1443</v>
      </c>
      <c r="M243" s="3" t="s">
        <v>1444</v>
      </c>
      <c r="N243" s="3" t="s">
        <v>27</v>
      </c>
      <c r="O243" s="3" t="s">
        <v>828</v>
      </c>
      <c r="P243" s="3" t="s">
        <v>1445</v>
      </c>
      <c r="Q243" s="3" t="s">
        <v>29</v>
      </c>
      <c r="S243" s="27" t="s">
        <v>1446</v>
      </c>
      <c r="T243" s="27">
        <f>IFERROR(__xludf.DUMMYFUNCTION("""COMPUTED_VALUE"""),1337.0)</f>
        <v>1337</v>
      </c>
      <c r="U243" s="1" t="s">
        <v>2481</v>
      </c>
    </row>
    <row r="244">
      <c r="A244" s="4">
        <v>44342.7356103125</v>
      </c>
      <c r="B244" s="3" t="s">
        <v>1447</v>
      </c>
      <c r="C244" s="3" t="s">
        <v>1448</v>
      </c>
      <c r="D244" s="3" t="s">
        <v>358</v>
      </c>
      <c r="E244" s="6">
        <v>44283.0</v>
      </c>
      <c r="F244" s="3">
        <v>17882.0</v>
      </c>
      <c r="G244" s="3" t="s">
        <v>21</v>
      </c>
      <c r="H244" s="3" t="s">
        <v>22</v>
      </c>
      <c r="K244" s="3" t="s">
        <v>1449</v>
      </c>
      <c r="L244" s="3" t="s">
        <v>1450</v>
      </c>
      <c r="M244" s="3" t="s">
        <v>1451</v>
      </c>
      <c r="N244" s="3" t="s">
        <v>362</v>
      </c>
      <c r="O244" s="3" t="s">
        <v>1452</v>
      </c>
      <c r="Q244" s="3" t="s">
        <v>29</v>
      </c>
      <c r="S244" s="27" t="s">
        <v>1453</v>
      </c>
      <c r="T244" s="27">
        <f>IFERROR(__xludf.DUMMYFUNCTION("""COMPUTED_VALUE"""),1591.0)</f>
        <v>1591</v>
      </c>
      <c r="U244" s="1" t="s">
        <v>2482</v>
      </c>
    </row>
    <row r="245">
      <c r="A245" s="4">
        <v>44342.735626064816</v>
      </c>
      <c r="B245" s="3" t="s">
        <v>341</v>
      </c>
      <c r="C245" s="3" t="s">
        <v>1454</v>
      </c>
      <c r="D245" s="3" t="s">
        <v>358</v>
      </c>
      <c r="E245" s="6">
        <v>44278.0</v>
      </c>
      <c r="F245" s="3">
        <v>1380.0</v>
      </c>
      <c r="G245" s="3" t="s">
        <v>136</v>
      </c>
      <c r="H245" s="3" t="s">
        <v>22</v>
      </c>
      <c r="K245" s="3" t="s">
        <v>1455</v>
      </c>
      <c r="L245" s="3" t="s">
        <v>1456</v>
      </c>
      <c r="M245" s="3" t="s">
        <v>1457</v>
      </c>
      <c r="N245" s="3" t="s">
        <v>362</v>
      </c>
      <c r="O245" s="3" t="s">
        <v>346</v>
      </c>
      <c r="Q245" s="3" t="s">
        <v>29</v>
      </c>
      <c r="S245" s="27" t="s">
        <v>1458</v>
      </c>
      <c r="T245" s="27">
        <f>IFERROR(__xludf.DUMMYFUNCTION("""COMPUTED_VALUE"""),585.0)</f>
        <v>585</v>
      </c>
      <c r="U245" s="1" t="s">
        <v>2483</v>
      </c>
    </row>
    <row r="246">
      <c r="A246" s="4">
        <v>44342.735641770836</v>
      </c>
      <c r="B246" s="3" t="s">
        <v>1459</v>
      </c>
      <c r="C246" s="3" t="s">
        <v>1460</v>
      </c>
      <c r="D246" s="3" t="s">
        <v>358</v>
      </c>
      <c r="E246" s="6">
        <v>44284.0</v>
      </c>
      <c r="F246" s="3">
        <v>2800.0</v>
      </c>
      <c r="G246" s="3" t="s">
        <v>136</v>
      </c>
      <c r="H246" s="3" t="s">
        <v>22</v>
      </c>
      <c r="J246" s="3" t="s">
        <v>1461</v>
      </c>
      <c r="K246" s="3" t="s">
        <v>1462</v>
      </c>
      <c r="L246" s="3" t="s">
        <v>1463</v>
      </c>
      <c r="M246" s="3" t="s">
        <v>1464</v>
      </c>
      <c r="N246" s="3" t="s">
        <v>362</v>
      </c>
      <c r="O246" s="3" t="s">
        <v>1465</v>
      </c>
      <c r="Q246" s="3" t="s">
        <v>29</v>
      </c>
      <c r="S246" s="27" t="s">
        <v>1466</v>
      </c>
      <c r="T246" s="27">
        <f>IFERROR(__xludf.DUMMYFUNCTION("""COMPUTED_VALUE"""),1149.0)</f>
        <v>1149</v>
      </c>
      <c r="U246" s="1" t="s">
        <v>2484</v>
      </c>
    </row>
    <row r="247">
      <c r="A247" s="4">
        <v>44342.73565850694</v>
      </c>
      <c r="B247" s="3" t="s">
        <v>1467</v>
      </c>
      <c r="C247" s="3" t="s">
        <v>1468</v>
      </c>
      <c r="D247" s="3" t="s">
        <v>1469</v>
      </c>
      <c r="E247" s="6">
        <v>44278.0</v>
      </c>
      <c r="F247" s="3">
        <v>6913.5</v>
      </c>
      <c r="G247" s="3" t="s">
        <v>21</v>
      </c>
      <c r="H247" s="3" t="s">
        <v>22</v>
      </c>
      <c r="J247" s="3" t="s">
        <v>2485</v>
      </c>
      <c r="K247" s="3" t="s">
        <v>1470</v>
      </c>
      <c r="L247" s="3" t="s">
        <v>1471</v>
      </c>
      <c r="M247" s="3" t="s">
        <v>1472</v>
      </c>
      <c r="N247" s="3" t="s">
        <v>1473</v>
      </c>
      <c r="O247" s="3" t="s">
        <v>1474</v>
      </c>
      <c r="Q247" s="3" t="s">
        <v>29</v>
      </c>
      <c r="S247" s="27" t="s">
        <v>1475</v>
      </c>
      <c r="T247" s="27">
        <f>IFERROR(__xludf.DUMMYFUNCTION("""COMPUTED_VALUE"""),97.0)</f>
        <v>97</v>
      </c>
      <c r="U247" s="1" t="s">
        <v>2486</v>
      </c>
    </row>
    <row r="248">
      <c r="A248" s="4">
        <v>44342.73567458334</v>
      </c>
      <c r="B248" s="3" t="s">
        <v>1323</v>
      </c>
      <c r="C248" s="3" t="s">
        <v>1476</v>
      </c>
      <c r="D248" s="3" t="s">
        <v>1049</v>
      </c>
      <c r="E248" s="6">
        <v>44179.0</v>
      </c>
      <c r="F248" s="3">
        <v>181545.0</v>
      </c>
      <c r="G248" s="3" t="s">
        <v>136</v>
      </c>
      <c r="H248" s="3" t="s">
        <v>22</v>
      </c>
      <c r="I248" s="3" t="s">
        <v>1145</v>
      </c>
      <c r="J248" s="3" t="s">
        <v>1477</v>
      </c>
      <c r="K248" s="3" t="s">
        <v>1478</v>
      </c>
      <c r="L248" s="3" t="s">
        <v>1479</v>
      </c>
      <c r="M248" s="3" t="s">
        <v>1480</v>
      </c>
      <c r="N248" s="3" t="s">
        <v>1054</v>
      </c>
      <c r="O248" s="3" t="s">
        <v>1329</v>
      </c>
      <c r="P248" s="3" t="s">
        <v>1150</v>
      </c>
      <c r="Q248" s="3" t="s">
        <v>29</v>
      </c>
      <c r="S248" s="27" t="s">
        <v>1481</v>
      </c>
      <c r="T248" s="27">
        <f>IFERROR(__xludf.DUMMYFUNCTION("""COMPUTED_VALUE"""),1538.0)</f>
        <v>1538</v>
      </c>
      <c r="U248" s="1" t="s">
        <v>2487</v>
      </c>
    </row>
    <row r="249">
      <c r="A249" s="4">
        <v>44342.73569084491</v>
      </c>
      <c r="B249" s="3" t="s">
        <v>1447</v>
      </c>
      <c r="C249" s="3" t="s">
        <v>1482</v>
      </c>
      <c r="D249" s="3" t="s">
        <v>358</v>
      </c>
      <c r="E249" s="6">
        <v>44291.0</v>
      </c>
      <c r="F249" s="3">
        <v>227761.0</v>
      </c>
      <c r="G249" s="3" t="s">
        <v>21</v>
      </c>
      <c r="H249" s="3" t="s">
        <v>22</v>
      </c>
      <c r="K249" s="3" t="s">
        <v>1483</v>
      </c>
      <c r="L249" s="3" t="s">
        <v>1484</v>
      </c>
      <c r="M249" s="3" t="s">
        <v>1485</v>
      </c>
      <c r="N249" s="3" t="s">
        <v>362</v>
      </c>
      <c r="O249" s="3" t="s">
        <v>1452</v>
      </c>
      <c r="Q249" s="3" t="s">
        <v>29</v>
      </c>
      <c r="S249" s="27" t="s">
        <v>1486</v>
      </c>
      <c r="T249" s="27">
        <f>IFERROR(__xludf.DUMMYFUNCTION("""COMPUTED_VALUE"""),1591.0)</f>
        <v>1591</v>
      </c>
      <c r="U249" s="1" t="s">
        <v>2488</v>
      </c>
    </row>
    <row r="250">
      <c r="A250" s="4">
        <v>44342.73570640046</v>
      </c>
      <c r="B250" s="3" t="s">
        <v>1487</v>
      </c>
      <c r="C250" s="3" t="s">
        <v>1488</v>
      </c>
      <c r="D250" s="3" t="s">
        <v>358</v>
      </c>
      <c r="E250" s="6">
        <v>44280.0</v>
      </c>
      <c r="F250" s="3">
        <v>10708.0</v>
      </c>
      <c r="G250" s="3" t="s">
        <v>350</v>
      </c>
      <c r="H250" s="3" t="s">
        <v>22</v>
      </c>
      <c r="K250" s="3" t="s">
        <v>1489</v>
      </c>
      <c r="L250" s="3" t="s">
        <v>1490</v>
      </c>
      <c r="M250" s="3" t="s">
        <v>1491</v>
      </c>
      <c r="N250" s="3" t="s">
        <v>362</v>
      </c>
      <c r="O250" s="3" t="s">
        <v>1492</v>
      </c>
      <c r="Q250" s="3" t="s">
        <v>29</v>
      </c>
      <c r="S250" s="27" t="s">
        <v>1493</v>
      </c>
      <c r="T250" s="27">
        <f>IFERROR(__xludf.DUMMYFUNCTION("""COMPUTED_VALUE"""),1609.0)</f>
        <v>1609</v>
      </c>
      <c r="U250" s="1" t="s">
        <v>2489</v>
      </c>
    </row>
    <row r="251">
      <c r="A251" s="4">
        <v>44342.735721875</v>
      </c>
      <c r="B251" s="3" t="s">
        <v>624</v>
      </c>
      <c r="C251" s="3" t="s">
        <v>1494</v>
      </c>
      <c r="D251" s="3" t="s">
        <v>756</v>
      </c>
      <c r="E251" s="6">
        <v>44298.0</v>
      </c>
      <c r="F251" s="3">
        <v>1290.0</v>
      </c>
      <c r="G251" s="3" t="s">
        <v>21</v>
      </c>
      <c r="H251" s="3" t="s">
        <v>22</v>
      </c>
      <c r="I251" s="3" t="s">
        <v>1167</v>
      </c>
      <c r="K251" s="3" t="s">
        <v>1495</v>
      </c>
      <c r="L251" s="3" t="s">
        <v>1496</v>
      </c>
      <c r="M251" s="3" t="s">
        <v>1497</v>
      </c>
      <c r="N251" s="3" t="s">
        <v>760</v>
      </c>
      <c r="O251" s="3" t="s">
        <v>630</v>
      </c>
      <c r="P251" s="3" t="s">
        <v>1172</v>
      </c>
      <c r="Q251" s="3" t="s">
        <v>29</v>
      </c>
      <c r="S251" s="27" t="s">
        <v>1498</v>
      </c>
      <c r="T251" s="27">
        <f>IFERROR(__xludf.DUMMYFUNCTION("""COMPUTED_VALUE"""),1485.0)</f>
        <v>1485</v>
      </c>
      <c r="U251" s="1" t="s">
        <v>2490</v>
      </c>
    </row>
    <row r="252">
      <c r="A252" s="4">
        <v>44342.73573767361</v>
      </c>
      <c r="B252" s="3" t="s">
        <v>482</v>
      </c>
      <c r="C252" s="3" t="s">
        <v>1499</v>
      </c>
      <c r="D252" s="3" t="s">
        <v>358</v>
      </c>
      <c r="E252" s="6">
        <v>44280.0</v>
      </c>
      <c r="F252" s="3">
        <v>2545.0</v>
      </c>
      <c r="G252" s="3" t="s">
        <v>21</v>
      </c>
      <c r="H252" s="3" t="s">
        <v>22</v>
      </c>
      <c r="K252" s="3" t="s">
        <v>1500</v>
      </c>
      <c r="L252" s="3" t="s">
        <v>1501</v>
      </c>
      <c r="M252" s="3" t="s">
        <v>1502</v>
      </c>
      <c r="N252" s="3" t="s">
        <v>362</v>
      </c>
      <c r="O252" s="3" t="s">
        <v>487</v>
      </c>
      <c r="Q252" s="3" t="s">
        <v>29</v>
      </c>
      <c r="S252" s="27" t="s">
        <v>1503</v>
      </c>
      <c r="T252" s="27">
        <f>IFERROR(__xludf.DUMMYFUNCTION("""COMPUTED_VALUE"""),4.0)</f>
        <v>4</v>
      </c>
      <c r="U252" s="1" t="s">
        <v>2491</v>
      </c>
    </row>
    <row r="253">
      <c r="A253" s="4">
        <v>44342.7357537037</v>
      </c>
      <c r="B253" s="3" t="s">
        <v>482</v>
      </c>
      <c r="C253" s="3" t="s">
        <v>1504</v>
      </c>
      <c r="D253" s="3" t="s">
        <v>358</v>
      </c>
      <c r="E253" s="6">
        <v>44301.0</v>
      </c>
      <c r="F253" s="3">
        <v>2340.0</v>
      </c>
      <c r="G253" s="3" t="s">
        <v>136</v>
      </c>
      <c r="H253" s="3" t="s">
        <v>22</v>
      </c>
      <c r="I253" s="3" t="s">
        <v>1137</v>
      </c>
      <c r="K253" s="3" t="s">
        <v>1505</v>
      </c>
      <c r="L253" s="3" t="s">
        <v>1506</v>
      </c>
      <c r="M253" s="3" t="s">
        <v>1507</v>
      </c>
      <c r="N253" s="3" t="s">
        <v>362</v>
      </c>
      <c r="O253" s="3" t="s">
        <v>487</v>
      </c>
      <c r="P253" s="3" t="s">
        <v>1141</v>
      </c>
      <c r="Q253" s="3" t="s">
        <v>29</v>
      </c>
      <c r="S253" s="27" t="s">
        <v>1508</v>
      </c>
      <c r="T253" s="27">
        <f>IFERROR(__xludf.DUMMYFUNCTION("""COMPUTED_VALUE"""),4.0)</f>
        <v>4</v>
      </c>
      <c r="U253" s="1" t="s">
        <v>2492</v>
      </c>
    </row>
    <row r="254">
      <c r="A254" s="4">
        <v>44342.7357712963</v>
      </c>
      <c r="B254" s="3" t="s">
        <v>1509</v>
      </c>
      <c r="C254" s="3" t="s">
        <v>1510</v>
      </c>
      <c r="D254" s="3" t="s">
        <v>358</v>
      </c>
      <c r="E254" s="6">
        <v>44315.0</v>
      </c>
      <c r="F254" s="3">
        <v>5350.0</v>
      </c>
      <c r="G254" s="3" t="s">
        <v>21</v>
      </c>
      <c r="H254" s="3" t="s">
        <v>22</v>
      </c>
      <c r="I254" s="3" t="s">
        <v>1145</v>
      </c>
      <c r="J254" s="3" t="s">
        <v>1511</v>
      </c>
      <c r="K254" s="3" t="s">
        <v>1512</v>
      </c>
      <c r="L254" s="3" t="s">
        <v>1513</v>
      </c>
      <c r="M254" s="3" t="s">
        <v>1514</v>
      </c>
      <c r="N254" s="3" t="s">
        <v>362</v>
      </c>
      <c r="O254" s="3" t="s">
        <v>1515</v>
      </c>
      <c r="P254" s="3" t="s">
        <v>1150</v>
      </c>
      <c r="Q254" s="3" t="s">
        <v>29</v>
      </c>
      <c r="S254" s="27" t="s">
        <v>1516</v>
      </c>
      <c r="T254" s="27">
        <f>IFERROR(__xludf.DUMMYFUNCTION("""COMPUTED_VALUE"""),1606.0)</f>
        <v>1606</v>
      </c>
      <c r="U254" s="1" t="s">
        <v>2493</v>
      </c>
    </row>
    <row r="255">
      <c r="A255" s="4">
        <v>44342.735786770834</v>
      </c>
      <c r="B255" s="3" t="s">
        <v>1517</v>
      </c>
      <c r="C255" s="3" t="s">
        <v>1518</v>
      </c>
      <c r="D255" s="3" t="s">
        <v>358</v>
      </c>
      <c r="E255" s="6">
        <v>44329.0</v>
      </c>
      <c r="F255" s="3">
        <v>4420.0</v>
      </c>
      <c r="G255" s="3" t="s">
        <v>136</v>
      </c>
      <c r="H255" s="3" t="s">
        <v>22</v>
      </c>
      <c r="I255" s="3" t="s">
        <v>1137</v>
      </c>
      <c r="K255" s="3" t="s">
        <v>1519</v>
      </c>
      <c r="L255" s="3" t="s">
        <v>1520</v>
      </c>
      <c r="M255" s="3" t="s">
        <v>1521</v>
      </c>
      <c r="N255" s="3" t="s">
        <v>362</v>
      </c>
      <c r="O255" s="3" t="s">
        <v>1522</v>
      </c>
      <c r="P255" s="3" t="s">
        <v>1141</v>
      </c>
      <c r="Q255" s="3" t="s">
        <v>29</v>
      </c>
      <c r="S255" s="27" t="s">
        <v>1523</v>
      </c>
      <c r="T255" s="27">
        <f>IFERROR(__xludf.DUMMYFUNCTION("""COMPUTED_VALUE"""),1619.0)</f>
        <v>1619</v>
      </c>
      <c r="U255" s="1" t="s">
        <v>2494</v>
      </c>
    </row>
    <row r="256">
      <c r="A256" s="4">
        <v>44342.73580363426</v>
      </c>
      <c r="B256" s="3" t="s">
        <v>1524</v>
      </c>
      <c r="C256" s="3" t="s">
        <v>1525</v>
      </c>
      <c r="D256" s="3" t="s">
        <v>358</v>
      </c>
      <c r="E256" s="6">
        <v>44208.0</v>
      </c>
      <c r="F256" s="3">
        <v>11441.0</v>
      </c>
      <c r="G256" s="3" t="s">
        <v>21</v>
      </c>
      <c r="H256" s="3" t="s">
        <v>22</v>
      </c>
      <c r="J256" s="3" t="s">
        <v>1526</v>
      </c>
      <c r="K256" s="3" t="s">
        <v>1527</v>
      </c>
      <c r="L256" s="3" t="s">
        <v>1528</v>
      </c>
      <c r="M256" s="3" t="s">
        <v>1529</v>
      </c>
      <c r="N256" s="3" t="s">
        <v>362</v>
      </c>
      <c r="O256" s="3" t="s">
        <v>1530</v>
      </c>
      <c r="Q256" s="3" t="s">
        <v>29</v>
      </c>
      <c r="S256" s="27" t="s">
        <v>1531</v>
      </c>
      <c r="T256" s="27"/>
      <c r="U256" s="1" t="s">
        <v>2495</v>
      </c>
    </row>
    <row r="257">
      <c r="A257" s="4">
        <v>44342.73581953703</v>
      </c>
      <c r="B257" s="3" t="s">
        <v>1532</v>
      </c>
      <c r="C257" s="3" t="s">
        <v>1533</v>
      </c>
      <c r="D257" s="3" t="s">
        <v>358</v>
      </c>
      <c r="E257" s="6">
        <v>44287.0</v>
      </c>
      <c r="F257" s="3">
        <v>271416.96</v>
      </c>
      <c r="G257" s="3" t="s">
        <v>136</v>
      </c>
      <c r="H257" s="3" t="s">
        <v>22</v>
      </c>
      <c r="J257" s="3" t="s">
        <v>1534</v>
      </c>
      <c r="K257" s="3" t="s">
        <v>1535</v>
      </c>
      <c r="L257" s="3" t="s">
        <v>1536</v>
      </c>
      <c r="M257" s="3" t="s">
        <v>1537</v>
      </c>
      <c r="N257" s="3" t="s">
        <v>362</v>
      </c>
      <c r="O257" s="3" t="s">
        <v>1538</v>
      </c>
      <c r="Q257" s="3" t="s">
        <v>29</v>
      </c>
      <c r="S257" s="27" t="s">
        <v>1539</v>
      </c>
      <c r="T257" s="27">
        <f>IFERROR(__xludf.DUMMYFUNCTION("""COMPUTED_VALUE"""),504.0)</f>
        <v>504</v>
      </c>
      <c r="U257" s="1" t="s">
        <v>2496</v>
      </c>
    </row>
    <row r="258">
      <c r="A258" s="4">
        <v>44342.73583506944</v>
      </c>
      <c r="B258" s="3" t="s">
        <v>988</v>
      </c>
      <c r="C258" s="3" t="s">
        <v>1540</v>
      </c>
      <c r="D258" s="3" t="s">
        <v>358</v>
      </c>
      <c r="E258" s="6">
        <v>44336.0</v>
      </c>
      <c r="F258" s="3">
        <v>31200.0</v>
      </c>
      <c r="G258" s="3" t="s">
        <v>136</v>
      </c>
      <c r="H258" s="3" t="s">
        <v>22</v>
      </c>
      <c r="I258" s="3" t="s">
        <v>1145</v>
      </c>
      <c r="K258" s="3" t="s">
        <v>1541</v>
      </c>
      <c r="L258" s="3" t="s">
        <v>1542</v>
      </c>
      <c r="M258" s="3" t="s">
        <v>1543</v>
      </c>
      <c r="N258" s="3" t="s">
        <v>362</v>
      </c>
      <c r="O258" s="3" t="s">
        <v>993</v>
      </c>
      <c r="P258" s="3" t="s">
        <v>1150</v>
      </c>
      <c r="Q258" s="3" t="s">
        <v>29</v>
      </c>
      <c r="S258" s="27" t="s">
        <v>1544</v>
      </c>
      <c r="T258" s="27">
        <f>IFERROR(__xludf.DUMMYFUNCTION("""COMPUTED_VALUE"""),113.0)</f>
        <v>113</v>
      </c>
      <c r="U258" s="1" t="s">
        <v>2497</v>
      </c>
    </row>
    <row r="259">
      <c r="A259" s="4">
        <v>44342.735850578705</v>
      </c>
      <c r="B259" s="3" t="s">
        <v>393</v>
      </c>
      <c r="C259" s="3" t="s">
        <v>1545</v>
      </c>
      <c r="D259" s="3" t="s">
        <v>358</v>
      </c>
      <c r="E259" s="6">
        <v>44256.0</v>
      </c>
      <c r="F259" s="3">
        <v>678014.84</v>
      </c>
      <c r="G259" s="3" t="s">
        <v>21</v>
      </c>
      <c r="H259" s="3" t="s">
        <v>22</v>
      </c>
      <c r="K259" s="3" t="s">
        <v>1546</v>
      </c>
      <c r="L259" s="3" t="s">
        <v>1547</v>
      </c>
      <c r="M259" s="3" t="s">
        <v>1548</v>
      </c>
      <c r="N259" s="3" t="s">
        <v>362</v>
      </c>
      <c r="O259" s="3" t="s">
        <v>398</v>
      </c>
      <c r="Q259" s="3" t="s">
        <v>29</v>
      </c>
      <c r="S259" s="27" t="s">
        <v>2498</v>
      </c>
      <c r="T259" s="27">
        <f>IFERROR(__xludf.DUMMYFUNCTION("""COMPUTED_VALUE"""),1148.0)</f>
        <v>1148</v>
      </c>
      <c r="U259" s="1" t="s">
        <v>2499</v>
      </c>
    </row>
    <row r="260">
      <c r="A260" s="4">
        <v>44342.73586619213</v>
      </c>
      <c r="B260" s="3" t="s">
        <v>1550</v>
      </c>
      <c r="C260" s="3" t="s">
        <v>1551</v>
      </c>
      <c r="D260" s="3" t="s">
        <v>358</v>
      </c>
      <c r="E260" s="6">
        <v>44336.0</v>
      </c>
      <c r="F260" s="3">
        <v>4320.0</v>
      </c>
      <c r="G260" s="3" t="s">
        <v>136</v>
      </c>
      <c r="H260" s="3" t="s">
        <v>22</v>
      </c>
      <c r="I260" s="3" t="s">
        <v>1145</v>
      </c>
      <c r="J260" s="3" t="s">
        <v>1552</v>
      </c>
      <c r="K260" s="3" t="s">
        <v>1553</v>
      </c>
      <c r="L260" s="3" t="s">
        <v>1554</v>
      </c>
      <c r="M260" s="3" t="s">
        <v>1555</v>
      </c>
      <c r="N260" s="3" t="s">
        <v>362</v>
      </c>
      <c r="O260" s="3" t="s">
        <v>1556</v>
      </c>
      <c r="P260" s="3" t="s">
        <v>1150</v>
      </c>
      <c r="Q260" s="3" t="s">
        <v>29</v>
      </c>
      <c r="S260" s="27" t="s">
        <v>1557</v>
      </c>
      <c r="T260" s="27">
        <f>IFERROR(__xludf.DUMMYFUNCTION("""COMPUTED_VALUE"""),1635.0)</f>
        <v>1635</v>
      </c>
      <c r="U260" s="1" t="s">
        <v>2500</v>
      </c>
    </row>
    <row r="261">
      <c r="A261" s="4">
        <v>44342.73588204861</v>
      </c>
      <c r="B261" s="3" t="s">
        <v>1550</v>
      </c>
      <c r="C261" s="3" t="s">
        <v>1551</v>
      </c>
      <c r="D261" s="3" t="s">
        <v>518</v>
      </c>
      <c r="E261" s="6">
        <v>44341.0</v>
      </c>
      <c r="F261" s="3">
        <v>0.0</v>
      </c>
      <c r="G261" s="3" t="s">
        <v>350</v>
      </c>
      <c r="H261" s="3" t="s">
        <v>22</v>
      </c>
      <c r="I261" s="3" t="s">
        <v>1145</v>
      </c>
      <c r="K261" s="3" t="s">
        <v>1558</v>
      </c>
      <c r="L261" s="3" t="s">
        <v>1559</v>
      </c>
      <c r="M261" s="3" t="s">
        <v>1560</v>
      </c>
      <c r="N261" s="3" t="s">
        <v>523</v>
      </c>
      <c r="O261" s="3" t="s">
        <v>1556</v>
      </c>
      <c r="P261" s="3" t="s">
        <v>1150</v>
      </c>
      <c r="Q261" s="3" t="s">
        <v>29</v>
      </c>
      <c r="S261" s="27" t="s">
        <v>1561</v>
      </c>
      <c r="T261" s="27">
        <f>IFERROR(__xludf.DUMMYFUNCTION("""COMPUTED_VALUE"""),1635.0)</f>
        <v>1635</v>
      </c>
      <c r="U261" s="1" t="s">
        <v>2501</v>
      </c>
    </row>
    <row r="262">
      <c r="A262" s="4">
        <v>44342.73589722222</v>
      </c>
      <c r="B262" s="3" t="s">
        <v>1550</v>
      </c>
      <c r="C262" s="3" t="s">
        <v>1551</v>
      </c>
      <c r="D262" s="3" t="s">
        <v>1049</v>
      </c>
      <c r="E262" s="6">
        <v>44336.0</v>
      </c>
      <c r="F262" s="3">
        <v>6000.0</v>
      </c>
      <c r="G262" s="3" t="s">
        <v>136</v>
      </c>
      <c r="H262" s="3" t="s">
        <v>22</v>
      </c>
      <c r="I262" s="3" t="s">
        <v>1145</v>
      </c>
      <c r="J262" s="3" t="s">
        <v>1552</v>
      </c>
      <c r="K262" s="3" t="s">
        <v>1562</v>
      </c>
      <c r="L262" s="3" t="s">
        <v>1563</v>
      </c>
      <c r="M262" s="3" t="s">
        <v>1564</v>
      </c>
      <c r="N262" s="3" t="s">
        <v>1054</v>
      </c>
      <c r="O262" s="3" t="s">
        <v>1556</v>
      </c>
      <c r="P262" s="3" t="s">
        <v>1150</v>
      </c>
      <c r="Q262" s="3" t="s">
        <v>1205</v>
      </c>
      <c r="S262" s="27" t="s">
        <v>1565</v>
      </c>
      <c r="T262" s="27">
        <f>IFERROR(__xludf.DUMMYFUNCTION("""COMPUTED_VALUE"""),1635.0)</f>
        <v>1635</v>
      </c>
      <c r="U262" s="1" t="s">
        <v>2502</v>
      </c>
    </row>
    <row r="263">
      <c r="A263" s="4">
        <v>44355.7081946875</v>
      </c>
      <c r="B263" s="3" t="s">
        <v>1566</v>
      </c>
      <c r="C263" s="3" t="s">
        <v>1567</v>
      </c>
      <c r="D263" s="3" t="s">
        <v>358</v>
      </c>
      <c r="E263" s="6">
        <v>44333.0</v>
      </c>
      <c r="F263" s="3">
        <v>2035.0</v>
      </c>
      <c r="G263" s="3" t="s">
        <v>21</v>
      </c>
      <c r="H263" s="3" t="s">
        <v>22</v>
      </c>
      <c r="K263" s="3" t="s">
        <v>1568</v>
      </c>
      <c r="L263" s="3" t="s">
        <v>1569</v>
      </c>
      <c r="M263" s="3" t="s">
        <v>1570</v>
      </c>
      <c r="N263" s="3" t="s">
        <v>362</v>
      </c>
      <c r="O263" s="3" t="s">
        <v>1571</v>
      </c>
      <c r="Q263" s="3" t="s">
        <v>29</v>
      </c>
      <c r="S263" s="27" t="s">
        <v>1572</v>
      </c>
      <c r="T263" s="27">
        <f>IFERROR(__xludf.DUMMYFUNCTION("""COMPUTED_VALUE"""),1621.0)</f>
        <v>1621</v>
      </c>
      <c r="U263" s="1" t="s">
        <v>2503</v>
      </c>
    </row>
    <row r="264">
      <c r="A264" s="4">
        <v>44357.509632615736</v>
      </c>
      <c r="B264" s="3" t="s">
        <v>482</v>
      </c>
      <c r="C264" s="3" t="s">
        <v>1573</v>
      </c>
      <c r="D264" s="3" t="s">
        <v>20</v>
      </c>
      <c r="E264" s="6">
        <v>44075.0</v>
      </c>
      <c r="F264" s="3">
        <v>54510.0</v>
      </c>
      <c r="G264" s="3" t="s">
        <v>21</v>
      </c>
      <c r="H264" s="3" t="s">
        <v>22</v>
      </c>
      <c r="J264" s="3" t="s">
        <v>1351</v>
      </c>
      <c r="K264" s="3" t="s">
        <v>1574</v>
      </c>
      <c r="L264" s="3" t="s">
        <v>1575</v>
      </c>
      <c r="M264" s="3" t="s">
        <v>1576</v>
      </c>
      <c r="N264" s="3" t="s">
        <v>27</v>
      </c>
      <c r="O264" s="3" t="s">
        <v>487</v>
      </c>
      <c r="Q264" s="3" t="s">
        <v>29</v>
      </c>
      <c r="S264" s="27" t="s">
        <v>1577</v>
      </c>
      <c r="T264" s="27">
        <f>IFERROR(__xludf.DUMMYFUNCTION("""COMPUTED_VALUE"""),4.0)</f>
        <v>4</v>
      </c>
      <c r="U264" s="1" t="s">
        <v>2504</v>
      </c>
    </row>
    <row r="265">
      <c r="A265" s="4">
        <v>44357.62096731481</v>
      </c>
      <c r="B265" s="3" t="s">
        <v>1578</v>
      </c>
      <c r="C265" s="3" t="s">
        <v>1579</v>
      </c>
      <c r="D265" s="3" t="s">
        <v>358</v>
      </c>
      <c r="E265" s="6">
        <v>44349.0</v>
      </c>
      <c r="F265" s="3">
        <v>2900.0</v>
      </c>
      <c r="G265" s="3" t="s">
        <v>136</v>
      </c>
      <c r="H265" s="3" t="s">
        <v>22</v>
      </c>
      <c r="I265" s="3" t="s">
        <v>1137</v>
      </c>
      <c r="K265" s="3" t="s">
        <v>1580</v>
      </c>
      <c r="L265" s="3" t="s">
        <v>1581</v>
      </c>
      <c r="M265" s="3" t="s">
        <v>1582</v>
      </c>
      <c r="N265" s="3" t="s">
        <v>362</v>
      </c>
      <c r="O265" s="3" t="s">
        <v>1583</v>
      </c>
      <c r="P265" s="3" t="s">
        <v>1141</v>
      </c>
      <c r="Q265" s="3" t="s">
        <v>1205</v>
      </c>
      <c r="S265" s="27" t="s">
        <v>1584</v>
      </c>
      <c r="T265" s="27">
        <f>IFERROR(__xludf.DUMMYFUNCTION("""COMPUTED_VALUE"""),564.0)</f>
        <v>564</v>
      </c>
      <c r="U265" s="1" t="s">
        <v>2505</v>
      </c>
    </row>
    <row r="266">
      <c r="A266" s="4">
        <v>44357.66941798611</v>
      </c>
      <c r="B266" s="3" t="s">
        <v>976</v>
      </c>
      <c r="C266" s="3" t="s">
        <v>1585</v>
      </c>
      <c r="D266" s="3" t="s">
        <v>358</v>
      </c>
      <c r="E266" s="6">
        <v>44356.0</v>
      </c>
      <c r="F266" s="3">
        <v>3600.0</v>
      </c>
      <c r="G266" s="3" t="s">
        <v>136</v>
      </c>
      <c r="H266" s="3" t="s">
        <v>22</v>
      </c>
      <c r="I266" s="3" t="s">
        <v>1145</v>
      </c>
      <c r="K266" s="3" t="s">
        <v>1586</v>
      </c>
      <c r="L266" s="3" t="s">
        <v>1587</v>
      </c>
      <c r="M266" s="3" t="s">
        <v>1588</v>
      </c>
      <c r="N266" s="3" t="s">
        <v>362</v>
      </c>
      <c r="O266" s="3" t="s">
        <v>981</v>
      </c>
      <c r="P266" s="3" t="s">
        <v>1150</v>
      </c>
      <c r="Q266" s="3" t="s">
        <v>29</v>
      </c>
      <c r="S266" s="27" t="s">
        <v>1589</v>
      </c>
      <c r="T266" s="27">
        <f>IFERROR(__xludf.DUMMYFUNCTION("""COMPUTED_VALUE"""),1461.0)</f>
        <v>1461</v>
      </c>
      <c r="U266" s="1" t="s">
        <v>2506</v>
      </c>
    </row>
    <row r="267">
      <c r="A267" s="4">
        <v>44363.522823946754</v>
      </c>
      <c r="B267" s="3" t="s">
        <v>1590</v>
      </c>
      <c r="C267" s="3" t="s">
        <v>1591</v>
      </c>
      <c r="D267" s="3" t="s">
        <v>358</v>
      </c>
      <c r="E267" s="6">
        <v>44363.0</v>
      </c>
      <c r="F267" s="3">
        <v>2260.0</v>
      </c>
      <c r="G267" s="3" t="s">
        <v>136</v>
      </c>
      <c r="H267" s="3" t="s">
        <v>22</v>
      </c>
      <c r="I267" s="3" t="s">
        <v>1137</v>
      </c>
      <c r="K267" s="3" t="s">
        <v>1592</v>
      </c>
      <c r="L267" s="3" t="s">
        <v>1593</v>
      </c>
      <c r="M267" s="3" t="s">
        <v>1594</v>
      </c>
      <c r="N267" s="3" t="s">
        <v>362</v>
      </c>
      <c r="O267" s="3" t="s">
        <v>1595</v>
      </c>
      <c r="P267" s="3" t="s">
        <v>1141</v>
      </c>
      <c r="Q267" s="3" t="s">
        <v>29</v>
      </c>
      <c r="S267" s="27" t="s">
        <v>1596</v>
      </c>
      <c r="T267" s="27">
        <f>IFERROR(__xludf.DUMMYFUNCTION("""COMPUTED_VALUE"""),1650.0)</f>
        <v>1650</v>
      </c>
      <c r="U267" s="1" t="s">
        <v>2507</v>
      </c>
    </row>
    <row r="268">
      <c r="A268" s="4">
        <v>44364.74870081019</v>
      </c>
      <c r="B268" s="3" t="s">
        <v>1597</v>
      </c>
      <c r="C268" s="3" t="s">
        <v>1598</v>
      </c>
      <c r="D268" s="3" t="s">
        <v>20</v>
      </c>
      <c r="E268" s="6">
        <v>44253.0</v>
      </c>
      <c r="F268" s="3">
        <v>29415.0</v>
      </c>
      <c r="G268" s="3" t="s">
        <v>21</v>
      </c>
      <c r="H268" s="3" t="s">
        <v>22</v>
      </c>
      <c r="J268" s="3" t="s">
        <v>1599</v>
      </c>
      <c r="K268" s="3" t="s">
        <v>1600</v>
      </c>
      <c r="L268" s="3" t="s">
        <v>1601</v>
      </c>
      <c r="M268" s="3" t="s">
        <v>1602</v>
      </c>
      <c r="N268" s="3" t="s">
        <v>27</v>
      </c>
      <c r="O268" s="3" t="s">
        <v>1603</v>
      </c>
      <c r="Q268" s="3" t="s">
        <v>1205</v>
      </c>
      <c r="S268" s="27" t="s">
        <v>1604</v>
      </c>
      <c r="T268" s="27">
        <f>IFERROR(__xludf.DUMMYFUNCTION("""COMPUTED_VALUE"""),1580.0)</f>
        <v>1580</v>
      </c>
      <c r="U268" s="1" t="s">
        <v>2508</v>
      </c>
    </row>
    <row r="269">
      <c r="A269" s="4">
        <v>44364.765452465275</v>
      </c>
      <c r="B269" s="3" t="s">
        <v>1597</v>
      </c>
      <c r="C269" s="3" t="s">
        <v>1605</v>
      </c>
      <c r="D269" s="3" t="s">
        <v>358</v>
      </c>
      <c r="E269" s="6">
        <v>44309.0</v>
      </c>
      <c r="F269" s="3">
        <v>22060.0</v>
      </c>
      <c r="G269" s="3" t="s">
        <v>21</v>
      </c>
      <c r="H269" s="3" t="s">
        <v>22</v>
      </c>
      <c r="K269" s="3" t="s">
        <v>1606</v>
      </c>
      <c r="L269" s="3" t="s">
        <v>1607</v>
      </c>
      <c r="M269" s="3" t="s">
        <v>1608</v>
      </c>
      <c r="N269" s="3" t="s">
        <v>362</v>
      </c>
      <c r="O269" s="7" t="s">
        <v>1603</v>
      </c>
      <c r="Q269" s="3" t="s">
        <v>29</v>
      </c>
      <c r="S269" s="27" t="s">
        <v>1609</v>
      </c>
      <c r="T269" s="27">
        <f>IFERROR(__xludf.DUMMYFUNCTION("""COMPUTED_VALUE"""),1580.0)</f>
        <v>1580</v>
      </c>
      <c r="U269" s="1" t="s">
        <v>2509</v>
      </c>
    </row>
    <row r="270">
      <c r="A270" s="4">
        <v>44369.574418171294</v>
      </c>
      <c r="B270" s="3" t="s">
        <v>1590</v>
      </c>
      <c r="C270" s="3" t="s">
        <v>1610</v>
      </c>
      <c r="D270" s="3" t="s">
        <v>358</v>
      </c>
      <c r="E270" s="6">
        <v>44368.0</v>
      </c>
      <c r="F270" s="3">
        <v>2260.0</v>
      </c>
      <c r="G270" s="3" t="s">
        <v>136</v>
      </c>
      <c r="H270" s="3" t="s">
        <v>22</v>
      </c>
      <c r="I270" s="3" t="s">
        <v>1137</v>
      </c>
      <c r="K270" s="3" t="s">
        <v>1611</v>
      </c>
      <c r="L270" s="3" t="s">
        <v>1612</v>
      </c>
      <c r="M270" s="3" t="s">
        <v>1613</v>
      </c>
      <c r="N270" s="3" t="s">
        <v>362</v>
      </c>
      <c r="O270" s="3" t="s">
        <v>1595</v>
      </c>
      <c r="P270" s="3" t="s">
        <v>1141</v>
      </c>
      <c r="Q270" s="3" t="s">
        <v>29</v>
      </c>
      <c r="S270" s="27" t="s">
        <v>1614</v>
      </c>
      <c r="T270" s="27">
        <f>IFERROR(__xludf.DUMMYFUNCTION("""COMPUTED_VALUE"""),1650.0)</f>
        <v>1650</v>
      </c>
      <c r="U270" s="1" t="s">
        <v>2510</v>
      </c>
    </row>
    <row r="271">
      <c r="A271" s="4">
        <v>44369.64730670139</v>
      </c>
      <c r="B271" s="3" t="s">
        <v>1615</v>
      </c>
      <c r="C271" s="3" t="s">
        <v>1616</v>
      </c>
      <c r="D271" s="3" t="s">
        <v>358</v>
      </c>
      <c r="E271" s="6">
        <v>44369.0</v>
      </c>
      <c r="F271" s="3">
        <v>3000.0</v>
      </c>
      <c r="G271" s="3" t="s">
        <v>136</v>
      </c>
      <c r="H271" s="3" t="s">
        <v>22</v>
      </c>
      <c r="I271" s="3" t="s">
        <v>1137</v>
      </c>
      <c r="J271" s="3" t="s">
        <v>1617</v>
      </c>
      <c r="K271" s="3" t="s">
        <v>1618</v>
      </c>
      <c r="L271" s="3" t="s">
        <v>1619</v>
      </c>
      <c r="M271" s="3" t="s">
        <v>1620</v>
      </c>
      <c r="N271" s="3" t="s">
        <v>362</v>
      </c>
      <c r="O271" s="7" t="s">
        <v>1621</v>
      </c>
      <c r="P271" s="3" t="s">
        <v>1141</v>
      </c>
      <c r="Q271" s="3" t="s">
        <v>29</v>
      </c>
      <c r="S271" s="27" t="s">
        <v>1622</v>
      </c>
      <c r="T271" s="27">
        <f>IFERROR(__xludf.DUMMYFUNCTION("""COMPUTED_VALUE"""),1652.0)</f>
        <v>1652</v>
      </c>
      <c r="U271" s="1" t="s">
        <v>2511</v>
      </c>
    </row>
    <row r="272">
      <c r="A272" s="4">
        <v>44369.6805627662</v>
      </c>
      <c r="B272" s="3" t="s">
        <v>1623</v>
      </c>
      <c r="C272" s="3" t="s">
        <v>1624</v>
      </c>
      <c r="D272" s="3" t="s">
        <v>358</v>
      </c>
      <c r="E272" s="6">
        <v>44369.0</v>
      </c>
      <c r="F272" s="3">
        <v>3350.0</v>
      </c>
      <c r="G272" s="3" t="s">
        <v>136</v>
      </c>
      <c r="H272" s="3" t="s">
        <v>22</v>
      </c>
      <c r="I272" s="3" t="s">
        <v>1625</v>
      </c>
      <c r="J272" s="3" t="s">
        <v>1626</v>
      </c>
      <c r="K272" s="3" t="s">
        <v>1627</v>
      </c>
      <c r="L272" s="3" t="s">
        <v>1628</v>
      </c>
      <c r="M272" s="3" t="s">
        <v>1629</v>
      </c>
      <c r="N272" s="3" t="s">
        <v>362</v>
      </c>
      <c r="O272" s="3" t="s">
        <v>1630</v>
      </c>
      <c r="P272" s="3" t="s">
        <v>1631</v>
      </c>
      <c r="Q272" s="3" t="s">
        <v>29</v>
      </c>
      <c r="S272" s="27" t="s">
        <v>1632</v>
      </c>
      <c r="T272" s="27">
        <f>IFERROR(__xludf.DUMMYFUNCTION("""COMPUTED_VALUE"""),1651.0)</f>
        <v>1651</v>
      </c>
      <c r="U272" s="1" t="s">
        <v>2512</v>
      </c>
    </row>
    <row r="273">
      <c r="A273" s="4">
        <v>44369.74687497685</v>
      </c>
      <c r="B273" s="3" t="s">
        <v>1623</v>
      </c>
      <c r="C273" s="3" t="s">
        <v>1633</v>
      </c>
      <c r="D273" s="3" t="s">
        <v>358</v>
      </c>
      <c r="E273" s="6">
        <v>44369.0</v>
      </c>
      <c r="F273" s="3">
        <v>500.0</v>
      </c>
      <c r="G273" s="3" t="s">
        <v>136</v>
      </c>
      <c r="H273" s="3" t="s">
        <v>22</v>
      </c>
      <c r="I273" s="3" t="s">
        <v>1625</v>
      </c>
      <c r="K273" s="3" t="s">
        <v>1627</v>
      </c>
      <c r="L273" s="3" t="s">
        <v>1634</v>
      </c>
      <c r="M273" s="3" t="s">
        <v>1635</v>
      </c>
      <c r="N273" s="3" t="s">
        <v>362</v>
      </c>
      <c r="O273" s="3" t="s">
        <v>1630</v>
      </c>
      <c r="P273" s="3" t="s">
        <v>1631</v>
      </c>
      <c r="Q273" s="3" t="s">
        <v>29</v>
      </c>
      <c r="S273" s="27" t="s">
        <v>1636</v>
      </c>
      <c r="T273" s="27">
        <f>IFERROR(__xludf.DUMMYFUNCTION("""COMPUTED_VALUE"""),1651.0)</f>
        <v>1651</v>
      </c>
      <c r="U273" s="1" t="s">
        <v>2513</v>
      </c>
    </row>
    <row r="274">
      <c r="A274" s="4">
        <v>44371.50757084491</v>
      </c>
      <c r="B274" s="3" t="s">
        <v>1012</v>
      </c>
      <c r="C274" s="3" t="s">
        <v>1637</v>
      </c>
      <c r="D274" s="3" t="s">
        <v>518</v>
      </c>
      <c r="E274" s="6">
        <v>44368.0</v>
      </c>
      <c r="F274" s="3">
        <v>12000.0</v>
      </c>
      <c r="G274" s="3" t="s">
        <v>136</v>
      </c>
      <c r="H274" s="3" t="s">
        <v>22</v>
      </c>
      <c r="I274" s="3" t="s">
        <v>1145</v>
      </c>
      <c r="J274" s="3" t="s">
        <v>1050</v>
      </c>
      <c r="K274" s="3" t="s">
        <v>1638</v>
      </c>
      <c r="L274" s="3" t="s">
        <v>1639</v>
      </c>
      <c r="M274" s="3" t="s">
        <v>1640</v>
      </c>
      <c r="N274" s="3" t="s">
        <v>523</v>
      </c>
      <c r="O274" s="3" t="s">
        <v>1017</v>
      </c>
      <c r="P274" s="3" t="s">
        <v>1150</v>
      </c>
      <c r="Q274" s="3" t="s">
        <v>29</v>
      </c>
      <c r="S274" s="27" t="s">
        <v>1641</v>
      </c>
      <c r="T274" s="27">
        <f>IFERROR(__xludf.DUMMYFUNCTION("""COMPUTED_VALUE"""),1468.0)</f>
        <v>1468</v>
      </c>
      <c r="U274" s="1" t="s">
        <v>2514</v>
      </c>
    </row>
    <row r="275">
      <c r="A275" s="4">
        <v>44376.552847071755</v>
      </c>
      <c r="B275" s="3" t="s">
        <v>1642</v>
      </c>
      <c r="C275" s="3" t="s">
        <v>1643</v>
      </c>
      <c r="D275" s="3" t="s">
        <v>358</v>
      </c>
      <c r="E275" s="6">
        <v>44372.0</v>
      </c>
      <c r="F275" s="3">
        <v>13800.0</v>
      </c>
      <c r="G275" s="3" t="s">
        <v>136</v>
      </c>
      <c r="H275" s="3" t="s">
        <v>22</v>
      </c>
      <c r="K275" s="3" t="s">
        <v>1644</v>
      </c>
      <c r="L275" s="3" t="s">
        <v>1645</v>
      </c>
      <c r="M275" s="3" t="s">
        <v>1646</v>
      </c>
      <c r="N275" s="3" t="s">
        <v>362</v>
      </c>
      <c r="O275" s="3" t="s">
        <v>1647</v>
      </c>
      <c r="Q275" s="3" t="s">
        <v>29</v>
      </c>
      <c r="S275" s="27" t="s">
        <v>1648</v>
      </c>
      <c r="T275" s="27">
        <f>IFERROR(__xludf.DUMMYFUNCTION("""COMPUTED_VALUE"""),1656.0)</f>
        <v>1656</v>
      </c>
      <c r="U275" s="1" t="s">
        <v>2515</v>
      </c>
    </row>
    <row r="276">
      <c r="A276" s="4">
        <v>44376.55538482639</v>
      </c>
      <c r="B276" s="3" t="s">
        <v>1649</v>
      </c>
      <c r="C276" s="3" t="s">
        <v>1650</v>
      </c>
      <c r="D276" s="3" t="s">
        <v>358</v>
      </c>
      <c r="E276" s="6">
        <v>44375.0</v>
      </c>
      <c r="F276" s="3">
        <v>3590.0</v>
      </c>
      <c r="G276" s="3" t="s">
        <v>136</v>
      </c>
      <c r="H276" s="3" t="s">
        <v>22</v>
      </c>
      <c r="I276" s="3" t="s">
        <v>1137</v>
      </c>
      <c r="K276" s="3" t="s">
        <v>1651</v>
      </c>
      <c r="L276" s="3" t="s">
        <v>1652</v>
      </c>
      <c r="M276" s="3" t="s">
        <v>1653</v>
      </c>
      <c r="N276" s="3" t="s">
        <v>362</v>
      </c>
      <c r="O276" s="3" t="s">
        <v>1654</v>
      </c>
      <c r="P276" s="3" t="s">
        <v>1141</v>
      </c>
      <c r="Q276" s="3" t="s">
        <v>1205</v>
      </c>
      <c r="S276" s="27" t="s">
        <v>1655</v>
      </c>
      <c r="T276" s="27">
        <f>IFERROR(__xludf.DUMMYFUNCTION("""COMPUTED_VALUE"""),1664.0)</f>
        <v>1664</v>
      </c>
      <c r="U276" s="1" t="s">
        <v>2516</v>
      </c>
    </row>
    <row r="277">
      <c r="A277" s="4">
        <v>44378.598386412035</v>
      </c>
      <c r="B277" s="3" t="s">
        <v>1656</v>
      </c>
      <c r="C277" s="3" t="s">
        <v>1657</v>
      </c>
      <c r="D277" s="3" t="s">
        <v>358</v>
      </c>
      <c r="E277" s="6">
        <v>44378.0</v>
      </c>
      <c r="F277" s="3">
        <v>1860.0</v>
      </c>
      <c r="G277" s="3" t="s">
        <v>136</v>
      </c>
      <c r="H277" s="3" t="s">
        <v>22</v>
      </c>
      <c r="I277" s="3" t="s">
        <v>1137</v>
      </c>
      <c r="K277" s="3" t="s">
        <v>1658</v>
      </c>
      <c r="L277" s="3" t="s">
        <v>1659</v>
      </c>
      <c r="M277" s="3" t="s">
        <v>1660</v>
      </c>
      <c r="N277" s="3" t="s">
        <v>362</v>
      </c>
      <c r="O277" s="3" t="s">
        <v>1661</v>
      </c>
      <c r="P277" s="3" t="s">
        <v>1141</v>
      </c>
      <c r="Q277" s="3" t="s">
        <v>29</v>
      </c>
      <c r="S277" s="27" t="s">
        <v>1662</v>
      </c>
      <c r="T277" s="27">
        <f>IFERROR(__xludf.DUMMYFUNCTION("""COMPUTED_VALUE"""),1660.0)</f>
        <v>1660</v>
      </c>
      <c r="U277" s="1" t="s">
        <v>2517</v>
      </c>
    </row>
    <row r="278">
      <c r="A278" s="4">
        <v>44378.61455186343</v>
      </c>
      <c r="B278" s="3" t="s">
        <v>1663</v>
      </c>
      <c r="C278" s="3" t="s">
        <v>1664</v>
      </c>
      <c r="D278" s="3" t="s">
        <v>358</v>
      </c>
      <c r="E278" s="6">
        <v>44378.0</v>
      </c>
      <c r="F278" s="3">
        <v>3000.0</v>
      </c>
      <c r="G278" s="3" t="s">
        <v>136</v>
      </c>
      <c r="H278" s="3" t="s">
        <v>22</v>
      </c>
      <c r="I278" s="3" t="s">
        <v>1137</v>
      </c>
      <c r="K278" s="3" t="s">
        <v>1665</v>
      </c>
      <c r="L278" s="3" t="s">
        <v>1666</v>
      </c>
      <c r="M278" s="3" t="s">
        <v>1667</v>
      </c>
      <c r="N278" s="3" t="s">
        <v>362</v>
      </c>
      <c r="O278" s="3" t="s">
        <v>1668</v>
      </c>
      <c r="P278" s="3" t="s">
        <v>1141</v>
      </c>
      <c r="Q278" s="3" t="s">
        <v>29</v>
      </c>
      <c r="S278" s="27" t="s">
        <v>1669</v>
      </c>
      <c r="T278" s="27">
        <f>IFERROR(__xludf.DUMMYFUNCTION("""COMPUTED_VALUE"""),1666.0)</f>
        <v>1666</v>
      </c>
      <c r="U278" s="1" t="s">
        <v>2518</v>
      </c>
    </row>
    <row r="279">
      <c r="A279" s="4">
        <v>44379.54512354167</v>
      </c>
      <c r="B279" s="3" t="s">
        <v>1670</v>
      </c>
      <c r="C279" s="3" t="s">
        <v>1671</v>
      </c>
      <c r="D279" s="3" t="s">
        <v>358</v>
      </c>
      <c r="E279" s="6">
        <v>44379.0</v>
      </c>
      <c r="F279" s="3">
        <v>4690.0</v>
      </c>
      <c r="G279" s="3" t="s">
        <v>136</v>
      </c>
      <c r="H279" s="3" t="s">
        <v>22</v>
      </c>
      <c r="I279" s="3" t="s">
        <v>1137</v>
      </c>
      <c r="K279" s="3" t="s">
        <v>1672</v>
      </c>
      <c r="L279" s="3" t="s">
        <v>1673</v>
      </c>
      <c r="M279" s="3" t="s">
        <v>1674</v>
      </c>
      <c r="N279" s="3" t="s">
        <v>362</v>
      </c>
      <c r="O279" s="3" t="s">
        <v>1675</v>
      </c>
      <c r="P279" s="3" t="s">
        <v>1141</v>
      </c>
      <c r="Q279" s="3" t="s">
        <v>29</v>
      </c>
      <c r="S279" s="27" t="s">
        <v>1676</v>
      </c>
      <c r="T279" s="27">
        <f>IFERROR(__xludf.DUMMYFUNCTION("""COMPUTED_VALUE"""),1689.0)</f>
        <v>1689</v>
      </c>
      <c r="U279" s="1" t="s">
        <v>2519</v>
      </c>
    </row>
    <row r="280">
      <c r="A280" s="4">
        <v>44379.57557259259</v>
      </c>
      <c r="B280" s="3" t="s">
        <v>1597</v>
      </c>
      <c r="C280" s="3" t="s">
        <v>1677</v>
      </c>
      <c r="D280" s="3" t="s">
        <v>358</v>
      </c>
      <c r="E280" s="6">
        <v>44379.0</v>
      </c>
      <c r="F280" s="3">
        <v>3720.0</v>
      </c>
      <c r="G280" s="3" t="s">
        <v>136</v>
      </c>
      <c r="H280" s="3" t="s">
        <v>22</v>
      </c>
      <c r="I280" s="3" t="s">
        <v>1137</v>
      </c>
      <c r="J280" s="3" t="s">
        <v>1678</v>
      </c>
      <c r="K280" s="3" t="s">
        <v>1679</v>
      </c>
      <c r="L280" s="3" t="s">
        <v>1680</v>
      </c>
      <c r="M280" s="3" t="s">
        <v>1681</v>
      </c>
      <c r="N280" s="3" t="s">
        <v>362</v>
      </c>
      <c r="O280" s="3" t="s">
        <v>1603</v>
      </c>
      <c r="P280" s="3" t="s">
        <v>1141</v>
      </c>
      <c r="Q280" s="3" t="s">
        <v>29</v>
      </c>
      <c r="S280" s="27" t="s">
        <v>1682</v>
      </c>
      <c r="T280" s="27">
        <f>IFERROR(__xludf.DUMMYFUNCTION("""COMPUTED_VALUE"""),1580.0)</f>
        <v>1580</v>
      </c>
      <c r="U280" s="1" t="s">
        <v>2520</v>
      </c>
    </row>
    <row r="281">
      <c r="A281" s="4">
        <v>44383.650732800925</v>
      </c>
      <c r="B281" s="3" t="s">
        <v>1683</v>
      </c>
      <c r="C281" s="3" t="s">
        <v>1684</v>
      </c>
      <c r="D281" s="3" t="s">
        <v>358</v>
      </c>
      <c r="E281" s="6">
        <v>44383.0</v>
      </c>
      <c r="F281" s="3">
        <v>1380.0</v>
      </c>
      <c r="G281" s="3" t="s">
        <v>136</v>
      </c>
      <c r="H281" s="3" t="s">
        <v>22</v>
      </c>
      <c r="I281" s="3" t="s">
        <v>1137</v>
      </c>
      <c r="K281" s="3" t="s">
        <v>1685</v>
      </c>
      <c r="L281" s="3" t="s">
        <v>1686</v>
      </c>
      <c r="M281" s="3" t="s">
        <v>1687</v>
      </c>
      <c r="N281" s="3" t="s">
        <v>362</v>
      </c>
      <c r="O281" s="3" t="s">
        <v>1688</v>
      </c>
      <c r="P281" s="3" t="s">
        <v>1141</v>
      </c>
      <c r="Q281" s="3" t="s">
        <v>29</v>
      </c>
      <c r="S281" s="27" t="s">
        <v>1689</v>
      </c>
      <c r="T281" s="27">
        <f>IFERROR(__xludf.DUMMYFUNCTION("""COMPUTED_VALUE"""),713.0)</f>
        <v>713</v>
      </c>
      <c r="U281" s="1" t="s">
        <v>2521</v>
      </c>
    </row>
    <row r="282">
      <c r="A282" s="4">
        <v>44397.7835581713</v>
      </c>
      <c r="B282" s="3" t="s">
        <v>1690</v>
      </c>
      <c r="C282" s="3" t="s">
        <v>1691</v>
      </c>
      <c r="D282" s="3" t="s">
        <v>358</v>
      </c>
      <c r="E282" s="6">
        <v>44386.0</v>
      </c>
      <c r="F282" s="3">
        <v>6505.0</v>
      </c>
      <c r="G282" s="3" t="s">
        <v>21</v>
      </c>
      <c r="H282" s="3" t="s">
        <v>22</v>
      </c>
      <c r="J282" s="3" t="s">
        <v>1692</v>
      </c>
      <c r="K282" s="3" t="s">
        <v>1693</v>
      </c>
      <c r="L282" s="3" t="s">
        <v>1694</v>
      </c>
      <c r="M282" s="3" t="s">
        <v>1695</v>
      </c>
      <c r="N282" s="3" t="s">
        <v>362</v>
      </c>
      <c r="O282" s="3" t="s">
        <v>1696</v>
      </c>
      <c r="Q282" s="3" t="s">
        <v>29</v>
      </c>
      <c r="S282" s="27" t="s">
        <v>1697</v>
      </c>
      <c r="T282" s="27">
        <f>IFERROR(__xludf.DUMMYFUNCTION("""COMPUTED_VALUE"""),225.0)</f>
        <v>225</v>
      </c>
      <c r="U282" s="1" t="s">
        <v>2522</v>
      </c>
    </row>
    <row r="283">
      <c r="A283" s="4">
        <v>44397.78699613426</v>
      </c>
      <c r="B283" s="3" t="s">
        <v>1698</v>
      </c>
      <c r="C283" s="3" t="s">
        <v>1699</v>
      </c>
      <c r="D283" s="3" t="s">
        <v>358</v>
      </c>
      <c r="E283" s="6">
        <v>44385.0</v>
      </c>
      <c r="F283" s="3">
        <v>7575.0</v>
      </c>
      <c r="G283" s="3" t="s">
        <v>21</v>
      </c>
      <c r="H283" s="3" t="s">
        <v>22</v>
      </c>
      <c r="I283" s="3" t="s">
        <v>1145</v>
      </c>
      <c r="K283" s="3" t="s">
        <v>1700</v>
      </c>
      <c r="L283" s="3" t="s">
        <v>1701</v>
      </c>
      <c r="M283" s="3" t="s">
        <v>1702</v>
      </c>
      <c r="N283" s="3" t="s">
        <v>362</v>
      </c>
      <c r="O283" s="3" t="s">
        <v>1703</v>
      </c>
      <c r="P283" s="3" t="s">
        <v>1150</v>
      </c>
      <c r="Q283" s="3" t="s">
        <v>29</v>
      </c>
      <c r="S283" s="27" t="s">
        <v>1704</v>
      </c>
      <c r="T283" s="27">
        <f>IFERROR(__xludf.DUMMYFUNCTION("""COMPUTED_VALUE"""),1655.0)</f>
        <v>1655</v>
      </c>
      <c r="U283" s="1" t="s">
        <v>2523</v>
      </c>
    </row>
    <row r="284">
      <c r="A284" s="4">
        <v>44398.72578173611</v>
      </c>
      <c r="B284" s="3" t="s">
        <v>516</v>
      </c>
      <c r="C284" s="3" t="s">
        <v>1705</v>
      </c>
      <c r="D284" s="3" t="s">
        <v>358</v>
      </c>
      <c r="E284" s="6">
        <v>44389.0</v>
      </c>
      <c r="F284" s="3">
        <v>5920.0</v>
      </c>
      <c r="G284" s="3" t="s">
        <v>21</v>
      </c>
      <c r="H284" s="3" t="s">
        <v>22</v>
      </c>
      <c r="J284" s="3" t="s">
        <v>1706</v>
      </c>
      <c r="K284" s="3" t="s">
        <v>1707</v>
      </c>
      <c r="L284" s="3" t="s">
        <v>1708</v>
      </c>
      <c r="M284" s="3" t="s">
        <v>1709</v>
      </c>
      <c r="N284" s="3" t="s">
        <v>362</v>
      </c>
      <c r="O284" s="3" t="s">
        <v>524</v>
      </c>
      <c r="Q284" s="3" t="s">
        <v>29</v>
      </c>
      <c r="S284" s="27" t="s">
        <v>1710</v>
      </c>
      <c r="T284" s="27">
        <f>IFERROR(__xludf.DUMMYFUNCTION("""COMPUTED_VALUE"""),1371.0)</f>
        <v>1371</v>
      </c>
      <c r="U284" s="1" t="s">
        <v>2524</v>
      </c>
    </row>
    <row r="285">
      <c r="A285" s="4">
        <v>44399.53906241898</v>
      </c>
      <c r="B285" s="3" t="s">
        <v>1711</v>
      </c>
      <c r="C285" s="3" t="s">
        <v>1712</v>
      </c>
      <c r="D285" s="3" t="s">
        <v>20</v>
      </c>
      <c r="E285" s="6">
        <v>44317.0</v>
      </c>
      <c r="F285" s="3">
        <v>31500.0</v>
      </c>
      <c r="G285" s="3" t="s">
        <v>136</v>
      </c>
      <c r="H285" s="3" t="s">
        <v>22</v>
      </c>
      <c r="J285" s="3" t="s">
        <v>1713</v>
      </c>
      <c r="K285" s="3" t="s">
        <v>1714</v>
      </c>
      <c r="L285" s="3" t="s">
        <v>1715</v>
      </c>
      <c r="M285" s="3" t="s">
        <v>1716</v>
      </c>
      <c r="N285" s="3" t="s">
        <v>27</v>
      </c>
      <c r="O285" s="3" t="s">
        <v>1717</v>
      </c>
      <c r="Q285" s="3" t="s">
        <v>29</v>
      </c>
      <c r="S285" s="27" t="s">
        <v>1718</v>
      </c>
      <c r="T285" s="27">
        <f>IFERROR(__xludf.DUMMYFUNCTION("""COMPUTED_VALUE"""),1599.0)</f>
        <v>1599</v>
      </c>
      <c r="U285" s="1" t="s">
        <v>2525</v>
      </c>
    </row>
    <row r="286">
      <c r="A286" s="4">
        <v>44399.57712128472</v>
      </c>
      <c r="B286" s="3" t="s">
        <v>1719</v>
      </c>
      <c r="C286" s="3" t="s">
        <v>1720</v>
      </c>
      <c r="D286" s="3" t="s">
        <v>358</v>
      </c>
      <c r="E286" s="6">
        <v>44348.0</v>
      </c>
      <c r="F286" s="3">
        <v>0.0</v>
      </c>
      <c r="G286" s="3" t="s">
        <v>136</v>
      </c>
      <c r="H286" s="3" t="s">
        <v>22</v>
      </c>
      <c r="K286" s="3" t="s">
        <v>1721</v>
      </c>
      <c r="L286" s="3" t="s">
        <v>1722</v>
      </c>
      <c r="M286" s="3" t="s">
        <v>1723</v>
      </c>
      <c r="N286" s="3" t="s">
        <v>362</v>
      </c>
      <c r="O286" s="3" t="s">
        <v>1724</v>
      </c>
      <c r="Q286" s="3" t="s">
        <v>29</v>
      </c>
      <c r="S286" s="27" t="s">
        <v>1725</v>
      </c>
      <c r="T286" s="27">
        <f>IFERROR(__xludf.DUMMYFUNCTION("""COMPUTED_VALUE"""),1502.0)</f>
        <v>1502</v>
      </c>
      <c r="U286" s="1" t="s">
        <v>2526</v>
      </c>
    </row>
    <row r="287">
      <c r="A287" s="4">
        <v>44399.64366027778</v>
      </c>
      <c r="B287" s="3" t="s">
        <v>89</v>
      </c>
      <c r="C287" s="3" t="s">
        <v>1726</v>
      </c>
      <c r="D287" s="3" t="s">
        <v>756</v>
      </c>
      <c r="E287" s="6">
        <v>44329.0</v>
      </c>
      <c r="F287" s="3">
        <v>1150.0</v>
      </c>
      <c r="G287" s="3" t="s">
        <v>21</v>
      </c>
      <c r="H287" s="3" t="s">
        <v>22</v>
      </c>
      <c r="I287" s="3" t="s">
        <v>1167</v>
      </c>
      <c r="J287" s="3" t="s">
        <v>490</v>
      </c>
      <c r="K287" s="3" t="s">
        <v>1727</v>
      </c>
      <c r="L287" s="3" t="s">
        <v>1728</v>
      </c>
      <c r="M287" s="3" t="s">
        <v>1729</v>
      </c>
      <c r="N287" s="3" t="s">
        <v>760</v>
      </c>
      <c r="O287" s="3" t="s">
        <v>94</v>
      </c>
      <c r="P287" s="3" t="s">
        <v>1172</v>
      </c>
      <c r="Q287" s="3" t="s">
        <v>29</v>
      </c>
      <c r="S287" s="27" t="s">
        <v>1730</v>
      </c>
      <c r="T287" s="27">
        <f>IFERROR(__xludf.DUMMYFUNCTION("""COMPUTED_VALUE"""),902.0)</f>
        <v>902</v>
      </c>
      <c r="U287" s="1" t="s">
        <v>2527</v>
      </c>
    </row>
    <row r="288">
      <c r="A288" s="4">
        <v>44413.72339960648</v>
      </c>
      <c r="B288" s="3" t="s">
        <v>322</v>
      </c>
      <c r="C288" s="3" t="s">
        <v>1731</v>
      </c>
      <c r="D288" s="3" t="s">
        <v>20</v>
      </c>
      <c r="E288" s="6">
        <v>44392.0</v>
      </c>
      <c r="F288" s="3">
        <v>62500.0</v>
      </c>
      <c r="G288" s="3" t="s">
        <v>21</v>
      </c>
      <c r="H288" s="3" t="s">
        <v>22</v>
      </c>
      <c r="J288" s="3" t="s">
        <v>1732</v>
      </c>
      <c r="K288" s="3" t="s">
        <v>1733</v>
      </c>
      <c r="L288" s="3" t="s">
        <v>1734</v>
      </c>
      <c r="M288" s="3" t="s">
        <v>1735</v>
      </c>
      <c r="N288" s="3" t="s">
        <v>27</v>
      </c>
      <c r="O288" s="3" t="s">
        <v>327</v>
      </c>
      <c r="Q288" s="3" t="s">
        <v>29</v>
      </c>
      <c r="S288" s="27" t="s">
        <v>1736</v>
      </c>
      <c r="T288" s="27">
        <f>IFERROR(__xludf.DUMMYFUNCTION("""COMPUTED_VALUE"""),1132.0)</f>
        <v>1132</v>
      </c>
      <c r="U288" s="1" t="s">
        <v>2528</v>
      </c>
    </row>
    <row r="289">
      <c r="A289" s="4">
        <v>44413.74146770833</v>
      </c>
      <c r="B289" s="3" t="s">
        <v>1737</v>
      </c>
      <c r="C289" s="3" t="s">
        <v>1738</v>
      </c>
      <c r="D289" s="3" t="s">
        <v>20</v>
      </c>
      <c r="E289" s="6">
        <v>44398.0</v>
      </c>
      <c r="F289" s="3">
        <v>575281.93</v>
      </c>
      <c r="G289" s="3" t="s">
        <v>21</v>
      </c>
      <c r="H289" s="3" t="s">
        <v>22</v>
      </c>
      <c r="J289" s="3" t="s">
        <v>2529</v>
      </c>
      <c r="K289" s="3" t="s">
        <v>1740</v>
      </c>
      <c r="L289" s="3" t="s">
        <v>1741</v>
      </c>
      <c r="M289" s="3" t="s">
        <v>1742</v>
      </c>
      <c r="N289" s="3" t="s">
        <v>27</v>
      </c>
      <c r="O289" s="3" t="s">
        <v>1743</v>
      </c>
      <c r="Q289" s="3" t="s">
        <v>29</v>
      </c>
      <c r="S289" s="27" t="s">
        <v>2530</v>
      </c>
      <c r="T289" s="27">
        <f>IFERROR(__xludf.DUMMYFUNCTION("""COMPUTED_VALUE"""),1703.0)</f>
        <v>1703</v>
      </c>
      <c r="U289" s="1" t="s">
        <v>2531</v>
      </c>
    </row>
    <row r="290">
      <c r="A290" s="4">
        <v>44419.64570158564</v>
      </c>
      <c r="B290" s="3" t="s">
        <v>516</v>
      </c>
      <c r="C290" s="3" t="s">
        <v>1745</v>
      </c>
      <c r="D290" s="3" t="s">
        <v>358</v>
      </c>
      <c r="E290" s="6">
        <v>44413.0</v>
      </c>
      <c r="F290" s="3">
        <v>34060.0</v>
      </c>
      <c r="G290" s="3" t="s">
        <v>21</v>
      </c>
      <c r="H290" s="3" t="s">
        <v>22</v>
      </c>
      <c r="I290" s="3" t="s">
        <v>1145</v>
      </c>
      <c r="J290" s="3" t="s">
        <v>1706</v>
      </c>
      <c r="K290" s="3" t="s">
        <v>1746</v>
      </c>
      <c r="L290" s="3" t="s">
        <v>1747</v>
      </c>
      <c r="M290" s="3" t="s">
        <v>1748</v>
      </c>
      <c r="N290" s="3" t="s">
        <v>362</v>
      </c>
      <c r="O290" s="3" t="s">
        <v>524</v>
      </c>
      <c r="P290" s="3" t="s">
        <v>1150</v>
      </c>
      <c r="Q290" s="3" t="s">
        <v>29</v>
      </c>
      <c r="S290" s="27" t="s">
        <v>1749</v>
      </c>
      <c r="T290" s="27">
        <f>IFERROR(__xludf.DUMMYFUNCTION("""COMPUTED_VALUE"""),1371.0)</f>
        <v>1371</v>
      </c>
      <c r="U290" s="1" t="s">
        <v>2532</v>
      </c>
    </row>
    <row r="291">
      <c r="A291" s="4">
        <v>44419.662645752316</v>
      </c>
      <c r="B291" s="3" t="s">
        <v>1750</v>
      </c>
      <c r="C291" s="3" t="s">
        <v>1751</v>
      </c>
      <c r="D291" s="3" t="s">
        <v>20</v>
      </c>
      <c r="E291" s="6">
        <v>44414.0</v>
      </c>
      <c r="F291" s="3">
        <v>55690.0</v>
      </c>
      <c r="G291" s="3" t="s">
        <v>21</v>
      </c>
      <c r="H291" s="3" t="s">
        <v>22</v>
      </c>
      <c r="J291" s="3" t="s">
        <v>1752</v>
      </c>
      <c r="K291" s="3" t="s">
        <v>1753</v>
      </c>
      <c r="L291" s="3" t="s">
        <v>1754</v>
      </c>
      <c r="M291" s="3" t="s">
        <v>1755</v>
      </c>
      <c r="N291" s="3" t="s">
        <v>27</v>
      </c>
      <c r="O291" s="7" t="s">
        <v>1756</v>
      </c>
      <c r="Q291" s="3" t="s">
        <v>29</v>
      </c>
      <c r="S291" s="27" t="s">
        <v>1757</v>
      </c>
      <c r="T291" s="27">
        <f>IFERROR(__xludf.DUMMYFUNCTION("""COMPUTED_VALUE"""),1697.0)</f>
        <v>1697</v>
      </c>
      <c r="U291" s="1" t="s">
        <v>2533</v>
      </c>
    </row>
    <row r="292">
      <c r="A292" s="4">
        <v>44421.737764687496</v>
      </c>
      <c r="B292" s="3" t="s">
        <v>1758</v>
      </c>
      <c r="C292" s="3" t="s">
        <v>1759</v>
      </c>
      <c r="D292" s="3" t="s">
        <v>20</v>
      </c>
      <c r="E292" s="6">
        <v>44326.0</v>
      </c>
      <c r="F292" s="3">
        <v>11800.0</v>
      </c>
      <c r="G292" s="3" t="s">
        <v>21</v>
      </c>
      <c r="H292" s="3" t="s">
        <v>22</v>
      </c>
      <c r="J292" s="3" t="s">
        <v>1760</v>
      </c>
      <c r="K292" s="3" t="s">
        <v>1761</v>
      </c>
      <c r="L292" s="3" t="s">
        <v>1762</v>
      </c>
      <c r="M292" s="3" t="s">
        <v>1763</v>
      </c>
      <c r="N292" s="3" t="s">
        <v>27</v>
      </c>
      <c r="O292" s="3" t="s">
        <v>1764</v>
      </c>
      <c r="Q292" s="3" t="s">
        <v>29</v>
      </c>
      <c r="S292" s="27" t="s">
        <v>1765</v>
      </c>
      <c r="T292" s="27">
        <f>IFERROR(__xludf.DUMMYFUNCTION("""COMPUTED_VALUE"""),1617.0)</f>
        <v>1617</v>
      </c>
      <c r="U292" s="1" t="s">
        <v>2534</v>
      </c>
    </row>
    <row r="293">
      <c r="A293" s="4">
        <v>44421.76439459491</v>
      </c>
      <c r="B293" s="3" t="s">
        <v>482</v>
      </c>
      <c r="C293" s="3" t="s">
        <v>1766</v>
      </c>
      <c r="D293" s="3" t="s">
        <v>358</v>
      </c>
      <c r="E293" s="6">
        <v>44420.0</v>
      </c>
      <c r="F293" s="3">
        <v>7600.0</v>
      </c>
      <c r="G293" s="3" t="s">
        <v>21</v>
      </c>
      <c r="H293" s="3" t="s">
        <v>22</v>
      </c>
      <c r="I293" s="3" t="s">
        <v>1137</v>
      </c>
      <c r="K293" s="3" t="s">
        <v>1767</v>
      </c>
      <c r="L293" s="3" t="s">
        <v>1768</v>
      </c>
      <c r="M293" s="3" t="s">
        <v>1769</v>
      </c>
      <c r="N293" s="3" t="s">
        <v>362</v>
      </c>
      <c r="O293" s="3" t="s">
        <v>487</v>
      </c>
      <c r="P293" s="3" t="s">
        <v>1141</v>
      </c>
      <c r="Q293" s="3" t="s">
        <v>29</v>
      </c>
      <c r="S293" s="27" t="s">
        <v>1770</v>
      </c>
      <c r="T293" s="27">
        <f>IFERROR(__xludf.DUMMYFUNCTION("""COMPUTED_VALUE"""),4.0)</f>
        <v>4</v>
      </c>
      <c r="U293" s="1" t="s">
        <v>2535</v>
      </c>
    </row>
    <row r="294">
      <c r="A294" s="4">
        <v>44421.76649454861</v>
      </c>
      <c r="B294" s="3" t="s">
        <v>482</v>
      </c>
      <c r="C294" s="3" t="s">
        <v>1771</v>
      </c>
      <c r="D294" s="3" t="s">
        <v>358</v>
      </c>
      <c r="E294" s="6">
        <v>44230.0</v>
      </c>
      <c r="F294" s="3">
        <v>3100.0</v>
      </c>
      <c r="G294" s="3" t="s">
        <v>21</v>
      </c>
      <c r="H294" s="3" t="s">
        <v>22</v>
      </c>
      <c r="I294" s="3" t="s">
        <v>1137</v>
      </c>
      <c r="K294" s="3" t="s">
        <v>1772</v>
      </c>
      <c r="L294" s="3" t="s">
        <v>1773</v>
      </c>
      <c r="M294" s="3" t="s">
        <v>1774</v>
      </c>
      <c r="N294" s="3" t="s">
        <v>362</v>
      </c>
      <c r="O294" s="3" t="s">
        <v>487</v>
      </c>
      <c r="P294" s="3" t="s">
        <v>1141</v>
      </c>
      <c r="Q294" s="3" t="s">
        <v>1205</v>
      </c>
      <c r="S294" s="27" t="s">
        <v>1775</v>
      </c>
      <c r="T294" s="27">
        <f>IFERROR(__xludf.DUMMYFUNCTION("""COMPUTED_VALUE"""),4.0)</f>
        <v>4</v>
      </c>
      <c r="U294" s="1" t="s">
        <v>2536</v>
      </c>
    </row>
    <row r="295">
      <c r="A295" s="4">
        <v>44435.56516721065</v>
      </c>
      <c r="B295" s="3" t="s">
        <v>1776</v>
      </c>
      <c r="C295" s="3" t="s">
        <v>1777</v>
      </c>
      <c r="D295" s="3" t="s">
        <v>358</v>
      </c>
      <c r="E295" s="6">
        <v>44434.0</v>
      </c>
      <c r="F295" s="3">
        <v>320.0</v>
      </c>
      <c r="G295" s="3" t="s">
        <v>21</v>
      </c>
      <c r="H295" s="3" t="s">
        <v>22</v>
      </c>
      <c r="I295" s="3" t="s">
        <v>1137</v>
      </c>
      <c r="K295" s="3" t="s">
        <v>1778</v>
      </c>
      <c r="L295" s="3" t="s">
        <v>1779</v>
      </c>
      <c r="M295" s="3" t="s">
        <v>1780</v>
      </c>
      <c r="N295" s="3" t="s">
        <v>362</v>
      </c>
      <c r="O295" s="3" t="s">
        <v>1781</v>
      </c>
      <c r="P295" s="3" t="s">
        <v>1141</v>
      </c>
      <c r="Q295" s="3" t="s">
        <v>29</v>
      </c>
      <c r="S295" s="27" t="s">
        <v>1782</v>
      </c>
      <c r="T295" s="27">
        <f>IFERROR(__xludf.DUMMYFUNCTION("""COMPUTED_VALUE"""),69.0)</f>
        <v>69</v>
      </c>
      <c r="U295" s="1" t="s">
        <v>2537</v>
      </c>
    </row>
    <row r="296">
      <c r="A296" s="4">
        <v>44446.47931944444</v>
      </c>
      <c r="B296" s="3" t="s">
        <v>1783</v>
      </c>
      <c r="C296" s="3" t="s">
        <v>1784</v>
      </c>
      <c r="D296" s="3" t="s">
        <v>358</v>
      </c>
      <c r="E296" s="6">
        <v>44424.0</v>
      </c>
      <c r="F296" s="3">
        <v>2675.0</v>
      </c>
      <c r="G296" s="3" t="s">
        <v>21</v>
      </c>
      <c r="H296" s="3" t="s">
        <v>22</v>
      </c>
      <c r="I296" s="3" t="s">
        <v>1137</v>
      </c>
      <c r="K296" s="3" t="s">
        <v>1785</v>
      </c>
      <c r="L296" s="3" t="s">
        <v>1786</v>
      </c>
      <c r="M296" s="3" t="s">
        <v>1787</v>
      </c>
      <c r="N296" s="3" t="s">
        <v>362</v>
      </c>
      <c r="O296" s="7" t="s">
        <v>1788</v>
      </c>
      <c r="P296" s="3" t="s">
        <v>1141</v>
      </c>
      <c r="Q296" s="3" t="s">
        <v>29</v>
      </c>
      <c r="S296" s="27" t="s">
        <v>1789</v>
      </c>
      <c r="T296" s="27">
        <f>IFERROR(__xludf.DUMMYFUNCTION("""COMPUTED_VALUE"""),1696.0)</f>
        <v>1696</v>
      </c>
      <c r="U296" s="1" t="s">
        <v>2538</v>
      </c>
    </row>
    <row r="297">
      <c r="A297" s="4">
        <v>44446.48249899306</v>
      </c>
      <c r="B297" s="3" t="s">
        <v>482</v>
      </c>
      <c r="C297" s="3" t="s">
        <v>1790</v>
      </c>
      <c r="D297" s="3" t="s">
        <v>358</v>
      </c>
      <c r="E297" s="6">
        <v>44427.0</v>
      </c>
      <c r="F297" s="3">
        <v>8805.0</v>
      </c>
      <c r="G297" s="3" t="s">
        <v>21</v>
      </c>
      <c r="H297" s="3" t="s">
        <v>22</v>
      </c>
      <c r="K297" s="3" t="s">
        <v>1791</v>
      </c>
      <c r="L297" s="3" t="s">
        <v>1792</v>
      </c>
      <c r="M297" s="3" t="s">
        <v>1793</v>
      </c>
      <c r="N297" s="3" t="s">
        <v>362</v>
      </c>
      <c r="O297" s="3" t="s">
        <v>487</v>
      </c>
      <c r="Q297" s="3" t="s">
        <v>1205</v>
      </c>
      <c r="S297" s="27" t="s">
        <v>1794</v>
      </c>
      <c r="T297" s="27">
        <f>IFERROR(__xludf.DUMMYFUNCTION("""COMPUTED_VALUE"""),4.0)</f>
        <v>4</v>
      </c>
      <c r="U297" s="1" t="s">
        <v>2539</v>
      </c>
    </row>
    <row r="298">
      <c r="A298" s="4">
        <v>44463.60674876157</v>
      </c>
      <c r="B298" s="3" t="s">
        <v>1795</v>
      </c>
      <c r="C298" s="3" t="s">
        <v>1796</v>
      </c>
      <c r="D298" s="3" t="s">
        <v>358</v>
      </c>
      <c r="E298" s="6">
        <v>44383.0</v>
      </c>
      <c r="F298" s="3">
        <v>4681.0</v>
      </c>
      <c r="G298" s="3" t="s">
        <v>21</v>
      </c>
      <c r="H298" s="3" t="s">
        <v>22</v>
      </c>
      <c r="K298" s="3" t="s">
        <v>1797</v>
      </c>
      <c r="L298" s="3" t="s">
        <v>1798</v>
      </c>
      <c r="M298" s="3" t="s">
        <v>1799</v>
      </c>
      <c r="N298" s="3" t="s">
        <v>362</v>
      </c>
      <c r="O298" s="7" t="s">
        <v>1800</v>
      </c>
      <c r="Q298" s="3" t="s">
        <v>29</v>
      </c>
      <c r="S298" s="27" t="s">
        <v>1801</v>
      </c>
      <c r="T298" s="27"/>
      <c r="U298" s="1" t="s">
        <v>2540</v>
      </c>
    </row>
    <row r="299">
      <c r="A299" s="4">
        <v>44467.578502812496</v>
      </c>
      <c r="B299" s="3" t="s">
        <v>1802</v>
      </c>
      <c r="C299" s="3" t="s">
        <v>1803</v>
      </c>
      <c r="D299" s="3" t="s">
        <v>358</v>
      </c>
      <c r="E299" s="6">
        <v>44467.0</v>
      </c>
      <c r="F299" s="3">
        <v>2975.0</v>
      </c>
      <c r="G299" s="3" t="s">
        <v>21</v>
      </c>
      <c r="H299" s="3" t="s">
        <v>22</v>
      </c>
      <c r="I299" s="3" t="s">
        <v>1137</v>
      </c>
      <c r="K299" s="3" t="s">
        <v>1804</v>
      </c>
      <c r="L299" s="3" t="s">
        <v>1805</v>
      </c>
      <c r="M299" s="3" t="s">
        <v>1806</v>
      </c>
      <c r="N299" s="3" t="s">
        <v>362</v>
      </c>
      <c r="O299" s="3" t="s">
        <v>1807</v>
      </c>
      <c r="P299" s="3" t="s">
        <v>1141</v>
      </c>
      <c r="Q299" s="3" t="s">
        <v>29</v>
      </c>
      <c r="S299" s="27" t="s">
        <v>1808</v>
      </c>
      <c r="T299" s="27">
        <f>IFERROR(__xludf.DUMMYFUNCTION("""COMPUTED_VALUE"""),1719.0)</f>
        <v>1719</v>
      </c>
      <c r="U299" s="1" t="s">
        <v>2541</v>
      </c>
    </row>
    <row r="300">
      <c r="A300" s="4">
        <v>44468.706410810184</v>
      </c>
      <c r="B300" s="3" t="s">
        <v>1698</v>
      </c>
      <c r="C300" s="3" t="s">
        <v>1809</v>
      </c>
      <c r="D300" s="3" t="s">
        <v>1049</v>
      </c>
      <c r="E300" s="6">
        <v>44400.0</v>
      </c>
      <c r="F300" s="3">
        <v>2650.0</v>
      </c>
      <c r="G300" s="3" t="s">
        <v>21</v>
      </c>
      <c r="H300" s="3" t="s">
        <v>22</v>
      </c>
      <c r="I300" s="3" t="s">
        <v>1145</v>
      </c>
      <c r="J300" s="3" t="s">
        <v>1810</v>
      </c>
      <c r="K300" s="3" t="s">
        <v>1811</v>
      </c>
      <c r="L300" s="3" t="s">
        <v>1812</v>
      </c>
      <c r="M300" s="3" t="s">
        <v>1813</v>
      </c>
      <c r="N300" s="3" t="s">
        <v>1054</v>
      </c>
      <c r="O300" s="3" t="s">
        <v>1703</v>
      </c>
      <c r="P300" s="3" t="s">
        <v>1150</v>
      </c>
      <c r="Q300" s="3" t="s">
        <v>29</v>
      </c>
      <c r="S300" s="27" t="s">
        <v>1814</v>
      </c>
      <c r="T300" s="27">
        <f>IFERROR(__xludf.DUMMYFUNCTION("""COMPUTED_VALUE"""),1655.0)</f>
        <v>1655</v>
      </c>
      <c r="U300" s="1" t="s">
        <v>2542</v>
      </c>
    </row>
    <row r="301">
      <c r="A301" s="4">
        <v>44475.72343079861</v>
      </c>
      <c r="B301" s="3" t="s">
        <v>322</v>
      </c>
      <c r="C301" s="3" t="s">
        <v>1815</v>
      </c>
      <c r="D301" s="3" t="s">
        <v>20</v>
      </c>
      <c r="E301" s="6">
        <v>44474.0</v>
      </c>
      <c r="F301" s="3">
        <v>1158300.0</v>
      </c>
      <c r="G301" s="3" t="s">
        <v>21</v>
      </c>
      <c r="H301" s="3" t="s">
        <v>22</v>
      </c>
      <c r="I301" s="3" t="s">
        <v>1426</v>
      </c>
      <c r="J301" s="3" t="s">
        <v>1816</v>
      </c>
      <c r="K301" s="3" t="s">
        <v>1817</v>
      </c>
      <c r="L301" s="3" t="s">
        <v>1818</v>
      </c>
      <c r="M301" s="3" t="s">
        <v>1819</v>
      </c>
      <c r="N301" s="3" t="s">
        <v>27</v>
      </c>
      <c r="O301" s="3" t="s">
        <v>327</v>
      </c>
      <c r="Q301" s="3" t="s">
        <v>29</v>
      </c>
      <c r="S301" s="27" t="s">
        <v>1820</v>
      </c>
      <c r="T301" s="27">
        <f>IFERROR(__xludf.DUMMYFUNCTION("""COMPUTED_VALUE"""),1132.0)</f>
        <v>1132</v>
      </c>
      <c r="U301" s="1" t="s">
        <v>2543</v>
      </c>
    </row>
    <row r="302">
      <c r="A302" s="4">
        <v>44496.59108884259</v>
      </c>
      <c r="B302" s="3" t="s">
        <v>1821</v>
      </c>
      <c r="C302" s="3" t="s">
        <v>1822</v>
      </c>
      <c r="D302" s="3" t="s">
        <v>358</v>
      </c>
      <c r="E302" s="6">
        <v>44428.0</v>
      </c>
      <c r="F302" s="3">
        <v>6890.0</v>
      </c>
      <c r="G302" s="3" t="s">
        <v>21</v>
      </c>
      <c r="H302" s="3" t="s">
        <v>22</v>
      </c>
      <c r="J302" s="3" t="s">
        <v>1823</v>
      </c>
      <c r="K302" s="3" t="s">
        <v>1824</v>
      </c>
      <c r="L302" s="3" t="s">
        <v>1825</v>
      </c>
      <c r="M302" s="3" t="s">
        <v>1826</v>
      </c>
      <c r="N302" s="3" t="s">
        <v>362</v>
      </c>
      <c r="O302" s="3" t="s">
        <v>1827</v>
      </c>
      <c r="Q302" s="3" t="s">
        <v>29</v>
      </c>
      <c r="S302" s="27" t="s">
        <v>1828</v>
      </c>
      <c r="T302" s="27">
        <f>IFERROR(__xludf.DUMMYFUNCTION("""COMPUTED_VALUE"""),1707.0)</f>
        <v>1707</v>
      </c>
      <c r="U302" s="1" t="s">
        <v>2544</v>
      </c>
    </row>
    <row r="303">
      <c r="A303" s="4">
        <v>44496.654135833334</v>
      </c>
      <c r="B303" s="3" t="s">
        <v>1829</v>
      </c>
      <c r="C303" s="3" t="s">
        <v>1830</v>
      </c>
      <c r="D303" s="3" t="s">
        <v>20</v>
      </c>
      <c r="E303" s="6">
        <v>44466.0</v>
      </c>
      <c r="F303" s="3">
        <v>29850.0</v>
      </c>
      <c r="G303" s="3" t="s">
        <v>21</v>
      </c>
      <c r="H303" s="3" t="s">
        <v>22</v>
      </c>
      <c r="J303" s="3" t="s">
        <v>1831</v>
      </c>
      <c r="K303" s="3" t="s">
        <v>1832</v>
      </c>
      <c r="L303" s="3" t="s">
        <v>1833</v>
      </c>
      <c r="M303" s="3" t="s">
        <v>1834</v>
      </c>
      <c r="N303" s="3" t="s">
        <v>27</v>
      </c>
      <c r="O303" s="3" t="s">
        <v>1835</v>
      </c>
      <c r="Q303" s="3" t="s">
        <v>29</v>
      </c>
      <c r="S303" s="27" t="s">
        <v>1836</v>
      </c>
      <c r="T303" s="27">
        <f>IFERROR(__xludf.DUMMYFUNCTION("""COMPUTED_VALUE"""),1713.0)</f>
        <v>1713</v>
      </c>
      <c r="U303" s="1" t="s">
        <v>2545</v>
      </c>
    </row>
    <row r="304">
      <c r="A304" s="4">
        <v>44496.703856875</v>
      </c>
      <c r="B304" s="3" t="s">
        <v>1837</v>
      </c>
      <c r="C304" s="3" t="s">
        <v>1838</v>
      </c>
      <c r="D304" s="3" t="s">
        <v>358</v>
      </c>
      <c r="E304" s="6">
        <v>44470.0</v>
      </c>
      <c r="F304" s="3">
        <v>13930.0</v>
      </c>
      <c r="G304" s="3" t="s">
        <v>21</v>
      </c>
      <c r="H304" s="3" t="s">
        <v>22</v>
      </c>
      <c r="J304" s="3" t="s">
        <v>1839</v>
      </c>
      <c r="K304" s="3" t="s">
        <v>1840</v>
      </c>
      <c r="L304" s="3" t="s">
        <v>1841</v>
      </c>
      <c r="M304" s="3" t="s">
        <v>1842</v>
      </c>
      <c r="N304" s="3" t="s">
        <v>362</v>
      </c>
      <c r="O304" s="3" t="s">
        <v>1843</v>
      </c>
      <c r="Q304" s="3" t="s">
        <v>29</v>
      </c>
      <c r="S304" s="27" t="s">
        <v>1844</v>
      </c>
      <c r="T304" s="27">
        <f>IFERROR(__xludf.DUMMYFUNCTION("""COMPUTED_VALUE"""),1732.0)</f>
        <v>1732</v>
      </c>
      <c r="U304" s="1" t="s">
        <v>2546</v>
      </c>
    </row>
    <row r="305">
      <c r="A305" s="4">
        <v>44503.65283319444</v>
      </c>
      <c r="B305" s="3" t="s">
        <v>1845</v>
      </c>
      <c r="C305" s="3" t="s">
        <v>1846</v>
      </c>
      <c r="D305" s="3" t="s">
        <v>358</v>
      </c>
      <c r="E305" s="6">
        <v>44484.0</v>
      </c>
      <c r="F305" s="3">
        <v>3505.0</v>
      </c>
      <c r="G305" s="3" t="s">
        <v>21</v>
      </c>
      <c r="H305" s="3" t="s">
        <v>22</v>
      </c>
      <c r="I305" s="3" t="s">
        <v>1137</v>
      </c>
      <c r="K305" s="3" t="s">
        <v>1847</v>
      </c>
      <c r="L305" s="3" t="s">
        <v>1848</v>
      </c>
      <c r="M305" s="3" t="s">
        <v>1849</v>
      </c>
      <c r="N305" s="3" t="s">
        <v>362</v>
      </c>
      <c r="O305" s="3" t="s">
        <v>1850</v>
      </c>
      <c r="P305" s="3" t="s">
        <v>1141</v>
      </c>
      <c r="Q305" s="3" t="s">
        <v>1205</v>
      </c>
      <c r="S305" s="27" t="s">
        <v>1851</v>
      </c>
      <c r="T305" s="27"/>
      <c r="U305" s="1" t="s">
        <v>2547</v>
      </c>
    </row>
    <row r="306">
      <c r="A306" s="4">
        <v>44506.64410460649</v>
      </c>
      <c r="B306" s="3" t="s">
        <v>1852</v>
      </c>
      <c r="C306" s="3" t="s">
        <v>329</v>
      </c>
      <c r="D306" s="3" t="s">
        <v>230</v>
      </c>
      <c r="E306" s="6">
        <v>44476.0</v>
      </c>
      <c r="F306" s="3">
        <v>43200.0</v>
      </c>
      <c r="G306" s="3" t="s">
        <v>136</v>
      </c>
      <c r="H306" s="3" t="s">
        <v>22</v>
      </c>
      <c r="I306" s="3" t="s">
        <v>1167</v>
      </c>
      <c r="J306" s="3" t="s">
        <v>1853</v>
      </c>
      <c r="K306" s="3" t="s">
        <v>1854</v>
      </c>
      <c r="L306" s="3" t="s">
        <v>1855</v>
      </c>
      <c r="M306" s="3" t="s">
        <v>1856</v>
      </c>
      <c r="N306" s="3" t="s">
        <v>234</v>
      </c>
      <c r="O306" s="3" t="s">
        <v>1857</v>
      </c>
      <c r="P306" s="3" t="s">
        <v>1172</v>
      </c>
      <c r="Q306" s="3" t="s">
        <v>29</v>
      </c>
      <c r="S306" s="27" t="s">
        <v>1858</v>
      </c>
      <c r="T306" s="27">
        <f>IFERROR(__xludf.DUMMYFUNCTION("""COMPUTED_VALUE"""),1739.0)</f>
        <v>1739</v>
      </c>
      <c r="U306" s="1" t="s">
        <v>2548</v>
      </c>
    </row>
    <row r="307">
      <c r="A307" s="4">
        <v>44517.56584111111</v>
      </c>
      <c r="B307" s="3" t="s">
        <v>1859</v>
      </c>
      <c r="C307" s="3" t="s">
        <v>1860</v>
      </c>
      <c r="D307" s="3" t="s">
        <v>358</v>
      </c>
      <c r="E307" s="6">
        <v>44511.0</v>
      </c>
      <c r="F307" s="3">
        <v>1870.0</v>
      </c>
      <c r="G307" s="3" t="s">
        <v>136</v>
      </c>
      <c r="H307" s="3" t="s">
        <v>22</v>
      </c>
      <c r="I307" s="3" t="s">
        <v>1137</v>
      </c>
      <c r="K307" s="3" t="s">
        <v>1861</v>
      </c>
      <c r="L307" s="3" t="s">
        <v>1862</v>
      </c>
      <c r="M307" s="3" t="s">
        <v>1863</v>
      </c>
      <c r="N307" s="3" t="s">
        <v>362</v>
      </c>
      <c r="O307" s="3" t="s">
        <v>1864</v>
      </c>
      <c r="P307" s="3" t="s">
        <v>1141</v>
      </c>
      <c r="Q307" s="3" t="s">
        <v>29</v>
      </c>
      <c r="S307" s="27" t="s">
        <v>1865</v>
      </c>
      <c r="T307" s="27">
        <f>IFERROR(__xludf.DUMMYFUNCTION("""COMPUTED_VALUE"""),1745.0)</f>
        <v>1745</v>
      </c>
      <c r="U307" s="1" t="s">
        <v>2549</v>
      </c>
    </row>
    <row r="308">
      <c r="A308" s="4">
        <v>44526.64523260416</v>
      </c>
      <c r="B308" s="3" t="s">
        <v>1866</v>
      </c>
      <c r="C308" s="3" t="s">
        <v>1867</v>
      </c>
      <c r="D308" s="3" t="s">
        <v>230</v>
      </c>
      <c r="E308" s="6">
        <v>44317.0</v>
      </c>
      <c r="F308" s="3">
        <v>450.0</v>
      </c>
      <c r="G308" s="3" t="s">
        <v>136</v>
      </c>
      <c r="H308" s="3" t="s">
        <v>22</v>
      </c>
      <c r="I308" s="3" t="s">
        <v>1167</v>
      </c>
      <c r="J308" s="3" t="s">
        <v>1868</v>
      </c>
      <c r="K308" s="3" t="s">
        <v>1869</v>
      </c>
      <c r="L308" s="3" t="s">
        <v>1870</v>
      </c>
      <c r="M308" s="3" t="s">
        <v>1871</v>
      </c>
      <c r="N308" s="3" t="s">
        <v>234</v>
      </c>
      <c r="O308" s="3" t="s">
        <v>1872</v>
      </c>
      <c r="P308" s="3" t="s">
        <v>1172</v>
      </c>
      <c r="Q308" s="3" t="s">
        <v>29</v>
      </c>
      <c r="S308" s="27" t="s">
        <v>1873</v>
      </c>
      <c r="T308" s="27">
        <f>IFERROR(__xludf.DUMMYFUNCTION("""COMPUTED_VALUE"""),1626.0)</f>
        <v>1626</v>
      </c>
      <c r="U308" s="1" t="s">
        <v>2550</v>
      </c>
    </row>
    <row r="309">
      <c r="A309" s="4">
        <v>44529.51577799769</v>
      </c>
      <c r="B309" s="3" t="s">
        <v>988</v>
      </c>
      <c r="C309" s="3" t="s">
        <v>1874</v>
      </c>
      <c r="D309" s="3" t="s">
        <v>358</v>
      </c>
      <c r="E309" s="6">
        <v>44529.0</v>
      </c>
      <c r="F309" s="3">
        <v>22250.0</v>
      </c>
      <c r="G309" s="3" t="s">
        <v>350</v>
      </c>
      <c r="H309" s="3" t="s">
        <v>22</v>
      </c>
      <c r="I309" s="3" t="s">
        <v>1145</v>
      </c>
      <c r="K309" s="3" t="s">
        <v>1875</v>
      </c>
      <c r="L309" s="3" t="s">
        <v>1876</v>
      </c>
      <c r="M309" s="3" t="s">
        <v>1877</v>
      </c>
      <c r="N309" s="3" t="s">
        <v>362</v>
      </c>
      <c r="O309" s="3" t="s">
        <v>993</v>
      </c>
      <c r="P309" s="3" t="s">
        <v>1150</v>
      </c>
      <c r="Q309" s="3" t="s">
        <v>1205</v>
      </c>
      <c r="S309" s="27" t="s">
        <v>1878</v>
      </c>
      <c r="T309" s="27">
        <f>IFERROR(__xludf.DUMMYFUNCTION("""COMPUTED_VALUE"""),113.0)</f>
        <v>113</v>
      </c>
      <c r="U309" s="1" t="s">
        <v>2551</v>
      </c>
    </row>
    <row r="310">
      <c r="A310" s="4">
        <v>44536.59558055556</v>
      </c>
      <c r="B310" s="3" t="s">
        <v>1879</v>
      </c>
      <c r="C310" s="3" t="s">
        <v>1880</v>
      </c>
      <c r="D310" s="3" t="s">
        <v>358</v>
      </c>
      <c r="E310" s="6">
        <v>44536.0</v>
      </c>
      <c r="F310" s="3">
        <v>6600.0</v>
      </c>
      <c r="G310" s="3" t="s">
        <v>136</v>
      </c>
      <c r="H310" s="3" t="s">
        <v>22</v>
      </c>
      <c r="I310" s="3" t="s">
        <v>1145</v>
      </c>
      <c r="J310" s="3" t="s">
        <v>1881</v>
      </c>
      <c r="K310" s="3" t="s">
        <v>1882</v>
      </c>
      <c r="L310" s="3" t="s">
        <v>1883</v>
      </c>
      <c r="M310" s="3" t="s">
        <v>1884</v>
      </c>
      <c r="N310" s="3" t="s">
        <v>362</v>
      </c>
      <c r="O310" s="3" t="s">
        <v>1885</v>
      </c>
      <c r="P310" s="3" t="s">
        <v>1150</v>
      </c>
      <c r="Q310" s="3" t="s">
        <v>29</v>
      </c>
      <c r="S310" s="27" t="s">
        <v>1886</v>
      </c>
      <c r="T310" s="27">
        <f>IFERROR(__xludf.DUMMYFUNCTION("""COMPUTED_VALUE"""),1751.0)</f>
        <v>1751</v>
      </c>
      <c r="U310" s="1" t="s">
        <v>2552</v>
      </c>
    </row>
    <row r="311">
      <c r="A311" s="4">
        <v>44537.56290171296</v>
      </c>
      <c r="B311" s="3" t="s">
        <v>1261</v>
      </c>
      <c r="C311" s="3" t="s">
        <v>1887</v>
      </c>
      <c r="D311" s="3" t="s">
        <v>358</v>
      </c>
      <c r="E311" s="6">
        <v>44531.0</v>
      </c>
      <c r="F311" s="3">
        <v>9500.0</v>
      </c>
      <c r="G311" s="3" t="s">
        <v>21</v>
      </c>
      <c r="H311" s="3" t="s">
        <v>22</v>
      </c>
      <c r="I311" s="3" t="s">
        <v>1145</v>
      </c>
      <c r="K311" s="3" t="s">
        <v>1888</v>
      </c>
      <c r="L311" s="3" t="s">
        <v>1889</v>
      </c>
      <c r="M311" s="3" t="s">
        <v>1890</v>
      </c>
      <c r="N311" s="3" t="s">
        <v>362</v>
      </c>
      <c r="O311" s="3" t="s">
        <v>1266</v>
      </c>
      <c r="P311" s="3" t="s">
        <v>1150</v>
      </c>
      <c r="Q311" s="3" t="s">
        <v>29</v>
      </c>
      <c r="S311" s="27" t="s">
        <v>1891</v>
      </c>
      <c r="T311" s="27">
        <f>IFERROR(__xludf.DUMMYFUNCTION("""COMPUTED_VALUE"""),1537.0)</f>
        <v>1537</v>
      </c>
      <c r="U311" s="1" t="s">
        <v>2553</v>
      </c>
    </row>
    <row r="312">
      <c r="A312" s="4">
        <v>44558.61888328704</v>
      </c>
      <c r="B312" s="3" t="s">
        <v>1892</v>
      </c>
      <c r="C312" s="3" t="s">
        <v>1893</v>
      </c>
      <c r="D312" s="3" t="s">
        <v>20</v>
      </c>
      <c r="E312" s="6">
        <v>44554.0</v>
      </c>
      <c r="F312" s="3">
        <v>400000.0</v>
      </c>
      <c r="G312" s="3" t="s">
        <v>21</v>
      </c>
      <c r="H312" s="3" t="s">
        <v>22</v>
      </c>
      <c r="J312" s="3" t="s">
        <v>2554</v>
      </c>
      <c r="K312" s="3" t="s">
        <v>1894</v>
      </c>
      <c r="L312" s="3" t="s">
        <v>1895</v>
      </c>
      <c r="M312" s="3" t="s">
        <v>1896</v>
      </c>
      <c r="N312" s="3" t="s">
        <v>27</v>
      </c>
      <c r="O312" s="3" t="s">
        <v>1897</v>
      </c>
      <c r="Q312" s="3" t="s">
        <v>29</v>
      </c>
      <c r="S312" s="27" t="s">
        <v>1898</v>
      </c>
      <c r="T312" s="27">
        <f>IFERROR(__xludf.DUMMYFUNCTION("""COMPUTED_VALUE"""),1820.0)</f>
        <v>1820</v>
      </c>
      <c r="U312" s="1" t="s">
        <v>2555</v>
      </c>
    </row>
    <row r="313">
      <c r="A313" s="4">
        <v>44572.60478137732</v>
      </c>
      <c r="B313" s="3" t="s">
        <v>1899</v>
      </c>
      <c r="C313" s="3" t="s">
        <v>1900</v>
      </c>
      <c r="D313" s="3" t="s">
        <v>1049</v>
      </c>
      <c r="E313" s="6">
        <v>44571.0</v>
      </c>
      <c r="F313" s="3">
        <v>3000.0</v>
      </c>
      <c r="G313" s="3" t="s">
        <v>136</v>
      </c>
      <c r="H313" s="3" t="s">
        <v>22</v>
      </c>
      <c r="I313" s="3" t="s">
        <v>1145</v>
      </c>
      <c r="K313" s="3" t="s">
        <v>1901</v>
      </c>
      <c r="L313" s="3" t="s">
        <v>1902</v>
      </c>
      <c r="M313" s="3" t="s">
        <v>1903</v>
      </c>
      <c r="N313" s="3" t="s">
        <v>1054</v>
      </c>
      <c r="O313" s="3" t="s">
        <v>1904</v>
      </c>
      <c r="P313" s="3" t="s">
        <v>1150</v>
      </c>
      <c r="Q313" s="3" t="s">
        <v>29</v>
      </c>
      <c r="S313" s="27" t="s">
        <v>1905</v>
      </c>
      <c r="T313" s="27">
        <f>IFERROR(__xludf.DUMMYFUNCTION("""COMPUTED_VALUE"""),1769.0)</f>
        <v>1769</v>
      </c>
      <c r="U313" s="1" t="s">
        <v>2556</v>
      </c>
    </row>
    <row r="314">
      <c r="A314" s="4">
        <v>44575.584016875</v>
      </c>
      <c r="B314" s="3" t="s">
        <v>386</v>
      </c>
      <c r="C314" s="3" t="s">
        <v>1906</v>
      </c>
      <c r="D314" s="3" t="s">
        <v>20</v>
      </c>
      <c r="E314" s="6">
        <v>44293.0</v>
      </c>
      <c r="F314" s="3">
        <v>429922.0</v>
      </c>
      <c r="G314" s="3" t="s">
        <v>21</v>
      </c>
      <c r="H314" s="3" t="s">
        <v>22</v>
      </c>
      <c r="K314" s="3" t="s">
        <v>1907</v>
      </c>
      <c r="L314" s="3" t="s">
        <v>1908</v>
      </c>
      <c r="M314" s="3" t="s">
        <v>1909</v>
      </c>
      <c r="N314" s="3" t="s">
        <v>27</v>
      </c>
      <c r="O314" s="3" t="s">
        <v>391</v>
      </c>
      <c r="Q314" s="3" t="s">
        <v>29</v>
      </c>
      <c r="S314" s="27" t="s">
        <v>1910</v>
      </c>
      <c r="T314" s="27">
        <f>IFERROR(__xludf.DUMMYFUNCTION("""COMPUTED_VALUE"""),998.0)</f>
        <v>998</v>
      </c>
      <c r="U314" s="1" t="s">
        <v>2557</v>
      </c>
    </row>
    <row r="315">
      <c r="A315" s="4">
        <v>44587.53410506944</v>
      </c>
      <c r="B315" s="3" t="s">
        <v>1911</v>
      </c>
      <c r="C315" s="3" t="s">
        <v>1912</v>
      </c>
      <c r="D315" s="3" t="s">
        <v>358</v>
      </c>
      <c r="E315" s="6">
        <v>44585.0</v>
      </c>
      <c r="F315" s="3">
        <v>9000.0</v>
      </c>
      <c r="G315" s="3" t="s">
        <v>136</v>
      </c>
      <c r="H315" s="3" t="s">
        <v>22</v>
      </c>
      <c r="K315" s="3" t="s">
        <v>1913</v>
      </c>
      <c r="L315" s="3" t="s">
        <v>1914</v>
      </c>
      <c r="M315" s="3" t="s">
        <v>1915</v>
      </c>
      <c r="N315" s="3" t="s">
        <v>362</v>
      </c>
      <c r="O315" s="3" t="s">
        <v>1916</v>
      </c>
      <c r="Q315" s="3" t="s">
        <v>29</v>
      </c>
      <c r="S315" s="27" t="s">
        <v>1917</v>
      </c>
      <c r="T315" s="27">
        <f>IFERROR(__xludf.DUMMYFUNCTION("""COMPUTED_VALUE"""),1789.0)</f>
        <v>1789</v>
      </c>
      <c r="U315" s="1" t="s">
        <v>2558</v>
      </c>
    </row>
    <row r="316">
      <c r="A316" s="4">
        <v>44588.51218469907</v>
      </c>
      <c r="B316" s="3" t="s">
        <v>1524</v>
      </c>
      <c r="C316" s="3" t="s">
        <v>1918</v>
      </c>
      <c r="D316" s="3" t="s">
        <v>358</v>
      </c>
      <c r="E316" s="6">
        <v>44357.0</v>
      </c>
      <c r="F316" s="3">
        <v>5352.0</v>
      </c>
      <c r="G316" s="3" t="s">
        <v>21</v>
      </c>
      <c r="H316" s="3" t="s">
        <v>22</v>
      </c>
      <c r="I316" s="3" t="s">
        <v>1160</v>
      </c>
      <c r="J316" s="1" t="s">
        <v>1526</v>
      </c>
      <c r="K316" s="3" t="s">
        <v>1919</v>
      </c>
      <c r="L316" s="3" t="s">
        <v>1920</v>
      </c>
      <c r="M316" s="3" t="s">
        <v>1921</v>
      </c>
      <c r="N316" s="3" t="s">
        <v>362</v>
      </c>
      <c r="O316" s="3" t="s">
        <v>1530</v>
      </c>
      <c r="P316" s="3" t="s">
        <v>1163</v>
      </c>
      <c r="Q316" s="3" t="s">
        <v>29</v>
      </c>
      <c r="S316" s="27" t="s">
        <v>1922</v>
      </c>
      <c r="T316" s="27"/>
      <c r="U316" s="1" t="s">
        <v>2559</v>
      </c>
    </row>
    <row r="317">
      <c r="A317" s="4">
        <v>44589.700603391204</v>
      </c>
      <c r="B317" s="3" t="s">
        <v>1923</v>
      </c>
      <c r="C317" s="3" t="s">
        <v>1924</v>
      </c>
      <c r="D317" s="3" t="s">
        <v>230</v>
      </c>
      <c r="E317" s="6">
        <v>44562.0</v>
      </c>
      <c r="F317" s="3">
        <v>200.0</v>
      </c>
      <c r="G317" s="3" t="s">
        <v>21</v>
      </c>
      <c r="H317" s="3" t="s">
        <v>22</v>
      </c>
      <c r="J317" s="1" t="s">
        <v>2560</v>
      </c>
      <c r="K317" s="3" t="s">
        <v>1925</v>
      </c>
      <c r="L317" s="3" t="s">
        <v>1926</v>
      </c>
      <c r="M317" s="3" t="s">
        <v>1927</v>
      </c>
      <c r="N317" s="3" t="s">
        <v>234</v>
      </c>
      <c r="O317" s="3" t="s">
        <v>1928</v>
      </c>
      <c r="Q317" s="3" t="s">
        <v>29</v>
      </c>
      <c r="S317" s="27" t="s">
        <v>1929</v>
      </c>
      <c r="T317" s="27">
        <f>IFERROR(__xludf.DUMMYFUNCTION("""COMPUTED_VALUE"""),1817.0)</f>
        <v>1817</v>
      </c>
      <c r="U317" s="1" t="s">
        <v>2561</v>
      </c>
    </row>
    <row r="318">
      <c r="A318" s="4">
        <v>44615.73315407407</v>
      </c>
      <c r="B318" s="3" t="s">
        <v>1930</v>
      </c>
      <c r="C318" s="3" t="s">
        <v>1931</v>
      </c>
      <c r="D318" s="3" t="s">
        <v>358</v>
      </c>
      <c r="E318" s="6">
        <v>44614.0</v>
      </c>
      <c r="F318" s="3">
        <v>60000.0</v>
      </c>
      <c r="G318" s="3" t="s">
        <v>21</v>
      </c>
      <c r="H318" s="3" t="s">
        <v>22</v>
      </c>
      <c r="I318" s="3" t="s">
        <v>1145</v>
      </c>
      <c r="J318" s="3" t="s">
        <v>1932</v>
      </c>
      <c r="K318" s="3" t="s">
        <v>1933</v>
      </c>
      <c r="L318" s="3" t="s">
        <v>1934</v>
      </c>
      <c r="M318" s="3" t="s">
        <v>1935</v>
      </c>
      <c r="N318" s="3" t="s">
        <v>362</v>
      </c>
      <c r="O318" s="3" t="s">
        <v>1936</v>
      </c>
      <c r="P318" s="3" t="s">
        <v>1150</v>
      </c>
      <c r="Q318" s="3" t="s">
        <v>29</v>
      </c>
      <c r="S318" s="27" t="s">
        <v>1937</v>
      </c>
      <c r="T318" s="27">
        <f>IFERROR(__xludf.DUMMYFUNCTION("""COMPUTED_VALUE"""),1847.0)</f>
        <v>1847</v>
      </c>
      <c r="U318" s="1" t="s">
        <v>2562</v>
      </c>
    </row>
    <row r="319">
      <c r="A319" s="4">
        <v>44627.63574185185</v>
      </c>
      <c r="B319" s="3" t="s">
        <v>1938</v>
      </c>
      <c r="C319" s="3" t="s">
        <v>1939</v>
      </c>
      <c r="D319" s="3" t="s">
        <v>358</v>
      </c>
      <c r="E319" s="6">
        <v>44595.0</v>
      </c>
      <c r="F319" s="3">
        <v>9140.0</v>
      </c>
      <c r="G319" s="3" t="s">
        <v>21</v>
      </c>
      <c r="H319" s="3" t="s">
        <v>22</v>
      </c>
      <c r="I319" s="3" t="s">
        <v>1145</v>
      </c>
      <c r="K319" s="3" t="s">
        <v>1940</v>
      </c>
      <c r="L319" s="3" t="s">
        <v>1941</v>
      </c>
      <c r="M319" s="3" t="s">
        <v>1942</v>
      </c>
      <c r="N319" s="3" t="s">
        <v>362</v>
      </c>
      <c r="O319" s="3" t="s">
        <v>1943</v>
      </c>
      <c r="P319" s="3" t="s">
        <v>1150</v>
      </c>
      <c r="Q319" s="3" t="s">
        <v>29</v>
      </c>
      <c r="S319" s="27" t="s">
        <v>1944</v>
      </c>
      <c r="T319" s="27">
        <f>IFERROR(__xludf.DUMMYFUNCTION("""COMPUTED_VALUE"""),1808.0)</f>
        <v>1808</v>
      </c>
      <c r="U319" s="1" t="s">
        <v>2563</v>
      </c>
    </row>
    <row r="320">
      <c r="A320" s="4">
        <v>44634.62141649306</v>
      </c>
      <c r="B320" s="3" t="s">
        <v>1165</v>
      </c>
      <c r="C320" s="3" t="s">
        <v>1945</v>
      </c>
      <c r="D320" s="3" t="s">
        <v>756</v>
      </c>
      <c r="E320" s="6">
        <v>44523.0</v>
      </c>
      <c r="F320" s="3">
        <v>660.0</v>
      </c>
      <c r="G320" s="3" t="s">
        <v>21</v>
      </c>
      <c r="H320" s="3" t="s">
        <v>1946</v>
      </c>
      <c r="K320" s="3" t="s">
        <v>1947</v>
      </c>
      <c r="L320" s="3" t="s">
        <v>1948</v>
      </c>
      <c r="M320" s="3" t="s">
        <v>1949</v>
      </c>
      <c r="N320" s="3" t="s">
        <v>760</v>
      </c>
      <c r="O320" s="3" t="s">
        <v>1171</v>
      </c>
      <c r="Q320" s="3" t="s">
        <v>29</v>
      </c>
      <c r="S320" s="27" t="s">
        <v>1950</v>
      </c>
      <c r="T320" s="27">
        <f>IFERROR(__xludf.DUMMYFUNCTION("""COMPUTED_VALUE"""),1167.0)</f>
        <v>1167</v>
      </c>
      <c r="U320" s="1" t="s">
        <v>2564</v>
      </c>
    </row>
    <row r="321">
      <c r="A321" s="4">
        <v>44637.60769188657</v>
      </c>
      <c r="B321" s="3" t="s">
        <v>242</v>
      </c>
      <c r="C321" s="3" t="s">
        <v>1951</v>
      </c>
      <c r="D321" s="3" t="s">
        <v>20</v>
      </c>
      <c r="E321" s="6">
        <v>44546.0</v>
      </c>
      <c r="F321" s="3">
        <v>1161507.0</v>
      </c>
      <c r="G321" s="3" t="s">
        <v>21</v>
      </c>
      <c r="H321" s="3" t="s">
        <v>22</v>
      </c>
      <c r="J321" s="3" t="s">
        <v>1952</v>
      </c>
      <c r="K321" s="3" t="s">
        <v>1953</v>
      </c>
      <c r="L321" s="3" t="s">
        <v>1954</v>
      </c>
      <c r="M321" s="3" t="s">
        <v>1955</v>
      </c>
      <c r="N321" s="3" t="s">
        <v>27</v>
      </c>
      <c r="O321" s="3" t="s">
        <v>248</v>
      </c>
      <c r="Q321" s="3" t="s">
        <v>29</v>
      </c>
      <c r="S321" s="27" t="s">
        <v>1956</v>
      </c>
      <c r="T321" s="27">
        <f>IFERROR(__xludf.DUMMYFUNCTION("""COMPUTED_VALUE"""),773.0)</f>
        <v>773</v>
      </c>
      <c r="U321" s="1" t="s">
        <v>2565</v>
      </c>
    </row>
    <row r="322">
      <c r="A322" s="4">
        <v>44637.661186365745</v>
      </c>
      <c r="B322" s="3" t="s">
        <v>242</v>
      </c>
      <c r="C322" s="3" t="s">
        <v>1957</v>
      </c>
      <c r="D322" s="3" t="s">
        <v>20</v>
      </c>
      <c r="E322" s="6">
        <v>44424.0</v>
      </c>
      <c r="F322" s="3">
        <v>1161507.82</v>
      </c>
      <c r="G322" s="3" t="s">
        <v>21</v>
      </c>
      <c r="H322" s="3" t="s">
        <v>22</v>
      </c>
      <c r="J322" s="3" t="s">
        <v>1958</v>
      </c>
      <c r="K322" s="3" t="s">
        <v>1959</v>
      </c>
      <c r="L322" s="3" t="s">
        <v>1960</v>
      </c>
      <c r="M322" s="3" t="s">
        <v>1961</v>
      </c>
      <c r="N322" s="3" t="s">
        <v>27</v>
      </c>
      <c r="O322" s="3" t="s">
        <v>248</v>
      </c>
      <c r="Q322" s="3" t="s">
        <v>29</v>
      </c>
      <c r="S322" s="27" t="s">
        <v>1962</v>
      </c>
      <c r="T322" s="27">
        <f>IFERROR(__xludf.DUMMYFUNCTION("""COMPUTED_VALUE"""),773.0)</f>
        <v>773</v>
      </c>
      <c r="U322" s="1" t="s">
        <v>2566</v>
      </c>
    </row>
    <row r="323">
      <c r="A323" s="4">
        <v>44642.63712987269</v>
      </c>
      <c r="B323" s="3" t="s">
        <v>386</v>
      </c>
      <c r="C323" s="3" t="s">
        <v>1963</v>
      </c>
      <c r="D323" s="3" t="s">
        <v>20</v>
      </c>
      <c r="E323" s="6">
        <v>44581.0</v>
      </c>
      <c r="F323" s="3">
        <v>24000.0</v>
      </c>
      <c r="G323" s="3" t="s">
        <v>21</v>
      </c>
      <c r="H323" s="3" t="s">
        <v>22</v>
      </c>
      <c r="K323" s="3" t="s">
        <v>1964</v>
      </c>
      <c r="L323" s="3" t="s">
        <v>1965</v>
      </c>
      <c r="M323" s="3" t="s">
        <v>1966</v>
      </c>
      <c r="N323" s="3" t="s">
        <v>27</v>
      </c>
      <c r="O323" s="3" t="s">
        <v>391</v>
      </c>
      <c r="Q323" s="3" t="s">
        <v>29</v>
      </c>
      <c r="S323" s="27" t="s">
        <v>1967</v>
      </c>
      <c r="T323" s="27">
        <f>IFERROR(__xludf.DUMMYFUNCTION("""COMPUTED_VALUE"""),998.0)</f>
        <v>998</v>
      </c>
      <c r="U323" s="1" t="s">
        <v>2567</v>
      </c>
    </row>
    <row r="324">
      <c r="A324" s="4">
        <v>44644.715204293985</v>
      </c>
      <c r="B324" s="3" t="s">
        <v>1968</v>
      </c>
      <c r="C324" s="3" t="s">
        <v>1969</v>
      </c>
      <c r="D324" s="3" t="s">
        <v>358</v>
      </c>
      <c r="E324" s="6">
        <v>44644.0</v>
      </c>
      <c r="F324" s="3">
        <v>1250.0</v>
      </c>
      <c r="G324" s="3" t="s">
        <v>21</v>
      </c>
      <c r="H324" s="3" t="s">
        <v>22</v>
      </c>
      <c r="I324" s="3" t="s">
        <v>1137</v>
      </c>
      <c r="K324" s="3" t="s">
        <v>1970</v>
      </c>
      <c r="L324" s="3" t="s">
        <v>1971</v>
      </c>
      <c r="M324" s="3" t="s">
        <v>1972</v>
      </c>
      <c r="N324" s="3" t="s">
        <v>362</v>
      </c>
      <c r="O324" s="3" t="s">
        <v>1973</v>
      </c>
      <c r="P324" s="3" t="s">
        <v>1141</v>
      </c>
      <c r="Q324" s="3" t="s">
        <v>29</v>
      </c>
      <c r="S324" s="27" t="s">
        <v>1974</v>
      </c>
      <c r="T324" s="27"/>
      <c r="U324" s="1" t="s">
        <v>2568</v>
      </c>
    </row>
    <row r="325">
      <c r="A325" s="4">
        <v>44645.711357418986</v>
      </c>
      <c r="B325" s="3" t="s">
        <v>1976</v>
      </c>
      <c r="C325" s="3" t="s">
        <v>1977</v>
      </c>
      <c r="D325" s="3" t="s">
        <v>358</v>
      </c>
      <c r="E325" s="6">
        <v>44480.0</v>
      </c>
      <c r="F325" s="3">
        <v>870.0</v>
      </c>
      <c r="G325" s="3" t="s">
        <v>21</v>
      </c>
      <c r="H325" s="3" t="s">
        <v>22</v>
      </c>
      <c r="K325" s="3" t="s">
        <v>1978</v>
      </c>
      <c r="L325" s="3" t="s">
        <v>1979</v>
      </c>
      <c r="M325" s="3" t="s">
        <v>1980</v>
      </c>
      <c r="N325" s="3" t="s">
        <v>362</v>
      </c>
      <c r="O325" s="3" t="s">
        <v>1981</v>
      </c>
      <c r="Q325" s="3" t="s">
        <v>29</v>
      </c>
      <c r="S325" s="27" t="s">
        <v>1982</v>
      </c>
      <c r="T325" s="27">
        <f>IFERROR(__xludf.DUMMYFUNCTION("""COMPUTED_VALUE"""),1729.0)</f>
        <v>1729</v>
      </c>
      <c r="U325" s="1" t="s">
        <v>2569</v>
      </c>
    </row>
    <row r="326">
      <c r="A326" s="4">
        <v>44648.50951744213</v>
      </c>
      <c r="B326" s="3" t="s">
        <v>1983</v>
      </c>
      <c r="C326" s="3" t="s">
        <v>1984</v>
      </c>
      <c r="D326" s="3" t="s">
        <v>358</v>
      </c>
      <c r="E326" s="6">
        <v>44645.0</v>
      </c>
      <c r="F326" s="3">
        <v>1420.0</v>
      </c>
      <c r="G326" s="3" t="s">
        <v>136</v>
      </c>
      <c r="H326" s="3" t="s">
        <v>22</v>
      </c>
      <c r="I326" s="3" t="s">
        <v>1137</v>
      </c>
      <c r="K326" s="3" t="s">
        <v>1985</v>
      </c>
      <c r="L326" s="3" t="s">
        <v>1986</v>
      </c>
      <c r="M326" s="3" t="s">
        <v>1987</v>
      </c>
      <c r="N326" s="3" t="s">
        <v>362</v>
      </c>
      <c r="O326" s="3" t="s">
        <v>1988</v>
      </c>
      <c r="P326" s="3" t="s">
        <v>1141</v>
      </c>
      <c r="Q326" s="3" t="s">
        <v>29</v>
      </c>
      <c r="S326" s="27" t="s">
        <v>1989</v>
      </c>
      <c r="T326" s="27">
        <f>IFERROR(__xludf.DUMMYFUNCTION("""COMPUTED_VALUE"""),1837.0)</f>
        <v>1837</v>
      </c>
      <c r="U326" s="1" t="s">
        <v>2570</v>
      </c>
    </row>
    <row r="327">
      <c r="A327" s="4">
        <v>44648.535637002315</v>
      </c>
      <c r="B327" s="3" t="s">
        <v>1990</v>
      </c>
      <c r="C327" s="3" t="s">
        <v>1991</v>
      </c>
      <c r="D327" s="3" t="s">
        <v>20</v>
      </c>
      <c r="E327" s="6">
        <v>44582.0</v>
      </c>
      <c r="F327" s="3">
        <v>2281058.0</v>
      </c>
      <c r="G327" s="3" t="s">
        <v>21</v>
      </c>
      <c r="H327" s="3" t="s">
        <v>22</v>
      </c>
      <c r="J327" s="1" t="s">
        <v>2571</v>
      </c>
      <c r="K327" s="3" t="s">
        <v>1992</v>
      </c>
      <c r="L327" s="3" t="s">
        <v>1993</v>
      </c>
      <c r="M327" s="3" t="s">
        <v>1994</v>
      </c>
      <c r="N327" s="3" t="s">
        <v>27</v>
      </c>
      <c r="O327" s="3" t="s">
        <v>1995</v>
      </c>
      <c r="Q327" s="3" t="s">
        <v>29</v>
      </c>
      <c r="S327" s="27" t="s">
        <v>1996</v>
      </c>
      <c r="T327" s="27">
        <f>IFERROR(__xludf.DUMMYFUNCTION("""COMPUTED_VALUE"""),1791.0)</f>
        <v>1791</v>
      </c>
      <c r="U327" s="1" t="s">
        <v>2572</v>
      </c>
    </row>
    <row r="328">
      <c r="A328" s="4">
        <v>44657.69348618056</v>
      </c>
      <c r="B328" s="3" t="s">
        <v>372</v>
      </c>
      <c r="C328" s="3" t="s">
        <v>1997</v>
      </c>
      <c r="D328" s="3" t="s">
        <v>756</v>
      </c>
      <c r="E328" s="6">
        <v>44643.0</v>
      </c>
      <c r="F328" s="3">
        <v>501.0</v>
      </c>
      <c r="G328" s="3" t="s">
        <v>21</v>
      </c>
      <c r="H328" s="3" t="s">
        <v>22</v>
      </c>
      <c r="I328" s="3" t="s">
        <v>1116</v>
      </c>
      <c r="K328" s="3" t="s">
        <v>1998</v>
      </c>
      <c r="L328" s="3" t="s">
        <v>1999</v>
      </c>
      <c r="M328" s="3" t="s">
        <v>2000</v>
      </c>
      <c r="N328" s="3" t="s">
        <v>760</v>
      </c>
      <c r="O328" s="3" t="s">
        <v>377</v>
      </c>
      <c r="P328" s="3" t="s">
        <v>1122</v>
      </c>
      <c r="Q328" s="3" t="s">
        <v>29</v>
      </c>
      <c r="S328" s="27" t="s">
        <v>2001</v>
      </c>
      <c r="T328" s="27">
        <f>IFERROR(__xludf.DUMMYFUNCTION("""COMPUTED_VALUE"""),1114.0)</f>
        <v>1114</v>
      </c>
      <c r="U328" s="1" t="s">
        <v>2573</v>
      </c>
    </row>
    <row r="329">
      <c r="A329" s="4">
        <v>44663.61776530092</v>
      </c>
      <c r="B329" s="3" t="s">
        <v>2002</v>
      </c>
      <c r="C329" s="3" t="s">
        <v>2003</v>
      </c>
      <c r="D329" s="3" t="s">
        <v>358</v>
      </c>
      <c r="E329" s="6">
        <v>44644.0</v>
      </c>
      <c r="F329" s="3">
        <v>4750.0</v>
      </c>
      <c r="G329" s="3" t="s">
        <v>136</v>
      </c>
      <c r="H329" s="3" t="s">
        <v>22</v>
      </c>
      <c r="I329" s="3" t="s">
        <v>1137</v>
      </c>
      <c r="K329" s="3" t="s">
        <v>2004</v>
      </c>
      <c r="L329" s="3" t="s">
        <v>2005</v>
      </c>
      <c r="M329" s="3" t="s">
        <v>2006</v>
      </c>
      <c r="N329" s="3" t="s">
        <v>362</v>
      </c>
      <c r="O329" s="3" t="s">
        <v>2007</v>
      </c>
      <c r="P329" s="3" t="s">
        <v>1141</v>
      </c>
      <c r="Q329" s="3" t="s">
        <v>29</v>
      </c>
      <c r="S329" s="27" t="s">
        <v>2008</v>
      </c>
      <c r="T329" s="27"/>
      <c r="U329" s="1" t="s">
        <v>2574</v>
      </c>
    </row>
    <row r="330">
      <c r="A330" s="4">
        <v>44664.79123387732</v>
      </c>
      <c r="B330" s="3" t="s">
        <v>1802</v>
      </c>
      <c r="C330" s="3" t="s">
        <v>2009</v>
      </c>
      <c r="D330" s="3" t="s">
        <v>358</v>
      </c>
      <c r="E330" s="6">
        <v>44547.0</v>
      </c>
      <c r="F330" s="3">
        <v>1895.0</v>
      </c>
      <c r="G330" s="3" t="s">
        <v>21</v>
      </c>
      <c r="H330" s="3" t="s">
        <v>22</v>
      </c>
      <c r="K330" s="3" t="s">
        <v>2010</v>
      </c>
      <c r="L330" s="3" t="s">
        <v>2011</v>
      </c>
      <c r="M330" s="3" t="s">
        <v>2012</v>
      </c>
      <c r="N330" s="3" t="s">
        <v>362</v>
      </c>
      <c r="O330" s="3" t="s">
        <v>1807</v>
      </c>
      <c r="Q330" s="3" t="s">
        <v>29</v>
      </c>
      <c r="S330" s="27" t="s">
        <v>2013</v>
      </c>
      <c r="T330" s="27">
        <f>IFERROR(__xludf.DUMMYFUNCTION("""COMPUTED_VALUE"""),1719.0)</f>
        <v>1719</v>
      </c>
      <c r="U330" s="1" t="s">
        <v>2575</v>
      </c>
    </row>
    <row r="331">
      <c r="A331" s="4">
        <v>44665.6632621875</v>
      </c>
      <c r="B331" s="3" t="s">
        <v>2014</v>
      </c>
      <c r="C331" s="3" t="s">
        <v>2015</v>
      </c>
      <c r="D331" s="3" t="s">
        <v>358</v>
      </c>
      <c r="E331" s="6">
        <v>44665.0</v>
      </c>
      <c r="F331" s="3">
        <v>7600.0</v>
      </c>
      <c r="G331" s="3" t="s">
        <v>136</v>
      </c>
      <c r="H331" s="3" t="s">
        <v>22</v>
      </c>
      <c r="I331" s="3" t="s">
        <v>1160</v>
      </c>
      <c r="K331" s="3" t="s">
        <v>2016</v>
      </c>
      <c r="L331" s="3" t="s">
        <v>2017</v>
      </c>
      <c r="M331" s="3" t="s">
        <v>2018</v>
      </c>
      <c r="N331" s="3" t="s">
        <v>362</v>
      </c>
      <c r="O331" s="3" t="s">
        <v>2019</v>
      </c>
      <c r="P331" s="3" t="s">
        <v>1163</v>
      </c>
      <c r="Q331" s="3" t="s">
        <v>29</v>
      </c>
      <c r="S331" s="27" t="s">
        <v>2020</v>
      </c>
      <c r="T331" s="27">
        <f>IFERROR(__xludf.DUMMYFUNCTION("""COMPUTED_VALUE"""),1899.0)</f>
        <v>1899</v>
      </c>
      <c r="U331" s="1" t="s">
        <v>2576</v>
      </c>
    </row>
    <row r="332">
      <c r="A332" s="4">
        <v>44678.630718472225</v>
      </c>
      <c r="B332" s="3" t="s">
        <v>2021</v>
      </c>
      <c r="C332" s="3" t="s">
        <v>2022</v>
      </c>
      <c r="D332" s="3" t="s">
        <v>358</v>
      </c>
      <c r="E332" s="6">
        <v>44669.0</v>
      </c>
      <c r="F332" s="3">
        <v>6250.0</v>
      </c>
      <c r="G332" s="3" t="s">
        <v>136</v>
      </c>
      <c r="H332" s="3" t="s">
        <v>22</v>
      </c>
      <c r="K332" s="3" t="s">
        <v>2023</v>
      </c>
      <c r="L332" s="3" t="s">
        <v>2024</v>
      </c>
      <c r="M332" s="3" t="s">
        <v>2025</v>
      </c>
      <c r="N332" s="3" t="s">
        <v>362</v>
      </c>
      <c r="O332" s="3" t="s">
        <v>2026</v>
      </c>
      <c r="Q332" s="3" t="s">
        <v>29</v>
      </c>
      <c r="S332" s="27" t="s">
        <v>2027</v>
      </c>
      <c r="T332" s="27">
        <f>IFERROR(__xludf.DUMMYFUNCTION("""COMPUTED_VALUE"""),1115.0)</f>
        <v>1115</v>
      </c>
      <c r="U332" s="1" t="s">
        <v>2577</v>
      </c>
    </row>
    <row r="333">
      <c r="A333" s="4">
        <v>44683.647764988425</v>
      </c>
      <c r="B333" s="3" t="s">
        <v>1072</v>
      </c>
      <c r="C333" s="3" t="s">
        <v>2028</v>
      </c>
      <c r="D333" s="3" t="s">
        <v>358</v>
      </c>
      <c r="E333" s="6">
        <v>44683.0</v>
      </c>
      <c r="F333" s="3">
        <v>1280.0</v>
      </c>
      <c r="G333" s="3" t="s">
        <v>21</v>
      </c>
      <c r="H333" s="3" t="s">
        <v>22</v>
      </c>
      <c r="K333" s="3" t="s">
        <v>2029</v>
      </c>
      <c r="L333" s="3" t="s">
        <v>2030</v>
      </c>
      <c r="M333" s="3" t="s">
        <v>2031</v>
      </c>
      <c r="N333" s="3" t="s">
        <v>362</v>
      </c>
      <c r="O333" s="3" t="s">
        <v>1077</v>
      </c>
      <c r="Q333" s="3" t="s">
        <v>29</v>
      </c>
      <c r="S333" s="27" t="s">
        <v>2032</v>
      </c>
      <c r="T333" s="27">
        <f>IFERROR(__xludf.DUMMYFUNCTION("""COMPUTED_VALUE"""),724.0)</f>
        <v>724</v>
      </c>
      <c r="U333" s="1" t="s">
        <v>2578</v>
      </c>
    </row>
    <row r="334">
      <c r="A334" s="4">
        <v>44685.500825995376</v>
      </c>
      <c r="B334" s="3" t="s">
        <v>356</v>
      </c>
      <c r="C334" s="3" t="s">
        <v>2033</v>
      </c>
      <c r="D334" s="3" t="s">
        <v>230</v>
      </c>
      <c r="E334" s="6">
        <v>43586.0</v>
      </c>
      <c r="F334" s="3">
        <v>1.0</v>
      </c>
      <c r="G334" s="3" t="s">
        <v>21</v>
      </c>
      <c r="H334" s="3" t="s">
        <v>22</v>
      </c>
      <c r="K334" s="3" t="s">
        <v>738</v>
      </c>
      <c r="L334" s="3" t="s">
        <v>2034</v>
      </c>
      <c r="M334" s="3" t="s">
        <v>2035</v>
      </c>
      <c r="N334" s="3" t="s">
        <v>234</v>
      </c>
      <c r="O334" s="3" t="s">
        <v>363</v>
      </c>
      <c r="Q334" s="3" t="s">
        <v>29</v>
      </c>
      <c r="S334" s="27" t="s">
        <v>2036</v>
      </c>
      <c r="T334" s="27">
        <f>IFERROR(__xludf.DUMMYFUNCTION("""COMPUTED_VALUE"""),571.0)</f>
        <v>571</v>
      </c>
      <c r="U334" s="1" t="s">
        <v>2579</v>
      </c>
    </row>
    <row r="335">
      <c r="A335" s="4">
        <v>44685.60383393518</v>
      </c>
      <c r="B335" s="3" t="s">
        <v>110</v>
      </c>
      <c r="C335" s="3" t="s">
        <v>2037</v>
      </c>
      <c r="D335" s="3" t="s">
        <v>230</v>
      </c>
      <c r="E335" s="6">
        <v>44409.0</v>
      </c>
      <c r="F335" s="3">
        <v>250.0</v>
      </c>
      <c r="G335" s="3" t="s">
        <v>136</v>
      </c>
      <c r="H335" s="3" t="s">
        <v>22</v>
      </c>
      <c r="K335" s="3" t="s">
        <v>2038</v>
      </c>
      <c r="L335" s="3" t="s">
        <v>2039</v>
      </c>
      <c r="M335" s="3" t="s">
        <v>2040</v>
      </c>
      <c r="N335" s="3" t="s">
        <v>234</v>
      </c>
      <c r="O335" s="3" t="s">
        <v>116</v>
      </c>
      <c r="Q335" s="3" t="s">
        <v>1205</v>
      </c>
      <c r="S335" s="27" t="s">
        <v>2041</v>
      </c>
      <c r="T335" s="27">
        <f>IFERROR(__xludf.DUMMYFUNCTION("""COMPUTED_VALUE"""),853.0)</f>
        <v>853</v>
      </c>
      <c r="U335" s="1" t="s">
        <v>2580</v>
      </c>
    </row>
    <row r="336">
      <c r="A336" s="4">
        <v>44687.51703611111</v>
      </c>
      <c r="B336" s="3" t="s">
        <v>2042</v>
      </c>
      <c r="C336" s="3" t="s">
        <v>19</v>
      </c>
      <c r="D336" s="3" t="s">
        <v>230</v>
      </c>
      <c r="E336" s="6">
        <v>44652.0</v>
      </c>
      <c r="F336" s="3">
        <v>1500.0</v>
      </c>
      <c r="G336" s="3" t="s">
        <v>136</v>
      </c>
      <c r="H336" s="3" t="s">
        <v>22</v>
      </c>
      <c r="I336" s="3" t="s">
        <v>1167</v>
      </c>
      <c r="J336" s="1" t="s">
        <v>2581</v>
      </c>
      <c r="K336" s="3" t="s">
        <v>2043</v>
      </c>
      <c r="L336" s="3" t="s">
        <v>2044</v>
      </c>
      <c r="M336" s="3" t="s">
        <v>2045</v>
      </c>
      <c r="N336" s="3" t="s">
        <v>234</v>
      </c>
      <c r="O336" s="3" t="s">
        <v>2046</v>
      </c>
      <c r="P336" s="3" t="s">
        <v>1172</v>
      </c>
      <c r="Q336" s="3" t="s">
        <v>29</v>
      </c>
      <c r="R336" s="3" t="b">
        <v>1</v>
      </c>
      <c r="S336" s="27" t="s">
        <v>2047</v>
      </c>
      <c r="T336" s="27">
        <f>IFERROR(__xludf.DUMMYFUNCTION("""COMPUTED_VALUE"""),1865.0)</f>
        <v>1865</v>
      </c>
      <c r="U336" s="1" t="s">
        <v>2582</v>
      </c>
    </row>
    <row r="337">
      <c r="A337" s="4">
        <v>44687.69013662037</v>
      </c>
      <c r="B337" s="3" t="s">
        <v>2583</v>
      </c>
      <c r="C337" s="3" t="s">
        <v>2584</v>
      </c>
      <c r="D337" s="3" t="s">
        <v>230</v>
      </c>
      <c r="E337" s="6">
        <v>44652.0</v>
      </c>
      <c r="F337" s="3">
        <v>1500.0</v>
      </c>
      <c r="G337" s="3" t="s">
        <v>136</v>
      </c>
      <c r="H337" s="3" t="s">
        <v>22</v>
      </c>
      <c r="J337" s="1" t="s">
        <v>2585</v>
      </c>
      <c r="K337" s="3" t="s">
        <v>2049</v>
      </c>
      <c r="L337" s="3" t="s">
        <v>2050</v>
      </c>
      <c r="M337" s="3" t="s">
        <v>2586</v>
      </c>
      <c r="N337" s="3" t="s">
        <v>234</v>
      </c>
      <c r="O337" s="3" t="s">
        <v>2587</v>
      </c>
      <c r="Q337" s="3" t="s">
        <v>29</v>
      </c>
      <c r="S337" s="27" t="s">
        <v>2588</v>
      </c>
      <c r="T337" s="27">
        <f>IFERROR(__xludf.DUMMYFUNCTION("""COMPUTED_VALUE"""),810.0)</f>
        <v>810</v>
      </c>
      <c r="U337" s="1" t="s">
        <v>2589</v>
      </c>
    </row>
    <row r="338">
      <c r="A338" s="4">
        <v>44687.691224016206</v>
      </c>
      <c r="B338" s="3" t="s">
        <v>2583</v>
      </c>
      <c r="C338" s="3" t="s">
        <v>2053</v>
      </c>
      <c r="D338" s="3" t="s">
        <v>230</v>
      </c>
      <c r="E338" s="6">
        <v>44652.0</v>
      </c>
      <c r="F338" s="3">
        <v>350.0</v>
      </c>
      <c r="G338" s="3" t="s">
        <v>136</v>
      </c>
      <c r="H338" s="3" t="s">
        <v>22</v>
      </c>
      <c r="J338" s="1" t="s">
        <v>2585</v>
      </c>
      <c r="K338" s="3" t="s">
        <v>2049</v>
      </c>
      <c r="L338" s="3" t="s">
        <v>2054</v>
      </c>
      <c r="M338" s="3" t="s">
        <v>2055</v>
      </c>
      <c r="N338" s="3" t="s">
        <v>234</v>
      </c>
      <c r="O338" s="3" t="s">
        <v>2587</v>
      </c>
      <c r="Q338" s="3" t="s">
        <v>1205</v>
      </c>
      <c r="S338" s="27" t="s">
        <v>2590</v>
      </c>
      <c r="T338" s="27">
        <f>IFERROR(__xludf.DUMMYFUNCTION("""COMPUTED_VALUE"""),810.0)</f>
        <v>810</v>
      </c>
      <c r="U338" s="1" t="s">
        <v>2591</v>
      </c>
    </row>
    <row r="339">
      <c r="A339" s="4">
        <v>44687.740022638885</v>
      </c>
      <c r="B339" s="3" t="s">
        <v>2057</v>
      </c>
      <c r="C339" s="3" t="s">
        <v>2058</v>
      </c>
      <c r="D339" s="3" t="s">
        <v>230</v>
      </c>
      <c r="E339" s="6">
        <v>44474.0</v>
      </c>
      <c r="F339" s="3">
        <v>900.0</v>
      </c>
      <c r="G339" s="3" t="s">
        <v>21</v>
      </c>
      <c r="H339" s="3" t="s">
        <v>22</v>
      </c>
      <c r="J339" s="3" t="s">
        <v>2592</v>
      </c>
      <c r="K339" s="3" t="s">
        <v>2059</v>
      </c>
      <c r="L339" s="3" t="s">
        <v>2060</v>
      </c>
      <c r="M339" s="3" t="s">
        <v>2061</v>
      </c>
      <c r="N339" s="3" t="s">
        <v>234</v>
      </c>
      <c r="O339" s="3" t="s">
        <v>2062</v>
      </c>
      <c r="Q339" s="3" t="s">
        <v>29</v>
      </c>
      <c r="S339" s="27" t="s">
        <v>2063</v>
      </c>
      <c r="T339" s="27">
        <f>IFERROR(__xludf.DUMMYFUNCTION("""COMPUTED_VALUE"""),1877.0)</f>
        <v>1877</v>
      </c>
      <c r="U339" s="1" t="s">
        <v>2593</v>
      </c>
    </row>
    <row r="340">
      <c r="A340" s="4">
        <v>44687.74673017361</v>
      </c>
      <c r="B340" s="3" t="s">
        <v>2057</v>
      </c>
      <c r="C340" s="3" t="s">
        <v>2064</v>
      </c>
      <c r="D340" s="3" t="s">
        <v>230</v>
      </c>
      <c r="E340" s="6">
        <v>44691.0</v>
      </c>
      <c r="F340" s="3">
        <v>400.0</v>
      </c>
      <c r="G340" s="3" t="s">
        <v>21</v>
      </c>
      <c r="H340" s="3" t="s">
        <v>22</v>
      </c>
      <c r="K340" s="3" t="s">
        <v>2065</v>
      </c>
      <c r="L340" s="3" t="s">
        <v>2066</v>
      </c>
      <c r="M340" s="3" t="s">
        <v>2067</v>
      </c>
      <c r="N340" s="3" t="s">
        <v>234</v>
      </c>
      <c r="O340" s="3" t="s">
        <v>2062</v>
      </c>
      <c r="Q340" s="3" t="s">
        <v>1205</v>
      </c>
      <c r="S340" s="27" t="s">
        <v>2068</v>
      </c>
      <c r="T340" s="27">
        <f>IFERROR(__xludf.DUMMYFUNCTION("""COMPUTED_VALUE"""),1877.0)</f>
        <v>1877</v>
      </c>
      <c r="U340" s="1" t="s">
        <v>2594</v>
      </c>
    </row>
    <row r="341">
      <c r="A341" s="4">
        <v>44687.765015439814</v>
      </c>
      <c r="B341" s="3" t="s">
        <v>482</v>
      </c>
      <c r="C341" s="3" t="s">
        <v>2069</v>
      </c>
      <c r="D341" s="3" t="s">
        <v>230</v>
      </c>
      <c r="E341" s="6">
        <v>44075.0</v>
      </c>
      <c r="F341" s="3">
        <v>1.0</v>
      </c>
      <c r="G341" s="3" t="s">
        <v>136</v>
      </c>
      <c r="H341" s="3" t="s">
        <v>22</v>
      </c>
      <c r="K341" s="3" t="s">
        <v>2070</v>
      </c>
      <c r="L341" s="3" t="s">
        <v>2071</v>
      </c>
      <c r="M341" s="3" t="s">
        <v>2072</v>
      </c>
      <c r="N341" s="3" t="s">
        <v>234</v>
      </c>
      <c r="O341" s="3" t="s">
        <v>487</v>
      </c>
      <c r="Q341" s="3" t="s">
        <v>29</v>
      </c>
      <c r="S341" s="27" t="s">
        <v>2073</v>
      </c>
      <c r="T341" s="27">
        <f>IFERROR(__xludf.DUMMYFUNCTION("""COMPUTED_VALUE"""),4.0)</f>
        <v>4</v>
      </c>
      <c r="U341" s="1" t="s">
        <v>2595</v>
      </c>
    </row>
    <row r="342">
      <c r="A342" s="4">
        <v>44692.59091787037</v>
      </c>
      <c r="B342" s="3" t="s">
        <v>482</v>
      </c>
      <c r="C342" s="3" t="s">
        <v>2074</v>
      </c>
      <c r="D342" s="3" t="s">
        <v>230</v>
      </c>
      <c r="E342" s="6">
        <v>43466.0</v>
      </c>
      <c r="F342" s="3">
        <v>250.0</v>
      </c>
      <c r="G342" s="3" t="s">
        <v>136</v>
      </c>
      <c r="H342" s="3" t="s">
        <v>22</v>
      </c>
      <c r="K342" s="3" t="s">
        <v>2075</v>
      </c>
      <c r="L342" s="3" t="s">
        <v>2076</v>
      </c>
      <c r="M342" s="3" t="s">
        <v>2077</v>
      </c>
      <c r="N342" s="3" t="s">
        <v>234</v>
      </c>
      <c r="O342" s="3" t="s">
        <v>487</v>
      </c>
      <c r="Q342" s="3" t="s">
        <v>29</v>
      </c>
      <c r="S342" s="27" t="s">
        <v>2078</v>
      </c>
      <c r="T342" s="27">
        <f>IFERROR(__xludf.DUMMYFUNCTION("""COMPUTED_VALUE"""),4.0)</f>
        <v>4</v>
      </c>
      <c r="U342" s="1" t="s">
        <v>2596</v>
      </c>
    </row>
    <row r="343">
      <c r="A343" s="4">
        <v>44692.59174396991</v>
      </c>
      <c r="B343" s="3" t="s">
        <v>482</v>
      </c>
      <c r="C343" s="3" t="s">
        <v>2079</v>
      </c>
      <c r="D343" s="3" t="s">
        <v>230</v>
      </c>
      <c r="E343" s="6">
        <v>43466.0</v>
      </c>
      <c r="F343" s="3">
        <v>250.0</v>
      </c>
      <c r="G343" s="3" t="s">
        <v>136</v>
      </c>
      <c r="H343" s="3" t="s">
        <v>22</v>
      </c>
      <c r="K343" s="3" t="s">
        <v>2075</v>
      </c>
      <c r="L343" s="3" t="s">
        <v>2080</v>
      </c>
      <c r="M343" s="3" t="s">
        <v>2081</v>
      </c>
      <c r="N343" s="3" t="s">
        <v>234</v>
      </c>
      <c r="O343" s="3" t="s">
        <v>487</v>
      </c>
      <c r="Q343" s="3" t="s">
        <v>1205</v>
      </c>
      <c r="S343" s="27" t="s">
        <v>2082</v>
      </c>
      <c r="T343" s="27">
        <f>IFERROR(__xludf.DUMMYFUNCTION("""COMPUTED_VALUE"""),4.0)</f>
        <v>4</v>
      </c>
      <c r="U343" s="1" t="s">
        <v>2597</v>
      </c>
    </row>
    <row r="344">
      <c r="A344" s="4">
        <v>44692.66919763889</v>
      </c>
      <c r="B344" s="3" t="s">
        <v>242</v>
      </c>
      <c r="C344" s="3" t="s">
        <v>2083</v>
      </c>
      <c r="D344" s="3" t="s">
        <v>230</v>
      </c>
      <c r="E344" s="6">
        <v>44562.0</v>
      </c>
      <c r="F344" s="3">
        <v>225.0</v>
      </c>
      <c r="G344" s="3" t="s">
        <v>21</v>
      </c>
      <c r="H344" s="3" t="s">
        <v>22</v>
      </c>
      <c r="J344" s="3" t="s">
        <v>859</v>
      </c>
      <c r="K344" s="3" t="s">
        <v>2084</v>
      </c>
      <c r="L344" s="3" t="s">
        <v>2085</v>
      </c>
      <c r="M344" s="3" t="s">
        <v>2086</v>
      </c>
      <c r="N344" s="3" t="s">
        <v>234</v>
      </c>
      <c r="O344" s="3" t="s">
        <v>248</v>
      </c>
      <c r="Q344" s="3" t="s">
        <v>29</v>
      </c>
      <c r="S344" s="27" t="s">
        <v>2087</v>
      </c>
      <c r="T344" s="27">
        <f>IFERROR(__xludf.DUMMYFUNCTION("""COMPUTED_VALUE"""),773.0)</f>
        <v>773</v>
      </c>
      <c r="U344" s="1" t="s">
        <v>2598</v>
      </c>
    </row>
    <row r="345">
      <c r="A345" s="4">
        <v>44692.70155533565</v>
      </c>
      <c r="B345" s="3" t="s">
        <v>2088</v>
      </c>
      <c r="C345" s="3" t="s">
        <v>2089</v>
      </c>
      <c r="D345" s="3" t="s">
        <v>230</v>
      </c>
      <c r="E345" s="6">
        <v>44089.0</v>
      </c>
      <c r="F345" s="3">
        <v>1200.0</v>
      </c>
      <c r="G345" s="3" t="s">
        <v>136</v>
      </c>
      <c r="H345" s="3" t="s">
        <v>22</v>
      </c>
      <c r="K345" s="3" t="s">
        <v>2090</v>
      </c>
      <c r="L345" s="3" t="s">
        <v>2091</v>
      </c>
      <c r="M345" s="3" t="s">
        <v>2092</v>
      </c>
      <c r="N345" s="3" t="s">
        <v>234</v>
      </c>
      <c r="O345" s="3" t="s">
        <v>2093</v>
      </c>
      <c r="Q345" s="3" t="s">
        <v>29</v>
      </c>
      <c r="S345" s="27" t="s">
        <v>2094</v>
      </c>
      <c r="T345" s="27">
        <f>IFERROR(__xludf.DUMMYFUNCTION("""COMPUTED_VALUE"""),1506.0)</f>
        <v>1506</v>
      </c>
      <c r="U345" s="1" t="s">
        <v>2599</v>
      </c>
    </row>
    <row r="346">
      <c r="A346" s="4">
        <v>44692.8080486574</v>
      </c>
      <c r="B346" s="3" t="s">
        <v>2095</v>
      </c>
      <c r="C346" s="3" t="s">
        <v>2096</v>
      </c>
      <c r="D346" s="3" t="s">
        <v>230</v>
      </c>
      <c r="E346" s="6">
        <v>43466.0</v>
      </c>
      <c r="F346" s="3">
        <v>1200.0</v>
      </c>
      <c r="G346" s="3" t="s">
        <v>136</v>
      </c>
      <c r="H346" s="3" t="s">
        <v>22</v>
      </c>
      <c r="K346" s="3" t="s">
        <v>2097</v>
      </c>
      <c r="L346" s="3" t="s">
        <v>2098</v>
      </c>
      <c r="M346" s="3" t="s">
        <v>2099</v>
      </c>
      <c r="N346" s="3" t="s">
        <v>234</v>
      </c>
      <c r="O346" s="3" t="s">
        <v>2100</v>
      </c>
      <c r="Q346" s="3" t="s">
        <v>29</v>
      </c>
      <c r="S346" s="27" t="s">
        <v>2101</v>
      </c>
      <c r="T346" s="27">
        <f>IFERROR(__xludf.DUMMYFUNCTION("""COMPUTED_VALUE"""),1747.0)</f>
        <v>1747</v>
      </c>
      <c r="U346" s="1" t="s">
        <v>2600</v>
      </c>
    </row>
    <row r="347">
      <c r="A347" s="4">
        <v>44692.809343333334</v>
      </c>
      <c r="B347" s="3" t="s">
        <v>2102</v>
      </c>
      <c r="C347" s="3" t="s">
        <v>2103</v>
      </c>
      <c r="D347" s="3" t="s">
        <v>230</v>
      </c>
      <c r="E347" s="6">
        <v>43466.0</v>
      </c>
      <c r="F347" s="3">
        <v>1500.0</v>
      </c>
      <c r="G347" s="3" t="s">
        <v>136</v>
      </c>
      <c r="H347" s="3" t="s">
        <v>22</v>
      </c>
      <c r="J347" s="3" t="s">
        <v>2601</v>
      </c>
      <c r="K347" s="3" t="s">
        <v>2104</v>
      </c>
      <c r="L347" s="3" t="s">
        <v>2105</v>
      </c>
      <c r="M347" s="3" t="s">
        <v>2106</v>
      </c>
      <c r="N347" s="3" t="s">
        <v>234</v>
      </c>
      <c r="O347" s="3" t="s">
        <v>2107</v>
      </c>
      <c r="Q347" s="3" t="s">
        <v>29</v>
      </c>
      <c r="S347" s="27" t="s">
        <v>2108</v>
      </c>
      <c r="T347" s="27">
        <f>IFERROR(__xludf.DUMMYFUNCTION("""COMPUTED_VALUE"""),1750.0)</f>
        <v>1750</v>
      </c>
      <c r="U347" s="1" t="s">
        <v>2602</v>
      </c>
    </row>
    <row r="348">
      <c r="A348" s="4">
        <v>44694.527349571756</v>
      </c>
      <c r="B348" s="3" t="s">
        <v>2109</v>
      </c>
      <c r="C348" s="3" t="s">
        <v>2110</v>
      </c>
      <c r="D348" s="3" t="s">
        <v>230</v>
      </c>
      <c r="E348" s="6">
        <v>44501.0</v>
      </c>
      <c r="F348" s="3">
        <v>900.0</v>
      </c>
      <c r="G348" s="3" t="s">
        <v>136</v>
      </c>
      <c r="H348" s="3" t="s">
        <v>22</v>
      </c>
      <c r="I348" s="3" t="s">
        <v>2111</v>
      </c>
      <c r="K348" s="3" t="s">
        <v>2112</v>
      </c>
      <c r="L348" s="3" t="s">
        <v>2113</v>
      </c>
      <c r="M348" s="3" t="s">
        <v>2114</v>
      </c>
      <c r="N348" s="3" t="s">
        <v>234</v>
      </c>
      <c r="O348" s="3" t="s">
        <v>2115</v>
      </c>
      <c r="P348" s="3" t="s">
        <v>2116</v>
      </c>
      <c r="Q348" s="3" t="s">
        <v>29</v>
      </c>
      <c r="S348" s="27" t="s">
        <v>2117</v>
      </c>
      <c r="T348" s="27">
        <f>IFERROR(__xludf.DUMMYFUNCTION("""COMPUTED_VALUE"""),1749.0)</f>
        <v>1749</v>
      </c>
      <c r="U348" s="1" t="s">
        <v>2603</v>
      </c>
    </row>
    <row r="349">
      <c r="A349" s="4">
        <v>44694.55507149306</v>
      </c>
      <c r="B349" s="3" t="s">
        <v>2118</v>
      </c>
      <c r="C349" s="3" t="s">
        <v>2119</v>
      </c>
      <c r="D349" s="3" t="s">
        <v>230</v>
      </c>
      <c r="E349" s="6">
        <v>44651.0</v>
      </c>
      <c r="F349" s="3">
        <v>600.0</v>
      </c>
      <c r="G349" s="3" t="s">
        <v>136</v>
      </c>
      <c r="H349" s="3" t="s">
        <v>22</v>
      </c>
      <c r="I349" s="3" t="s">
        <v>1167</v>
      </c>
      <c r="J349" s="1" t="s">
        <v>2604</v>
      </c>
      <c r="K349" s="3" t="s">
        <v>2120</v>
      </c>
      <c r="L349" s="3" t="s">
        <v>2121</v>
      </c>
      <c r="M349" s="3" t="s">
        <v>2122</v>
      </c>
      <c r="N349" s="3" t="s">
        <v>234</v>
      </c>
      <c r="O349" s="3" t="s">
        <v>2123</v>
      </c>
      <c r="P349" s="3" t="s">
        <v>1172</v>
      </c>
      <c r="Q349" s="3" t="s">
        <v>29</v>
      </c>
      <c r="S349" s="27" t="s">
        <v>2124</v>
      </c>
      <c r="T349" s="27">
        <f>IFERROR(__xludf.DUMMYFUNCTION("""COMPUTED_VALUE"""),1607.0)</f>
        <v>1607</v>
      </c>
      <c r="U349" s="1" t="s">
        <v>2605</v>
      </c>
    </row>
    <row r="350">
      <c r="A350" s="4">
        <v>44697.478749166665</v>
      </c>
      <c r="B350" s="3" t="s">
        <v>1829</v>
      </c>
      <c r="C350" s="3" t="s">
        <v>1830</v>
      </c>
      <c r="D350" s="3" t="s">
        <v>230</v>
      </c>
      <c r="E350" s="6">
        <v>44682.0</v>
      </c>
      <c r="F350" s="3">
        <v>1.0</v>
      </c>
      <c r="G350" s="3" t="s">
        <v>136</v>
      </c>
      <c r="H350" s="3" t="s">
        <v>22</v>
      </c>
      <c r="J350" s="1" t="s">
        <v>2606</v>
      </c>
      <c r="K350" s="3" t="s">
        <v>2125</v>
      </c>
      <c r="L350" s="3" t="s">
        <v>2126</v>
      </c>
      <c r="M350" s="3" t="s">
        <v>2127</v>
      </c>
      <c r="N350" s="3" t="s">
        <v>234</v>
      </c>
      <c r="O350" s="3" t="s">
        <v>1835</v>
      </c>
      <c r="Q350" s="3" t="s">
        <v>29</v>
      </c>
      <c r="S350" s="27" t="s">
        <v>2128</v>
      </c>
      <c r="T350" s="27">
        <f>IFERROR(__xludf.DUMMYFUNCTION("""COMPUTED_VALUE"""),1713.0)</f>
        <v>1713</v>
      </c>
      <c r="U350" s="1" t="s">
        <v>2607</v>
      </c>
    </row>
    <row r="351">
      <c r="A351" s="4">
        <v>44697.56896912037</v>
      </c>
      <c r="B351" s="3" t="s">
        <v>2129</v>
      </c>
      <c r="C351" s="3" t="s">
        <v>2130</v>
      </c>
      <c r="D351" s="3" t="s">
        <v>358</v>
      </c>
      <c r="E351" s="6">
        <v>44697.0</v>
      </c>
      <c r="F351" s="3">
        <v>3590.0</v>
      </c>
      <c r="G351" s="3" t="s">
        <v>136</v>
      </c>
      <c r="H351" s="3" t="s">
        <v>22</v>
      </c>
      <c r="I351" s="3" t="s">
        <v>1160</v>
      </c>
      <c r="K351" s="3" t="s">
        <v>2131</v>
      </c>
      <c r="L351" s="3" t="s">
        <v>2132</v>
      </c>
      <c r="M351" s="3" t="s">
        <v>2133</v>
      </c>
      <c r="N351" s="3" t="s">
        <v>362</v>
      </c>
      <c r="O351" s="3" t="s">
        <v>2134</v>
      </c>
      <c r="P351" s="3" t="s">
        <v>1163</v>
      </c>
      <c r="Q351" s="3" t="s">
        <v>29</v>
      </c>
      <c r="S351" s="27" t="s">
        <v>2135</v>
      </c>
      <c r="T351" s="27">
        <f>IFERROR(__xludf.DUMMYFUNCTION("""COMPUTED_VALUE"""),1896.0)</f>
        <v>1896</v>
      </c>
      <c r="U351" s="1" t="s">
        <v>2608</v>
      </c>
    </row>
    <row r="352">
      <c r="A352" s="4">
        <v>44698.554598194445</v>
      </c>
      <c r="B352" s="3" t="s">
        <v>67</v>
      </c>
      <c r="C352" s="3" t="s">
        <v>2136</v>
      </c>
      <c r="D352" s="3" t="s">
        <v>230</v>
      </c>
      <c r="E352" s="6">
        <v>43466.0</v>
      </c>
      <c r="F352" s="3">
        <v>200.0</v>
      </c>
      <c r="G352" s="3" t="s">
        <v>136</v>
      </c>
      <c r="H352" s="3" t="s">
        <v>22</v>
      </c>
      <c r="K352" s="3" t="s">
        <v>2137</v>
      </c>
      <c r="L352" s="3" t="s">
        <v>2138</v>
      </c>
      <c r="M352" s="3" t="s">
        <v>2139</v>
      </c>
      <c r="N352" s="3" t="s">
        <v>234</v>
      </c>
      <c r="O352" s="3" t="s">
        <v>72</v>
      </c>
      <c r="Q352" s="3" t="s">
        <v>29</v>
      </c>
      <c r="S352" s="27" t="s">
        <v>2140</v>
      </c>
      <c r="T352" s="27">
        <f>IFERROR(__xludf.DUMMYFUNCTION("""COMPUTED_VALUE"""),642.0)</f>
        <v>642</v>
      </c>
      <c r="U352" s="1" t="s">
        <v>2609</v>
      </c>
    </row>
    <row r="353">
      <c r="A353" s="4">
        <v>44698.74765148148</v>
      </c>
      <c r="B353" s="3" t="s">
        <v>1218</v>
      </c>
      <c r="C353" s="3" t="s">
        <v>2141</v>
      </c>
      <c r="D353" s="3" t="s">
        <v>1362</v>
      </c>
      <c r="E353" s="6">
        <v>44562.0</v>
      </c>
      <c r="F353" s="3">
        <v>20000.0</v>
      </c>
      <c r="G353" s="3" t="s">
        <v>136</v>
      </c>
      <c r="H353" s="3" t="s">
        <v>22</v>
      </c>
      <c r="J353" s="10" t="s">
        <v>2142</v>
      </c>
      <c r="K353" s="3" t="s">
        <v>2143</v>
      </c>
      <c r="L353" s="3" t="s">
        <v>2144</v>
      </c>
      <c r="M353" s="3" t="s">
        <v>2145</v>
      </c>
      <c r="N353" s="3" t="s">
        <v>1366</v>
      </c>
      <c r="O353" s="3" t="s">
        <v>1223</v>
      </c>
      <c r="Q353" s="3" t="s">
        <v>1205</v>
      </c>
      <c r="S353" s="27" t="s">
        <v>2146</v>
      </c>
      <c r="T353" s="27">
        <f>IFERROR(__xludf.DUMMYFUNCTION("""COMPUTED_VALUE"""),1771.0)</f>
        <v>1771</v>
      </c>
      <c r="U353" s="1" t="s">
        <v>2610</v>
      </c>
    </row>
    <row r="354">
      <c r="A354" s="4">
        <v>44699.71083703704</v>
      </c>
      <c r="B354" s="3" t="s">
        <v>2147</v>
      </c>
      <c r="C354" s="3" t="s">
        <v>2148</v>
      </c>
      <c r="D354" s="3" t="s">
        <v>358</v>
      </c>
      <c r="E354" s="6">
        <v>44732.0</v>
      </c>
      <c r="F354" s="3">
        <v>10610.0</v>
      </c>
      <c r="G354" s="3" t="s">
        <v>21</v>
      </c>
      <c r="H354" s="3" t="s">
        <v>22</v>
      </c>
      <c r="J354" s="3" t="s">
        <v>2149</v>
      </c>
      <c r="K354" s="3" t="s">
        <v>2150</v>
      </c>
      <c r="L354" s="3" t="s">
        <v>2151</v>
      </c>
      <c r="M354" s="3" t="s">
        <v>2152</v>
      </c>
      <c r="N354" s="3" t="s">
        <v>362</v>
      </c>
      <c r="O354" s="3" t="s">
        <v>2153</v>
      </c>
      <c r="Q354" s="3" t="s">
        <v>29</v>
      </c>
      <c r="S354" s="27" t="s">
        <v>2611</v>
      </c>
      <c r="T354" s="27">
        <f>IFERROR(__xludf.DUMMYFUNCTION("""COMPUTED_VALUE"""),1876.0)</f>
        <v>1876</v>
      </c>
      <c r="U354" s="1" t="s">
        <v>2612</v>
      </c>
    </row>
    <row r="355">
      <c r="A355" s="4">
        <v>44700.50955876157</v>
      </c>
      <c r="B355" s="3" t="s">
        <v>2155</v>
      </c>
      <c r="C355" s="3" t="s">
        <v>2156</v>
      </c>
      <c r="D355" s="3" t="s">
        <v>20</v>
      </c>
      <c r="E355" s="6">
        <v>44602.0</v>
      </c>
      <c r="F355" s="3">
        <v>372497.0</v>
      </c>
      <c r="G355" s="3" t="s">
        <v>21</v>
      </c>
      <c r="H355" s="3" t="s">
        <v>22</v>
      </c>
      <c r="J355" s="1" t="s">
        <v>2613</v>
      </c>
      <c r="K355" s="3" t="s">
        <v>2157</v>
      </c>
      <c r="L355" s="3" t="s">
        <v>2158</v>
      </c>
      <c r="M355" s="3" t="s">
        <v>2159</v>
      </c>
      <c r="N355" s="3" t="s">
        <v>27</v>
      </c>
      <c r="O355" s="3" t="s">
        <v>2160</v>
      </c>
      <c r="Q355" s="3" t="s">
        <v>29</v>
      </c>
      <c r="S355" s="27" t="s">
        <v>2161</v>
      </c>
      <c r="T355" s="27">
        <f>IFERROR(__xludf.DUMMYFUNCTION("""COMPUTED_VALUE"""),2142.0)</f>
        <v>2142</v>
      </c>
      <c r="U355" s="1" t="s">
        <v>2614</v>
      </c>
    </row>
    <row r="356">
      <c r="A356" s="4">
        <v>44712.734675879634</v>
      </c>
      <c r="B356" s="3" t="s">
        <v>2162</v>
      </c>
      <c r="C356" s="3" t="s">
        <v>2163</v>
      </c>
      <c r="D356" s="3" t="s">
        <v>20</v>
      </c>
      <c r="E356" s="6">
        <v>44701.0</v>
      </c>
      <c r="F356" s="3">
        <v>626280.0</v>
      </c>
      <c r="G356" s="3" t="s">
        <v>21</v>
      </c>
      <c r="H356" s="3" t="s">
        <v>22</v>
      </c>
      <c r="J356" s="1" t="s">
        <v>2615</v>
      </c>
      <c r="K356" s="3" t="s">
        <v>2164</v>
      </c>
      <c r="L356" s="3" t="s">
        <v>2165</v>
      </c>
      <c r="M356" s="3" t="s">
        <v>2166</v>
      </c>
      <c r="N356" s="3" t="s">
        <v>27</v>
      </c>
      <c r="O356" s="3" t="s">
        <v>2167</v>
      </c>
      <c r="Q356" s="3" t="s">
        <v>29</v>
      </c>
      <c r="S356" s="27" t="s">
        <v>2168</v>
      </c>
      <c r="T356" s="27">
        <f>IFERROR(__xludf.DUMMYFUNCTION("""COMPUTED_VALUE"""),1911.0)</f>
        <v>1911</v>
      </c>
      <c r="U356" s="1" t="s">
        <v>2616</v>
      </c>
    </row>
    <row r="357">
      <c r="A357" s="4">
        <v>44718.5940977662</v>
      </c>
      <c r="B357" s="3" t="s">
        <v>1821</v>
      </c>
      <c r="C357" s="3" t="s">
        <v>2169</v>
      </c>
      <c r="D357" s="3" t="s">
        <v>1049</v>
      </c>
      <c r="E357" s="6">
        <v>44715.0</v>
      </c>
      <c r="F357" s="3">
        <v>5000.0</v>
      </c>
      <c r="G357" s="3" t="s">
        <v>136</v>
      </c>
      <c r="H357" s="3" t="s">
        <v>22</v>
      </c>
      <c r="I357" s="3" t="s">
        <v>1145</v>
      </c>
      <c r="K357" s="3" t="s">
        <v>2170</v>
      </c>
      <c r="L357" s="3" t="s">
        <v>2171</v>
      </c>
      <c r="M357" s="3" t="s">
        <v>2172</v>
      </c>
      <c r="N357" s="3" t="s">
        <v>1054</v>
      </c>
      <c r="O357" s="3" t="s">
        <v>1827</v>
      </c>
      <c r="P357" s="3" t="s">
        <v>1150</v>
      </c>
      <c r="Q357" s="3" t="s">
        <v>29</v>
      </c>
      <c r="S357" s="27" t="s">
        <v>2173</v>
      </c>
      <c r="T357" s="27">
        <f>IFERROR(__xludf.DUMMYFUNCTION("""COMPUTED_VALUE"""),1707.0)</f>
        <v>1707</v>
      </c>
      <c r="U357" s="1" t="s">
        <v>2617</v>
      </c>
    </row>
    <row r="358">
      <c r="A358" s="4">
        <v>44720.73357859954</v>
      </c>
      <c r="B358" s="3" t="s">
        <v>2174</v>
      </c>
      <c r="C358" s="3" t="s">
        <v>2175</v>
      </c>
      <c r="D358" s="3" t="s">
        <v>358</v>
      </c>
      <c r="E358" s="6">
        <v>44719.0</v>
      </c>
      <c r="F358" s="3">
        <v>4050.0</v>
      </c>
      <c r="G358" s="3" t="s">
        <v>136</v>
      </c>
      <c r="H358" s="3" t="s">
        <v>22</v>
      </c>
      <c r="I358" s="3" t="s">
        <v>1160</v>
      </c>
      <c r="K358" s="3" t="s">
        <v>2176</v>
      </c>
      <c r="L358" s="3" t="s">
        <v>2177</v>
      </c>
      <c r="M358" s="3" t="s">
        <v>2178</v>
      </c>
      <c r="N358" s="3" t="s">
        <v>362</v>
      </c>
      <c r="O358" s="3" t="s">
        <v>2179</v>
      </c>
      <c r="P358" s="3" t="s">
        <v>1163</v>
      </c>
      <c r="Q358" s="3" t="s">
        <v>29</v>
      </c>
      <c r="S358" s="27" t="s">
        <v>2180</v>
      </c>
      <c r="T358" s="27">
        <f>IFERROR(__xludf.DUMMYFUNCTION("""COMPUTED_VALUE"""),1897.0)</f>
        <v>1897</v>
      </c>
      <c r="U358" s="1" t="s">
        <v>2618</v>
      </c>
    </row>
    <row r="359">
      <c r="A359" s="4">
        <v>44727.589015046295</v>
      </c>
      <c r="B359" s="3" t="s">
        <v>2187</v>
      </c>
      <c r="C359" s="3" t="s">
        <v>2188</v>
      </c>
      <c r="D359" s="3" t="s">
        <v>358</v>
      </c>
      <c r="E359" s="6">
        <v>44725.0</v>
      </c>
      <c r="F359" s="3">
        <v>3370.0</v>
      </c>
      <c r="G359" s="3" t="s">
        <v>136</v>
      </c>
      <c r="H359" s="3" t="s">
        <v>22</v>
      </c>
      <c r="I359" s="3" t="s">
        <v>1160</v>
      </c>
      <c r="K359" s="3" t="s">
        <v>2189</v>
      </c>
      <c r="L359" s="3" t="s">
        <v>2190</v>
      </c>
      <c r="M359" s="3" t="s">
        <v>2191</v>
      </c>
      <c r="N359" s="3" t="s">
        <v>362</v>
      </c>
      <c r="O359" s="3" t="s">
        <v>2192</v>
      </c>
      <c r="P359" s="3" t="s">
        <v>1163</v>
      </c>
      <c r="Q359" s="3" t="s">
        <v>1205</v>
      </c>
      <c r="S359" s="27" t="s">
        <v>2193</v>
      </c>
      <c r="T359" s="27">
        <f>IFERROR(__xludf.DUMMYFUNCTION("""COMPUTED_VALUE"""),587.0)</f>
        <v>587</v>
      </c>
      <c r="U359" s="1" t="s">
        <v>2619</v>
      </c>
    </row>
    <row r="360">
      <c r="A360" s="4">
        <v>44761.72238216436</v>
      </c>
      <c r="B360" s="3" t="s">
        <v>1719</v>
      </c>
      <c r="C360" s="3" t="s">
        <v>2620</v>
      </c>
      <c r="D360" s="3" t="s">
        <v>20</v>
      </c>
      <c r="E360" s="6">
        <v>44755.0</v>
      </c>
      <c r="F360" s="30">
        <v>1266280.0</v>
      </c>
      <c r="G360" s="3" t="s">
        <v>21</v>
      </c>
      <c r="H360" s="3" t="s">
        <v>22</v>
      </c>
      <c r="J360" s="1" t="s">
        <v>2621</v>
      </c>
      <c r="K360" s="3" t="s">
        <v>2622</v>
      </c>
      <c r="L360" s="3" t="s">
        <v>2623</v>
      </c>
      <c r="M360" s="3" t="s">
        <v>2624</v>
      </c>
      <c r="N360" s="3" t="s">
        <v>27</v>
      </c>
      <c r="O360" s="3" t="s">
        <v>1724</v>
      </c>
      <c r="Q360" s="3" t="s">
        <v>29</v>
      </c>
      <c r="S360" s="27" t="s">
        <v>2625</v>
      </c>
      <c r="T360" s="27">
        <f>IFERROR(__xludf.DUMMYFUNCTION("""COMPUTED_VALUE"""),1502.0)</f>
        <v>1502</v>
      </c>
      <c r="U360" s="1" t="s">
        <v>2626</v>
      </c>
    </row>
    <row r="361">
      <c r="A361" s="31">
        <v>44762.0</v>
      </c>
      <c r="B361" s="3" t="s">
        <v>393</v>
      </c>
      <c r="C361" s="3" t="s">
        <v>2627</v>
      </c>
      <c r="D361" s="3" t="s">
        <v>358</v>
      </c>
      <c r="E361" s="6">
        <v>44727.0</v>
      </c>
      <c r="F361" s="3">
        <v>276034.0</v>
      </c>
      <c r="G361" s="3" t="s">
        <v>350</v>
      </c>
      <c r="H361" s="3" t="s">
        <v>22</v>
      </c>
      <c r="K361" s="3" t="s">
        <v>2628</v>
      </c>
      <c r="L361" s="3" t="s">
        <v>2629</v>
      </c>
      <c r="M361" s="3" t="s">
        <v>2630</v>
      </c>
      <c r="N361" s="3" t="s">
        <v>362</v>
      </c>
      <c r="O361" s="3" t="s">
        <v>398</v>
      </c>
      <c r="Q361" s="3" t="s">
        <v>1205</v>
      </c>
      <c r="S361" s="27" t="s">
        <v>2631</v>
      </c>
      <c r="T361" s="27">
        <f>IFERROR(__xludf.DUMMYFUNCTION("""COMPUTED_VALUE"""),1148.0)</f>
        <v>1148</v>
      </c>
      <c r="U361" s="1" t="s">
        <v>2632</v>
      </c>
    </row>
    <row r="362">
      <c r="A362" s="4">
        <v>44762.657309270835</v>
      </c>
      <c r="B362" s="3" t="s">
        <v>2633</v>
      </c>
      <c r="C362" s="3" t="s">
        <v>2634</v>
      </c>
      <c r="D362" s="3" t="s">
        <v>1049</v>
      </c>
      <c r="E362" s="6">
        <v>44755.0</v>
      </c>
      <c r="F362" s="3">
        <v>1300.0</v>
      </c>
      <c r="G362" s="3" t="s">
        <v>136</v>
      </c>
      <c r="H362" s="3" t="s">
        <v>22</v>
      </c>
      <c r="K362" s="3" t="s">
        <v>2635</v>
      </c>
      <c r="L362" s="3" t="s">
        <v>2636</v>
      </c>
      <c r="M362" s="3" t="s">
        <v>2637</v>
      </c>
      <c r="N362" s="3" t="s">
        <v>1054</v>
      </c>
      <c r="O362" s="3" t="s">
        <v>2638</v>
      </c>
      <c r="Q362" s="3" t="s">
        <v>1205</v>
      </c>
      <c r="S362" s="27" t="s">
        <v>2639</v>
      </c>
      <c r="T362" s="27">
        <f>IFERROR(__xludf.DUMMYFUNCTION("""COMPUTED_VALUE"""),1933.0)</f>
        <v>1933</v>
      </c>
      <c r="U362" s="1" t="s">
        <v>2640</v>
      </c>
    </row>
    <row r="363">
      <c r="A363" s="4">
        <v>44762.68039891204</v>
      </c>
      <c r="B363" s="3" t="s">
        <v>2641</v>
      </c>
      <c r="C363" s="3" t="s">
        <v>2642</v>
      </c>
      <c r="D363" s="3" t="s">
        <v>1049</v>
      </c>
      <c r="E363" s="6">
        <v>44753.0</v>
      </c>
      <c r="F363" s="3">
        <v>1500.0</v>
      </c>
      <c r="G363" s="3" t="s">
        <v>136</v>
      </c>
      <c r="H363" s="3" t="s">
        <v>22</v>
      </c>
      <c r="I363" s="3" t="s">
        <v>1145</v>
      </c>
      <c r="K363" s="3" t="s">
        <v>2643</v>
      </c>
      <c r="L363" s="3" t="s">
        <v>2644</v>
      </c>
      <c r="M363" s="3" t="s">
        <v>2645</v>
      </c>
      <c r="N363" s="3" t="s">
        <v>1054</v>
      </c>
      <c r="O363" s="3" t="s">
        <v>2646</v>
      </c>
      <c r="P363" s="3" t="s">
        <v>1150</v>
      </c>
      <c r="Q363" s="3" t="s">
        <v>1205</v>
      </c>
      <c r="S363" s="27" t="s">
        <v>2647</v>
      </c>
      <c r="T363" s="27">
        <f>IFERROR(__xludf.DUMMYFUNCTION("""COMPUTED_VALUE"""),1318.0)</f>
        <v>1318</v>
      </c>
      <c r="U363" s="1" t="s">
        <v>2648</v>
      </c>
    </row>
    <row r="364">
      <c r="A364" s="4">
        <v>44762.69455525463</v>
      </c>
      <c r="B364" s="3" t="s">
        <v>1165</v>
      </c>
      <c r="C364" s="3" t="s">
        <v>2649</v>
      </c>
      <c r="D364" s="3" t="s">
        <v>756</v>
      </c>
      <c r="E364" s="6">
        <v>44747.0</v>
      </c>
      <c r="F364" s="32">
        <v>2493.56</v>
      </c>
      <c r="G364" s="3" t="s">
        <v>136</v>
      </c>
      <c r="H364" s="3" t="s">
        <v>22</v>
      </c>
      <c r="I364" s="3" t="s">
        <v>1167</v>
      </c>
      <c r="K364" s="3" t="s">
        <v>2650</v>
      </c>
      <c r="L364" s="3" t="s">
        <v>2651</v>
      </c>
      <c r="M364" s="3" t="s">
        <v>2652</v>
      </c>
      <c r="N364" s="3" t="s">
        <v>760</v>
      </c>
      <c r="O364" s="3" t="s">
        <v>1171</v>
      </c>
      <c r="P364" s="3" t="s">
        <v>1172</v>
      </c>
      <c r="Q364" s="3" t="s">
        <v>1205</v>
      </c>
      <c r="S364" s="27" t="s">
        <v>2653</v>
      </c>
      <c r="T364" s="27">
        <f>IFERROR(__xludf.DUMMYFUNCTION("""COMPUTED_VALUE"""),1167.0)</f>
        <v>1167</v>
      </c>
      <c r="U364" s="1" t="s">
        <v>2654</v>
      </c>
    </row>
    <row r="365">
      <c r="A365" s="4">
        <v>44762.71134116898</v>
      </c>
      <c r="B365" s="3" t="s">
        <v>988</v>
      </c>
      <c r="C365" s="3" t="s">
        <v>2655</v>
      </c>
      <c r="D365" s="3" t="s">
        <v>358</v>
      </c>
      <c r="E365" s="6">
        <v>44734.0</v>
      </c>
      <c r="F365" s="3">
        <v>6300.0</v>
      </c>
      <c r="G365" s="3" t="s">
        <v>136</v>
      </c>
      <c r="H365" s="3" t="s">
        <v>22</v>
      </c>
      <c r="I365" s="3" t="s">
        <v>1145</v>
      </c>
      <c r="K365" s="3" t="s">
        <v>2656</v>
      </c>
      <c r="L365" s="3" t="s">
        <v>2657</v>
      </c>
      <c r="M365" s="3" t="s">
        <v>2658</v>
      </c>
      <c r="N365" s="3" t="s">
        <v>362</v>
      </c>
      <c r="O365" s="3" t="s">
        <v>993</v>
      </c>
      <c r="P365" s="3" t="s">
        <v>1150</v>
      </c>
      <c r="Q365" s="3" t="s">
        <v>1205</v>
      </c>
      <c r="S365" s="27" t="s">
        <v>2659</v>
      </c>
      <c r="T365" s="27">
        <f>IFERROR(__xludf.DUMMYFUNCTION("""COMPUTED_VALUE"""),113.0)</f>
        <v>113</v>
      </c>
      <c r="U365" s="1" t="s">
        <v>2660</v>
      </c>
    </row>
    <row r="366">
      <c r="A366" s="4">
        <v>44762.74576197917</v>
      </c>
      <c r="B366" s="3" t="s">
        <v>1597</v>
      </c>
      <c r="C366" s="3" t="s">
        <v>2661</v>
      </c>
      <c r="D366" s="3" t="s">
        <v>230</v>
      </c>
      <c r="E366" s="6">
        <v>44713.0</v>
      </c>
      <c r="F366" s="32">
        <v>100.0</v>
      </c>
      <c r="G366" s="3" t="s">
        <v>21</v>
      </c>
      <c r="H366" s="3" t="s">
        <v>22</v>
      </c>
      <c r="I366" s="3" t="s">
        <v>1167</v>
      </c>
      <c r="J366" s="1" t="s">
        <v>2662</v>
      </c>
      <c r="K366" s="3" t="s">
        <v>2663</v>
      </c>
      <c r="L366" s="3" t="s">
        <v>2664</v>
      </c>
      <c r="M366" s="3" t="s">
        <v>2665</v>
      </c>
      <c r="N366" s="3" t="s">
        <v>234</v>
      </c>
      <c r="O366" s="3" t="s">
        <v>1603</v>
      </c>
      <c r="P366" s="3" t="s">
        <v>1172</v>
      </c>
      <c r="Q366" s="3" t="s">
        <v>1205</v>
      </c>
      <c r="S366" s="27" t="s">
        <v>2666</v>
      </c>
      <c r="T366" s="27">
        <f>IFERROR(__xludf.DUMMYFUNCTION("""COMPUTED_VALUE"""),1580.0)</f>
        <v>1580</v>
      </c>
      <c r="U366" s="1" t="s">
        <v>2667</v>
      </c>
    </row>
    <row r="367">
      <c r="A367" s="4">
        <v>44762.75681523148</v>
      </c>
      <c r="B367" s="3" t="s">
        <v>2181</v>
      </c>
      <c r="C367" s="3" t="s">
        <v>2668</v>
      </c>
      <c r="D367" s="3" t="s">
        <v>358</v>
      </c>
      <c r="E367" s="6">
        <v>44718.0</v>
      </c>
      <c r="F367" s="3">
        <v>1380.0</v>
      </c>
      <c r="G367" s="3" t="s">
        <v>136</v>
      </c>
      <c r="H367" s="3" t="s">
        <v>22</v>
      </c>
      <c r="I367" s="3" t="s">
        <v>1137</v>
      </c>
      <c r="K367" s="3" t="s">
        <v>2669</v>
      </c>
      <c r="L367" s="3" t="s">
        <v>2670</v>
      </c>
      <c r="M367" s="3" t="s">
        <v>2671</v>
      </c>
      <c r="N367" s="3" t="s">
        <v>362</v>
      </c>
      <c r="O367" s="3" t="s">
        <v>2672</v>
      </c>
      <c r="P367" s="3" t="s">
        <v>1141</v>
      </c>
      <c r="Q367" s="3" t="s">
        <v>1205</v>
      </c>
      <c r="S367" s="27" t="s">
        <v>2673</v>
      </c>
      <c r="T367" s="27">
        <f>IFERROR(__xludf.DUMMYFUNCTION("""COMPUTED_VALUE"""),1931.0)</f>
        <v>1931</v>
      </c>
      <c r="U367" s="1" t="s">
        <v>2674</v>
      </c>
    </row>
    <row r="368">
      <c r="A368" s="4">
        <v>44763.706769004624</v>
      </c>
      <c r="B368" s="3" t="s">
        <v>482</v>
      </c>
      <c r="C368" s="3" t="s">
        <v>1200</v>
      </c>
      <c r="D368" s="3" t="s">
        <v>358</v>
      </c>
      <c r="E368" s="6">
        <v>44705.0</v>
      </c>
      <c r="F368" s="3">
        <v>8780.0</v>
      </c>
      <c r="G368" s="3" t="s">
        <v>21</v>
      </c>
      <c r="H368" s="3" t="s">
        <v>22</v>
      </c>
      <c r="I368" s="3" t="s">
        <v>1137</v>
      </c>
      <c r="K368" s="3" t="s">
        <v>2675</v>
      </c>
      <c r="L368" s="3" t="s">
        <v>2676</v>
      </c>
      <c r="M368" s="3" t="s">
        <v>2677</v>
      </c>
      <c r="N368" s="3" t="s">
        <v>362</v>
      </c>
      <c r="O368" s="3" t="s">
        <v>487</v>
      </c>
      <c r="P368" s="3" t="s">
        <v>1141</v>
      </c>
      <c r="Q368" s="3" t="s">
        <v>1205</v>
      </c>
      <c r="S368" s="27" t="s">
        <v>2678</v>
      </c>
      <c r="T368" s="27">
        <f>IFERROR(__xludf.DUMMYFUNCTION("""COMPUTED_VALUE"""),4.0)</f>
        <v>4</v>
      </c>
      <c r="U368" s="1" t="s">
        <v>2679</v>
      </c>
    </row>
    <row r="369">
      <c r="A369" s="4">
        <v>44763.706769004624</v>
      </c>
      <c r="B369" s="3" t="s">
        <v>2680</v>
      </c>
      <c r="C369" s="3" t="s">
        <v>2681</v>
      </c>
      <c r="D369" s="3" t="s">
        <v>358</v>
      </c>
      <c r="E369" s="6">
        <v>44708.0</v>
      </c>
      <c r="F369" s="3">
        <v>2800.0</v>
      </c>
      <c r="G369" s="3" t="s">
        <v>21</v>
      </c>
      <c r="H369" s="3" t="s">
        <v>22</v>
      </c>
      <c r="I369" s="3" t="s">
        <v>1137</v>
      </c>
      <c r="K369" s="3" t="s">
        <v>2682</v>
      </c>
      <c r="L369" s="3" t="s">
        <v>2683</v>
      </c>
      <c r="M369" s="3" t="s">
        <v>2684</v>
      </c>
      <c r="N369" s="3" t="s">
        <v>362</v>
      </c>
      <c r="O369" s="3" t="s">
        <v>2685</v>
      </c>
      <c r="P369" s="3" t="s">
        <v>1141</v>
      </c>
      <c r="Q369" s="3" t="s">
        <v>1205</v>
      </c>
      <c r="S369" s="27" t="s">
        <v>2686</v>
      </c>
      <c r="T369" s="27">
        <f>IFERROR(__xludf.DUMMYFUNCTION("""COMPUTED_VALUE"""),1887.0)</f>
        <v>1887</v>
      </c>
      <c r="U369" s="1" t="s">
        <v>2687</v>
      </c>
    </row>
    <row r="370">
      <c r="A370" s="4">
        <v>44768.74329</v>
      </c>
      <c r="B370" s="3" t="s">
        <v>67</v>
      </c>
      <c r="C370" s="3" t="s">
        <v>2136</v>
      </c>
      <c r="D370" s="3" t="s">
        <v>20</v>
      </c>
      <c r="E370" s="6">
        <v>44098.0</v>
      </c>
      <c r="F370" s="30">
        <v>23000.0</v>
      </c>
      <c r="G370" s="3" t="s">
        <v>21</v>
      </c>
      <c r="H370" s="3" t="s">
        <v>22</v>
      </c>
      <c r="K370" s="3" t="s">
        <v>2688</v>
      </c>
      <c r="L370" s="3" t="s">
        <v>2689</v>
      </c>
      <c r="M370" s="3" t="s">
        <v>2690</v>
      </c>
      <c r="N370" s="3" t="s">
        <v>27</v>
      </c>
      <c r="O370" s="3" t="s">
        <v>72</v>
      </c>
      <c r="Q370" s="3" t="s">
        <v>1205</v>
      </c>
      <c r="R370" s="3" t="b">
        <v>1</v>
      </c>
      <c r="S370" s="27" t="s">
        <v>2691</v>
      </c>
      <c r="T370" s="27">
        <f>IFERROR(__xludf.DUMMYFUNCTION("""COMPUTED_VALUE"""),642.0)</f>
        <v>642</v>
      </c>
      <c r="U370" s="1" t="s">
        <v>2692</v>
      </c>
    </row>
    <row r="371">
      <c r="A371" s="4">
        <v>44774.56299554398</v>
      </c>
      <c r="B371" s="3" t="s">
        <v>580</v>
      </c>
      <c r="C371" s="3" t="s">
        <v>2693</v>
      </c>
      <c r="D371" s="3" t="s">
        <v>358</v>
      </c>
      <c r="E371" s="6">
        <v>44768.0</v>
      </c>
      <c r="F371" s="3">
        <v>545.0</v>
      </c>
      <c r="G371" s="3" t="s">
        <v>21</v>
      </c>
      <c r="H371" s="3" t="s">
        <v>22</v>
      </c>
      <c r="I371" s="3" t="s">
        <v>1145</v>
      </c>
      <c r="K371" s="3" t="s">
        <v>2694</v>
      </c>
      <c r="L371" s="3" t="s">
        <v>2695</v>
      </c>
      <c r="M371" s="3" t="s">
        <v>2696</v>
      </c>
      <c r="N371" s="3" t="s">
        <v>362</v>
      </c>
      <c r="O371" s="3" t="s">
        <v>585</v>
      </c>
      <c r="Q371" s="3" t="s">
        <v>1205</v>
      </c>
      <c r="S371" s="27" t="s">
        <v>2697</v>
      </c>
      <c r="T371" s="27">
        <f>IFERROR(__xludf.DUMMYFUNCTION("""COMPUTED_VALUE"""),415.0)</f>
        <v>415</v>
      </c>
      <c r="U371" s="1" t="s">
        <v>2698</v>
      </c>
    </row>
    <row r="372">
      <c r="A372" s="4">
        <v>44774.58836527778</v>
      </c>
      <c r="B372" s="3" t="s">
        <v>2699</v>
      </c>
      <c r="C372" s="3" t="s">
        <v>2700</v>
      </c>
      <c r="D372" s="3" t="s">
        <v>20</v>
      </c>
      <c r="E372" s="6">
        <v>44737.0</v>
      </c>
      <c r="F372" s="28">
        <f>450470-36816 </f>
        <v>413654</v>
      </c>
      <c r="G372" s="3" t="s">
        <v>21</v>
      </c>
      <c r="H372" s="3" t="s">
        <v>22</v>
      </c>
      <c r="J372" s="1" t="s">
        <v>2701</v>
      </c>
      <c r="K372" s="3" t="s">
        <v>2702</v>
      </c>
      <c r="L372" s="3" t="s">
        <v>2703</v>
      </c>
      <c r="M372" s="3" t="s">
        <v>2704</v>
      </c>
      <c r="N372" s="3" t="s">
        <v>27</v>
      </c>
      <c r="O372" s="3" t="s">
        <v>2705</v>
      </c>
      <c r="Q372" s="3" t="s">
        <v>1205</v>
      </c>
      <c r="S372" s="27" t="s">
        <v>2706</v>
      </c>
      <c r="T372" s="27">
        <f>IFERROR(__xludf.DUMMYFUNCTION("""COMPUTED_VALUE"""),1927.0)</f>
        <v>1927</v>
      </c>
      <c r="U372" s="1" t="s">
        <v>2707</v>
      </c>
    </row>
    <row r="373">
      <c r="A373" s="4">
        <v>44778.50561412037</v>
      </c>
      <c r="B373" s="3" t="s">
        <v>2708</v>
      </c>
      <c r="C373" s="3" t="s">
        <v>2709</v>
      </c>
      <c r="D373" s="3" t="s">
        <v>358</v>
      </c>
      <c r="E373" s="6">
        <v>44767.0</v>
      </c>
      <c r="F373" s="3">
        <v>2855.0</v>
      </c>
      <c r="G373" s="3" t="s">
        <v>136</v>
      </c>
      <c r="H373" s="3" t="s">
        <v>22</v>
      </c>
      <c r="I373" s="3" t="s">
        <v>1137</v>
      </c>
      <c r="K373" s="3" t="s">
        <v>2710</v>
      </c>
      <c r="L373" s="3" t="s">
        <v>2711</v>
      </c>
      <c r="M373" s="3" t="s">
        <v>2712</v>
      </c>
      <c r="N373" s="3" t="s">
        <v>362</v>
      </c>
      <c r="O373" s="3" t="s">
        <v>2713</v>
      </c>
      <c r="Q373" s="3" t="s">
        <v>1205</v>
      </c>
      <c r="S373" s="27" t="s">
        <v>2714</v>
      </c>
      <c r="T373" s="27">
        <f>IFERROR(__xludf.DUMMYFUNCTION("""COMPUTED_VALUE"""),1949.0)</f>
        <v>1949</v>
      </c>
      <c r="U373" s="1" t="s">
        <v>2715</v>
      </c>
    </row>
    <row r="374">
      <c r="A374" s="4">
        <v>44778.739957025464</v>
      </c>
      <c r="B374" s="3" t="s">
        <v>2716</v>
      </c>
      <c r="C374" s="3" t="s">
        <v>2717</v>
      </c>
      <c r="D374" s="3" t="s">
        <v>20</v>
      </c>
      <c r="E374" s="6">
        <v>44774.0</v>
      </c>
      <c r="F374" s="3">
        <v>610990.0</v>
      </c>
      <c r="G374" s="3" t="s">
        <v>21</v>
      </c>
      <c r="H374" s="3" t="s">
        <v>22</v>
      </c>
      <c r="J374" s="1" t="s">
        <v>2718</v>
      </c>
      <c r="K374" s="3" t="s">
        <v>2719</v>
      </c>
      <c r="L374" s="3" t="s">
        <v>2720</v>
      </c>
      <c r="M374" s="3" t="s">
        <v>2721</v>
      </c>
      <c r="N374" s="3" t="s">
        <v>27</v>
      </c>
      <c r="O374" s="3" t="s">
        <v>2722</v>
      </c>
      <c r="Q374" s="3" t="s">
        <v>1205</v>
      </c>
      <c r="S374" s="27" t="s">
        <v>2723</v>
      </c>
      <c r="T374" s="27">
        <f>IFERROR(__xludf.DUMMYFUNCTION("""COMPUTED_VALUE"""),1952.0)</f>
        <v>1952</v>
      </c>
      <c r="U374" s="1" t="s">
        <v>2724</v>
      </c>
    </row>
    <row r="375">
      <c r="A375" s="4">
        <v>44781.54892972222</v>
      </c>
      <c r="B375" s="3" t="s">
        <v>2725</v>
      </c>
      <c r="C375" s="3" t="s">
        <v>2726</v>
      </c>
      <c r="D375" s="3" t="s">
        <v>20</v>
      </c>
      <c r="E375" s="6">
        <v>44778.0</v>
      </c>
      <c r="F375" s="33">
        <v>1036581.96</v>
      </c>
      <c r="G375" s="3" t="s">
        <v>21</v>
      </c>
      <c r="H375" s="3" t="s">
        <v>22</v>
      </c>
      <c r="J375" s="1" t="s">
        <v>2727</v>
      </c>
      <c r="K375" s="3" t="s">
        <v>2728</v>
      </c>
      <c r="L375" s="3" t="s">
        <v>2729</v>
      </c>
      <c r="M375" s="3" t="s">
        <v>2730</v>
      </c>
      <c r="N375" s="3" t="s">
        <v>27</v>
      </c>
      <c r="O375" s="3" t="s">
        <v>2731</v>
      </c>
      <c r="Q375" s="3" t="s">
        <v>1205</v>
      </c>
      <c r="S375" s="27" t="s">
        <v>2732</v>
      </c>
      <c r="T375" s="27">
        <f>IFERROR(__xludf.DUMMYFUNCTION("""COMPUTED_VALUE"""),1959.0)</f>
        <v>1959</v>
      </c>
      <c r="U375" s="1" t="s">
        <v>2733</v>
      </c>
    </row>
    <row r="376">
      <c r="A376" s="4">
        <v>44805.65302684028</v>
      </c>
      <c r="B376" s="3" t="s">
        <v>2734</v>
      </c>
      <c r="C376" s="3" t="s">
        <v>2735</v>
      </c>
      <c r="D376" s="3" t="s">
        <v>230</v>
      </c>
      <c r="E376" s="6">
        <v>44788.0</v>
      </c>
      <c r="F376" s="28">
        <v>120.0</v>
      </c>
      <c r="G376" s="3" t="s">
        <v>21</v>
      </c>
      <c r="H376" s="3" t="s">
        <v>22</v>
      </c>
      <c r="I376" s="3" t="s">
        <v>1167</v>
      </c>
      <c r="K376" s="3" t="s">
        <v>2736</v>
      </c>
      <c r="L376" s="3" t="s">
        <v>2737</v>
      </c>
      <c r="M376" s="3" t="s">
        <v>2738</v>
      </c>
      <c r="N376" s="3" t="s">
        <v>234</v>
      </c>
      <c r="O376" s="3" t="s">
        <v>2739</v>
      </c>
      <c r="Q376" s="3" t="s">
        <v>1205</v>
      </c>
      <c r="S376" s="27" t="s">
        <v>2740</v>
      </c>
      <c r="T376" s="27">
        <f>IFERROR(__xludf.DUMMYFUNCTION("""COMPUTED_VALUE"""),1960.0)</f>
        <v>1960</v>
      </c>
      <c r="U376" s="1" t="s">
        <v>2741</v>
      </c>
    </row>
    <row r="377">
      <c r="A377" s="4">
        <v>44823.62632260416</v>
      </c>
      <c r="B377" s="3" t="s">
        <v>516</v>
      </c>
      <c r="C377" s="3" t="s">
        <v>2742</v>
      </c>
      <c r="D377" s="3" t="s">
        <v>358</v>
      </c>
      <c r="E377" s="6">
        <v>44768.0</v>
      </c>
      <c r="F377" s="3">
        <v>25080.0</v>
      </c>
      <c r="G377" s="3" t="s">
        <v>21</v>
      </c>
      <c r="H377" s="3" t="s">
        <v>22</v>
      </c>
      <c r="K377" s="3" t="s">
        <v>2743</v>
      </c>
      <c r="L377" s="3" t="s">
        <v>2744</v>
      </c>
      <c r="M377" s="3" t="s">
        <v>2745</v>
      </c>
      <c r="N377" s="3" t="s">
        <v>362</v>
      </c>
      <c r="O377" s="3" t="s">
        <v>524</v>
      </c>
      <c r="Q377" s="3" t="s">
        <v>1205</v>
      </c>
      <c r="S377" s="27" t="s">
        <v>2746</v>
      </c>
      <c r="T377" s="27">
        <f>IFERROR(__xludf.DUMMYFUNCTION("""COMPUTED_VALUE"""),1371.0)</f>
        <v>1371</v>
      </c>
      <c r="U377" s="1" t="s">
        <v>2747</v>
      </c>
    </row>
    <row r="378">
      <c r="A378" s="4">
        <v>44824.661926898145</v>
      </c>
      <c r="B378" s="3" t="s">
        <v>516</v>
      </c>
      <c r="C378" s="3" t="s">
        <v>2748</v>
      </c>
      <c r="D378" s="3" t="s">
        <v>358</v>
      </c>
      <c r="E378" s="6">
        <v>44790.0</v>
      </c>
      <c r="F378" s="3">
        <v>28800.0</v>
      </c>
      <c r="G378" s="3" t="s">
        <v>350</v>
      </c>
      <c r="H378" s="3" t="s">
        <v>22</v>
      </c>
      <c r="I378" s="3" t="s">
        <v>1145</v>
      </c>
      <c r="K378" s="3" t="s">
        <v>2749</v>
      </c>
      <c r="L378" s="3" t="s">
        <v>2750</v>
      </c>
      <c r="M378" s="3" t="s">
        <v>2751</v>
      </c>
      <c r="N378" s="3" t="s">
        <v>362</v>
      </c>
      <c r="O378" s="3" t="s">
        <v>524</v>
      </c>
      <c r="P378" s="3" t="s">
        <v>1150</v>
      </c>
      <c r="Q378" s="3" t="s">
        <v>1205</v>
      </c>
      <c r="S378" s="27" t="s">
        <v>2752</v>
      </c>
      <c r="T378" s="27">
        <f>IFERROR(__xludf.DUMMYFUNCTION("""COMPUTED_VALUE"""),1371.0)</f>
        <v>1371</v>
      </c>
      <c r="U378" s="1" t="s">
        <v>2753</v>
      </c>
    </row>
    <row r="379">
      <c r="A379" s="4">
        <v>44834.59788444445</v>
      </c>
      <c r="B379" s="3" t="s">
        <v>2042</v>
      </c>
      <c r="C379" s="3" t="s">
        <v>19</v>
      </c>
      <c r="D379" s="3" t="s">
        <v>230</v>
      </c>
      <c r="E379" s="6">
        <v>44652.0</v>
      </c>
      <c r="F379" s="30">
        <v>1500.0</v>
      </c>
      <c r="G379" s="3" t="s">
        <v>136</v>
      </c>
      <c r="H379" s="3" t="s">
        <v>22</v>
      </c>
      <c r="I379" s="3" t="s">
        <v>1167</v>
      </c>
      <c r="J379" s="1" t="s">
        <v>2581</v>
      </c>
      <c r="K379" s="3" t="s">
        <v>2754</v>
      </c>
      <c r="L379" s="3" t="s">
        <v>2044</v>
      </c>
      <c r="M379" s="3" t="s">
        <v>2045</v>
      </c>
      <c r="N379" s="3" t="s">
        <v>234</v>
      </c>
      <c r="O379" s="3" t="s">
        <v>2046</v>
      </c>
      <c r="P379" s="3" t="s">
        <v>1172</v>
      </c>
      <c r="Q379" s="3" t="s">
        <v>29</v>
      </c>
      <c r="S379" s="27" t="s">
        <v>2047</v>
      </c>
      <c r="T379" s="27">
        <f>IFERROR(__xludf.DUMMYFUNCTION("""COMPUTED_VALUE"""),1865.0)</f>
        <v>1865</v>
      </c>
      <c r="U379" s="1" t="s">
        <v>2755</v>
      </c>
    </row>
    <row r="380">
      <c r="A380" s="4">
        <v>44834.59788444445</v>
      </c>
      <c r="B380" s="3" t="s">
        <v>1072</v>
      </c>
      <c r="C380" s="3" t="s">
        <v>1073</v>
      </c>
      <c r="D380" s="3" t="s">
        <v>358</v>
      </c>
      <c r="E380" s="6">
        <v>44075.0</v>
      </c>
      <c r="F380" s="30">
        <v>31550.0</v>
      </c>
      <c r="G380" s="3" t="s">
        <v>21</v>
      </c>
      <c r="H380" s="3" t="s">
        <v>22</v>
      </c>
      <c r="J380" s="3" t="s">
        <v>2756</v>
      </c>
      <c r="K380" s="3" t="s">
        <v>2757</v>
      </c>
      <c r="L380" s="3" t="s">
        <v>1075</v>
      </c>
      <c r="M380" s="3" t="s">
        <v>1076</v>
      </c>
      <c r="N380" s="3" t="s">
        <v>362</v>
      </c>
      <c r="O380" s="3" t="s">
        <v>1077</v>
      </c>
      <c r="Q380" s="3" t="s">
        <v>29</v>
      </c>
      <c r="S380" s="27" t="s">
        <v>1078</v>
      </c>
      <c r="T380" s="27">
        <f>IFERROR(__xludf.DUMMYFUNCTION("""COMPUTED_VALUE"""),724.0)</f>
        <v>724</v>
      </c>
      <c r="U380" s="1" t="s">
        <v>2758</v>
      </c>
    </row>
    <row r="381">
      <c r="A381" s="4">
        <v>44847.57699539352</v>
      </c>
      <c r="B381" s="3" t="s">
        <v>2759</v>
      </c>
      <c r="C381" s="3" t="s">
        <v>2760</v>
      </c>
      <c r="D381" s="3" t="s">
        <v>358</v>
      </c>
      <c r="E381" s="6">
        <v>44758.0</v>
      </c>
      <c r="F381" s="3">
        <v>2000.0</v>
      </c>
      <c r="G381" s="3" t="s">
        <v>136</v>
      </c>
      <c r="H381" s="3" t="s">
        <v>22</v>
      </c>
      <c r="I381" s="3" t="s">
        <v>2759</v>
      </c>
      <c r="K381" s="3" t="s">
        <v>2761</v>
      </c>
      <c r="L381" s="3" t="s">
        <v>2762</v>
      </c>
      <c r="M381" s="3" t="s">
        <v>2763</v>
      </c>
      <c r="N381" s="3" t="s">
        <v>362</v>
      </c>
      <c r="O381" s="3" t="s">
        <v>2764</v>
      </c>
      <c r="P381" s="3" t="s">
        <v>2764</v>
      </c>
      <c r="Q381" s="3" t="s">
        <v>29</v>
      </c>
      <c r="S381" s="27" t="s">
        <v>2765</v>
      </c>
      <c r="T381" s="27">
        <f>IFERROR(__xludf.DUMMYFUNCTION("""COMPUTED_VALUE"""),2823.0)</f>
        <v>2823</v>
      </c>
      <c r="U381" s="1" t="s">
        <v>2766</v>
      </c>
    </row>
    <row r="382">
      <c r="A382" s="4">
        <v>44859.5987815625</v>
      </c>
      <c r="B382" s="3" t="s">
        <v>2767</v>
      </c>
      <c r="C382" s="3" t="s">
        <v>2768</v>
      </c>
      <c r="D382" s="3" t="s">
        <v>358</v>
      </c>
      <c r="E382" s="6">
        <v>44852.0</v>
      </c>
      <c r="F382" s="3">
        <v>35733.6</v>
      </c>
      <c r="G382" s="3" t="s">
        <v>21</v>
      </c>
      <c r="H382" s="3" t="s">
        <v>22</v>
      </c>
      <c r="I382" s="3" t="s">
        <v>1145</v>
      </c>
      <c r="J382" s="3" t="s">
        <v>2769</v>
      </c>
      <c r="K382" s="3" t="s">
        <v>2770</v>
      </c>
      <c r="L382" s="3" t="s">
        <v>2771</v>
      </c>
      <c r="M382" s="3" t="s">
        <v>2772</v>
      </c>
      <c r="N382" s="3" t="s">
        <v>362</v>
      </c>
      <c r="O382" s="3" t="s">
        <v>2773</v>
      </c>
      <c r="P382" s="3" t="s">
        <v>1150</v>
      </c>
      <c r="Q382" s="3" t="s">
        <v>1205</v>
      </c>
      <c r="S382" s="27" t="s">
        <v>2774</v>
      </c>
      <c r="T382" s="27">
        <f>IFERROR(__xludf.DUMMYFUNCTION("""COMPUTED_VALUE"""),1984.0)</f>
        <v>1984</v>
      </c>
      <c r="U382" s="1" t="s">
        <v>2775</v>
      </c>
    </row>
    <row r="383">
      <c r="A383" s="4">
        <v>44860.506364456014</v>
      </c>
      <c r="B383" s="3" t="s">
        <v>2633</v>
      </c>
      <c r="C383" s="3" t="s">
        <v>2776</v>
      </c>
      <c r="D383" s="3" t="s">
        <v>1049</v>
      </c>
      <c r="E383" s="6">
        <v>44854.0</v>
      </c>
      <c r="F383" s="3">
        <v>2250.0</v>
      </c>
      <c r="G383" s="3" t="s">
        <v>136</v>
      </c>
      <c r="H383" s="3" t="s">
        <v>22</v>
      </c>
      <c r="I383" s="3" t="s">
        <v>1137</v>
      </c>
      <c r="K383" s="3" t="s">
        <v>2777</v>
      </c>
      <c r="L383" s="3" t="s">
        <v>2778</v>
      </c>
      <c r="M383" s="3" t="s">
        <v>2779</v>
      </c>
      <c r="N383" s="3" t="s">
        <v>1054</v>
      </c>
      <c r="O383" s="3" t="s">
        <v>2638</v>
      </c>
      <c r="P383" s="3" t="s">
        <v>1141</v>
      </c>
      <c r="Q383" s="3" t="s">
        <v>1205</v>
      </c>
      <c r="R383" s="3" t="b">
        <v>1</v>
      </c>
      <c r="S383" s="27" t="s">
        <v>2780</v>
      </c>
      <c r="T383" s="27">
        <f>IFERROR(__xludf.DUMMYFUNCTION("""COMPUTED_VALUE"""),1933.0)</f>
        <v>1933</v>
      </c>
      <c r="U383" s="1" t="s">
        <v>2781</v>
      </c>
    </row>
    <row r="384">
      <c r="A384" s="4">
        <v>44860.51435766203</v>
      </c>
      <c r="B384" s="3" t="s">
        <v>2633</v>
      </c>
      <c r="C384" s="3" t="s">
        <v>2776</v>
      </c>
      <c r="D384" s="3" t="s">
        <v>1049</v>
      </c>
      <c r="E384" s="6">
        <v>44854.0</v>
      </c>
      <c r="F384" s="3">
        <v>2250.0</v>
      </c>
      <c r="G384" s="3" t="s">
        <v>136</v>
      </c>
      <c r="H384" s="3" t="s">
        <v>22</v>
      </c>
      <c r="I384" s="3" t="s">
        <v>1137</v>
      </c>
      <c r="K384" s="3" t="s">
        <v>2782</v>
      </c>
      <c r="L384" s="3" t="s">
        <v>2778</v>
      </c>
      <c r="M384" s="3" t="s">
        <v>2779</v>
      </c>
      <c r="N384" s="3" t="s">
        <v>1054</v>
      </c>
      <c r="O384" s="3" t="s">
        <v>2638</v>
      </c>
      <c r="P384" s="3" t="s">
        <v>1141</v>
      </c>
      <c r="Q384" s="3" t="s">
        <v>1205</v>
      </c>
      <c r="S384" s="27" t="s">
        <v>2780</v>
      </c>
      <c r="T384" s="27">
        <f>IFERROR(__xludf.DUMMYFUNCTION("""COMPUTED_VALUE"""),1933.0)</f>
        <v>1933</v>
      </c>
      <c r="U384" s="1" t="s">
        <v>2783</v>
      </c>
    </row>
    <row r="385">
      <c r="A385" s="4">
        <v>44860.586836041664</v>
      </c>
      <c r="B385" s="3" t="s">
        <v>2784</v>
      </c>
      <c r="C385" s="3" t="s">
        <v>2785</v>
      </c>
      <c r="D385" s="3" t="s">
        <v>358</v>
      </c>
      <c r="E385" s="6">
        <v>44859.0</v>
      </c>
      <c r="F385" s="3">
        <v>8600.0</v>
      </c>
      <c r="G385" s="3" t="s">
        <v>21</v>
      </c>
      <c r="H385" s="3" t="s">
        <v>22</v>
      </c>
      <c r="I385" s="3" t="s">
        <v>1160</v>
      </c>
      <c r="J385" s="3" t="s">
        <v>2786</v>
      </c>
      <c r="K385" s="3" t="s">
        <v>2787</v>
      </c>
      <c r="L385" s="3" t="s">
        <v>2788</v>
      </c>
      <c r="M385" s="3" t="s">
        <v>2789</v>
      </c>
      <c r="N385" s="3" t="s">
        <v>362</v>
      </c>
      <c r="O385" s="3" t="s">
        <v>2790</v>
      </c>
      <c r="P385" s="3" t="s">
        <v>1163</v>
      </c>
      <c r="Q385" s="3" t="s">
        <v>1205</v>
      </c>
      <c r="S385" s="27" t="s">
        <v>2791</v>
      </c>
      <c r="T385" s="27">
        <f>IFERROR(__xludf.DUMMYFUNCTION("""COMPUTED_VALUE"""),1092.0)</f>
        <v>1092</v>
      </c>
      <c r="U385" s="1" t="s">
        <v>2792</v>
      </c>
    </row>
    <row r="386">
      <c r="A386" s="4">
        <v>44860.70270355324</v>
      </c>
      <c r="B386" s="3" t="s">
        <v>677</v>
      </c>
      <c r="C386" s="3" t="s">
        <v>2793</v>
      </c>
      <c r="D386" s="3" t="s">
        <v>756</v>
      </c>
      <c r="E386" s="6">
        <v>44858.0</v>
      </c>
      <c r="F386" s="30">
        <v>1000.0</v>
      </c>
      <c r="G386" s="3" t="s">
        <v>136</v>
      </c>
      <c r="H386" s="3" t="s">
        <v>22</v>
      </c>
      <c r="I386" s="3" t="s">
        <v>1167</v>
      </c>
      <c r="K386" s="3" t="s">
        <v>2794</v>
      </c>
      <c r="L386" s="3" t="s">
        <v>2795</v>
      </c>
      <c r="M386" s="3" t="s">
        <v>2796</v>
      </c>
      <c r="N386" s="3" t="s">
        <v>760</v>
      </c>
      <c r="O386" s="3" t="s">
        <v>681</v>
      </c>
      <c r="P386" s="3" t="s">
        <v>1172</v>
      </c>
      <c r="Q386" s="3" t="s">
        <v>1205</v>
      </c>
      <c r="S386" s="27" t="s">
        <v>2797</v>
      </c>
      <c r="T386" s="27">
        <f>IFERROR(__xludf.DUMMYFUNCTION("""COMPUTED_VALUE"""),1233.0)</f>
        <v>1233</v>
      </c>
      <c r="U386" s="1" t="s">
        <v>2798</v>
      </c>
    </row>
    <row r="387">
      <c r="A387" s="4">
        <v>44862.54178881945</v>
      </c>
      <c r="B387" s="3" t="s">
        <v>2799</v>
      </c>
      <c r="C387" s="3" t="s">
        <v>2800</v>
      </c>
      <c r="D387" s="3" t="s">
        <v>20</v>
      </c>
      <c r="E387" s="6">
        <v>44860.0</v>
      </c>
      <c r="F387" s="30">
        <v>12000.0</v>
      </c>
      <c r="G387" s="3" t="s">
        <v>21</v>
      </c>
      <c r="H387" s="3" t="s">
        <v>22</v>
      </c>
      <c r="J387" s="3" t="s">
        <v>2801</v>
      </c>
      <c r="K387" s="3" t="s">
        <v>2802</v>
      </c>
      <c r="L387" s="3" t="s">
        <v>2803</v>
      </c>
      <c r="M387" s="3" t="s">
        <v>2804</v>
      </c>
      <c r="N387" s="3" t="s">
        <v>27</v>
      </c>
      <c r="O387" s="3" t="s">
        <v>2805</v>
      </c>
      <c r="Q387" s="3" t="s">
        <v>1205</v>
      </c>
      <c r="S387" s="27" t="s">
        <v>2806</v>
      </c>
      <c r="T387" s="27">
        <f>IFERROR(__xludf.DUMMYFUNCTION("""COMPUTED_VALUE"""),1994.0)</f>
        <v>1994</v>
      </c>
      <c r="U387" s="1" t="s">
        <v>2807</v>
      </c>
    </row>
    <row r="388">
      <c r="A388" s="4">
        <v>44869.564839328705</v>
      </c>
      <c r="B388" s="3" t="s">
        <v>2808</v>
      </c>
      <c r="C388" s="3" t="s">
        <v>2809</v>
      </c>
      <c r="D388" s="3" t="s">
        <v>756</v>
      </c>
      <c r="E388" s="6">
        <v>44835.0</v>
      </c>
      <c r="F388" s="30">
        <v>3900.0</v>
      </c>
      <c r="G388" s="3" t="s">
        <v>136</v>
      </c>
      <c r="H388" s="3" t="s">
        <v>22</v>
      </c>
      <c r="K388" s="3" t="s">
        <v>2810</v>
      </c>
      <c r="L388" s="3" t="s">
        <v>2811</v>
      </c>
      <c r="M388" s="3" t="s">
        <v>2812</v>
      </c>
      <c r="N388" s="3" t="s">
        <v>760</v>
      </c>
      <c r="O388" s="3" t="s">
        <v>2813</v>
      </c>
      <c r="Q388" s="3" t="s">
        <v>1205</v>
      </c>
      <c r="S388" s="27" t="s">
        <v>2814</v>
      </c>
      <c r="T388" s="27">
        <f>IFERROR(__xludf.DUMMYFUNCTION("""COMPUTED_VALUE"""),1942.0)</f>
        <v>1942</v>
      </c>
      <c r="U388" s="1" t="s">
        <v>2815</v>
      </c>
    </row>
    <row r="389">
      <c r="A389" s="4">
        <v>44870.91894986111</v>
      </c>
      <c r="B389" s="3" t="s">
        <v>393</v>
      </c>
      <c r="C389" s="3" t="s">
        <v>2816</v>
      </c>
      <c r="D389" s="3" t="s">
        <v>20</v>
      </c>
      <c r="E389" s="6">
        <v>44870.0</v>
      </c>
      <c r="F389" s="30">
        <v>1000000.0</v>
      </c>
      <c r="G389" s="3" t="s">
        <v>21</v>
      </c>
      <c r="H389" s="3" t="s">
        <v>22</v>
      </c>
      <c r="K389" s="3" t="s">
        <v>2817</v>
      </c>
      <c r="L389" s="3" t="s">
        <v>2818</v>
      </c>
      <c r="M389" s="3" t="s">
        <v>2819</v>
      </c>
      <c r="N389" s="3" t="s">
        <v>27</v>
      </c>
      <c r="O389" s="3" t="s">
        <v>398</v>
      </c>
      <c r="Q389" s="3" t="s">
        <v>29</v>
      </c>
      <c r="S389" s="27" t="s">
        <v>2820</v>
      </c>
      <c r="T389" s="27">
        <f>IFERROR(__xludf.DUMMYFUNCTION("""COMPUTED_VALUE"""),1148.0)</f>
        <v>1148</v>
      </c>
      <c r="U389" s="1" t="s">
        <v>2821</v>
      </c>
    </row>
    <row r="390">
      <c r="A390" s="4">
        <v>44875.568886863424</v>
      </c>
      <c r="B390" s="3" t="s">
        <v>2822</v>
      </c>
      <c r="C390" s="3" t="s">
        <v>2823</v>
      </c>
      <c r="D390" s="3" t="s">
        <v>358</v>
      </c>
      <c r="E390" s="6">
        <v>44800.0</v>
      </c>
      <c r="F390" s="3">
        <v>71023.91</v>
      </c>
      <c r="G390" s="3" t="s">
        <v>350</v>
      </c>
      <c r="H390" s="3" t="s">
        <v>22</v>
      </c>
      <c r="K390" s="3" t="s">
        <v>2824</v>
      </c>
      <c r="L390" s="3" t="s">
        <v>2825</v>
      </c>
      <c r="M390" s="3" t="s">
        <v>2826</v>
      </c>
      <c r="N390" s="3" t="s">
        <v>362</v>
      </c>
      <c r="O390" s="3" t="s">
        <v>2827</v>
      </c>
      <c r="Q390" s="3" t="s">
        <v>1205</v>
      </c>
      <c r="S390" s="27" t="s">
        <v>2828</v>
      </c>
      <c r="T390" s="27">
        <f>IFERROR(__xludf.DUMMYFUNCTION("""COMPUTED_VALUE"""),1947.0)</f>
        <v>1947</v>
      </c>
      <c r="U390" s="1" t="s">
        <v>2829</v>
      </c>
    </row>
    <row r="391">
      <c r="A391" s="4">
        <v>44882.747105069444</v>
      </c>
      <c r="B391" s="3" t="s">
        <v>2830</v>
      </c>
      <c r="C391" s="3" t="s">
        <v>2831</v>
      </c>
      <c r="D391" s="3" t="s">
        <v>358</v>
      </c>
      <c r="E391" s="6">
        <v>44882.0</v>
      </c>
      <c r="F391" s="3">
        <v>5140.0</v>
      </c>
      <c r="G391" s="3" t="s">
        <v>136</v>
      </c>
      <c r="H391" s="3" t="s">
        <v>22</v>
      </c>
      <c r="K391" s="3" t="s">
        <v>2832</v>
      </c>
      <c r="L391" s="3" t="s">
        <v>2833</v>
      </c>
      <c r="M391" s="3" t="s">
        <v>2834</v>
      </c>
      <c r="N391" s="3" t="s">
        <v>362</v>
      </c>
      <c r="O391" s="3" t="s">
        <v>2835</v>
      </c>
      <c r="Q391" s="3" t="s">
        <v>1205</v>
      </c>
      <c r="S391" s="27" t="s">
        <v>2836</v>
      </c>
      <c r="T391" s="27">
        <f>IFERROR(__xludf.DUMMYFUNCTION("""COMPUTED_VALUE"""),2034.0)</f>
        <v>2034</v>
      </c>
      <c r="U391" s="1" t="s">
        <v>2837</v>
      </c>
    </row>
    <row r="392">
      <c r="A392" s="4">
        <v>44887.54342797454</v>
      </c>
      <c r="B392" s="3" t="s">
        <v>482</v>
      </c>
      <c r="C392" s="3" t="s">
        <v>2838</v>
      </c>
      <c r="D392" s="3" t="s">
        <v>20</v>
      </c>
      <c r="E392" s="6">
        <v>44866.0</v>
      </c>
      <c r="F392" s="30">
        <v>199940.0</v>
      </c>
      <c r="G392" s="3" t="s">
        <v>21</v>
      </c>
      <c r="H392" s="3" t="s">
        <v>22</v>
      </c>
      <c r="J392" s="1" t="s">
        <v>2839</v>
      </c>
      <c r="K392" s="3" t="s">
        <v>2840</v>
      </c>
      <c r="L392" s="3" t="s">
        <v>2841</v>
      </c>
      <c r="M392" s="3" t="s">
        <v>2842</v>
      </c>
      <c r="N392" s="3" t="s">
        <v>27</v>
      </c>
      <c r="O392" s="3" t="s">
        <v>487</v>
      </c>
      <c r="Q392" s="3" t="s">
        <v>29</v>
      </c>
      <c r="S392" s="27" t="s">
        <v>2843</v>
      </c>
      <c r="T392" s="27">
        <f>IFERROR(__xludf.DUMMYFUNCTION("""COMPUTED_VALUE"""),4.0)</f>
        <v>4</v>
      </c>
      <c r="U392" s="1" t="s">
        <v>2844</v>
      </c>
    </row>
    <row r="393">
      <c r="A393" s="4">
        <v>44890.70282641204</v>
      </c>
      <c r="B393" s="3" t="s">
        <v>2845</v>
      </c>
      <c r="C393" s="3" t="s">
        <v>2846</v>
      </c>
      <c r="D393" s="3" t="s">
        <v>1049</v>
      </c>
      <c r="E393" s="6">
        <v>44859.0</v>
      </c>
      <c r="F393" s="3">
        <v>1076.2</v>
      </c>
      <c r="G393" s="3" t="s">
        <v>136</v>
      </c>
      <c r="H393" s="3" t="s">
        <v>22</v>
      </c>
      <c r="K393" s="3" t="s">
        <v>2847</v>
      </c>
      <c r="L393" s="3" t="s">
        <v>2848</v>
      </c>
      <c r="M393" s="3" t="s">
        <v>2849</v>
      </c>
      <c r="N393" s="3" t="s">
        <v>1054</v>
      </c>
      <c r="O393" s="3" t="s">
        <v>2850</v>
      </c>
      <c r="Q393" s="3" t="s">
        <v>1205</v>
      </c>
      <c r="S393" s="27" t="s">
        <v>2851</v>
      </c>
      <c r="T393" s="27">
        <f>IFERROR(__xludf.DUMMYFUNCTION("""COMPUTED_VALUE"""),662.0)</f>
        <v>662</v>
      </c>
      <c r="U393" s="1" t="s">
        <v>2852</v>
      </c>
    </row>
    <row r="394">
      <c r="A394" s="4">
        <v>44893.61784206019</v>
      </c>
      <c r="B394" s="3" t="s">
        <v>2853</v>
      </c>
      <c r="C394" s="3" t="s">
        <v>2854</v>
      </c>
      <c r="D394" s="3" t="s">
        <v>358</v>
      </c>
      <c r="E394" s="6">
        <v>44872.0</v>
      </c>
      <c r="F394" s="3">
        <v>12060.0</v>
      </c>
      <c r="G394" s="3" t="s">
        <v>21</v>
      </c>
      <c r="H394" s="3" t="s">
        <v>22</v>
      </c>
      <c r="K394" s="3" t="s">
        <v>2855</v>
      </c>
      <c r="L394" s="3" t="s">
        <v>2856</v>
      </c>
      <c r="M394" s="3" t="s">
        <v>2857</v>
      </c>
      <c r="N394" s="3" t="s">
        <v>362</v>
      </c>
      <c r="O394" s="3" t="s">
        <v>2858</v>
      </c>
      <c r="Q394" s="3" t="s">
        <v>1205</v>
      </c>
      <c r="S394" s="27" t="s">
        <v>2859</v>
      </c>
      <c r="T394" s="27">
        <f>IFERROR(__xludf.DUMMYFUNCTION("""COMPUTED_VALUE"""),2006.0)</f>
        <v>2006</v>
      </c>
      <c r="U394" s="1" t="s">
        <v>2860</v>
      </c>
    </row>
    <row r="395">
      <c r="A395" s="4">
        <v>44893.723386770835</v>
      </c>
      <c r="B395" s="3" t="s">
        <v>482</v>
      </c>
      <c r="C395" s="3" t="s">
        <v>2861</v>
      </c>
      <c r="D395" s="3" t="s">
        <v>518</v>
      </c>
      <c r="E395" s="6">
        <v>44835.0</v>
      </c>
      <c r="F395" s="3">
        <v>944.0</v>
      </c>
      <c r="G395" s="3" t="s">
        <v>136</v>
      </c>
      <c r="H395" s="3" t="s">
        <v>22</v>
      </c>
      <c r="K395" s="3" t="s">
        <v>2862</v>
      </c>
      <c r="L395" s="3" t="s">
        <v>2863</v>
      </c>
      <c r="M395" s="3" t="s">
        <v>2864</v>
      </c>
      <c r="N395" s="3" t="s">
        <v>523</v>
      </c>
      <c r="O395" s="3" t="s">
        <v>487</v>
      </c>
      <c r="Q395" s="3" t="s">
        <v>1205</v>
      </c>
      <c r="S395" s="27" t="s">
        <v>2865</v>
      </c>
      <c r="T395" s="27">
        <f>IFERROR(__xludf.DUMMYFUNCTION("""COMPUTED_VALUE"""),4.0)</f>
        <v>4</v>
      </c>
      <c r="U395" s="1" t="s">
        <v>2866</v>
      </c>
    </row>
    <row r="396">
      <c r="A396" s="4">
        <v>44893.723386770835</v>
      </c>
      <c r="B396" s="3" t="s">
        <v>482</v>
      </c>
      <c r="C396" s="3" t="s">
        <v>2867</v>
      </c>
      <c r="D396" s="3" t="s">
        <v>518</v>
      </c>
      <c r="E396" s="6">
        <v>44866.0</v>
      </c>
      <c r="F396" s="3">
        <v>944.0</v>
      </c>
      <c r="G396" s="3" t="s">
        <v>136</v>
      </c>
      <c r="H396" s="3" t="s">
        <v>22</v>
      </c>
      <c r="K396" s="3" t="s">
        <v>2868</v>
      </c>
      <c r="L396" s="3" t="s">
        <v>2869</v>
      </c>
      <c r="M396" s="3" t="s">
        <v>2870</v>
      </c>
      <c r="N396" s="3" t="s">
        <v>523</v>
      </c>
      <c r="O396" s="3" t="s">
        <v>487</v>
      </c>
      <c r="Q396" s="3" t="s">
        <v>1205</v>
      </c>
      <c r="S396" s="27" t="s">
        <v>2871</v>
      </c>
      <c r="T396" s="27">
        <f>IFERROR(__xludf.DUMMYFUNCTION("""COMPUTED_VALUE"""),4.0)</f>
        <v>4</v>
      </c>
      <c r="U396" s="1" t="s">
        <v>2872</v>
      </c>
    </row>
    <row r="397">
      <c r="A397" s="4">
        <v>44894.51954136574</v>
      </c>
      <c r="B397" s="3" t="s">
        <v>516</v>
      </c>
      <c r="C397" s="3" t="s">
        <v>2873</v>
      </c>
      <c r="D397" s="3" t="s">
        <v>358</v>
      </c>
      <c r="E397" s="6">
        <v>44861.0</v>
      </c>
      <c r="F397" s="3">
        <v>218060.0</v>
      </c>
      <c r="G397" s="3" t="s">
        <v>21</v>
      </c>
      <c r="H397" s="3" t="s">
        <v>22</v>
      </c>
      <c r="J397" s="3" t="s">
        <v>1706</v>
      </c>
      <c r="K397" s="3" t="s">
        <v>2874</v>
      </c>
      <c r="L397" s="3" t="s">
        <v>2875</v>
      </c>
      <c r="M397" s="3" t="s">
        <v>2876</v>
      </c>
      <c r="N397" s="3" t="s">
        <v>362</v>
      </c>
      <c r="O397" s="3" t="s">
        <v>524</v>
      </c>
      <c r="Q397" s="3" t="s">
        <v>1205</v>
      </c>
      <c r="S397" s="27" t="s">
        <v>2877</v>
      </c>
      <c r="T397" s="27">
        <f>IFERROR(__xludf.DUMMYFUNCTION("""COMPUTED_VALUE"""),1371.0)</f>
        <v>1371</v>
      </c>
      <c r="U397" s="1" t="s">
        <v>2878</v>
      </c>
    </row>
    <row r="398">
      <c r="A398" s="4">
        <v>44894.63975717593</v>
      </c>
      <c r="B398" s="3" t="s">
        <v>1261</v>
      </c>
      <c r="C398" s="3" t="s">
        <v>2879</v>
      </c>
      <c r="D398" s="3" t="s">
        <v>518</v>
      </c>
      <c r="E398" s="6">
        <v>44834.0</v>
      </c>
      <c r="F398" s="3">
        <v>12850.0</v>
      </c>
      <c r="G398" s="3" t="s">
        <v>136</v>
      </c>
      <c r="H398" s="3" t="s">
        <v>22</v>
      </c>
      <c r="J398" s="3" t="s">
        <v>1932</v>
      </c>
      <c r="K398" s="3" t="s">
        <v>2880</v>
      </c>
      <c r="L398" s="3" t="s">
        <v>2881</v>
      </c>
      <c r="M398" s="3" t="s">
        <v>2882</v>
      </c>
      <c r="N398" s="3" t="s">
        <v>523</v>
      </c>
      <c r="O398" s="3" t="s">
        <v>1266</v>
      </c>
      <c r="Q398" s="3" t="s">
        <v>1205</v>
      </c>
      <c r="S398" s="27" t="s">
        <v>2883</v>
      </c>
      <c r="T398" s="27">
        <f>IFERROR(__xludf.DUMMYFUNCTION("""COMPUTED_VALUE"""),1537.0)</f>
        <v>1537</v>
      </c>
      <c r="U398" s="1" t="s">
        <v>2884</v>
      </c>
    </row>
    <row r="399">
      <c r="A399" s="4">
        <v>44895.64614003472</v>
      </c>
      <c r="B399" s="3" t="s">
        <v>2885</v>
      </c>
      <c r="C399" s="3" t="s">
        <v>2886</v>
      </c>
      <c r="D399" s="3" t="s">
        <v>358</v>
      </c>
      <c r="E399" s="6">
        <v>44889.0</v>
      </c>
      <c r="F399" s="3">
        <v>22740.0</v>
      </c>
      <c r="G399" s="3" t="s">
        <v>21</v>
      </c>
      <c r="H399" s="3" t="s">
        <v>22</v>
      </c>
      <c r="I399" s="3" t="s">
        <v>1145</v>
      </c>
      <c r="K399" s="3" t="s">
        <v>2887</v>
      </c>
      <c r="L399" s="3" t="s">
        <v>2888</v>
      </c>
      <c r="M399" s="3" t="s">
        <v>2889</v>
      </c>
      <c r="N399" s="3" t="s">
        <v>362</v>
      </c>
      <c r="O399" s="3" t="s">
        <v>2890</v>
      </c>
      <c r="P399" s="3" t="s">
        <v>1150</v>
      </c>
      <c r="Q399" s="3" t="s">
        <v>1205</v>
      </c>
      <c r="S399" s="27" t="s">
        <v>2891</v>
      </c>
      <c r="T399" s="27">
        <f>IFERROR(__xludf.DUMMYFUNCTION("""COMPUTED_VALUE"""),2017.0)</f>
        <v>2017</v>
      </c>
      <c r="U399" s="1" t="s">
        <v>2892</v>
      </c>
    </row>
    <row r="400">
      <c r="A400" s="4">
        <v>44902.51813936343</v>
      </c>
      <c r="B400" s="3" t="s">
        <v>356</v>
      </c>
      <c r="C400" s="3" t="s">
        <v>2893</v>
      </c>
      <c r="D400" s="3" t="s">
        <v>756</v>
      </c>
      <c r="E400" s="6">
        <v>44883.0</v>
      </c>
      <c r="F400" s="30">
        <v>2400.0</v>
      </c>
      <c r="G400" s="3" t="s">
        <v>136</v>
      </c>
      <c r="H400" s="3" t="s">
        <v>22</v>
      </c>
      <c r="I400" s="3" t="s">
        <v>1167</v>
      </c>
      <c r="K400" s="3" t="s">
        <v>2894</v>
      </c>
      <c r="L400" s="3" t="s">
        <v>2895</v>
      </c>
      <c r="M400" s="3" t="s">
        <v>2896</v>
      </c>
      <c r="N400" s="3" t="s">
        <v>760</v>
      </c>
      <c r="O400" s="3" t="s">
        <v>363</v>
      </c>
      <c r="P400" s="3" t="s">
        <v>1172</v>
      </c>
      <c r="Q400" s="3" t="s">
        <v>1205</v>
      </c>
      <c r="S400" s="27" t="s">
        <v>2897</v>
      </c>
      <c r="T400" s="27">
        <f>IFERROR(__xludf.DUMMYFUNCTION("""COMPUTED_VALUE"""),571.0)</f>
        <v>571</v>
      </c>
      <c r="U400" s="1" t="s">
        <v>2898</v>
      </c>
    </row>
    <row r="401">
      <c r="A401" s="4">
        <v>44921.60472849537</v>
      </c>
      <c r="B401" s="3" t="s">
        <v>2899</v>
      </c>
      <c r="C401" s="3" t="s">
        <v>2900</v>
      </c>
      <c r="D401" s="3" t="s">
        <v>358</v>
      </c>
      <c r="E401" s="6">
        <v>44917.0</v>
      </c>
      <c r="F401" s="3">
        <v>465028.0</v>
      </c>
      <c r="G401" s="3" t="s">
        <v>21</v>
      </c>
      <c r="H401" s="3" t="s">
        <v>22</v>
      </c>
      <c r="K401" s="3" t="s">
        <v>2901</v>
      </c>
      <c r="L401" s="3" t="s">
        <v>2902</v>
      </c>
      <c r="M401" s="3" t="s">
        <v>2903</v>
      </c>
      <c r="N401" s="3" t="s">
        <v>362</v>
      </c>
      <c r="O401" s="3" t="s">
        <v>2904</v>
      </c>
      <c r="Q401" s="3" t="s">
        <v>1205</v>
      </c>
      <c r="S401" s="27" t="s">
        <v>2905</v>
      </c>
      <c r="T401" s="27"/>
      <c r="U401" s="1" t="s">
        <v>2906</v>
      </c>
    </row>
    <row r="402">
      <c r="A402" s="4">
        <v>44921.60472849537</v>
      </c>
      <c r="B402" s="3" t="s">
        <v>2907</v>
      </c>
      <c r="C402" s="3" t="s">
        <v>2908</v>
      </c>
      <c r="D402" s="3" t="s">
        <v>358</v>
      </c>
      <c r="E402" s="6">
        <v>44917.0</v>
      </c>
      <c r="F402" s="3">
        <v>12390.0</v>
      </c>
      <c r="G402" s="3" t="s">
        <v>21</v>
      </c>
      <c r="H402" s="3" t="s">
        <v>22</v>
      </c>
      <c r="K402" s="3" t="s">
        <v>2909</v>
      </c>
      <c r="L402" s="3" t="s">
        <v>2910</v>
      </c>
      <c r="M402" s="3" t="s">
        <v>2911</v>
      </c>
      <c r="N402" s="3" t="s">
        <v>362</v>
      </c>
      <c r="O402" s="3" t="s">
        <v>2912</v>
      </c>
      <c r="Q402" s="3" t="s">
        <v>1205</v>
      </c>
      <c r="S402" s="27" t="s">
        <v>2913</v>
      </c>
      <c r="T402" s="27">
        <f>IFERROR(__xludf.DUMMYFUNCTION("""COMPUTED_VALUE"""),2061.0)</f>
        <v>2061</v>
      </c>
      <c r="U402" s="1" t="s">
        <v>2914</v>
      </c>
    </row>
    <row r="403">
      <c r="A403" s="4">
        <v>44921.60472849537</v>
      </c>
      <c r="B403" s="3" t="s">
        <v>2899</v>
      </c>
      <c r="C403" s="3" t="s">
        <v>2915</v>
      </c>
      <c r="D403" s="3" t="s">
        <v>358</v>
      </c>
      <c r="E403" s="6">
        <v>44917.0</v>
      </c>
      <c r="F403" s="3">
        <v>281128.0</v>
      </c>
      <c r="G403" s="3" t="s">
        <v>350</v>
      </c>
      <c r="H403" s="3" t="s">
        <v>22</v>
      </c>
      <c r="K403" s="3" t="s">
        <v>2916</v>
      </c>
      <c r="L403" s="3" t="s">
        <v>2917</v>
      </c>
      <c r="M403" s="3" t="s">
        <v>2918</v>
      </c>
      <c r="N403" s="3" t="s">
        <v>362</v>
      </c>
      <c r="O403" s="3" t="s">
        <v>2904</v>
      </c>
      <c r="Q403" s="3" t="s">
        <v>1205</v>
      </c>
      <c r="S403" s="27" t="s">
        <v>2919</v>
      </c>
      <c r="T403" s="27"/>
      <c r="U403" s="1" t="s">
        <v>2920</v>
      </c>
    </row>
    <row r="404">
      <c r="A404" s="4">
        <v>44921.60472849537</v>
      </c>
      <c r="B404" s="3" t="s">
        <v>2907</v>
      </c>
      <c r="C404" s="3" t="s">
        <v>2921</v>
      </c>
      <c r="D404" s="3" t="s">
        <v>358</v>
      </c>
      <c r="E404" s="6">
        <v>44917.0</v>
      </c>
      <c r="F404" s="3">
        <v>313042.0</v>
      </c>
      <c r="G404" s="3" t="s">
        <v>350</v>
      </c>
      <c r="H404" s="3" t="s">
        <v>22</v>
      </c>
      <c r="K404" s="3" t="s">
        <v>2922</v>
      </c>
      <c r="L404" s="3" t="s">
        <v>2923</v>
      </c>
      <c r="M404" s="3" t="s">
        <v>2924</v>
      </c>
      <c r="N404" s="3" t="s">
        <v>362</v>
      </c>
      <c r="O404" s="3" t="s">
        <v>2912</v>
      </c>
      <c r="Q404" s="3" t="s">
        <v>1205</v>
      </c>
      <c r="S404" s="27" t="s">
        <v>2925</v>
      </c>
      <c r="T404" s="27">
        <f>IFERROR(__xludf.DUMMYFUNCTION("""COMPUTED_VALUE"""),2061.0)</f>
        <v>2061</v>
      </c>
      <c r="U404" s="1" t="s">
        <v>2926</v>
      </c>
    </row>
    <row r="405">
      <c r="A405" s="4">
        <v>44921.60472849537</v>
      </c>
      <c r="B405" s="3" t="s">
        <v>30</v>
      </c>
      <c r="C405" s="3" t="s">
        <v>2927</v>
      </c>
      <c r="D405" s="3" t="s">
        <v>20</v>
      </c>
      <c r="E405" s="6">
        <v>44866.0</v>
      </c>
      <c r="F405" s="28">
        <v>291990.0</v>
      </c>
      <c r="G405" s="3" t="s">
        <v>21</v>
      </c>
      <c r="H405" s="3" t="s">
        <v>22</v>
      </c>
      <c r="J405" s="1" t="s">
        <v>2928</v>
      </c>
      <c r="K405" s="3" t="s">
        <v>2929</v>
      </c>
      <c r="L405" s="3" t="s">
        <v>2930</v>
      </c>
      <c r="M405" s="3" t="s">
        <v>2931</v>
      </c>
      <c r="N405" s="3" t="s">
        <v>27</v>
      </c>
      <c r="O405" s="3" t="s">
        <v>36</v>
      </c>
      <c r="Q405" s="3" t="s">
        <v>1205</v>
      </c>
      <c r="S405" s="27" t="s">
        <v>2932</v>
      </c>
      <c r="T405" s="27">
        <f>IFERROR(__xludf.DUMMYFUNCTION("""COMPUTED_VALUE"""),541.0)</f>
        <v>541</v>
      </c>
      <c r="U405" s="1" t="s">
        <v>2933</v>
      </c>
    </row>
    <row r="406">
      <c r="A406" s="4">
        <v>44921.60472849537</v>
      </c>
      <c r="B406" s="3" t="s">
        <v>2934</v>
      </c>
      <c r="C406" s="3" t="s">
        <v>2935</v>
      </c>
      <c r="D406" s="3" t="s">
        <v>358</v>
      </c>
      <c r="E406" s="6">
        <v>44866.0</v>
      </c>
      <c r="F406" s="28">
        <v>254269.84</v>
      </c>
      <c r="G406" s="3" t="s">
        <v>21</v>
      </c>
      <c r="H406" s="3" t="s">
        <v>22</v>
      </c>
      <c r="K406" s="3" t="s">
        <v>2936</v>
      </c>
      <c r="L406" s="3" t="s">
        <v>2937</v>
      </c>
      <c r="M406" s="3" t="s">
        <v>2938</v>
      </c>
      <c r="N406" s="3" t="s">
        <v>362</v>
      </c>
      <c r="O406" s="3" t="s">
        <v>2939</v>
      </c>
      <c r="Q406" s="3" t="s">
        <v>1205</v>
      </c>
      <c r="S406" s="27" t="s">
        <v>2940</v>
      </c>
      <c r="T406" s="27">
        <f>IFERROR(__xludf.DUMMYFUNCTION("""COMPUTED_VALUE"""),2011.0)</f>
        <v>2011</v>
      </c>
      <c r="U406" s="1" t="s">
        <v>2941</v>
      </c>
    </row>
    <row r="407">
      <c r="A407" s="4">
        <v>44921.60472849537</v>
      </c>
      <c r="B407" s="3" t="s">
        <v>2934</v>
      </c>
      <c r="C407" s="3" t="s">
        <v>2942</v>
      </c>
      <c r="D407" s="3" t="s">
        <v>358</v>
      </c>
      <c r="E407" s="6">
        <v>44866.0</v>
      </c>
      <c r="F407" s="28">
        <v>109707.0</v>
      </c>
      <c r="G407" s="3" t="s">
        <v>350</v>
      </c>
      <c r="H407" s="3" t="s">
        <v>22</v>
      </c>
      <c r="K407" s="3" t="s">
        <v>2943</v>
      </c>
      <c r="L407" s="3" t="s">
        <v>2944</v>
      </c>
      <c r="M407" s="3" t="s">
        <v>2945</v>
      </c>
      <c r="N407" s="3" t="s">
        <v>362</v>
      </c>
      <c r="O407" s="3" t="s">
        <v>2939</v>
      </c>
      <c r="Q407" s="3" t="s">
        <v>1205</v>
      </c>
      <c r="S407" s="27" t="s">
        <v>2946</v>
      </c>
      <c r="T407" s="27">
        <f>IFERROR(__xludf.DUMMYFUNCTION("""COMPUTED_VALUE"""),2011.0)</f>
        <v>2011</v>
      </c>
      <c r="U407" s="1" t="s">
        <v>2947</v>
      </c>
    </row>
    <row r="408">
      <c r="A408" s="4">
        <v>44921.632568368055</v>
      </c>
      <c r="B408" s="3" t="s">
        <v>2948</v>
      </c>
      <c r="C408" s="3" t="s">
        <v>2949</v>
      </c>
      <c r="D408" s="3" t="s">
        <v>20</v>
      </c>
      <c r="E408" s="6">
        <v>44905.0</v>
      </c>
      <c r="F408" s="30">
        <v>28300.0</v>
      </c>
      <c r="G408" s="3" t="s">
        <v>21</v>
      </c>
      <c r="H408" s="3" t="s">
        <v>22</v>
      </c>
      <c r="J408" s="1" t="s">
        <v>2950</v>
      </c>
      <c r="K408" s="3" t="s">
        <v>2951</v>
      </c>
      <c r="L408" s="3" t="s">
        <v>2952</v>
      </c>
      <c r="M408" s="3" t="s">
        <v>2953</v>
      </c>
      <c r="N408" s="3" t="s">
        <v>27</v>
      </c>
      <c r="O408" s="3" t="s">
        <v>2954</v>
      </c>
      <c r="Q408" s="3" t="s">
        <v>1205</v>
      </c>
      <c r="S408" s="27" t="s">
        <v>2955</v>
      </c>
      <c r="T408" s="27">
        <f>IFERROR(__xludf.DUMMYFUNCTION("""COMPUTED_VALUE"""),2037.0)</f>
        <v>2037</v>
      </c>
      <c r="U408" s="1" t="s">
        <v>2956</v>
      </c>
    </row>
    <row r="409">
      <c r="A409" s="4">
        <v>44921.68787228009</v>
      </c>
      <c r="B409" s="3" t="s">
        <v>2957</v>
      </c>
      <c r="C409" s="3" t="s">
        <v>2958</v>
      </c>
      <c r="D409" s="3" t="s">
        <v>20</v>
      </c>
      <c r="E409" s="6">
        <v>44896.0</v>
      </c>
      <c r="F409" s="30">
        <v>139500.0</v>
      </c>
      <c r="G409" s="3" t="s">
        <v>21</v>
      </c>
      <c r="H409" s="3" t="s">
        <v>22</v>
      </c>
      <c r="J409" s="1" t="s">
        <v>2959</v>
      </c>
      <c r="K409" s="3" t="s">
        <v>2960</v>
      </c>
      <c r="L409" s="3" t="s">
        <v>2961</v>
      </c>
      <c r="M409" s="3" t="s">
        <v>2962</v>
      </c>
      <c r="N409" s="3" t="s">
        <v>27</v>
      </c>
      <c r="O409" s="3" t="s">
        <v>2963</v>
      </c>
      <c r="Q409" s="3" t="s">
        <v>1205</v>
      </c>
      <c r="S409" s="27" t="s">
        <v>2964</v>
      </c>
      <c r="T409" s="27">
        <f>IFERROR(__xludf.DUMMYFUNCTION("""COMPUTED_VALUE"""),2102.0)</f>
        <v>2102</v>
      </c>
      <c r="U409" s="1" t="s">
        <v>2965</v>
      </c>
    </row>
    <row r="410">
      <c r="A410" s="4">
        <v>44922.744344907405</v>
      </c>
      <c r="B410" s="3" t="s">
        <v>2966</v>
      </c>
      <c r="C410" s="3" t="s">
        <v>2967</v>
      </c>
      <c r="D410" s="3" t="s">
        <v>358</v>
      </c>
      <c r="E410" s="6">
        <v>44918.0</v>
      </c>
      <c r="F410" s="3">
        <v>13090.0</v>
      </c>
      <c r="G410" s="3" t="s">
        <v>21</v>
      </c>
      <c r="H410" s="3" t="s">
        <v>22</v>
      </c>
      <c r="K410" s="3" t="s">
        <v>2968</v>
      </c>
      <c r="L410" s="3" t="s">
        <v>2969</v>
      </c>
      <c r="M410" s="3" t="s">
        <v>2970</v>
      </c>
      <c r="N410" s="3" t="s">
        <v>362</v>
      </c>
      <c r="O410" s="3" t="s">
        <v>2971</v>
      </c>
      <c r="Q410" s="3" t="s">
        <v>1205</v>
      </c>
      <c r="S410" s="27" t="s">
        <v>2972</v>
      </c>
      <c r="T410" s="27">
        <f>IFERROR(__xludf.DUMMYFUNCTION("""COMPUTED_VALUE"""),566.0)</f>
        <v>566</v>
      </c>
      <c r="U410" s="1" t="s">
        <v>2973</v>
      </c>
    </row>
    <row r="411">
      <c r="A411" s="4">
        <v>44935.49684049768</v>
      </c>
      <c r="B411" s="3" t="s">
        <v>2583</v>
      </c>
      <c r="C411" s="3" t="s">
        <v>2974</v>
      </c>
      <c r="D411" s="3" t="s">
        <v>20</v>
      </c>
      <c r="E411" s="6">
        <v>44925.0</v>
      </c>
      <c r="F411" s="30">
        <v>125000.0</v>
      </c>
      <c r="G411" s="3" t="s">
        <v>21</v>
      </c>
      <c r="H411" s="3" t="s">
        <v>22</v>
      </c>
      <c r="J411" s="1" t="s">
        <v>2975</v>
      </c>
      <c r="K411" s="3" t="s">
        <v>2976</v>
      </c>
      <c r="L411" s="3" t="s">
        <v>2977</v>
      </c>
      <c r="M411" s="3" t="s">
        <v>2978</v>
      </c>
      <c r="N411" s="3" t="s">
        <v>27</v>
      </c>
      <c r="O411" s="3" t="s">
        <v>2587</v>
      </c>
      <c r="Q411" s="3" t="s">
        <v>1205</v>
      </c>
      <c r="S411" s="27" t="s">
        <v>2979</v>
      </c>
      <c r="T411" s="27">
        <f>IFERROR(__xludf.DUMMYFUNCTION("""COMPUTED_VALUE"""),810.0)</f>
        <v>810</v>
      </c>
      <c r="U411" s="1" t="s">
        <v>2980</v>
      </c>
    </row>
    <row r="412">
      <c r="A412" s="4">
        <v>44946.66884945602</v>
      </c>
      <c r="B412" s="3" t="s">
        <v>2981</v>
      </c>
      <c r="C412" s="3" t="s">
        <v>2982</v>
      </c>
      <c r="D412" s="3" t="s">
        <v>358</v>
      </c>
      <c r="E412" s="6">
        <v>44944.0</v>
      </c>
      <c r="F412" s="30">
        <v>1250.0</v>
      </c>
      <c r="G412" s="3" t="s">
        <v>21</v>
      </c>
      <c r="H412" s="3" t="s">
        <v>22</v>
      </c>
      <c r="I412" s="3" t="s">
        <v>1137</v>
      </c>
      <c r="K412" s="3" t="s">
        <v>2983</v>
      </c>
      <c r="L412" s="3" t="s">
        <v>2984</v>
      </c>
      <c r="M412" s="3" t="s">
        <v>2985</v>
      </c>
      <c r="N412" s="3" t="s">
        <v>362</v>
      </c>
      <c r="O412" s="3" t="s">
        <v>2986</v>
      </c>
      <c r="P412" s="3" t="s">
        <v>1141</v>
      </c>
      <c r="Q412" s="3" t="s">
        <v>29</v>
      </c>
      <c r="S412" s="27" t="s">
        <v>2987</v>
      </c>
      <c r="T412" s="27">
        <f>IFERROR(__xludf.DUMMYFUNCTION("""COMPUTED_VALUE"""),2099.0)</f>
        <v>2099</v>
      </c>
      <c r="U412" s="1" t="s">
        <v>2988</v>
      </c>
    </row>
    <row r="413">
      <c r="A413" s="4">
        <v>44950.74911503472</v>
      </c>
      <c r="B413" s="3" t="s">
        <v>2981</v>
      </c>
      <c r="C413" s="3" t="s">
        <v>2989</v>
      </c>
      <c r="D413" s="3" t="s">
        <v>358</v>
      </c>
      <c r="E413" s="6">
        <v>44944.0</v>
      </c>
      <c r="F413" s="30">
        <v>1250.0</v>
      </c>
      <c r="G413" s="3" t="s">
        <v>21</v>
      </c>
      <c r="H413" s="3" t="s">
        <v>22</v>
      </c>
      <c r="I413" s="3" t="s">
        <v>1137</v>
      </c>
      <c r="K413" s="3" t="s">
        <v>2990</v>
      </c>
      <c r="L413" s="3" t="s">
        <v>2991</v>
      </c>
      <c r="M413" s="3" t="s">
        <v>2992</v>
      </c>
      <c r="N413" s="3" t="s">
        <v>362</v>
      </c>
      <c r="O413" s="3" t="s">
        <v>2986</v>
      </c>
      <c r="P413" s="3" t="s">
        <v>1141</v>
      </c>
      <c r="Q413" s="3" t="s">
        <v>1205</v>
      </c>
      <c r="R413" s="3" t="b">
        <v>1</v>
      </c>
      <c r="S413" s="27" t="s">
        <v>2993</v>
      </c>
      <c r="T413" s="27">
        <f>IFERROR(__xludf.DUMMYFUNCTION("""COMPUTED_VALUE"""),2099.0)</f>
        <v>2099</v>
      </c>
      <c r="U413" s="1" t="s">
        <v>2994</v>
      </c>
    </row>
    <row r="414">
      <c r="A414" s="4">
        <v>44950.74911503472</v>
      </c>
      <c r="B414" s="3" t="s">
        <v>2995</v>
      </c>
      <c r="C414" s="3" t="s">
        <v>2996</v>
      </c>
      <c r="D414" s="3" t="s">
        <v>358</v>
      </c>
      <c r="E414" s="6">
        <v>44946.0</v>
      </c>
      <c r="F414" s="30">
        <v>9330.0</v>
      </c>
      <c r="G414" s="3" t="s">
        <v>21</v>
      </c>
      <c r="H414" s="3" t="s">
        <v>22</v>
      </c>
      <c r="I414" s="3" t="s">
        <v>1160</v>
      </c>
      <c r="J414" s="3" t="s">
        <v>2997</v>
      </c>
      <c r="K414" s="3" t="s">
        <v>2998</v>
      </c>
      <c r="L414" s="3" t="s">
        <v>2999</v>
      </c>
      <c r="M414" s="3" t="s">
        <v>3000</v>
      </c>
      <c r="N414" s="3" t="s">
        <v>362</v>
      </c>
      <c r="O414" s="3" t="s">
        <v>3001</v>
      </c>
      <c r="P414" s="3" t="s">
        <v>1163</v>
      </c>
      <c r="Q414" s="3" t="s">
        <v>1205</v>
      </c>
      <c r="S414" s="27" t="s">
        <v>3002</v>
      </c>
      <c r="T414" s="27">
        <f>IFERROR(__xludf.DUMMYFUNCTION("""COMPUTED_VALUE"""),2064.0)</f>
        <v>2064</v>
      </c>
      <c r="U414" s="1" t="s">
        <v>3003</v>
      </c>
    </row>
    <row r="415">
      <c r="A415" s="4">
        <v>44950.74911503472</v>
      </c>
      <c r="B415" s="3" t="s">
        <v>3004</v>
      </c>
      <c r="C415" s="3" t="s">
        <v>3005</v>
      </c>
      <c r="D415" s="3" t="s">
        <v>20</v>
      </c>
      <c r="E415" s="6">
        <v>44585.0</v>
      </c>
      <c r="F415" s="30">
        <v>328000.0</v>
      </c>
      <c r="G415" s="3" t="s">
        <v>21</v>
      </c>
      <c r="H415" s="3" t="s">
        <v>22</v>
      </c>
      <c r="J415" s="1" t="s">
        <v>3006</v>
      </c>
      <c r="K415" s="3" t="s">
        <v>3007</v>
      </c>
      <c r="L415" s="3" t="s">
        <v>3008</v>
      </c>
      <c r="M415" s="3" t="s">
        <v>3009</v>
      </c>
      <c r="N415" s="3" t="s">
        <v>27</v>
      </c>
      <c r="O415" s="3" t="s">
        <v>3010</v>
      </c>
      <c r="Q415" s="3" t="s">
        <v>1205</v>
      </c>
      <c r="S415" s="27" t="s">
        <v>3011</v>
      </c>
      <c r="T415" s="27">
        <f>IFERROR(__xludf.DUMMYFUNCTION("""COMPUTED_VALUE"""),2101.0)</f>
        <v>2101</v>
      </c>
      <c r="U415" s="1" t="s">
        <v>3012</v>
      </c>
    </row>
    <row r="416">
      <c r="A416" s="4">
        <v>44953.56166866898</v>
      </c>
      <c r="B416" s="3" t="s">
        <v>1218</v>
      </c>
      <c r="C416" s="3" t="s">
        <v>3013</v>
      </c>
      <c r="D416" s="3" t="s">
        <v>20</v>
      </c>
      <c r="E416" s="6">
        <v>36892.0</v>
      </c>
      <c r="F416" s="30">
        <v>0.0</v>
      </c>
      <c r="G416" s="3" t="s">
        <v>136</v>
      </c>
      <c r="H416" s="3" t="s">
        <v>22</v>
      </c>
      <c r="J416" s="3" t="s">
        <v>2437</v>
      </c>
      <c r="K416" s="3" t="s">
        <v>3014</v>
      </c>
      <c r="L416" s="3" t="s">
        <v>3015</v>
      </c>
      <c r="M416" s="3" t="s">
        <v>3016</v>
      </c>
      <c r="N416" s="3" t="s">
        <v>27</v>
      </c>
      <c r="O416" s="3" t="s">
        <v>1223</v>
      </c>
      <c r="Q416" s="3" t="s">
        <v>29</v>
      </c>
      <c r="S416" s="27" t="s">
        <v>3017</v>
      </c>
      <c r="T416" s="27">
        <f>IFERROR(__xludf.DUMMYFUNCTION("""COMPUTED_VALUE"""),1771.0)</f>
        <v>1771</v>
      </c>
      <c r="U416" s="1" t="s">
        <v>3018</v>
      </c>
    </row>
    <row r="417">
      <c r="A417" s="4">
        <v>44953.69285983796</v>
      </c>
      <c r="B417" s="3" t="s">
        <v>110</v>
      </c>
      <c r="C417" s="3" t="s">
        <v>3019</v>
      </c>
      <c r="D417" s="3" t="s">
        <v>20</v>
      </c>
      <c r="E417" s="6">
        <v>44953.0</v>
      </c>
      <c r="F417" s="3">
        <v>17845.0</v>
      </c>
      <c r="G417" s="3" t="s">
        <v>136</v>
      </c>
      <c r="H417" s="3" t="s">
        <v>22</v>
      </c>
      <c r="K417" s="3" t="s">
        <v>3020</v>
      </c>
      <c r="L417" s="3" t="s">
        <v>3021</v>
      </c>
      <c r="M417" s="3" t="s">
        <v>3022</v>
      </c>
      <c r="N417" s="3" t="s">
        <v>27</v>
      </c>
      <c r="O417" s="3" t="s">
        <v>116</v>
      </c>
      <c r="Q417" s="3" t="s">
        <v>1205</v>
      </c>
      <c r="S417" s="27" t="s">
        <v>3023</v>
      </c>
      <c r="T417" s="27">
        <f>IFERROR(__xludf.DUMMYFUNCTION("""COMPUTED_VALUE"""),853.0)</f>
        <v>853</v>
      </c>
      <c r="U417" s="1" t="s">
        <v>3024</v>
      </c>
    </row>
    <row r="418">
      <c r="A418" s="4">
        <v>44953.74243429398</v>
      </c>
      <c r="B418" s="3" t="s">
        <v>482</v>
      </c>
      <c r="C418" s="3" t="s">
        <v>3025</v>
      </c>
      <c r="D418" s="3" t="s">
        <v>1049</v>
      </c>
      <c r="E418" s="6">
        <v>44914.0</v>
      </c>
      <c r="F418" s="30">
        <v>2500.0</v>
      </c>
      <c r="G418" s="3" t="s">
        <v>136</v>
      </c>
      <c r="H418" s="3" t="s">
        <v>22</v>
      </c>
      <c r="J418" s="1" t="s">
        <v>3026</v>
      </c>
      <c r="K418" s="3" t="s">
        <v>3027</v>
      </c>
      <c r="L418" s="3" t="s">
        <v>3028</v>
      </c>
      <c r="M418" s="3" t="s">
        <v>3029</v>
      </c>
      <c r="N418" s="3" t="s">
        <v>1054</v>
      </c>
      <c r="O418" s="3" t="s">
        <v>487</v>
      </c>
      <c r="Q418" s="3" t="s">
        <v>1205</v>
      </c>
      <c r="S418" s="27" t="s">
        <v>3030</v>
      </c>
      <c r="T418" s="27">
        <f>IFERROR(__xludf.DUMMYFUNCTION("""COMPUTED_VALUE"""),4.0)</f>
        <v>4</v>
      </c>
      <c r="U418" s="1" t="s">
        <v>3031</v>
      </c>
    </row>
    <row r="419">
      <c r="A419" s="4">
        <v>44954.619881481485</v>
      </c>
      <c r="B419" s="3" t="s">
        <v>2633</v>
      </c>
      <c r="C419" s="3" t="s">
        <v>3032</v>
      </c>
      <c r="D419" s="3" t="s">
        <v>1049</v>
      </c>
      <c r="E419" s="6">
        <v>44949.0</v>
      </c>
      <c r="F419" s="30">
        <v>1300.0</v>
      </c>
      <c r="G419" s="3" t="s">
        <v>136</v>
      </c>
      <c r="H419" s="3" t="s">
        <v>22</v>
      </c>
      <c r="I419" s="3" t="s">
        <v>1145</v>
      </c>
      <c r="K419" s="3" t="s">
        <v>3033</v>
      </c>
      <c r="L419" s="3" t="s">
        <v>3034</v>
      </c>
      <c r="M419" s="3" t="s">
        <v>3035</v>
      </c>
      <c r="N419" s="3" t="s">
        <v>1054</v>
      </c>
      <c r="O419" s="3" t="s">
        <v>2638</v>
      </c>
      <c r="P419" s="3" t="s">
        <v>1150</v>
      </c>
      <c r="Q419" s="3" t="s">
        <v>29</v>
      </c>
      <c r="S419" s="27" t="s">
        <v>3036</v>
      </c>
      <c r="T419" s="27">
        <f>IFERROR(__xludf.DUMMYFUNCTION("""COMPUTED_VALUE"""),1933.0)</f>
        <v>1933</v>
      </c>
      <c r="U419" s="1" t="s">
        <v>3037</v>
      </c>
    </row>
    <row r="420">
      <c r="A420" s="4">
        <v>44956.95931295139</v>
      </c>
      <c r="B420" s="3" t="s">
        <v>1218</v>
      </c>
      <c r="C420" s="3" t="s">
        <v>3038</v>
      </c>
      <c r="D420" s="3" t="s">
        <v>1362</v>
      </c>
      <c r="E420" s="6">
        <v>36526.0</v>
      </c>
      <c r="F420" s="30">
        <v>0.0</v>
      </c>
      <c r="G420" s="3" t="s">
        <v>136</v>
      </c>
      <c r="H420" s="3" t="s">
        <v>22</v>
      </c>
      <c r="J420" s="3" t="s">
        <v>2437</v>
      </c>
      <c r="K420" s="3" t="s">
        <v>3039</v>
      </c>
      <c r="L420" s="3" t="s">
        <v>3040</v>
      </c>
      <c r="M420" s="3" t="s">
        <v>3041</v>
      </c>
      <c r="N420" s="3" t="s">
        <v>1366</v>
      </c>
      <c r="O420" s="3" t="s">
        <v>1223</v>
      </c>
      <c r="Q420" s="3" t="s">
        <v>29</v>
      </c>
      <c r="S420" s="27" t="s">
        <v>3042</v>
      </c>
      <c r="T420" s="27">
        <f>IFERROR(__xludf.DUMMYFUNCTION("""COMPUTED_VALUE"""),1771.0)</f>
        <v>1771</v>
      </c>
      <c r="U420" s="1" t="s">
        <v>3043</v>
      </c>
    </row>
    <row r="421">
      <c r="A421" s="4">
        <v>44956.95931295139</v>
      </c>
      <c r="B421" s="3" t="s">
        <v>1218</v>
      </c>
      <c r="C421" s="3" t="s">
        <v>3044</v>
      </c>
      <c r="D421" s="3" t="s">
        <v>1362</v>
      </c>
      <c r="E421" s="6">
        <v>36526.0</v>
      </c>
      <c r="F421" s="30">
        <v>0.0</v>
      </c>
      <c r="G421" s="3" t="s">
        <v>136</v>
      </c>
      <c r="H421" s="3" t="s">
        <v>22</v>
      </c>
      <c r="J421" s="3" t="s">
        <v>2437</v>
      </c>
      <c r="K421" s="3" t="s">
        <v>3045</v>
      </c>
      <c r="L421" s="3" t="s">
        <v>3046</v>
      </c>
      <c r="M421" s="3" t="s">
        <v>3047</v>
      </c>
      <c r="N421" s="3" t="s">
        <v>1366</v>
      </c>
      <c r="O421" s="3" t="s">
        <v>1223</v>
      </c>
      <c r="Q421" s="3" t="s">
        <v>29</v>
      </c>
      <c r="S421" s="27" t="s">
        <v>3048</v>
      </c>
      <c r="T421" s="27">
        <f>IFERROR(__xludf.DUMMYFUNCTION("""COMPUTED_VALUE"""),1771.0)</f>
        <v>1771</v>
      </c>
      <c r="U421" s="1" t="s">
        <v>3049</v>
      </c>
    </row>
    <row r="422">
      <c r="A422" s="4">
        <v>44957.485045787034</v>
      </c>
      <c r="B422" s="3" t="s">
        <v>3050</v>
      </c>
      <c r="C422" s="3" t="s">
        <v>3051</v>
      </c>
      <c r="D422" s="3" t="s">
        <v>1049</v>
      </c>
      <c r="E422" s="6">
        <v>44952.0</v>
      </c>
      <c r="F422" s="30">
        <v>268.0</v>
      </c>
      <c r="G422" s="3" t="s">
        <v>21</v>
      </c>
      <c r="H422" s="3" t="s">
        <v>22</v>
      </c>
      <c r="I422" s="3" t="s">
        <v>1167</v>
      </c>
      <c r="K422" s="3" t="s">
        <v>3052</v>
      </c>
      <c r="L422" s="3" t="s">
        <v>3053</v>
      </c>
      <c r="M422" s="3" t="s">
        <v>3054</v>
      </c>
      <c r="N422" s="3" t="s">
        <v>1054</v>
      </c>
      <c r="O422" s="3" t="s">
        <v>3055</v>
      </c>
      <c r="P422" s="3" t="s">
        <v>1172</v>
      </c>
      <c r="Q422" s="3" t="s">
        <v>1205</v>
      </c>
      <c r="S422" s="27" t="s">
        <v>3056</v>
      </c>
      <c r="T422" s="27">
        <f>IFERROR(__xludf.DUMMYFUNCTION("""COMPUTED_VALUE"""),2060.0)</f>
        <v>2060</v>
      </c>
      <c r="U422" s="1" t="s">
        <v>3057</v>
      </c>
    </row>
    <row r="423">
      <c r="A423" s="4">
        <v>44957.485045787034</v>
      </c>
      <c r="B423" s="3" t="s">
        <v>482</v>
      </c>
      <c r="C423" s="3" t="s">
        <v>3051</v>
      </c>
      <c r="D423" s="3" t="s">
        <v>756</v>
      </c>
      <c r="E423" s="6">
        <v>44952.0</v>
      </c>
      <c r="F423" s="30">
        <v>230.0</v>
      </c>
      <c r="G423" s="3" t="s">
        <v>21</v>
      </c>
      <c r="H423" s="3" t="s">
        <v>22</v>
      </c>
      <c r="I423" s="3" t="s">
        <v>1167</v>
      </c>
      <c r="K423" s="3" t="s">
        <v>3058</v>
      </c>
      <c r="L423" s="3" t="s">
        <v>3059</v>
      </c>
      <c r="M423" s="3" t="s">
        <v>3060</v>
      </c>
      <c r="N423" s="3" t="s">
        <v>760</v>
      </c>
      <c r="O423" s="3" t="s">
        <v>487</v>
      </c>
      <c r="P423" s="3" t="s">
        <v>1172</v>
      </c>
      <c r="Q423" s="3" t="s">
        <v>1205</v>
      </c>
      <c r="S423" s="27" t="s">
        <v>3061</v>
      </c>
      <c r="T423" s="27">
        <f>IFERROR(__xludf.DUMMYFUNCTION("""COMPUTED_VALUE"""),4.0)</f>
        <v>4</v>
      </c>
      <c r="U423" s="1" t="s">
        <v>3062</v>
      </c>
    </row>
    <row r="424">
      <c r="A424" s="4">
        <v>44958.7104127662</v>
      </c>
      <c r="B424" s="3" t="s">
        <v>393</v>
      </c>
      <c r="C424" s="3" t="s">
        <v>3063</v>
      </c>
      <c r="D424" s="3" t="s">
        <v>20</v>
      </c>
      <c r="E424" s="6">
        <v>44593.0</v>
      </c>
      <c r="F424" s="30">
        <v>100000.0</v>
      </c>
      <c r="G424" s="3" t="s">
        <v>21</v>
      </c>
      <c r="H424" s="3" t="s">
        <v>22</v>
      </c>
      <c r="J424" s="1" t="s">
        <v>2279</v>
      </c>
      <c r="K424" s="3" t="s">
        <v>3064</v>
      </c>
      <c r="L424" s="3" t="s">
        <v>3065</v>
      </c>
      <c r="M424" s="3" t="s">
        <v>3066</v>
      </c>
      <c r="N424" s="3" t="s">
        <v>27</v>
      </c>
      <c r="O424" s="3" t="s">
        <v>398</v>
      </c>
      <c r="Q424" s="3" t="s">
        <v>1205</v>
      </c>
      <c r="S424" s="27" t="s">
        <v>3067</v>
      </c>
      <c r="T424" s="27">
        <f>IFERROR(__xludf.DUMMYFUNCTION("""COMPUTED_VALUE"""),1148.0)</f>
        <v>1148</v>
      </c>
      <c r="U424" s="1" t="s">
        <v>3068</v>
      </c>
    </row>
    <row r="425">
      <c r="A425" s="4">
        <v>44960.52237228009</v>
      </c>
      <c r="B425" s="3" t="s">
        <v>3069</v>
      </c>
      <c r="C425" s="3" t="s">
        <v>3070</v>
      </c>
      <c r="D425" s="3" t="s">
        <v>358</v>
      </c>
      <c r="E425" s="6">
        <v>44944.0</v>
      </c>
      <c r="F425" s="30">
        <v>12050.75</v>
      </c>
      <c r="G425" s="3" t="s">
        <v>21</v>
      </c>
      <c r="H425" s="3" t="s">
        <v>22</v>
      </c>
      <c r="K425" s="3" t="s">
        <v>3071</v>
      </c>
      <c r="L425" s="3" t="s">
        <v>3072</v>
      </c>
      <c r="M425" s="3" t="s">
        <v>3073</v>
      </c>
      <c r="N425" s="3" t="s">
        <v>362</v>
      </c>
      <c r="O425" s="3" t="s">
        <v>3074</v>
      </c>
      <c r="Q425" s="3" t="s">
        <v>1205</v>
      </c>
      <c r="S425" s="27" t="s">
        <v>3075</v>
      </c>
      <c r="T425" s="27"/>
      <c r="U425" s="1" t="s">
        <v>3076</v>
      </c>
    </row>
    <row r="426">
      <c r="A426" s="4">
        <v>44960.55737358796</v>
      </c>
      <c r="B426" s="3" t="s">
        <v>468</v>
      </c>
      <c r="C426" s="3" t="s">
        <v>3077</v>
      </c>
      <c r="D426" s="3" t="s">
        <v>756</v>
      </c>
      <c r="E426" s="6">
        <v>44909.0</v>
      </c>
      <c r="F426" s="30">
        <v>2350.0</v>
      </c>
      <c r="G426" s="3" t="s">
        <v>21</v>
      </c>
      <c r="H426" s="3" t="s">
        <v>22</v>
      </c>
      <c r="I426" s="3" t="s">
        <v>1167</v>
      </c>
      <c r="K426" s="3" t="s">
        <v>3078</v>
      </c>
      <c r="L426" s="3" t="s">
        <v>3079</v>
      </c>
      <c r="M426" s="3" t="s">
        <v>3080</v>
      </c>
      <c r="N426" s="3" t="s">
        <v>760</v>
      </c>
      <c r="O426" s="3" t="s">
        <v>473</v>
      </c>
      <c r="P426" s="3" t="s">
        <v>1172</v>
      </c>
      <c r="Q426" s="3" t="s">
        <v>1205</v>
      </c>
      <c r="S426" s="27" t="s">
        <v>3081</v>
      </c>
      <c r="T426" s="27">
        <f>IFERROR(__xludf.DUMMYFUNCTION("""COMPUTED_VALUE"""),1221.0)</f>
        <v>1221</v>
      </c>
      <c r="U426" s="1" t="s">
        <v>3082</v>
      </c>
    </row>
    <row r="427">
      <c r="A427" s="4">
        <v>44963.716352303236</v>
      </c>
      <c r="B427" s="3" t="s">
        <v>516</v>
      </c>
      <c r="C427" s="3" t="s">
        <v>3083</v>
      </c>
      <c r="D427" s="3" t="s">
        <v>1049</v>
      </c>
      <c r="E427" s="6">
        <v>44959.0</v>
      </c>
      <c r="F427" s="30">
        <v>84897.5</v>
      </c>
      <c r="G427" s="3" t="s">
        <v>21</v>
      </c>
      <c r="H427" s="3" t="s">
        <v>22</v>
      </c>
      <c r="I427" s="3" t="s">
        <v>1145</v>
      </c>
      <c r="J427" s="1" t="s">
        <v>1706</v>
      </c>
      <c r="K427" s="3" t="s">
        <v>3084</v>
      </c>
      <c r="L427" s="3" t="s">
        <v>3085</v>
      </c>
      <c r="M427" s="3" t="s">
        <v>3086</v>
      </c>
      <c r="N427" s="3" t="s">
        <v>1054</v>
      </c>
      <c r="O427" s="3" t="s">
        <v>524</v>
      </c>
      <c r="P427" s="3" t="s">
        <v>1150</v>
      </c>
      <c r="Q427" s="3" t="s">
        <v>1205</v>
      </c>
      <c r="S427" s="27" t="s">
        <v>3087</v>
      </c>
      <c r="T427" s="27">
        <f>IFERROR(__xludf.DUMMYFUNCTION("""COMPUTED_VALUE"""),1371.0)</f>
        <v>1371</v>
      </c>
      <c r="U427" s="1" t="s">
        <v>3088</v>
      </c>
    </row>
    <row r="428">
      <c r="A428" s="4">
        <v>44965.56172856482</v>
      </c>
      <c r="B428" s="3" t="s">
        <v>482</v>
      </c>
      <c r="C428" s="3" t="s">
        <v>3089</v>
      </c>
      <c r="D428" s="3" t="s">
        <v>1049</v>
      </c>
      <c r="E428" s="6">
        <v>44826.0</v>
      </c>
      <c r="F428" s="30">
        <v>2500.0</v>
      </c>
      <c r="G428" s="3" t="s">
        <v>136</v>
      </c>
      <c r="H428" s="3" t="s">
        <v>22</v>
      </c>
      <c r="I428" s="3" t="s">
        <v>1145</v>
      </c>
      <c r="K428" s="3" t="s">
        <v>3090</v>
      </c>
      <c r="L428" s="3" t="s">
        <v>3091</v>
      </c>
      <c r="M428" s="3" t="s">
        <v>3092</v>
      </c>
      <c r="N428" s="3" t="s">
        <v>1054</v>
      </c>
      <c r="O428" s="3" t="s">
        <v>487</v>
      </c>
      <c r="P428" s="3" t="s">
        <v>1150</v>
      </c>
      <c r="Q428" s="3" t="s">
        <v>1205</v>
      </c>
      <c r="S428" s="27" t="s">
        <v>3093</v>
      </c>
      <c r="T428" s="27">
        <f>IFERROR(__xludf.DUMMYFUNCTION("""COMPUTED_VALUE"""),4.0)</f>
        <v>4</v>
      </c>
      <c r="U428" s="1" t="s">
        <v>3094</v>
      </c>
    </row>
    <row r="429">
      <c r="A429" s="4">
        <v>44965.56172856482</v>
      </c>
      <c r="B429" s="3" t="s">
        <v>2995</v>
      </c>
      <c r="C429" s="3" t="s">
        <v>3095</v>
      </c>
      <c r="D429" s="3" t="s">
        <v>358</v>
      </c>
      <c r="E429" s="6">
        <v>44581.0</v>
      </c>
      <c r="F429" s="3">
        <v>9330.0</v>
      </c>
      <c r="G429" s="3" t="s">
        <v>21</v>
      </c>
      <c r="H429" s="3" t="s">
        <v>22</v>
      </c>
      <c r="J429" s="3" t="s">
        <v>2997</v>
      </c>
      <c r="K429" s="3" t="s">
        <v>3096</v>
      </c>
      <c r="L429" s="3" t="s">
        <v>3097</v>
      </c>
      <c r="M429" s="3" t="s">
        <v>3098</v>
      </c>
      <c r="N429" s="3" t="s">
        <v>362</v>
      </c>
      <c r="O429" s="3" t="s">
        <v>3001</v>
      </c>
      <c r="Q429" s="3" t="s">
        <v>1205</v>
      </c>
      <c r="S429" s="27" t="s">
        <v>3099</v>
      </c>
      <c r="T429" s="27">
        <f>IFERROR(__xludf.DUMMYFUNCTION("""COMPUTED_VALUE"""),2064.0)</f>
        <v>2064</v>
      </c>
      <c r="U429" s="1" t="s">
        <v>3100</v>
      </c>
    </row>
    <row r="430">
      <c r="A430" s="4">
        <v>44965.56172856482</v>
      </c>
      <c r="B430" s="3" t="s">
        <v>2995</v>
      </c>
      <c r="C430" s="3" t="s">
        <v>3101</v>
      </c>
      <c r="D430" s="3" t="s">
        <v>358</v>
      </c>
      <c r="E430" s="6">
        <v>44964.0</v>
      </c>
      <c r="F430" s="30">
        <v>3200.0</v>
      </c>
      <c r="G430" s="3" t="s">
        <v>136</v>
      </c>
      <c r="H430" s="3" t="s">
        <v>22</v>
      </c>
      <c r="J430" s="3" t="s">
        <v>2997</v>
      </c>
      <c r="K430" s="3" t="s">
        <v>3102</v>
      </c>
      <c r="L430" s="3" t="s">
        <v>3103</v>
      </c>
      <c r="M430" s="3" t="s">
        <v>3104</v>
      </c>
      <c r="N430" s="3" t="s">
        <v>362</v>
      </c>
      <c r="O430" s="3" t="s">
        <v>3001</v>
      </c>
      <c r="Q430" s="3" t="s">
        <v>1205</v>
      </c>
      <c r="S430" s="27" t="s">
        <v>3105</v>
      </c>
      <c r="T430" s="27">
        <f>IFERROR(__xludf.DUMMYFUNCTION("""COMPUTED_VALUE"""),2064.0)</f>
        <v>2064</v>
      </c>
      <c r="U430" s="1" t="s">
        <v>3106</v>
      </c>
    </row>
    <row r="431">
      <c r="A431" s="4">
        <v>44970.50822416667</v>
      </c>
      <c r="B431" s="3" t="s">
        <v>1802</v>
      </c>
      <c r="C431" s="3" t="s">
        <v>3107</v>
      </c>
      <c r="D431" s="3" t="s">
        <v>358</v>
      </c>
      <c r="E431" s="6">
        <v>44867.0</v>
      </c>
      <c r="F431" s="3">
        <v>3700.0</v>
      </c>
      <c r="G431" s="3" t="s">
        <v>21</v>
      </c>
      <c r="H431" s="3" t="s">
        <v>22</v>
      </c>
      <c r="I431" s="3" t="s">
        <v>1137</v>
      </c>
      <c r="K431" s="3" t="s">
        <v>3108</v>
      </c>
      <c r="L431" s="3" t="s">
        <v>3109</v>
      </c>
      <c r="M431" s="3" t="s">
        <v>3110</v>
      </c>
      <c r="N431" s="3" t="s">
        <v>362</v>
      </c>
      <c r="O431" s="3" t="s">
        <v>1807</v>
      </c>
      <c r="P431" s="3" t="s">
        <v>1141</v>
      </c>
      <c r="Q431" s="3" t="s">
        <v>1205</v>
      </c>
      <c r="S431" s="27" t="s">
        <v>3111</v>
      </c>
      <c r="T431" s="27">
        <f>IFERROR(__xludf.DUMMYFUNCTION("""COMPUTED_VALUE"""),1719.0)</f>
        <v>1719</v>
      </c>
      <c r="U431" s="1" t="s">
        <v>3112</v>
      </c>
    </row>
    <row r="432">
      <c r="A432" s="4">
        <v>44970.50822416667</v>
      </c>
      <c r="B432" s="3" t="s">
        <v>1802</v>
      </c>
      <c r="C432" s="3" t="s">
        <v>3113</v>
      </c>
      <c r="D432" s="3" t="s">
        <v>358</v>
      </c>
      <c r="E432" s="6">
        <v>44916.0</v>
      </c>
      <c r="F432" s="30">
        <v>2250.0</v>
      </c>
      <c r="G432" s="3" t="s">
        <v>21</v>
      </c>
      <c r="H432" s="3" t="s">
        <v>22</v>
      </c>
      <c r="I432" s="3" t="s">
        <v>1137</v>
      </c>
      <c r="K432" s="3" t="s">
        <v>3114</v>
      </c>
      <c r="L432" s="3" t="s">
        <v>3115</v>
      </c>
      <c r="M432" s="3" t="s">
        <v>3116</v>
      </c>
      <c r="N432" s="3" t="s">
        <v>362</v>
      </c>
      <c r="O432" s="3" t="s">
        <v>1807</v>
      </c>
      <c r="P432" s="3" t="s">
        <v>1141</v>
      </c>
      <c r="Q432" s="3" t="s">
        <v>1205</v>
      </c>
      <c r="S432" s="27" t="s">
        <v>3117</v>
      </c>
      <c r="T432" s="27">
        <f>IFERROR(__xludf.DUMMYFUNCTION("""COMPUTED_VALUE"""),1719.0)</f>
        <v>1719</v>
      </c>
      <c r="U432" s="1" t="s">
        <v>3118</v>
      </c>
    </row>
    <row r="433">
      <c r="A433" s="4">
        <v>44972.72473016204</v>
      </c>
      <c r="B433" s="3" t="s">
        <v>393</v>
      </c>
      <c r="C433" s="3" t="s">
        <v>3119</v>
      </c>
      <c r="D433" s="3" t="s">
        <v>358</v>
      </c>
      <c r="E433" s="6">
        <v>44972.0</v>
      </c>
      <c r="F433" s="30">
        <v>7830.0</v>
      </c>
      <c r="G433" s="3" t="s">
        <v>21</v>
      </c>
      <c r="H433" s="3" t="s">
        <v>22</v>
      </c>
      <c r="K433" s="3" t="s">
        <v>3120</v>
      </c>
      <c r="L433" s="3" t="s">
        <v>3121</v>
      </c>
      <c r="M433" s="3" t="s">
        <v>3122</v>
      </c>
      <c r="N433" s="3" t="s">
        <v>362</v>
      </c>
      <c r="O433" s="3" t="s">
        <v>398</v>
      </c>
      <c r="Q433" s="3" t="s">
        <v>1205</v>
      </c>
      <c r="S433" s="27" t="s">
        <v>3123</v>
      </c>
      <c r="T433" s="27">
        <f>IFERROR(__xludf.DUMMYFUNCTION("""COMPUTED_VALUE"""),1148.0)</f>
        <v>1148</v>
      </c>
      <c r="U433" s="1" t="s">
        <v>3124</v>
      </c>
    </row>
    <row r="434">
      <c r="A434" s="4">
        <v>44973.643023321754</v>
      </c>
      <c r="B434" s="3" t="s">
        <v>393</v>
      </c>
      <c r="C434" s="3" t="s">
        <v>3125</v>
      </c>
      <c r="D434" s="3" t="s">
        <v>358</v>
      </c>
      <c r="E434" s="6">
        <v>44972.0</v>
      </c>
      <c r="F434" s="3">
        <v>2585.8</v>
      </c>
      <c r="G434" s="3" t="s">
        <v>136</v>
      </c>
      <c r="H434" s="3" t="s">
        <v>22</v>
      </c>
      <c r="K434" s="3" t="s">
        <v>3126</v>
      </c>
      <c r="L434" s="3" t="s">
        <v>3127</v>
      </c>
      <c r="M434" s="3" t="s">
        <v>3128</v>
      </c>
      <c r="N434" s="3" t="s">
        <v>362</v>
      </c>
      <c r="O434" s="3" t="s">
        <v>398</v>
      </c>
      <c r="Q434" s="3" t="s">
        <v>1205</v>
      </c>
      <c r="S434" s="27" t="s">
        <v>3129</v>
      </c>
      <c r="T434" s="27">
        <f>IFERROR(__xludf.DUMMYFUNCTION("""COMPUTED_VALUE"""),1148.0)</f>
        <v>1148</v>
      </c>
      <c r="U434" s="1" t="s">
        <v>3130</v>
      </c>
    </row>
    <row r="435">
      <c r="A435" s="4">
        <v>44977.74451533565</v>
      </c>
      <c r="B435" s="3" t="s">
        <v>1165</v>
      </c>
      <c r="C435" s="3" t="s">
        <v>3131</v>
      </c>
      <c r="D435" s="3" t="s">
        <v>756</v>
      </c>
      <c r="E435" s="6">
        <v>44977.0</v>
      </c>
      <c r="F435" s="30">
        <v>1500.0</v>
      </c>
      <c r="G435" s="3" t="s">
        <v>21</v>
      </c>
      <c r="H435" s="3" t="s">
        <v>22</v>
      </c>
      <c r="I435" s="3" t="s">
        <v>1167</v>
      </c>
      <c r="K435" s="3" t="s">
        <v>3132</v>
      </c>
      <c r="L435" s="3" t="s">
        <v>3133</v>
      </c>
      <c r="M435" s="3" t="s">
        <v>3134</v>
      </c>
      <c r="N435" s="3" t="s">
        <v>760</v>
      </c>
      <c r="O435" s="3" t="s">
        <v>1171</v>
      </c>
      <c r="P435" s="3" t="s">
        <v>1172</v>
      </c>
      <c r="Q435" s="3" t="s">
        <v>29</v>
      </c>
      <c r="S435" s="27" t="s">
        <v>3135</v>
      </c>
      <c r="T435" s="27">
        <f>IFERROR(__xludf.DUMMYFUNCTION("""COMPUTED_VALUE"""),1167.0)</f>
        <v>1167</v>
      </c>
      <c r="U435" s="1" t="s">
        <v>3136</v>
      </c>
    </row>
    <row r="436">
      <c r="A436" s="4">
        <v>44978.56680005787</v>
      </c>
      <c r="B436" s="3" t="s">
        <v>2853</v>
      </c>
      <c r="C436" s="3" t="s">
        <v>3137</v>
      </c>
      <c r="D436" s="3" t="s">
        <v>358</v>
      </c>
      <c r="E436" s="6">
        <v>44973.0</v>
      </c>
      <c r="F436" s="30">
        <v>37410.0</v>
      </c>
      <c r="G436" s="3" t="s">
        <v>350</v>
      </c>
      <c r="H436" s="3" t="s">
        <v>22</v>
      </c>
      <c r="K436" s="3" t="s">
        <v>3138</v>
      </c>
      <c r="L436" s="3" t="s">
        <v>3139</v>
      </c>
      <c r="M436" s="3" t="s">
        <v>3140</v>
      </c>
      <c r="N436" s="3" t="s">
        <v>362</v>
      </c>
      <c r="O436" s="3" t="s">
        <v>2858</v>
      </c>
      <c r="Q436" s="3" t="s">
        <v>1205</v>
      </c>
      <c r="S436" s="27" t="s">
        <v>3141</v>
      </c>
      <c r="T436" s="27">
        <f>IFERROR(__xludf.DUMMYFUNCTION("""COMPUTED_VALUE"""),2006.0)</f>
        <v>2006</v>
      </c>
      <c r="U436" s="1" t="s">
        <v>3142</v>
      </c>
    </row>
    <row r="437">
      <c r="A437" s="4">
        <v>44978.76264965278</v>
      </c>
      <c r="B437" s="3" t="s">
        <v>482</v>
      </c>
      <c r="C437" s="3" t="s">
        <v>546</v>
      </c>
      <c r="D437" s="3" t="s">
        <v>358</v>
      </c>
      <c r="E437" s="6">
        <v>44978.0</v>
      </c>
      <c r="F437" s="30">
        <v>1610.0</v>
      </c>
      <c r="G437" s="3" t="s">
        <v>21</v>
      </c>
      <c r="H437" s="3" t="s">
        <v>22</v>
      </c>
      <c r="I437" s="3" t="s">
        <v>1137</v>
      </c>
      <c r="K437" s="3" t="s">
        <v>3143</v>
      </c>
      <c r="L437" s="3" t="s">
        <v>3144</v>
      </c>
      <c r="M437" s="3" t="s">
        <v>3145</v>
      </c>
      <c r="N437" s="3" t="s">
        <v>362</v>
      </c>
      <c r="O437" s="3" t="s">
        <v>487</v>
      </c>
      <c r="P437" s="3" t="s">
        <v>1141</v>
      </c>
      <c r="Q437" s="3" t="s">
        <v>29</v>
      </c>
      <c r="S437" s="27" t="s">
        <v>3146</v>
      </c>
      <c r="T437" s="27">
        <f>IFERROR(__xludf.DUMMYFUNCTION("""COMPUTED_VALUE"""),4.0)</f>
        <v>4</v>
      </c>
      <c r="U437" s="1" t="s">
        <v>3147</v>
      </c>
    </row>
    <row r="438">
      <c r="A438" s="4">
        <v>44986.68241725695</v>
      </c>
      <c r="B438" s="3" t="s">
        <v>731</v>
      </c>
      <c r="C438" s="3" t="s">
        <v>3148</v>
      </c>
      <c r="D438" s="3" t="s">
        <v>358</v>
      </c>
      <c r="E438" s="6">
        <v>44985.0</v>
      </c>
      <c r="F438" s="30">
        <v>7600.0</v>
      </c>
      <c r="G438" s="3" t="s">
        <v>350</v>
      </c>
      <c r="H438" s="3" t="s">
        <v>22</v>
      </c>
      <c r="K438" s="3" t="s">
        <v>3149</v>
      </c>
      <c r="L438" s="3" t="s">
        <v>3150</v>
      </c>
      <c r="M438" s="3" t="s">
        <v>3151</v>
      </c>
      <c r="N438" s="3" t="s">
        <v>362</v>
      </c>
      <c r="O438" s="3" t="s">
        <v>735</v>
      </c>
      <c r="Q438" s="3" t="s">
        <v>1205</v>
      </c>
      <c r="S438" s="27" t="s">
        <v>3152</v>
      </c>
      <c r="T438" s="27">
        <f>IFERROR(__xludf.DUMMYFUNCTION("""COMPUTED_VALUE"""),731.0)</f>
        <v>731</v>
      </c>
      <c r="U438" s="1" t="s">
        <v>3153</v>
      </c>
    </row>
    <row r="439">
      <c r="A439" s="4">
        <v>44994.57122061343</v>
      </c>
      <c r="B439" s="3" t="s">
        <v>110</v>
      </c>
      <c r="C439" s="3" t="s">
        <v>3154</v>
      </c>
      <c r="D439" s="3" t="s">
        <v>20</v>
      </c>
      <c r="E439" s="6">
        <v>44455.0</v>
      </c>
      <c r="F439" s="30">
        <v>31760.0</v>
      </c>
      <c r="G439" s="3" t="s">
        <v>21</v>
      </c>
      <c r="H439" s="3" t="s">
        <v>22</v>
      </c>
      <c r="J439" s="1" t="s">
        <v>3155</v>
      </c>
      <c r="K439" s="3" t="s">
        <v>3156</v>
      </c>
      <c r="L439" s="3" t="s">
        <v>3157</v>
      </c>
      <c r="M439" s="3" t="s">
        <v>3158</v>
      </c>
      <c r="N439" s="3" t="s">
        <v>27</v>
      </c>
      <c r="O439" s="3" t="s">
        <v>116</v>
      </c>
      <c r="Q439" s="3" t="s">
        <v>29</v>
      </c>
      <c r="S439" s="27" t="s">
        <v>3159</v>
      </c>
      <c r="T439" s="27">
        <f>IFERROR(__xludf.DUMMYFUNCTION("""COMPUTED_VALUE"""),853.0)</f>
        <v>853</v>
      </c>
      <c r="U439" s="1" t="s">
        <v>3160</v>
      </c>
    </row>
    <row r="440">
      <c r="A440" s="4">
        <v>44998.50396795139</v>
      </c>
      <c r="B440" s="3" t="s">
        <v>3161</v>
      </c>
      <c r="C440" s="3" t="s">
        <v>3162</v>
      </c>
      <c r="D440" s="3" t="s">
        <v>20</v>
      </c>
      <c r="E440" s="6">
        <v>44998.0</v>
      </c>
      <c r="F440" s="3">
        <v>188560.0</v>
      </c>
      <c r="G440" s="3" t="s">
        <v>21</v>
      </c>
      <c r="H440" s="3" t="s">
        <v>22</v>
      </c>
      <c r="J440" s="1" t="s">
        <v>3163</v>
      </c>
      <c r="K440" s="3" t="s">
        <v>3164</v>
      </c>
      <c r="L440" s="3" t="s">
        <v>3165</v>
      </c>
      <c r="M440" s="3" t="s">
        <v>3166</v>
      </c>
      <c r="N440" s="3" t="s">
        <v>27</v>
      </c>
      <c r="O440" s="3" t="s">
        <v>3167</v>
      </c>
      <c r="Q440" s="3" t="s">
        <v>29</v>
      </c>
      <c r="S440" s="27" t="s">
        <v>3168</v>
      </c>
      <c r="T440" s="27">
        <f>IFERROR(__xludf.DUMMYFUNCTION("""COMPUTED_VALUE"""),2172.0)</f>
        <v>2172</v>
      </c>
      <c r="U440" s="1" t="s">
        <v>3169</v>
      </c>
    </row>
    <row r="441">
      <c r="A441" s="4">
        <v>44998.5105219213</v>
      </c>
      <c r="B441" s="3" t="s">
        <v>3170</v>
      </c>
      <c r="C441" s="3" t="s">
        <v>3171</v>
      </c>
      <c r="D441" s="3" t="s">
        <v>20</v>
      </c>
      <c r="E441" s="6">
        <v>44998.0</v>
      </c>
      <c r="F441" s="30">
        <v>42000.0</v>
      </c>
      <c r="G441" s="3" t="s">
        <v>21</v>
      </c>
      <c r="H441" s="3" t="s">
        <v>22</v>
      </c>
      <c r="I441" s="3" t="s">
        <v>1167</v>
      </c>
      <c r="K441" s="3" t="s">
        <v>3172</v>
      </c>
      <c r="L441" s="3" t="s">
        <v>3173</v>
      </c>
      <c r="M441" s="3" t="s">
        <v>3174</v>
      </c>
      <c r="N441" s="3" t="s">
        <v>27</v>
      </c>
      <c r="O441" s="3" t="s">
        <v>3175</v>
      </c>
      <c r="P441" s="3" t="s">
        <v>1172</v>
      </c>
      <c r="Q441" s="3" t="s">
        <v>29</v>
      </c>
      <c r="R441" s="3" t="b">
        <v>1</v>
      </c>
      <c r="S441" s="27" t="s">
        <v>3176</v>
      </c>
      <c r="T441" s="27">
        <f>IFERROR(__xludf.DUMMYFUNCTION("""COMPUTED_VALUE"""),2237.0)</f>
        <v>2237</v>
      </c>
      <c r="U441" s="1" t="s">
        <v>3177</v>
      </c>
    </row>
    <row r="442">
      <c r="A442" s="4">
        <v>45000.546143784726</v>
      </c>
      <c r="B442" s="3" t="s">
        <v>3178</v>
      </c>
      <c r="C442" s="3" t="s">
        <v>3179</v>
      </c>
      <c r="D442" s="3" t="s">
        <v>20</v>
      </c>
      <c r="E442" s="6">
        <v>44922.0</v>
      </c>
      <c r="F442" s="30">
        <v>210000.0</v>
      </c>
      <c r="G442" s="3" t="s">
        <v>21</v>
      </c>
      <c r="H442" s="3" t="s">
        <v>22</v>
      </c>
      <c r="J442" s="1" t="s">
        <v>3180</v>
      </c>
      <c r="K442" s="3" t="s">
        <v>3181</v>
      </c>
      <c r="L442" s="3" t="s">
        <v>3182</v>
      </c>
      <c r="M442" s="3" t="s">
        <v>3183</v>
      </c>
      <c r="N442" s="3" t="s">
        <v>27</v>
      </c>
      <c r="O442" s="3" t="s">
        <v>3184</v>
      </c>
      <c r="Q442" s="3" t="s">
        <v>1205</v>
      </c>
      <c r="S442" s="27" t="s">
        <v>3185</v>
      </c>
      <c r="T442" s="27">
        <f>IFERROR(__xludf.DUMMYFUNCTION("""COMPUTED_VALUE"""),2053.0)</f>
        <v>2053</v>
      </c>
      <c r="U442" s="1" t="s">
        <v>3186</v>
      </c>
    </row>
    <row r="443">
      <c r="A443" s="4">
        <v>45000.669789340274</v>
      </c>
      <c r="B443" s="3" t="s">
        <v>3187</v>
      </c>
      <c r="C443" s="3" t="s">
        <v>3188</v>
      </c>
      <c r="D443" s="3" t="s">
        <v>20</v>
      </c>
      <c r="E443" s="6">
        <v>44984.0</v>
      </c>
      <c r="F443" s="33">
        <v>238490.0</v>
      </c>
      <c r="G443" s="3" t="s">
        <v>21</v>
      </c>
      <c r="H443" s="3" t="s">
        <v>22</v>
      </c>
      <c r="J443" s="1" t="s">
        <v>3189</v>
      </c>
      <c r="K443" s="3" t="s">
        <v>3190</v>
      </c>
      <c r="L443" s="3" t="s">
        <v>3191</v>
      </c>
      <c r="M443" s="3" t="s">
        <v>3192</v>
      </c>
      <c r="N443" s="3" t="s">
        <v>27</v>
      </c>
      <c r="O443" s="3" t="s">
        <v>3193</v>
      </c>
      <c r="Q443" s="3" t="s">
        <v>1205</v>
      </c>
      <c r="S443" s="27" t="s">
        <v>3194</v>
      </c>
      <c r="T443" s="27">
        <f>IFERROR(__xludf.DUMMYFUNCTION("""COMPUTED_VALUE"""),2107.0)</f>
        <v>2107</v>
      </c>
      <c r="U443" s="1" t="s">
        <v>3195</v>
      </c>
    </row>
    <row r="444">
      <c r="A444" s="4">
        <v>45002.491396006946</v>
      </c>
      <c r="B444" s="3" t="s">
        <v>3196</v>
      </c>
      <c r="C444" s="3" t="s">
        <v>3197</v>
      </c>
      <c r="D444" s="3" t="s">
        <v>756</v>
      </c>
      <c r="E444" s="6">
        <v>45001.0</v>
      </c>
      <c r="F444" s="33">
        <v>520.0</v>
      </c>
      <c r="G444" s="3" t="s">
        <v>136</v>
      </c>
      <c r="H444" s="3" t="s">
        <v>22</v>
      </c>
      <c r="K444" s="3" t="s">
        <v>3198</v>
      </c>
      <c r="L444" s="3" t="s">
        <v>3199</v>
      </c>
      <c r="M444" s="3" t="s">
        <v>3200</v>
      </c>
      <c r="N444" s="3" t="s">
        <v>760</v>
      </c>
      <c r="O444" s="3" t="s">
        <v>1284</v>
      </c>
      <c r="Q444" s="3" t="s">
        <v>29</v>
      </c>
      <c r="S444" s="27" t="s">
        <v>3201</v>
      </c>
      <c r="T444" s="27">
        <f>IFERROR(__xludf.DUMMYFUNCTION("""COMPUTED_VALUE"""),1559.0)</f>
        <v>1559</v>
      </c>
      <c r="U444" s="1" t="s">
        <v>3202</v>
      </c>
    </row>
    <row r="445">
      <c r="A445" s="4">
        <v>45014.55073829861</v>
      </c>
      <c r="B445" s="3" t="s">
        <v>516</v>
      </c>
      <c r="C445" s="3" t="s">
        <v>3203</v>
      </c>
      <c r="D445" s="3" t="s">
        <v>358</v>
      </c>
      <c r="E445" s="6">
        <v>45013.0</v>
      </c>
      <c r="F445" s="33">
        <v>364528.0</v>
      </c>
      <c r="G445" s="3" t="s">
        <v>21</v>
      </c>
      <c r="H445" s="3" t="s">
        <v>22</v>
      </c>
      <c r="J445" s="1" t="s">
        <v>519</v>
      </c>
      <c r="K445" s="3" t="s">
        <v>3204</v>
      </c>
      <c r="L445" s="3" t="s">
        <v>3205</v>
      </c>
      <c r="M445" s="3" t="s">
        <v>3206</v>
      </c>
      <c r="N445" s="3" t="s">
        <v>362</v>
      </c>
      <c r="O445" s="3" t="s">
        <v>524</v>
      </c>
      <c r="Q445" s="3" t="s">
        <v>29</v>
      </c>
      <c r="S445" s="27" t="s">
        <v>3207</v>
      </c>
      <c r="T445" s="27">
        <f>IFERROR(__xludf.DUMMYFUNCTION("""COMPUTED_VALUE"""),1371.0)</f>
        <v>1371</v>
      </c>
      <c r="U445" s="1" t="s">
        <v>3208</v>
      </c>
    </row>
    <row r="446">
      <c r="A446" s="4">
        <v>45023.70288037037</v>
      </c>
      <c r="B446" s="3" t="s">
        <v>482</v>
      </c>
      <c r="C446" s="3" t="s">
        <v>3209</v>
      </c>
      <c r="D446" s="3" t="s">
        <v>358</v>
      </c>
      <c r="E446" s="6">
        <v>45021.0</v>
      </c>
      <c r="F446" s="33">
        <v>2500.0</v>
      </c>
      <c r="G446" s="3" t="s">
        <v>136</v>
      </c>
      <c r="H446" s="3" t="s">
        <v>22</v>
      </c>
      <c r="I446" s="3" t="s">
        <v>1145</v>
      </c>
      <c r="K446" s="3" t="s">
        <v>3210</v>
      </c>
      <c r="L446" s="3" t="s">
        <v>3211</v>
      </c>
      <c r="M446" s="3" t="s">
        <v>3212</v>
      </c>
      <c r="N446" s="3" t="s">
        <v>362</v>
      </c>
      <c r="O446" s="3" t="s">
        <v>487</v>
      </c>
      <c r="P446" s="3" t="s">
        <v>1150</v>
      </c>
      <c r="Q446" s="3" t="s">
        <v>1205</v>
      </c>
      <c r="S446" s="27" t="s">
        <v>3213</v>
      </c>
      <c r="T446" s="27">
        <f>IFERROR(__xludf.DUMMYFUNCTION("""COMPUTED_VALUE"""),4.0)</f>
        <v>4</v>
      </c>
      <c r="U446" s="1" t="s">
        <v>3214</v>
      </c>
    </row>
    <row r="447">
      <c r="A447" s="4">
        <v>45026.498028622686</v>
      </c>
      <c r="B447" s="3" t="s">
        <v>3215</v>
      </c>
      <c r="C447" s="3" t="s">
        <v>3216</v>
      </c>
      <c r="D447" s="3" t="s">
        <v>358</v>
      </c>
      <c r="E447" s="6">
        <v>44922.0</v>
      </c>
      <c r="F447" s="3">
        <v>14300.0</v>
      </c>
      <c r="G447" s="3" t="s">
        <v>350</v>
      </c>
      <c r="H447" s="3" t="s">
        <v>22</v>
      </c>
      <c r="K447" s="3" t="s">
        <v>3217</v>
      </c>
      <c r="L447" s="3" t="s">
        <v>3218</v>
      </c>
      <c r="M447" s="3" t="s">
        <v>3219</v>
      </c>
      <c r="N447" s="3" t="s">
        <v>362</v>
      </c>
      <c r="O447" s="3" t="s">
        <v>3220</v>
      </c>
      <c r="Q447" s="3" t="s">
        <v>1205</v>
      </c>
      <c r="S447" s="27" t="s">
        <v>3221</v>
      </c>
      <c r="T447" s="27">
        <f>IFERROR(__xludf.DUMMYFUNCTION("""COMPUTED_VALUE"""),2050.0)</f>
        <v>2050</v>
      </c>
      <c r="U447" s="1" t="s">
        <v>3222</v>
      </c>
    </row>
    <row r="448">
      <c r="A448" s="4">
        <v>45027.8682036574</v>
      </c>
      <c r="B448" s="3" t="s">
        <v>482</v>
      </c>
      <c r="C448" s="3" t="s">
        <v>3223</v>
      </c>
      <c r="D448" s="3" t="s">
        <v>358</v>
      </c>
      <c r="E448" s="6">
        <v>44986.0</v>
      </c>
      <c r="F448" s="33">
        <v>54875.0</v>
      </c>
      <c r="G448" s="3" t="s">
        <v>21</v>
      </c>
      <c r="H448" s="3" t="s">
        <v>22</v>
      </c>
      <c r="I448" s="3" t="s">
        <v>1145</v>
      </c>
      <c r="K448" s="3" t="s">
        <v>3224</v>
      </c>
      <c r="L448" s="3" t="s">
        <v>3225</v>
      </c>
      <c r="M448" s="3" t="s">
        <v>3226</v>
      </c>
      <c r="N448" s="3" t="s">
        <v>362</v>
      </c>
      <c r="O448" s="3" t="s">
        <v>487</v>
      </c>
      <c r="P448" s="3" t="s">
        <v>1150</v>
      </c>
      <c r="Q448" s="3" t="s">
        <v>29</v>
      </c>
      <c r="S448" s="27" t="s">
        <v>3227</v>
      </c>
      <c r="T448" s="27">
        <f>IFERROR(__xludf.DUMMYFUNCTION("""COMPUTED_VALUE"""),4.0)</f>
        <v>4</v>
      </c>
      <c r="U448" s="1" t="s">
        <v>3228</v>
      </c>
    </row>
    <row r="449">
      <c r="A449" s="4">
        <v>45031.98088092593</v>
      </c>
      <c r="B449" s="3" t="s">
        <v>3229</v>
      </c>
      <c r="C449" s="3" t="s">
        <v>3230</v>
      </c>
      <c r="D449" s="3" t="s">
        <v>1469</v>
      </c>
      <c r="E449" s="6">
        <v>44057.0</v>
      </c>
      <c r="F449" s="33">
        <v>500.0</v>
      </c>
      <c r="G449" s="3" t="s">
        <v>136</v>
      </c>
      <c r="H449" s="3" t="s">
        <v>22</v>
      </c>
      <c r="K449" s="3" t="s">
        <v>3231</v>
      </c>
      <c r="L449" s="3" t="s">
        <v>3232</v>
      </c>
      <c r="M449" s="3" t="s">
        <v>3233</v>
      </c>
      <c r="N449" s="3" t="s">
        <v>1473</v>
      </c>
      <c r="O449" s="3" t="s">
        <v>3234</v>
      </c>
      <c r="Q449" s="3" t="s">
        <v>29</v>
      </c>
      <c r="S449" s="27" t="s">
        <v>3235</v>
      </c>
      <c r="T449" s="27">
        <f>IFERROR(__xludf.DUMMYFUNCTION("""COMPUTED_VALUE"""),1486.0)</f>
        <v>1486</v>
      </c>
      <c r="U449" s="1" t="s">
        <v>3236</v>
      </c>
    </row>
    <row r="450">
      <c r="A450" s="4">
        <v>45034.53205097222</v>
      </c>
      <c r="B450" s="3" t="s">
        <v>3050</v>
      </c>
      <c r="C450" s="3" t="s">
        <v>3237</v>
      </c>
      <c r="D450" s="3" t="s">
        <v>230</v>
      </c>
      <c r="E450" s="6">
        <v>44927.0</v>
      </c>
      <c r="F450" s="33">
        <v>400.0</v>
      </c>
      <c r="G450" s="3" t="s">
        <v>136</v>
      </c>
      <c r="H450" s="3" t="s">
        <v>22</v>
      </c>
      <c r="I450" s="3" t="s">
        <v>1167</v>
      </c>
      <c r="J450" s="1" t="s">
        <v>3238</v>
      </c>
      <c r="K450" s="3" t="s">
        <v>3239</v>
      </c>
      <c r="L450" s="3" t="s">
        <v>3240</v>
      </c>
      <c r="M450" s="3" t="s">
        <v>3241</v>
      </c>
      <c r="N450" s="3" t="s">
        <v>234</v>
      </c>
      <c r="O450" s="3" t="s">
        <v>3055</v>
      </c>
      <c r="P450" s="3" t="s">
        <v>1172</v>
      </c>
      <c r="Q450" s="3" t="s">
        <v>1205</v>
      </c>
      <c r="S450" s="27" t="s">
        <v>3242</v>
      </c>
      <c r="T450" s="27">
        <f>IFERROR(__xludf.DUMMYFUNCTION("""COMPUTED_VALUE"""),2060.0)</f>
        <v>2060</v>
      </c>
      <c r="U450" s="1" t="s">
        <v>3243</v>
      </c>
    </row>
    <row r="451">
      <c r="A451" s="4">
        <v>45034.74876634259</v>
      </c>
      <c r="B451" s="3" t="s">
        <v>89</v>
      </c>
      <c r="C451" s="3" t="s">
        <v>3244</v>
      </c>
      <c r="D451" s="3" t="s">
        <v>20</v>
      </c>
      <c r="E451" s="6">
        <v>44426.0</v>
      </c>
      <c r="F451" s="33">
        <v>400.0</v>
      </c>
      <c r="G451" s="3" t="s">
        <v>21</v>
      </c>
      <c r="H451" s="3" t="s">
        <v>22</v>
      </c>
      <c r="K451" s="3" t="s">
        <v>3245</v>
      </c>
      <c r="L451" s="3" t="s">
        <v>3246</v>
      </c>
      <c r="M451" s="3" t="s">
        <v>3247</v>
      </c>
      <c r="N451" s="3" t="s">
        <v>27</v>
      </c>
      <c r="O451" s="3" t="s">
        <v>94</v>
      </c>
      <c r="Q451" s="3" t="s">
        <v>1205</v>
      </c>
      <c r="S451" s="27" t="s">
        <v>3248</v>
      </c>
      <c r="T451" s="27">
        <f>IFERROR(__xludf.DUMMYFUNCTION("""COMPUTED_VALUE"""),902.0)</f>
        <v>902</v>
      </c>
      <c r="U451" s="1" t="s">
        <v>3249</v>
      </c>
    </row>
    <row r="452">
      <c r="A452" s="4">
        <v>45035.85409746528</v>
      </c>
      <c r="B452" s="3" t="s">
        <v>1750</v>
      </c>
      <c r="C452" s="3" t="s">
        <v>3250</v>
      </c>
      <c r="D452" s="3" t="s">
        <v>20</v>
      </c>
      <c r="E452" s="6">
        <v>45017.0</v>
      </c>
      <c r="F452" s="33">
        <v>62400.0</v>
      </c>
      <c r="G452" s="3" t="s">
        <v>21</v>
      </c>
      <c r="H452" s="3" t="s">
        <v>22</v>
      </c>
      <c r="I452" s="3" t="s">
        <v>1116</v>
      </c>
      <c r="K452" s="3" t="s">
        <v>3251</v>
      </c>
      <c r="L452" s="3" t="s">
        <v>3252</v>
      </c>
      <c r="M452" s="3" t="s">
        <v>3253</v>
      </c>
      <c r="N452" s="3" t="s">
        <v>27</v>
      </c>
      <c r="O452" s="3" t="s">
        <v>1756</v>
      </c>
      <c r="P452" s="3" t="s">
        <v>1122</v>
      </c>
      <c r="Q452" s="3" t="s">
        <v>29</v>
      </c>
      <c r="S452" s="27" t="s">
        <v>3254</v>
      </c>
      <c r="T452" s="27">
        <f>IFERROR(__xludf.DUMMYFUNCTION("""COMPUTED_VALUE"""),1697.0)</f>
        <v>1697</v>
      </c>
      <c r="U452" s="1" t="s">
        <v>3255</v>
      </c>
    </row>
    <row r="453">
      <c r="A453" s="4">
        <v>45035.8776840625</v>
      </c>
      <c r="B453" s="3" t="s">
        <v>3256</v>
      </c>
      <c r="C453" s="3" t="s">
        <v>3257</v>
      </c>
      <c r="D453" s="3" t="s">
        <v>20</v>
      </c>
      <c r="E453" s="6">
        <v>45017.0</v>
      </c>
      <c r="F453" s="33">
        <v>38160.0</v>
      </c>
      <c r="G453" s="3" t="s">
        <v>21</v>
      </c>
      <c r="H453" s="3" t="s">
        <v>22</v>
      </c>
      <c r="J453" s="1" t="s">
        <v>3258</v>
      </c>
      <c r="K453" s="3" t="s">
        <v>3259</v>
      </c>
      <c r="L453" s="3" t="s">
        <v>3260</v>
      </c>
      <c r="M453" s="3" t="s">
        <v>3261</v>
      </c>
      <c r="N453" s="3" t="s">
        <v>27</v>
      </c>
      <c r="O453" s="3" t="s">
        <v>3262</v>
      </c>
      <c r="Q453" s="3" t="s">
        <v>29</v>
      </c>
      <c r="S453" s="27" t="s">
        <v>3263</v>
      </c>
      <c r="T453" s="27">
        <f>IFERROR(__xludf.DUMMYFUNCTION("""COMPUTED_VALUE"""),2169.0)</f>
        <v>2169</v>
      </c>
      <c r="U453" s="1" t="s">
        <v>3264</v>
      </c>
    </row>
    <row r="454">
      <c r="A454" s="4">
        <v>45037.68812065972</v>
      </c>
      <c r="B454" s="3" t="s">
        <v>393</v>
      </c>
      <c r="C454" s="3" t="s">
        <v>3265</v>
      </c>
      <c r="D454" s="3" t="s">
        <v>358</v>
      </c>
      <c r="E454" s="6">
        <v>45035.0</v>
      </c>
      <c r="F454" s="33">
        <v>413.0</v>
      </c>
      <c r="G454" s="3" t="s">
        <v>21</v>
      </c>
      <c r="H454" s="3" t="s">
        <v>22</v>
      </c>
      <c r="K454" s="3" t="s">
        <v>3266</v>
      </c>
      <c r="L454" s="3" t="s">
        <v>3267</v>
      </c>
      <c r="M454" s="3" t="s">
        <v>3268</v>
      </c>
      <c r="N454" s="3" t="s">
        <v>362</v>
      </c>
      <c r="O454" s="3" t="s">
        <v>398</v>
      </c>
      <c r="Q454" s="3" t="s">
        <v>1205</v>
      </c>
      <c r="S454" s="27" t="s">
        <v>3269</v>
      </c>
      <c r="T454" s="27">
        <f>IFERROR(__xludf.DUMMYFUNCTION("""COMPUTED_VALUE"""),1148.0)</f>
        <v>1148</v>
      </c>
      <c r="U454" s="1" t="s">
        <v>3270</v>
      </c>
    </row>
    <row r="455">
      <c r="A455" s="4">
        <v>45039.75345231481</v>
      </c>
      <c r="B455" s="3" t="s">
        <v>3178</v>
      </c>
      <c r="C455" s="3" t="s">
        <v>3271</v>
      </c>
      <c r="D455" s="3" t="s">
        <v>20</v>
      </c>
      <c r="E455" s="6">
        <v>44986.0</v>
      </c>
      <c r="F455" s="33">
        <v>255000.0</v>
      </c>
      <c r="G455" s="3" t="s">
        <v>21</v>
      </c>
      <c r="H455" s="3" t="s">
        <v>22</v>
      </c>
      <c r="J455" s="1" t="s">
        <v>3272</v>
      </c>
      <c r="K455" s="3" t="s">
        <v>3273</v>
      </c>
      <c r="L455" s="3" t="s">
        <v>3274</v>
      </c>
      <c r="M455" s="3" t="s">
        <v>3275</v>
      </c>
      <c r="N455" s="3" t="s">
        <v>27</v>
      </c>
      <c r="O455" s="3" t="s">
        <v>3184</v>
      </c>
      <c r="Q455" s="3" t="s">
        <v>29</v>
      </c>
      <c r="S455" s="27" t="s">
        <v>3276</v>
      </c>
      <c r="T455" s="27">
        <f>IFERROR(__xludf.DUMMYFUNCTION("""COMPUTED_VALUE"""),2053.0)</f>
        <v>2053</v>
      </c>
      <c r="U455" s="1" t="s">
        <v>3277</v>
      </c>
    </row>
    <row r="456">
      <c r="A456" s="4">
        <v>45040.57825020833</v>
      </c>
      <c r="B456" s="3" t="s">
        <v>3278</v>
      </c>
      <c r="C456" s="3" t="s">
        <v>3279</v>
      </c>
      <c r="D456" s="3" t="s">
        <v>20</v>
      </c>
      <c r="E456" s="6">
        <v>45037.0</v>
      </c>
      <c r="F456" s="33">
        <v>33810.0</v>
      </c>
      <c r="G456" s="3" t="s">
        <v>21</v>
      </c>
      <c r="H456" s="3" t="s">
        <v>22</v>
      </c>
      <c r="J456" s="1" t="s">
        <v>3280</v>
      </c>
      <c r="K456" s="3" t="s">
        <v>3281</v>
      </c>
      <c r="L456" s="3" t="s">
        <v>3282</v>
      </c>
      <c r="M456" s="3" t="s">
        <v>3283</v>
      </c>
      <c r="N456" s="3" t="s">
        <v>27</v>
      </c>
      <c r="O456" s="3" t="s">
        <v>3284</v>
      </c>
      <c r="Q456" s="3" t="s">
        <v>1205</v>
      </c>
      <c r="S456" s="27" t="s">
        <v>3285</v>
      </c>
      <c r="T456" s="27">
        <f>IFERROR(__xludf.DUMMYFUNCTION("""COMPUTED_VALUE"""),2176.0)</f>
        <v>2176</v>
      </c>
      <c r="U456" s="1" t="s">
        <v>3286</v>
      </c>
    </row>
    <row r="457">
      <c r="A457" s="4">
        <v>45043.7283031713</v>
      </c>
      <c r="B457" s="3" t="s">
        <v>3287</v>
      </c>
      <c r="C457" s="3" t="s">
        <v>3288</v>
      </c>
      <c r="D457" s="3" t="s">
        <v>20</v>
      </c>
      <c r="E457" s="6">
        <v>45013.0</v>
      </c>
      <c r="F457" s="33">
        <v>305000.0</v>
      </c>
      <c r="G457" s="3" t="s">
        <v>21</v>
      </c>
      <c r="H457" s="3" t="s">
        <v>22</v>
      </c>
      <c r="J457" s="1" t="s">
        <v>3289</v>
      </c>
      <c r="K457" s="3" t="s">
        <v>3290</v>
      </c>
      <c r="L457" s="3" t="s">
        <v>3291</v>
      </c>
      <c r="M457" s="3" t="s">
        <v>3292</v>
      </c>
      <c r="N457" s="3" t="s">
        <v>27</v>
      </c>
      <c r="O457" s="3" t="s">
        <v>3293</v>
      </c>
      <c r="Q457" s="3" t="s">
        <v>1205</v>
      </c>
      <c r="S457" s="27" t="s">
        <v>3294</v>
      </c>
      <c r="T457" s="27">
        <f>IFERROR(__xludf.DUMMYFUNCTION("""COMPUTED_VALUE"""),2136.0)</f>
        <v>2136</v>
      </c>
      <c r="U457" s="1" t="s">
        <v>3295</v>
      </c>
    </row>
    <row r="458">
      <c r="A458" s="4">
        <v>45047.810113750005</v>
      </c>
      <c r="B458" s="3" t="s">
        <v>3296</v>
      </c>
      <c r="C458" s="3" t="s">
        <v>3297</v>
      </c>
      <c r="D458" s="3" t="s">
        <v>1362</v>
      </c>
      <c r="E458" s="6">
        <v>44965.0</v>
      </c>
      <c r="F458" s="33">
        <v>5300.0</v>
      </c>
      <c r="G458" s="3" t="s">
        <v>136</v>
      </c>
      <c r="H458" s="3" t="s">
        <v>22</v>
      </c>
      <c r="K458" s="3" t="s">
        <v>3298</v>
      </c>
      <c r="L458" s="3" t="s">
        <v>3299</v>
      </c>
      <c r="M458" s="3" t="s">
        <v>3300</v>
      </c>
      <c r="N458" s="3" t="s">
        <v>1366</v>
      </c>
      <c r="O458" s="3" t="s">
        <v>3301</v>
      </c>
      <c r="Q458" s="3" t="s">
        <v>29</v>
      </c>
      <c r="S458" s="27" t="s">
        <v>3302</v>
      </c>
      <c r="T458" s="27">
        <f>IFERROR(__xludf.DUMMYFUNCTION("""COMPUTED_VALUE"""),2106.0)</f>
        <v>2106</v>
      </c>
      <c r="U458" s="1" t="s">
        <v>3303</v>
      </c>
    </row>
    <row r="459">
      <c r="A459" s="4">
        <v>45048.63546842593</v>
      </c>
      <c r="B459" s="3" t="s">
        <v>110</v>
      </c>
      <c r="C459" s="3" t="s">
        <v>3304</v>
      </c>
      <c r="D459" s="3" t="s">
        <v>20</v>
      </c>
      <c r="E459" s="6">
        <v>44886.0</v>
      </c>
      <c r="F459" s="33">
        <v>12340.0</v>
      </c>
      <c r="G459" s="3" t="s">
        <v>21</v>
      </c>
      <c r="H459" s="3" t="s">
        <v>22</v>
      </c>
      <c r="K459" s="3" t="s">
        <v>3305</v>
      </c>
      <c r="L459" s="3" t="s">
        <v>3306</v>
      </c>
      <c r="M459" s="3" t="s">
        <v>3307</v>
      </c>
      <c r="N459" s="3" t="s">
        <v>27</v>
      </c>
      <c r="O459" s="3" t="s">
        <v>116</v>
      </c>
      <c r="Q459" s="3" t="s">
        <v>1205</v>
      </c>
      <c r="S459" s="27" t="s">
        <v>3308</v>
      </c>
      <c r="T459" s="27">
        <f>IFERROR(__xludf.DUMMYFUNCTION("""COMPUTED_VALUE"""),853.0)</f>
        <v>853</v>
      </c>
      <c r="U459" s="1" t="s">
        <v>3309</v>
      </c>
    </row>
    <row r="460">
      <c r="A460" s="4">
        <v>45051.69544418981</v>
      </c>
      <c r="B460" s="3" t="s">
        <v>2162</v>
      </c>
      <c r="C460" s="3" t="s">
        <v>3310</v>
      </c>
      <c r="D460" s="3" t="s">
        <v>358</v>
      </c>
      <c r="E460" s="6">
        <v>45047.0</v>
      </c>
      <c r="F460" s="33">
        <v>387000.0</v>
      </c>
      <c r="G460" s="3" t="s">
        <v>21</v>
      </c>
      <c r="H460" s="3" t="s">
        <v>22</v>
      </c>
      <c r="J460" s="1" t="s">
        <v>3311</v>
      </c>
      <c r="K460" s="3" t="s">
        <v>3312</v>
      </c>
      <c r="L460" s="3" t="s">
        <v>3313</v>
      </c>
      <c r="M460" s="3" t="s">
        <v>3314</v>
      </c>
      <c r="N460" s="3" t="s">
        <v>362</v>
      </c>
      <c r="O460" s="3" t="s">
        <v>2167</v>
      </c>
      <c r="Q460" s="3" t="s">
        <v>29</v>
      </c>
      <c r="S460" s="27" t="s">
        <v>3315</v>
      </c>
      <c r="T460" s="27">
        <f>IFERROR(__xludf.DUMMYFUNCTION("""COMPUTED_VALUE"""),1911.0)</f>
        <v>1911</v>
      </c>
      <c r="U460" s="1" t="s">
        <v>3316</v>
      </c>
    </row>
    <row r="461">
      <c r="A461" s="4">
        <v>45057.79871268518</v>
      </c>
      <c r="B461" s="3" t="s">
        <v>2934</v>
      </c>
      <c r="C461" s="3" t="s">
        <v>3317</v>
      </c>
      <c r="D461" s="3" t="s">
        <v>1049</v>
      </c>
      <c r="E461" s="6">
        <v>45057.0</v>
      </c>
      <c r="F461" s="28">
        <v>81108.0</v>
      </c>
      <c r="G461" s="3" t="s">
        <v>136</v>
      </c>
      <c r="H461" s="3" t="s">
        <v>22</v>
      </c>
      <c r="J461" s="1" t="s">
        <v>3318</v>
      </c>
      <c r="K461" s="3" t="s">
        <v>3319</v>
      </c>
      <c r="L461" s="3" t="s">
        <v>3320</v>
      </c>
      <c r="M461" s="3" t="s">
        <v>3321</v>
      </c>
      <c r="N461" s="3" t="s">
        <v>1054</v>
      </c>
      <c r="O461" s="3" t="s">
        <v>2939</v>
      </c>
      <c r="Q461" s="3" t="s">
        <v>29</v>
      </c>
      <c r="S461" s="27" t="s">
        <v>3322</v>
      </c>
      <c r="T461" s="27">
        <f>IFERROR(__xludf.DUMMYFUNCTION("""COMPUTED_VALUE"""),2011.0)</f>
        <v>2011</v>
      </c>
      <c r="U461" s="1" t="s">
        <v>3323</v>
      </c>
    </row>
    <row r="462">
      <c r="A462" s="4">
        <v>45061.609838344906</v>
      </c>
      <c r="B462" s="3" t="s">
        <v>3324</v>
      </c>
      <c r="C462" s="3" t="s">
        <v>3325</v>
      </c>
      <c r="D462" s="3" t="s">
        <v>358</v>
      </c>
      <c r="E462" s="6">
        <v>45047.0</v>
      </c>
      <c r="F462" s="33">
        <v>5565.0</v>
      </c>
      <c r="G462" s="3" t="s">
        <v>21</v>
      </c>
      <c r="H462" s="3" t="s">
        <v>22</v>
      </c>
      <c r="K462" s="3" t="s">
        <v>3326</v>
      </c>
      <c r="L462" s="3" t="s">
        <v>3327</v>
      </c>
      <c r="M462" s="3" t="s">
        <v>3328</v>
      </c>
      <c r="N462" s="3" t="s">
        <v>362</v>
      </c>
      <c r="O462" s="3" t="s">
        <v>3329</v>
      </c>
      <c r="Q462" s="3" t="s">
        <v>29</v>
      </c>
      <c r="S462" s="27" t="s">
        <v>3330</v>
      </c>
      <c r="T462" s="27">
        <f>IFERROR(__xludf.DUMMYFUNCTION("""COMPUTED_VALUE"""),2192.0)</f>
        <v>2192</v>
      </c>
      <c r="U462" s="1" t="s">
        <v>3331</v>
      </c>
    </row>
    <row r="463">
      <c r="A463" s="4">
        <v>45068.56444296296</v>
      </c>
      <c r="B463" s="3" t="s">
        <v>3332</v>
      </c>
      <c r="C463" s="3" t="s">
        <v>3325</v>
      </c>
      <c r="D463" s="3" t="s">
        <v>358</v>
      </c>
      <c r="E463" s="6">
        <v>45065.0</v>
      </c>
      <c r="F463" s="33">
        <v>7675.0</v>
      </c>
      <c r="G463" s="3" t="s">
        <v>21</v>
      </c>
      <c r="H463" s="3" t="s">
        <v>22</v>
      </c>
      <c r="I463" s="3" t="s">
        <v>1160</v>
      </c>
      <c r="K463" s="3" t="s">
        <v>3333</v>
      </c>
      <c r="L463" s="3" t="s">
        <v>3334</v>
      </c>
      <c r="M463" s="3" t="s">
        <v>3335</v>
      </c>
      <c r="N463" s="3" t="s">
        <v>362</v>
      </c>
      <c r="O463" s="3" t="s">
        <v>3336</v>
      </c>
      <c r="P463" s="3" t="s">
        <v>1163</v>
      </c>
      <c r="Q463" s="3" t="s">
        <v>1205</v>
      </c>
      <c r="S463" s="27" t="s">
        <v>3337</v>
      </c>
      <c r="T463" s="27">
        <f>IFERROR(__xludf.DUMMYFUNCTION("""COMPUTED_VALUE"""),2231.0)</f>
        <v>2231</v>
      </c>
      <c r="U463" s="1" t="s">
        <v>3338</v>
      </c>
    </row>
    <row r="464">
      <c r="A464" s="4">
        <v>45068.74306496528</v>
      </c>
      <c r="B464" s="3" t="s">
        <v>482</v>
      </c>
      <c r="C464" s="3" t="s">
        <v>3339</v>
      </c>
      <c r="D464" s="3" t="s">
        <v>1049</v>
      </c>
      <c r="E464" s="6">
        <v>45064.0</v>
      </c>
      <c r="F464" s="33">
        <v>800.0</v>
      </c>
      <c r="G464" s="3" t="s">
        <v>136</v>
      </c>
      <c r="H464" s="3" t="s">
        <v>22</v>
      </c>
      <c r="I464" s="3" t="s">
        <v>1137</v>
      </c>
      <c r="K464" s="3" t="s">
        <v>3340</v>
      </c>
      <c r="L464" s="3" t="s">
        <v>3341</v>
      </c>
      <c r="M464" s="3" t="s">
        <v>3342</v>
      </c>
      <c r="N464" s="3" t="s">
        <v>1054</v>
      </c>
      <c r="O464" s="3" t="s">
        <v>487</v>
      </c>
      <c r="P464" s="3" t="s">
        <v>1141</v>
      </c>
      <c r="Q464" s="3" t="s">
        <v>1205</v>
      </c>
      <c r="S464" s="27" t="s">
        <v>3343</v>
      </c>
      <c r="T464" s="27">
        <f>IFERROR(__xludf.DUMMYFUNCTION("""COMPUTED_VALUE"""),4.0)</f>
        <v>4</v>
      </c>
      <c r="U464" s="1" t="s">
        <v>3344</v>
      </c>
    </row>
    <row r="465">
      <c r="A465" s="4">
        <v>45069.50277993055</v>
      </c>
      <c r="B465" s="3" t="s">
        <v>3345</v>
      </c>
      <c r="C465" s="3" t="s">
        <v>3346</v>
      </c>
      <c r="D465" s="3" t="s">
        <v>20</v>
      </c>
      <c r="E465" s="6">
        <v>45063.0</v>
      </c>
      <c r="F465" s="33">
        <v>102560.0</v>
      </c>
      <c r="G465" s="3" t="s">
        <v>21</v>
      </c>
      <c r="H465" s="3" t="s">
        <v>22</v>
      </c>
      <c r="I465" s="3" t="s">
        <v>1116</v>
      </c>
      <c r="J465" s="1" t="s">
        <v>3347</v>
      </c>
      <c r="K465" s="3" t="s">
        <v>3348</v>
      </c>
      <c r="L465" s="3" t="s">
        <v>3349</v>
      </c>
      <c r="M465" s="3" t="s">
        <v>3350</v>
      </c>
      <c r="N465" s="3" t="s">
        <v>27</v>
      </c>
      <c r="O465" s="3" t="s">
        <v>3351</v>
      </c>
      <c r="P465" s="3" t="s">
        <v>1122</v>
      </c>
      <c r="Q465" s="3" t="s">
        <v>1205</v>
      </c>
      <c r="S465" s="27" t="s">
        <v>3352</v>
      </c>
      <c r="T465" s="27">
        <f>IFERROR(__xludf.DUMMYFUNCTION("""COMPUTED_VALUE"""),2227.0)</f>
        <v>2227</v>
      </c>
      <c r="U465" s="1" t="s">
        <v>3353</v>
      </c>
    </row>
    <row r="466">
      <c r="A466" s="4">
        <v>45075.51615347222</v>
      </c>
      <c r="B466" s="3" t="s">
        <v>393</v>
      </c>
      <c r="C466" s="3" t="s">
        <v>3354</v>
      </c>
      <c r="D466" s="3" t="s">
        <v>358</v>
      </c>
      <c r="E466" s="6">
        <v>45068.0</v>
      </c>
      <c r="F466" s="33">
        <v>2260.0</v>
      </c>
      <c r="G466" s="3" t="s">
        <v>21</v>
      </c>
      <c r="H466" s="3" t="s">
        <v>22</v>
      </c>
      <c r="K466" s="3" t="s">
        <v>3355</v>
      </c>
      <c r="L466" s="3" t="s">
        <v>3356</v>
      </c>
      <c r="M466" s="3" t="s">
        <v>3357</v>
      </c>
      <c r="N466" s="3" t="s">
        <v>362</v>
      </c>
      <c r="O466" s="3" t="s">
        <v>398</v>
      </c>
      <c r="Q466" s="3" t="s">
        <v>1205</v>
      </c>
      <c r="S466" s="27" t="s">
        <v>3358</v>
      </c>
      <c r="T466" s="27">
        <f>IFERROR(__xludf.DUMMYFUNCTION("""COMPUTED_VALUE"""),1148.0)</f>
        <v>1148</v>
      </c>
      <c r="U466" s="1" t="s">
        <v>3359</v>
      </c>
    </row>
    <row r="467">
      <c r="A467" s="4">
        <v>45085.56691334491</v>
      </c>
      <c r="B467" s="3" t="s">
        <v>3360</v>
      </c>
      <c r="C467" s="3" t="s">
        <v>3361</v>
      </c>
      <c r="D467" s="3" t="s">
        <v>358</v>
      </c>
      <c r="E467" s="6">
        <v>45083.0</v>
      </c>
      <c r="F467" s="33">
        <v>51640.0</v>
      </c>
      <c r="G467" s="3" t="s">
        <v>21</v>
      </c>
      <c r="H467" s="3" t="s">
        <v>22</v>
      </c>
      <c r="I467" s="3" t="s">
        <v>1160</v>
      </c>
      <c r="K467" s="3" t="s">
        <v>3362</v>
      </c>
      <c r="L467" s="3" t="s">
        <v>3363</v>
      </c>
      <c r="M467" s="3" t="s">
        <v>3364</v>
      </c>
      <c r="N467" s="3" t="s">
        <v>362</v>
      </c>
      <c r="O467" s="3" t="s">
        <v>3365</v>
      </c>
      <c r="P467" s="3" t="s">
        <v>1163</v>
      </c>
      <c r="Q467" s="3" t="s">
        <v>1205</v>
      </c>
      <c r="S467" s="27" t="s">
        <v>3366</v>
      </c>
      <c r="T467" s="27">
        <f>IFERROR(__xludf.DUMMYFUNCTION("""COMPUTED_VALUE"""),2204.0)</f>
        <v>2204</v>
      </c>
      <c r="U467" s="1" t="s">
        <v>3367</v>
      </c>
    </row>
    <row r="468">
      <c r="A468" s="4">
        <v>45100.56567498842</v>
      </c>
      <c r="B468" s="3" t="s">
        <v>3368</v>
      </c>
      <c r="C468" s="3" t="s">
        <v>3369</v>
      </c>
      <c r="D468" s="3" t="s">
        <v>20</v>
      </c>
      <c r="E468" s="6">
        <v>45091.0</v>
      </c>
      <c r="F468" s="33">
        <v>48750.0</v>
      </c>
      <c r="G468" s="3" t="s">
        <v>21</v>
      </c>
      <c r="H468" s="3" t="s">
        <v>22</v>
      </c>
      <c r="J468" s="1" t="s">
        <v>3370</v>
      </c>
      <c r="K468" s="3" t="s">
        <v>3371</v>
      </c>
      <c r="L468" s="3" t="s">
        <v>3372</v>
      </c>
      <c r="M468" s="3" t="s">
        <v>3373</v>
      </c>
      <c r="N468" s="3" t="s">
        <v>27</v>
      </c>
      <c r="O468" s="3" t="s">
        <v>3374</v>
      </c>
      <c r="Q468" s="3" t="s">
        <v>1205</v>
      </c>
      <c r="S468" s="27" t="s">
        <v>3375</v>
      </c>
      <c r="T468" s="27">
        <f>IFERROR(__xludf.DUMMYFUNCTION("""COMPUTED_VALUE"""),2211.0)</f>
        <v>2211</v>
      </c>
      <c r="U468" s="1" t="s">
        <v>3376</v>
      </c>
    </row>
    <row r="469">
      <c r="A469" s="4">
        <v>45100.56567498842</v>
      </c>
      <c r="B469" s="3" t="s">
        <v>516</v>
      </c>
      <c r="C469" s="3" t="s">
        <v>3377</v>
      </c>
      <c r="D469" s="3" t="s">
        <v>358</v>
      </c>
      <c r="E469" s="6">
        <v>45099.0</v>
      </c>
      <c r="F469" s="33">
        <v>25952.64</v>
      </c>
      <c r="G469" s="3" t="s">
        <v>136</v>
      </c>
      <c r="H469" s="3" t="s">
        <v>22</v>
      </c>
      <c r="J469" s="1" t="s">
        <v>1706</v>
      </c>
      <c r="K469" s="3" t="s">
        <v>3378</v>
      </c>
      <c r="L469" s="3" t="s">
        <v>3379</v>
      </c>
      <c r="M469" s="3" t="s">
        <v>3380</v>
      </c>
      <c r="N469" s="3" t="s">
        <v>362</v>
      </c>
      <c r="O469" s="3" t="s">
        <v>524</v>
      </c>
      <c r="Q469" s="3" t="s">
        <v>1205</v>
      </c>
      <c r="S469" s="27" t="s">
        <v>3381</v>
      </c>
      <c r="T469" s="27">
        <f>IFERROR(__xludf.DUMMYFUNCTION("""COMPUTED_VALUE"""),1371.0)</f>
        <v>1371</v>
      </c>
      <c r="U469" s="1" t="s">
        <v>3382</v>
      </c>
    </row>
    <row r="470">
      <c r="A470" s="4">
        <v>45102.03179715278</v>
      </c>
      <c r="B470" s="3" t="s">
        <v>3278</v>
      </c>
      <c r="C470" s="3" t="s">
        <v>3383</v>
      </c>
      <c r="D470" s="3" t="s">
        <v>358</v>
      </c>
      <c r="E470" s="6">
        <v>45078.0</v>
      </c>
      <c r="F470" s="33">
        <v>240000.0</v>
      </c>
      <c r="G470" s="3" t="s">
        <v>21</v>
      </c>
      <c r="H470" s="3" t="s">
        <v>22</v>
      </c>
      <c r="J470" s="1" t="s">
        <v>3384</v>
      </c>
      <c r="K470" s="3" t="s">
        <v>3385</v>
      </c>
      <c r="L470" s="3" t="s">
        <v>3386</v>
      </c>
      <c r="M470" s="3" t="s">
        <v>3387</v>
      </c>
      <c r="N470" s="3" t="s">
        <v>362</v>
      </c>
      <c r="O470" s="3" t="s">
        <v>3284</v>
      </c>
      <c r="Q470" s="3" t="s">
        <v>29</v>
      </c>
      <c r="S470" s="27" t="s">
        <v>3388</v>
      </c>
      <c r="T470" s="27">
        <f>IFERROR(__xludf.DUMMYFUNCTION("""COMPUTED_VALUE"""),2176.0)</f>
        <v>2176</v>
      </c>
      <c r="U470" s="1" t="s">
        <v>3389</v>
      </c>
    </row>
    <row r="471">
      <c r="A471" s="4">
        <v>45103.535337650464</v>
      </c>
      <c r="B471" s="3" t="s">
        <v>2934</v>
      </c>
      <c r="C471" s="3" t="s">
        <v>3390</v>
      </c>
      <c r="D471" s="3" t="s">
        <v>358</v>
      </c>
      <c r="E471" s="6">
        <v>45078.0</v>
      </c>
      <c r="F471" s="28">
        <v>188915.32</v>
      </c>
      <c r="G471" s="3" t="s">
        <v>21</v>
      </c>
      <c r="H471" s="3" t="s">
        <v>22</v>
      </c>
      <c r="J471" s="1" t="s">
        <v>3391</v>
      </c>
      <c r="K471" s="3" t="s">
        <v>3392</v>
      </c>
      <c r="L471" s="3" t="s">
        <v>3393</v>
      </c>
      <c r="M471" s="3" t="s">
        <v>3394</v>
      </c>
      <c r="N471" s="3" t="s">
        <v>362</v>
      </c>
      <c r="O471" s="3" t="s">
        <v>2939</v>
      </c>
      <c r="Q471" s="3" t="s">
        <v>29</v>
      </c>
      <c r="S471" s="27" t="s">
        <v>3395</v>
      </c>
      <c r="T471" s="27">
        <f>IFERROR(__xludf.DUMMYFUNCTION("""COMPUTED_VALUE"""),2011.0)</f>
        <v>2011</v>
      </c>
      <c r="U471" s="1" t="s">
        <v>3396</v>
      </c>
    </row>
    <row r="472">
      <c r="A472" s="4">
        <v>45104.58061337963</v>
      </c>
      <c r="B472" s="3" t="s">
        <v>1253</v>
      </c>
      <c r="C472" s="3" t="s">
        <v>3397</v>
      </c>
      <c r="D472" s="3" t="s">
        <v>358</v>
      </c>
      <c r="E472" s="6">
        <v>45062.0</v>
      </c>
      <c r="F472" s="33">
        <v>7000.0</v>
      </c>
      <c r="G472" s="3" t="s">
        <v>21</v>
      </c>
      <c r="H472" s="3" t="s">
        <v>22</v>
      </c>
      <c r="K472" s="3" t="s">
        <v>3398</v>
      </c>
      <c r="L472" s="3" t="s">
        <v>3399</v>
      </c>
      <c r="M472" s="3" t="s">
        <v>3400</v>
      </c>
      <c r="N472" s="3" t="s">
        <v>362</v>
      </c>
      <c r="O472" s="3" t="s">
        <v>1259</v>
      </c>
      <c r="Q472" s="3" t="s">
        <v>1205</v>
      </c>
      <c r="S472" s="27" t="s">
        <v>3401</v>
      </c>
      <c r="T472" s="27">
        <f>IFERROR(__xludf.DUMMYFUNCTION("""COMPUTED_VALUE"""),1529.0)</f>
        <v>1529</v>
      </c>
      <c r="U472" s="1" t="s">
        <v>3402</v>
      </c>
    </row>
    <row r="473">
      <c r="A473" s="4">
        <v>45104.60246846065</v>
      </c>
      <c r="B473" s="3" t="s">
        <v>3403</v>
      </c>
      <c r="C473" s="3" t="s">
        <v>3404</v>
      </c>
      <c r="D473" s="3" t="s">
        <v>358</v>
      </c>
      <c r="E473" s="6">
        <v>45078.0</v>
      </c>
      <c r="F473" s="33">
        <v>18884.0</v>
      </c>
      <c r="G473" s="3" t="s">
        <v>21</v>
      </c>
      <c r="H473" s="3" t="s">
        <v>22</v>
      </c>
      <c r="J473" s="1" t="s">
        <v>3405</v>
      </c>
      <c r="K473" s="3" t="s">
        <v>3406</v>
      </c>
      <c r="L473" s="3" t="s">
        <v>3407</v>
      </c>
      <c r="M473" s="3" t="s">
        <v>3408</v>
      </c>
      <c r="N473" s="3" t="s">
        <v>362</v>
      </c>
      <c r="O473" s="3" t="s">
        <v>3409</v>
      </c>
      <c r="Q473" s="3" t="s">
        <v>1205</v>
      </c>
      <c r="S473" s="27" t="s">
        <v>3410</v>
      </c>
      <c r="T473" s="27">
        <f>IFERROR(__xludf.DUMMYFUNCTION("""COMPUTED_VALUE"""),2185.0)</f>
        <v>2185</v>
      </c>
      <c r="U473" s="1" t="s">
        <v>3411</v>
      </c>
    </row>
    <row r="474">
      <c r="A474" s="4">
        <v>45106.61362478009</v>
      </c>
      <c r="B474" s="3" t="s">
        <v>1821</v>
      </c>
      <c r="C474" s="3" t="s">
        <v>3412</v>
      </c>
      <c r="D474" s="3" t="s">
        <v>1049</v>
      </c>
      <c r="E474" s="6">
        <v>45104.0</v>
      </c>
      <c r="F474" s="33">
        <v>500.0</v>
      </c>
      <c r="G474" s="3" t="s">
        <v>136</v>
      </c>
      <c r="H474" s="3" t="s">
        <v>22</v>
      </c>
      <c r="K474" s="3" t="s">
        <v>3413</v>
      </c>
      <c r="L474" s="3" t="s">
        <v>3414</v>
      </c>
      <c r="M474" s="3" t="s">
        <v>3415</v>
      </c>
      <c r="N474" s="3" t="s">
        <v>1054</v>
      </c>
      <c r="O474" s="3" t="s">
        <v>1827</v>
      </c>
      <c r="Q474" s="3" t="s">
        <v>1205</v>
      </c>
      <c r="S474" s="27" t="s">
        <v>3416</v>
      </c>
      <c r="T474" s="27">
        <f>IFERROR(__xludf.DUMMYFUNCTION("""COMPUTED_VALUE"""),1707.0)</f>
        <v>1707</v>
      </c>
      <c r="U474" s="1" t="s">
        <v>3417</v>
      </c>
    </row>
    <row r="475">
      <c r="A475" s="4">
        <v>45113.47861943287</v>
      </c>
      <c r="B475" s="3" t="s">
        <v>3278</v>
      </c>
      <c r="C475" s="3" t="s">
        <v>3418</v>
      </c>
      <c r="D475" s="3" t="s">
        <v>20</v>
      </c>
      <c r="E475" s="6">
        <v>45099.0</v>
      </c>
      <c r="F475" s="33">
        <v>246098.6</v>
      </c>
      <c r="G475" s="3" t="s">
        <v>21</v>
      </c>
      <c r="H475" s="3" t="s">
        <v>22</v>
      </c>
      <c r="J475" s="3" t="s">
        <v>3280</v>
      </c>
      <c r="K475" s="3" t="s">
        <v>3419</v>
      </c>
      <c r="L475" s="3" t="s">
        <v>3420</v>
      </c>
      <c r="M475" s="3" t="s">
        <v>3421</v>
      </c>
      <c r="N475" s="3" t="s">
        <v>27</v>
      </c>
      <c r="O475" s="3" t="s">
        <v>3284</v>
      </c>
      <c r="Q475" s="3" t="s">
        <v>1205</v>
      </c>
      <c r="R475" s="3" t="b">
        <v>1</v>
      </c>
      <c r="S475" s="27" t="s">
        <v>3422</v>
      </c>
      <c r="T475" s="27">
        <f>IFERROR(__xludf.DUMMYFUNCTION("""COMPUTED_VALUE"""),2176.0)</f>
        <v>2176</v>
      </c>
      <c r="U475" s="1" t="s">
        <v>3423</v>
      </c>
    </row>
    <row r="476">
      <c r="A476" s="4">
        <v>45114.64176313658</v>
      </c>
      <c r="B476" s="3" t="s">
        <v>393</v>
      </c>
      <c r="C476" s="3" t="s">
        <v>3424</v>
      </c>
      <c r="D476" s="3" t="s">
        <v>20</v>
      </c>
      <c r="E476" s="6">
        <v>45108.0</v>
      </c>
      <c r="F476" s="33">
        <v>50000.0</v>
      </c>
      <c r="G476" s="3" t="s">
        <v>21</v>
      </c>
      <c r="H476" s="3" t="s">
        <v>22</v>
      </c>
      <c r="J476" s="1" t="s">
        <v>2279</v>
      </c>
      <c r="K476" s="3" t="s">
        <v>3425</v>
      </c>
      <c r="L476" s="3" t="s">
        <v>3426</v>
      </c>
      <c r="M476" s="3" t="s">
        <v>3427</v>
      </c>
      <c r="N476" s="3" t="s">
        <v>27</v>
      </c>
      <c r="O476" s="3" t="s">
        <v>398</v>
      </c>
      <c r="Q476" s="3" t="s">
        <v>29</v>
      </c>
      <c r="S476" s="27" t="s">
        <v>3428</v>
      </c>
      <c r="T476" s="27">
        <f>IFERROR(__xludf.DUMMYFUNCTION("""COMPUTED_VALUE"""),1148.0)</f>
        <v>1148</v>
      </c>
      <c r="U476" s="1" t="s">
        <v>3429</v>
      </c>
    </row>
    <row r="477">
      <c r="A477" s="4">
        <v>45114.79175263889</v>
      </c>
      <c r="B477" s="3" t="s">
        <v>3170</v>
      </c>
      <c r="C477" s="3" t="s">
        <v>3171</v>
      </c>
      <c r="D477" s="3" t="s">
        <v>20</v>
      </c>
      <c r="E477" s="6">
        <v>45110.0</v>
      </c>
      <c r="F477" s="33">
        <v>43500.0</v>
      </c>
      <c r="G477" s="3" t="s">
        <v>21</v>
      </c>
      <c r="H477" s="3" t="s">
        <v>22</v>
      </c>
      <c r="K477" s="3" t="s">
        <v>3430</v>
      </c>
      <c r="L477" s="3" t="s">
        <v>3431</v>
      </c>
      <c r="M477" s="3" t="s">
        <v>3174</v>
      </c>
      <c r="N477" s="3" t="s">
        <v>27</v>
      </c>
      <c r="O477" s="3" t="s">
        <v>3175</v>
      </c>
      <c r="Q477" s="3" t="s">
        <v>1205</v>
      </c>
      <c r="S477" s="27" t="s">
        <v>3432</v>
      </c>
      <c r="T477" s="27">
        <f>IFERROR(__xludf.DUMMYFUNCTION("""COMPUTED_VALUE"""),2237.0)</f>
        <v>2237</v>
      </c>
      <c r="U477" s="1" t="s">
        <v>3433</v>
      </c>
    </row>
    <row r="478">
      <c r="A478" s="4">
        <v>45124.703817511574</v>
      </c>
      <c r="B478" s="3" t="s">
        <v>3434</v>
      </c>
      <c r="C478" s="3" t="s">
        <v>3435</v>
      </c>
      <c r="D478" s="3" t="s">
        <v>20</v>
      </c>
      <c r="E478" s="6">
        <v>45124.0</v>
      </c>
      <c r="F478" s="33">
        <v>34270.0</v>
      </c>
      <c r="G478" s="3" t="s">
        <v>21</v>
      </c>
      <c r="H478" s="3" t="s">
        <v>22</v>
      </c>
      <c r="I478" s="3" t="s">
        <v>3436</v>
      </c>
      <c r="J478" s="3" t="s">
        <v>3437</v>
      </c>
      <c r="K478" s="3" t="s">
        <v>3438</v>
      </c>
      <c r="L478" s="3" t="s">
        <v>3439</v>
      </c>
      <c r="M478" s="3" t="s">
        <v>3440</v>
      </c>
      <c r="N478" s="3" t="s">
        <v>27</v>
      </c>
      <c r="O478" s="3" t="s">
        <v>3441</v>
      </c>
      <c r="P478" s="3" t="s">
        <v>3442</v>
      </c>
      <c r="Q478" s="3" t="s">
        <v>1205</v>
      </c>
      <c r="S478" s="27" t="s">
        <v>3443</v>
      </c>
      <c r="T478" s="27">
        <f>IFERROR(__xludf.DUMMYFUNCTION("""COMPUTED_VALUE"""),2241.0)</f>
        <v>2241</v>
      </c>
      <c r="U478" s="1" t="s">
        <v>3444</v>
      </c>
    </row>
    <row r="479">
      <c r="A479" s="4">
        <v>45135.59032163194</v>
      </c>
      <c r="B479" s="3" t="s">
        <v>1012</v>
      </c>
      <c r="C479" s="3" t="s">
        <v>3445</v>
      </c>
      <c r="D479" s="3" t="s">
        <v>358</v>
      </c>
      <c r="E479" s="6">
        <v>45121.0</v>
      </c>
      <c r="F479" s="33">
        <v>7890.0</v>
      </c>
      <c r="G479" s="3" t="s">
        <v>21</v>
      </c>
      <c r="H479" s="3" t="s">
        <v>22</v>
      </c>
      <c r="K479" s="3" t="s">
        <v>3446</v>
      </c>
      <c r="L479" s="3" t="s">
        <v>3447</v>
      </c>
      <c r="M479" s="3" t="s">
        <v>3448</v>
      </c>
      <c r="N479" s="3" t="s">
        <v>362</v>
      </c>
      <c r="O479" s="3" t="s">
        <v>1017</v>
      </c>
      <c r="Q479" s="3" t="s">
        <v>1205</v>
      </c>
      <c r="S479" s="27" t="s">
        <v>3449</v>
      </c>
      <c r="T479" s="27">
        <f>IFERROR(__xludf.DUMMYFUNCTION("""COMPUTED_VALUE"""),1468.0)</f>
        <v>1468</v>
      </c>
      <c r="U479" s="1" t="s">
        <v>3450</v>
      </c>
    </row>
    <row r="480">
      <c r="A480" s="4">
        <v>45145.67955541667</v>
      </c>
      <c r="B480" s="3" t="s">
        <v>2934</v>
      </c>
      <c r="C480" s="3" t="s">
        <v>3451</v>
      </c>
      <c r="D480" s="3" t="s">
        <v>358</v>
      </c>
      <c r="E480" s="6">
        <v>45141.0</v>
      </c>
      <c r="F480" s="28">
        <v>33755.0</v>
      </c>
      <c r="G480" s="3" t="s">
        <v>350</v>
      </c>
      <c r="H480" s="3" t="s">
        <v>22</v>
      </c>
      <c r="I480" s="3" t="s">
        <v>1160</v>
      </c>
      <c r="K480" s="3" t="s">
        <v>3452</v>
      </c>
      <c r="L480" s="3" t="s">
        <v>3453</v>
      </c>
      <c r="M480" s="3" t="s">
        <v>3454</v>
      </c>
      <c r="N480" s="3" t="s">
        <v>362</v>
      </c>
      <c r="O480" s="3" t="s">
        <v>2939</v>
      </c>
      <c r="P480" s="3" t="s">
        <v>1163</v>
      </c>
      <c r="Q480" s="3" t="s">
        <v>1205</v>
      </c>
      <c r="S480" s="27" t="s">
        <v>3455</v>
      </c>
      <c r="T480" s="27">
        <f>IFERROR(__xludf.DUMMYFUNCTION("""COMPUTED_VALUE"""),2011.0)</f>
        <v>2011</v>
      </c>
      <c r="U480" s="1" t="s">
        <v>3456</v>
      </c>
    </row>
    <row r="481">
      <c r="A481" s="4">
        <v>45147.67258140046</v>
      </c>
      <c r="B481" s="3" t="s">
        <v>3457</v>
      </c>
      <c r="C481" s="3" t="s">
        <v>3458</v>
      </c>
      <c r="D481" s="3" t="s">
        <v>358</v>
      </c>
      <c r="E481" s="6">
        <v>45127.0</v>
      </c>
      <c r="F481" s="33">
        <v>13035.0</v>
      </c>
      <c r="G481" s="3" t="s">
        <v>21</v>
      </c>
      <c r="H481" s="3" t="s">
        <v>22</v>
      </c>
      <c r="I481" s="3" t="s">
        <v>1160</v>
      </c>
      <c r="K481" s="3" t="s">
        <v>3459</v>
      </c>
      <c r="L481" s="3" t="s">
        <v>3460</v>
      </c>
      <c r="M481" s="3" t="s">
        <v>3461</v>
      </c>
      <c r="N481" s="3" t="s">
        <v>362</v>
      </c>
      <c r="O481" s="3" t="s">
        <v>3462</v>
      </c>
      <c r="P481" s="3" t="s">
        <v>1163</v>
      </c>
      <c r="Q481" s="3" t="s">
        <v>1205</v>
      </c>
      <c r="S481" s="27" t="s">
        <v>3463</v>
      </c>
      <c r="T481" s="27">
        <f>IFERROR(__xludf.DUMMYFUNCTION("""COMPUTED_VALUE"""),2251.0)</f>
        <v>2251</v>
      </c>
      <c r="U481" s="1" t="s">
        <v>3464</v>
      </c>
    </row>
    <row r="482">
      <c r="A482" s="4">
        <v>45147.74462012731</v>
      </c>
      <c r="B482" s="3" t="s">
        <v>516</v>
      </c>
      <c r="C482" s="3" t="s">
        <v>3465</v>
      </c>
      <c r="D482" s="3" t="s">
        <v>358</v>
      </c>
      <c r="E482" s="6">
        <v>45145.0</v>
      </c>
      <c r="F482" s="33">
        <v>51447.0</v>
      </c>
      <c r="G482" s="3" t="s">
        <v>21</v>
      </c>
      <c r="H482" s="3" t="s">
        <v>22</v>
      </c>
      <c r="K482" s="3" t="s">
        <v>3466</v>
      </c>
      <c r="L482" s="3" t="s">
        <v>3467</v>
      </c>
      <c r="M482" s="3" t="s">
        <v>3468</v>
      </c>
      <c r="N482" s="3" t="s">
        <v>362</v>
      </c>
      <c r="O482" s="3" t="s">
        <v>524</v>
      </c>
      <c r="Q482" s="3" t="s">
        <v>1205</v>
      </c>
      <c r="S482" s="27" t="s">
        <v>3469</v>
      </c>
      <c r="T482" s="27">
        <f>IFERROR(__xludf.DUMMYFUNCTION("""COMPUTED_VALUE"""),1371.0)</f>
        <v>1371</v>
      </c>
      <c r="U482" s="1" t="s">
        <v>3470</v>
      </c>
    </row>
    <row r="483">
      <c r="A483" s="4">
        <v>45148.70028319444</v>
      </c>
      <c r="B483" s="3" t="s">
        <v>1165</v>
      </c>
      <c r="C483" s="3" t="s">
        <v>3471</v>
      </c>
      <c r="D483" s="3" t="s">
        <v>756</v>
      </c>
      <c r="E483" s="6">
        <v>45007.0</v>
      </c>
      <c r="F483" s="33">
        <v>540.0</v>
      </c>
      <c r="G483" s="3" t="s">
        <v>21</v>
      </c>
      <c r="H483" s="3" t="s">
        <v>22</v>
      </c>
      <c r="K483" s="3" t="s">
        <v>3472</v>
      </c>
      <c r="L483" s="3" t="s">
        <v>3473</v>
      </c>
      <c r="M483" s="3" t="s">
        <v>3474</v>
      </c>
      <c r="N483" s="3" t="s">
        <v>760</v>
      </c>
      <c r="O483" s="3" t="s">
        <v>1171</v>
      </c>
      <c r="Q483" s="3" t="s">
        <v>1205</v>
      </c>
      <c r="S483" s="27" t="s">
        <v>3475</v>
      </c>
      <c r="T483" s="27">
        <f>IFERROR(__xludf.DUMMYFUNCTION("""COMPUTED_VALUE"""),1167.0)</f>
        <v>1167</v>
      </c>
      <c r="U483" s="1" t="s">
        <v>3476</v>
      </c>
    </row>
    <row r="484">
      <c r="A484" s="4">
        <v>45154.52826796296</v>
      </c>
      <c r="B484" s="3" t="s">
        <v>482</v>
      </c>
      <c r="C484" s="3" t="s">
        <v>3477</v>
      </c>
      <c r="D484" s="3" t="s">
        <v>358</v>
      </c>
      <c r="E484" s="6">
        <v>45152.0</v>
      </c>
      <c r="F484" s="33">
        <v>25200.0</v>
      </c>
      <c r="G484" s="3" t="s">
        <v>350</v>
      </c>
      <c r="H484" s="3" t="s">
        <v>22</v>
      </c>
      <c r="I484" s="3" t="s">
        <v>1137</v>
      </c>
      <c r="K484" s="3" t="s">
        <v>3478</v>
      </c>
      <c r="L484" s="3" t="s">
        <v>3479</v>
      </c>
      <c r="M484" s="3" t="s">
        <v>3480</v>
      </c>
      <c r="N484" s="3" t="s">
        <v>362</v>
      </c>
      <c r="O484" s="3" t="s">
        <v>487</v>
      </c>
      <c r="P484" s="3" t="s">
        <v>1141</v>
      </c>
      <c r="Q484" s="3" t="s">
        <v>1205</v>
      </c>
      <c r="S484" s="27" t="s">
        <v>3481</v>
      </c>
      <c r="T484" s="27">
        <f>IFERROR(__xludf.DUMMYFUNCTION("""COMPUTED_VALUE"""),4.0)</f>
        <v>4</v>
      </c>
      <c r="U484" s="1" t="s">
        <v>3482</v>
      </c>
    </row>
    <row r="485">
      <c r="A485" s="4">
        <v>45154.62092017361</v>
      </c>
      <c r="B485" s="3" t="s">
        <v>2934</v>
      </c>
      <c r="C485" s="3" t="s">
        <v>3483</v>
      </c>
      <c r="D485" s="3" t="s">
        <v>358</v>
      </c>
      <c r="E485" s="6">
        <v>45154.0</v>
      </c>
      <c r="F485" s="28">
        <v>57722.9</v>
      </c>
      <c r="G485" s="3" t="s">
        <v>21</v>
      </c>
      <c r="H485" s="3" t="s">
        <v>22</v>
      </c>
      <c r="J485" s="1" t="s">
        <v>3484</v>
      </c>
      <c r="K485" s="3" t="s">
        <v>3485</v>
      </c>
      <c r="L485" s="3" t="s">
        <v>3486</v>
      </c>
      <c r="M485" s="3" t="s">
        <v>3487</v>
      </c>
      <c r="N485" s="3" t="s">
        <v>362</v>
      </c>
      <c r="O485" s="3" t="s">
        <v>2939</v>
      </c>
      <c r="Q485" s="3" t="s">
        <v>1205</v>
      </c>
      <c r="S485" s="27" t="s">
        <v>3488</v>
      </c>
      <c r="T485" s="27">
        <f>IFERROR(__xludf.DUMMYFUNCTION("""COMPUTED_VALUE"""),2011.0)</f>
        <v>2011</v>
      </c>
      <c r="U485" s="1" t="s">
        <v>3489</v>
      </c>
    </row>
    <row r="486">
      <c r="A486" s="4">
        <v>45155.66867092592</v>
      </c>
      <c r="B486" s="3" t="s">
        <v>3490</v>
      </c>
      <c r="C486" s="3" t="s">
        <v>3491</v>
      </c>
      <c r="D486" s="3" t="s">
        <v>358</v>
      </c>
      <c r="E486" s="6">
        <v>45147.0</v>
      </c>
      <c r="F486" s="33">
        <v>3630.0</v>
      </c>
      <c r="G486" s="3" t="s">
        <v>21</v>
      </c>
      <c r="H486" s="3" t="s">
        <v>22</v>
      </c>
      <c r="I486" s="3" t="s">
        <v>1625</v>
      </c>
      <c r="K486" s="3" t="s">
        <v>3492</v>
      </c>
      <c r="L486" s="3" t="s">
        <v>3493</v>
      </c>
      <c r="M486" s="3" t="s">
        <v>3494</v>
      </c>
      <c r="N486" s="3" t="s">
        <v>362</v>
      </c>
      <c r="O486" s="3" t="s">
        <v>3495</v>
      </c>
      <c r="P486" s="3" t="s">
        <v>1631</v>
      </c>
      <c r="Q486" s="3" t="s">
        <v>1205</v>
      </c>
      <c r="S486" s="27" t="s">
        <v>3496</v>
      </c>
      <c r="T486" s="27"/>
      <c r="U486" s="1" t="s">
        <v>3497</v>
      </c>
    </row>
    <row r="487">
      <c r="A487" s="4">
        <v>45156.56178674768</v>
      </c>
      <c r="B487" s="3" t="s">
        <v>3196</v>
      </c>
      <c r="C487" s="3" t="s">
        <v>3498</v>
      </c>
      <c r="D487" s="3" t="s">
        <v>20</v>
      </c>
      <c r="E487" s="6">
        <v>45149.0</v>
      </c>
      <c r="F487" s="33">
        <v>549980.0</v>
      </c>
      <c r="G487" s="3" t="s">
        <v>21</v>
      </c>
      <c r="H487" s="3" t="s">
        <v>22</v>
      </c>
      <c r="J487" s="1" t="s">
        <v>3499</v>
      </c>
      <c r="K487" s="3" t="s">
        <v>3500</v>
      </c>
      <c r="L487" s="3" t="s">
        <v>3501</v>
      </c>
      <c r="M487" s="3" t="s">
        <v>3502</v>
      </c>
      <c r="N487" s="3" t="s">
        <v>27</v>
      </c>
      <c r="O487" s="3" t="s">
        <v>1284</v>
      </c>
      <c r="Q487" s="3" t="s">
        <v>1205</v>
      </c>
      <c r="S487" s="27" t="s">
        <v>3503</v>
      </c>
      <c r="T487" s="27">
        <f>IFERROR(__xludf.DUMMYFUNCTION("""COMPUTED_VALUE"""),1559.0)</f>
        <v>1559</v>
      </c>
      <c r="U487" s="1" t="s">
        <v>3504</v>
      </c>
    </row>
    <row r="488">
      <c r="A488" s="4">
        <v>45156.56178674768</v>
      </c>
      <c r="B488" s="3" t="s">
        <v>386</v>
      </c>
      <c r="C488" s="3" t="s">
        <v>3505</v>
      </c>
      <c r="D488" s="3" t="s">
        <v>20</v>
      </c>
      <c r="E488" s="6">
        <v>45036.0</v>
      </c>
      <c r="F488" s="33">
        <v>10500.0</v>
      </c>
      <c r="G488" s="3" t="s">
        <v>21</v>
      </c>
      <c r="H488" s="3" t="s">
        <v>22</v>
      </c>
      <c r="K488" s="3" t="s">
        <v>3506</v>
      </c>
      <c r="L488" s="3" t="s">
        <v>3507</v>
      </c>
      <c r="M488" s="3" t="s">
        <v>3508</v>
      </c>
      <c r="N488" s="3" t="s">
        <v>27</v>
      </c>
      <c r="O488" s="3" t="s">
        <v>391</v>
      </c>
      <c r="Q488" s="3" t="s">
        <v>1205</v>
      </c>
      <c r="S488" s="27" t="s">
        <v>3509</v>
      </c>
      <c r="T488" s="27">
        <f>IFERROR(__xludf.DUMMYFUNCTION("""COMPUTED_VALUE"""),998.0)</f>
        <v>998</v>
      </c>
      <c r="U488" s="1" t="s">
        <v>3510</v>
      </c>
    </row>
    <row r="489">
      <c r="A489" s="4">
        <v>45156.56178674768</v>
      </c>
      <c r="B489" s="3" t="s">
        <v>242</v>
      </c>
      <c r="C489" s="3" t="s">
        <v>3511</v>
      </c>
      <c r="D489" s="3" t="s">
        <v>20</v>
      </c>
      <c r="E489" s="6">
        <v>45057.0</v>
      </c>
      <c r="F489" s="33">
        <v>15750.0</v>
      </c>
      <c r="G489" s="3" t="s">
        <v>21</v>
      </c>
      <c r="H489" s="3" t="s">
        <v>22</v>
      </c>
      <c r="K489" s="3" t="s">
        <v>3512</v>
      </c>
      <c r="L489" s="3" t="s">
        <v>3513</v>
      </c>
      <c r="M489" s="3" t="s">
        <v>3514</v>
      </c>
      <c r="N489" s="3" t="s">
        <v>27</v>
      </c>
      <c r="O489" s="3" t="s">
        <v>248</v>
      </c>
      <c r="Q489" s="3" t="s">
        <v>1205</v>
      </c>
      <c r="S489" s="27" t="s">
        <v>3515</v>
      </c>
      <c r="T489" s="27">
        <f>IFERROR(__xludf.DUMMYFUNCTION("""COMPUTED_VALUE"""),773.0)</f>
        <v>773</v>
      </c>
      <c r="U489" s="1" t="s">
        <v>3516</v>
      </c>
    </row>
    <row r="490">
      <c r="A490" s="4">
        <v>45156.5930078588</v>
      </c>
      <c r="B490" s="3" t="s">
        <v>3517</v>
      </c>
      <c r="C490" s="3" t="s">
        <v>3518</v>
      </c>
      <c r="D490" s="3" t="s">
        <v>358</v>
      </c>
      <c r="E490" s="6">
        <v>45118.0</v>
      </c>
      <c r="F490" s="33">
        <v>48825.0</v>
      </c>
      <c r="G490" s="3" t="s">
        <v>21</v>
      </c>
      <c r="H490" s="3" t="s">
        <v>22</v>
      </c>
      <c r="J490" s="1" t="s">
        <v>3519</v>
      </c>
      <c r="K490" s="3" t="s">
        <v>3520</v>
      </c>
      <c r="L490" s="3" t="s">
        <v>3521</v>
      </c>
      <c r="M490" s="3" t="s">
        <v>3522</v>
      </c>
      <c r="N490" s="3" t="s">
        <v>362</v>
      </c>
      <c r="O490" s="3" t="s">
        <v>3523</v>
      </c>
      <c r="Q490" s="3" t="s">
        <v>1205</v>
      </c>
      <c r="S490" s="27" t="s">
        <v>3524</v>
      </c>
      <c r="T490" s="27">
        <f>IFERROR(__xludf.DUMMYFUNCTION("""COMPUTED_VALUE"""),2223.0)</f>
        <v>2223</v>
      </c>
      <c r="U490" s="1" t="s">
        <v>3525</v>
      </c>
    </row>
    <row r="491">
      <c r="A491" s="4">
        <v>45156.5930078588</v>
      </c>
      <c r="B491" s="3" t="s">
        <v>3517</v>
      </c>
      <c r="C491" s="3" t="s">
        <v>3526</v>
      </c>
      <c r="D491" s="3" t="s">
        <v>358</v>
      </c>
      <c r="E491" s="6">
        <v>45119.0</v>
      </c>
      <c r="F491" s="33">
        <v>23580.0</v>
      </c>
      <c r="G491" s="3" t="s">
        <v>21</v>
      </c>
      <c r="H491" s="3" t="s">
        <v>22</v>
      </c>
      <c r="J491" s="3" t="s">
        <v>3519</v>
      </c>
      <c r="K491" s="3" t="s">
        <v>3527</v>
      </c>
      <c r="L491" s="3" t="s">
        <v>3528</v>
      </c>
      <c r="M491" s="3" t="s">
        <v>3529</v>
      </c>
      <c r="N491" s="3" t="s">
        <v>362</v>
      </c>
      <c r="O491" s="3" t="s">
        <v>3523</v>
      </c>
      <c r="Q491" s="3" t="s">
        <v>1205</v>
      </c>
      <c r="S491" s="27" t="s">
        <v>3530</v>
      </c>
      <c r="T491" s="27">
        <f>IFERROR(__xludf.DUMMYFUNCTION("""COMPUTED_VALUE"""),2223.0)</f>
        <v>2223</v>
      </c>
      <c r="U491" s="1" t="s">
        <v>3531</v>
      </c>
    </row>
    <row r="492">
      <c r="A492" s="4">
        <v>45156.60978840278</v>
      </c>
      <c r="B492" s="3" t="s">
        <v>3532</v>
      </c>
      <c r="C492" s="3" t="s">
        <v>3533</v>
      </c>
      <c r="D492" s="3" t="s">
        <v>358</v>
      </c>
      <c r="E492" s="6">
        <v>45155.0</v>
      </c>
      <c r="F492" s="33">
        <v>2870.0</v>
      </c>
      <c r="G492" s="3" t="s">
        <v>136</v>
      </c>
      <c r="H492" s="3" t="s">
        <v>22</v>
      </c>
      <c r="I492" s="3" t="s">
        <v>1145</v>
      </c>
      <c r="K492" s="3" t="s">
        <v>3534</v>
      </c>
      <c r="L492" s="3" t="s">
        <v>3535</v>
      </c>
      <c r="M492" s="3" t="s">
        <v>3536</v>
      </c>
      <c r="N492" s="3" t="s">
        <v>362</v>
      </c>
      <c r="O492" s="3" t="s">
        <v>3537</v>
      </c>
      <c r="P492" s="3" t="s">
        <v>1150</v>
      </c>
      <c r="Q492" s="3" t="s">
        <v>1205</v>
      </c>
      <c r="S492" s="27" t="s">
        <v>3538</v>
      </c>
      <c r="T492" s="27">
        <f>IFERROR(__xludf.DUMMYFUNCTION("""COMPUTED_VALUE"""),2264.0)</f>
        <v>2264</v>
      </c>
      <c r="U492" s="1" t="s">
        <v>3539</v>
      </c>
    </row>
    <row r="493">
      <c r="A493" s="4">
        <v>45156.62697237269</v>
      </c>
      <c r="B493" s="3" t="s">
        <v>3517</v>
      </c>
      <c r="C493" s="3" t="s">
        <v>3540</v>
      </c>
      <c r="D493" s="3" t="s">
        <v>20</v>
      </c>
      <c r="E493" s="6">
        <v>45119.0</v>
      </c>
      <c r="F493" s="33">
        <v>22490.0</v>
      </c>
      <c r="G493" s="3" t="s">
        <v>21</v>
      </c>
      <c r="H493" s="3" t="s">
        <v>22</v>
      </c>
      <c r="J493" s="1" t="s">
        <v>3541</v>
      </c>
      <c r="K493" s="3" t="s">
        <v>3542</v>
      </c>
      <c r="L493" s="3" t="s">
        <v>3543</v>
      </c>
      <c r="M493" s="3" t="s">
        <v>3544</v>
      </c>
      <c r="N493" s="3" t="s">
        <v>27</v>
      </c>
      <c r="O493" s="3" t="s">
        <v>3523</v>
      </c>
      <c r="Q493" s="3" t="s">
        <v>1205</v>
      </c>
      <c r="S493" s="27" t="s">
        <v>3545</v>
      </c>
      <c r="T493" s="27">
        <f>IFERROR(__xludf.DUMMYFUNCTION("""COMPUTED_VALUE"""),2223.0)</f>
        <v>2223</v>
      </c>
      <c r="U493" s="1" t="s">
        <v>3546</v>
      </c>
    </row>
    <row r="494">
      <c r="A494" s="4">
        <v>45168.65158952546</v>
      </c>
      <c r="B494" s="3" t="s">
        <v>3547</v>
      </c>
      <c r="C494" s="3" t="s">
        <v>3548</v>
      </c>
      <c r="D494" s="3" t="s">
        <v>358</v>
      </c>
      <c r="E494" s="6">
        <v>45163.0</v>
      </c>
      <c r="F494" s="33">
        <v>12436.0</v>
      </c>
      <c r="G494" s="3" t="s">
        <v>21</v>
      </c>
      <c r="H494" s="3" t="s">
        <v>22</v>
      </c>
      <c r="I494" s="3" t="s">
        <v>1145</v>
      </c>
      <c r="K494" s="3" t="s">
        <v>3549</v>
      </c>
      <c r="L494" s="3" t="s">
        <v>3550</v>
      </c>
      <c r="M494" s="3" t="s">
        <v>3551</v>
      </c>
      <c r="N494" s="3" t="s">
        <v>362</v>
      </c>
      <c r="O494" s="3" t="s">
        <v>3552</v>
      </c>
      <c r="P494" s="3" t="s">
        <v>1150</v>
      </c>
      <c r="Q494" s="3" t="s">
        <v>29</v>
      </c>
      <c r="S494" s="27" t="s">
        <v>3553</v>
      </c>
      <c r="T494" s="27">
        <f>IFERROR(__xludf.DUMMYFUNCTION("""COMPUTED_VALUE"""),634.0)</f>
        <v>634</v>
      </c>
      <c r="U494" s="1" t="s">
        <v>3554</v>
      </c>
    </row>
    <row r="495">
      <c r="A495" s="4">
        <v>45168.66461251157</v>
      </c>
      <c r="B495" s="3" t="s">
        <v>1737</v>
      </c>
      <c r="C495" s="3" t="s">
        <v>3555</v>
      </c>
      <c r="D495" s="3" t="s">
        <v>756</v>
      </c>
      <c r="E495" s="6">
        <v>45167.0</v>
      </c>
      <c r="F495" s="33">
        <v>480.0</v>
      </c>
      <c r="G495" s="3" t="s">
        <v>21</v>
      </c>
      <c r="H495" s="3" t="s">
        <v>22</v>
      </c>
      <c r="I495" s="3" t="s">
        <v>3556</v>
      </c>
      <c r="J495" s="3" t="s">
        <v>3557</v>
      </c>
      <c r="K495" s="3" t="s">
        <v>3558</v>
      </c>
      <c r="L495" s="3" t="s">
        <v>3559</v>
      </c>
      <c r="M495" s="3" t="s">
        <v>3560</v>
      </c>
      <c r="N495" s="3" t="s">
        <v>760</v>
      </c>
      <c r="O495" s="3" t="s">
        <v>1743</v>
      </c>
      <c r="P495" s="3" t="s">
        <v>3561</v>
      </c>
      <c r="Q495" s="3" t="s">
        <v>29</v>
      </c>
      <c r="S495" s="27" t="s">
        <v>3562</v>
      </c>
      <c r="T495" s="27">
        <f>IFERROR(__xludf.DUMMYFUNCTION("""COMPUTED_VALUE"""),1703.0)</f>
        <v>1703</v>
      </c>
      <c r="U495" s="1" t="s">
        <v>3563</v>
      </c>
    </row>
    <row r="496">
      <c r="A496" s="4">
        <v>45168.726779282406</v>
      </c>
      <c r="B496" s="3" t="s">
        <v>3517</v>
      </c>
      <c r="C496" s="3" t="s">
        <v>3564</v>
      </c>
      <c r="D496" s="3" t="s">
        <v>1049</v>
      </c>
      <c r="E496" s="6">
        <v>45108.0</v>
      </c>
      <c r="F496" s="33">
        <v>158713.0</v>
      </c>
      <c r="G496" s="3" t="s">
        <v>136</v>
      </c>
      <c r="H496" s="3" t="s">
        <v>22</v>
      </c>
      <c r="I496" s="3" t="s">
        <v>1145</v>
      </c>
      <c r="J496" s="1" t="s">
        <v>3519</v>
      </c>
      <c r="K496" s="3" t="s">
        <v>3565</v>
      </c>
      <c r="L496" s="3" t="s">
        <v>3566</v>
      </c>
      <c r="M496" s="3" t="s">
        <v>3567</v>
      </c>
      <c r="N496" s="3" t="s">
        <v>1054</v>
      </c>
      <c r="O496" s="3" t="s">
        <v>3523</v>
      </c>
      <c r="P496" s="3" t="s">
        <v>1150</v>
      </c>
      <c r="Q496" s="3" t="s">
        <v>29</v>
      </c>
      <c r="S496" s="27" t="s">
        <v>3568</v>
      </c>
      <c r="T496" s="27">
        <f>IFERROR(__xludf.DUMMYFUNCTION("""COMPUTED_VALUE"""),2223.0)</f>
        <v>2223</v>
      </c>
      <c r="U496" s="1" t="s">
        <v>3569</v>
      </c>
    </row>
    <row r="497">
      <c r="A497" s="4">
        <v>45175.778045416664</v>
      </c>
      <c r="B497" s="3" t="s">
        <v>3570</v>
      </c>
      <c r="C497" s="3" t="s">
        <v>3571</v>
      </c>
      <c r="D497" s="3" t="s">
        <v>358</v>
      </c>
      <c r="E497" s="6">
        <v>45174.0</v>
      </c>
      <c r="F497" s="33">
        <v>5470.0</v>
      </c>
      <c r="G497" s="3" t="s">
        <v>136</v>
      </c>
      <c r="H497" s="3" t="s">
        <v>22</v>
      </c>
      <c r="I497" s="3" t="s">
        <v>1137</v>
      </c>
      <c r="K497" s="3" t="s">
        <v>3572</v>
      </c>
      <c r="L497" s="3" t="s">
        <v>3573</v>
      </c>
      <c r="M497" s="3" t="s">
        <v>3574</v>
      </c>
      <c r="N497" s="3" t="s">
        <v>362</v>
      </c>
      <c r="O497" s="3" t="s">
        <v>3575</v>
      </c>
      <c r="P497" s="3" t="s">
        <v>1141</v>
      </c>
      <c r="Q497" s="3" t="s">
        <v>1205</v>
      </c>
      <c r="S497" s="27" t="s">
        <v>3576</v>
      </c>
      <c r="T497" s="27">
        <f>IFERROR(__xludf.DUMMYFUNCTION("""COMPUTED_VALUE"""),2275.0)</f>
        <v>2275</v>
      </c>
      <c r="U497" s="1" t="s">
        <v>3577</v>
      </c>
    </row>
    <row r="498">
      <c r="A498" s="4">
        <v>45176.491227025464</v>
      </c>
      <c r="B498" s="3" t="s">
        <v>482</v>
      </c>
      <c r="C498" s="3" t="s">
        <v>3578</v>
      </c>
      <c r="D498" s="3" t="s">
        <v>358</v>
      </c>
      <c r="E498" s="6">
        <v>45168.0</v>
      </c>
      <c r="F498" s="33">
        <v>1350.0</v>
      </c>
      <c r="G498" s="3" t="s">
        <v>21</v>
      </c>
      <c r="H498" s="3" t="s">
        <v>22</v>
      </c>
      <c r="I498" s="3" t="s">
        <v>1137</v>
      </c>
      <c r="K498" s="3" t="s">
        <v>3579</v>
      </c>
      <c r="L498" s="3" t="s">
        <v>3580</v>
      </c>
      <c r="M498" s="3" t="s">
        <v>3581</v>
      </c>
      <c r="N498" s="3" t="s">
        <v>362</v>
      </c>
      <c r="O498" s="3" t="s">
        <v>487</v>
      </c>
      <c r="P498" s="3" t="s">
        <v>1141</v>
      </c>
      <c r="Q498" s="3" t="s">
        <v>1205</v>
      </c>
      <c r="S498" s="27" t="s">
        <v>3582</v>
      </c>
      <c r="T498" s="27">
        <f>IFERROR(__xludf.DUMMYFUNCTION("""COMPUTED_VALUE"""),4.0)</f>
        <v>4</v>
      </c>
      <c r="U498" s="1" t="s">
        <v>3583</v>
      </c>
    </row>
    <row r="499">
      <c r="A499" s="4">
        <v>45181.743532650464</v>
      </c>
      <c r="B499" s="3" t="s">
        <v>3584</v>
      </c>
      <c r="C499" s="3" t="s">
        <v>3585</v>
      </c>
      <c r="D499" s="3" t="s">
        <v>20</v>
      </c>
      <c r="E499" s="6">
        <v>45118.0</v>
      </c>
      <c r="F499" s="33">
        <v>51000.0</v>
      </c>
      <c r="G499" s="3" t="s">
        <v>21</v>
      </c>
      <c r="H499" s="3" t="s">
        <v>22</v>
      </c>
      <c r="J499" s="1" t="s">
        <v>3586</v>
      </c>
      <c r="K499" s="3" t="s">
        <v>3587</v>
      </c>
      <c r="L499" s="3" t="s">
        <v>3588</v>
      </c>
      <c r="M499" s="3" t="s">
        <v>3589</v>
      </c>
      <c r="N499" s="3" t="s">
        <v>27</v>
      </c>
      <c r="O499" s="3" t="s">
        <v>3590</v>
      </c>
      <c r="Q499" s="3" t="s">
        <v>1205</v>
      </c>
      <c r="S499" s="27" t="s">
        <v>3591</v>
      </c>
      <c r="T499" s="27">
        <f>IFERROR(__xludf.DUMMYFUNCTION("""COMPUTED_VALUE"""),2228.0)</f>
        <v>2228</v>
      </c>
      <c r="U499" s="1" t="s">
        <v>3592</v>
      </c>
    </row>
    <row r="500">
      <c r="A500" s="4">
        <v>45181.743532650464</v>
      </c>
      <c r="B500" s="3" t="s">
        <v>3593</v>
      </c>
      <c r="C500" s="3" t="s">
        <v>3594</v>
      </c>
      <c r="D500" s="3" t="s">
        <v>20</v>
      </c>
      <c r="E500" s="6">
        <v>45142.0</v>
      </c>
      <c r="F500" s="33">
        <v>126000.0</v>
      </c>
      <c r="G500" s="3" t="s">
        <v>21</v>
      </c>
      <c r="H500" s="3" t="s">
        <v>22</v>
      </c>
      <c r="J500" s="1" t="s">
        <v>3595</v>
      </c>
      <c r="K500" s="3" t="s">
        <v>3596</v>
      </c>
      <c r="L500" s="3" t="s">
        <v>3597</v>
      </c>
      <c r="M500" s="3" t="s">
        <v>3598</v>
      </c>
      <c r="N500" s="3" t="s">
        <v>27</v>
      </c>
      <c r="O500" s="3" t="s">
        <v>3599</v>
      </c>
      <c r="Q500" s="3" t="s">
        <v>1205</v>
      </c>
      <c r="S500" s="27" t="s">
        <v>3600</v>
      </c>
      <c r="T500" s="27">
        <f>IFERROR(__xludf.DUMMYFUNCTION("""COMPUTED_VALUE"""),2260.0)</f>
        <v>2260</v>
      </c>
      <c r="U500" s="1" t="s">
        <v>3601</v>
      </c>
    </row>
    <row r="501">
      <c r="A501" s="4">
        <v>45182.67716866898</v>
      </c>
      <c r="B501" s="3" t="s">
        <v>110</v>
      </c>
      <c r="C501" s="3" t="s">
        <v>3602</v>
      </c>
      <c r="D501" s="3" t="s">
        <v>756</v>
      </c>
      <c r="E501" s="6">
        <v>45182.0</v>
      </c>
      <c r="F501" s="33">
        <v>240.0</v>
      </c>
      <c r="G501" s="3" t="s">
        <v>21</v>
      </c>
      <c r="H501" s="3" t="s">
        <v>22</v>
      </c>
      <c r="K501" s="3" t="s">
        <v>3603</v>
      </c>
      <c r="L501" s="3" t="s">
        <v>3604</v>
      </c>
      <c r="M501" s="3" t="s">
        <v>3605</v>
      </c>
      <c r="N501" s="3" t="s">
        <v>760</v>
      </c>
      <c r="O501" s="3" t="s">
        <v>116</v>
      </c>
      <c r="Q501" s="3" t="s">
        <v>1205</v>
      </c>
      <c r="S501" s="27" t="s">
        <v>3606</v>
      </c>
      <c r="T501" s="27">
        <f>IFERROR(__xludf.DUMMYFUNCTION("""COMPUTED_VALUE"""),853.0)</f>
        <v>853</v>
      </c>
      <c r="U501" s="1" t="s">
        <v>3607</v>
      </c>
    </row>
    <row r="502">
      <c r="A502" s="4">
        <v>45183.77006260416</v>
      </c>
      <c r="B502" s="3" t="s">
        <v>2162</v>
      </c>
      <c r="C502" s="3" t="s">
        <v>3608</v>
      </c>
      <c r="D502" s="3" t="s">
        <v>756</v>
      </c>
      <c r="E502" s="6">
        <v>45170.0</v>
      </c>
      <c r="F502" s="33">
        <v>4882.9</v>
      </c>
      <c r="G502" s="3" t="s">
        <v>21</v>
      </c>
      <c r="H502" s="3" t="s">
        <v>22</v>
      </c>
      <c r="I502" s="3" t="s">
        <v>1625</v>
      </c>
      <c r="K502" s="3" t="s">
        <v>3609</v>
      </c>
      <c r="L502" s="3" t="s">
        <v>3610</v>
      </c>
      <c r="M502" s="3" t="s">
        <v>3611</v>
      </c>
      <c r="N502" s="3" t="s">
        <v>760</v>
      </c>
      <c r="O502" s="3" t="s">
        <v>2167</v>
      </c>
      <c r="P502" s="3" t="s">
        <v>1631</v>
      </c>
      <c r="Q502" s="3" t="s">
        <v>29</v>
      </c>
      <c r="S502" s="27" t="s">
        <v>3612</v>
      </c>
      <c r="T502" s="27">
        <f>IFERROR(__xludf.DUMMYFUNCTION("""COMPUTED_VALUE"""),1911.0)</f>
        <v>1911</v>
      </c>
      <c r="U502" s="1" t="s">
        <v>3613</v>
      </c>
    </row>
    <row r="503">
      <c r="A503" s="4">
        <v>45187.98821722222</v>
      </c>
      <c r="B503" s="3" t="s">
        <v>482</v>
      </c>
      <c r="C503" s="3" t="s">
        <v>3614</v>
      </c>
      <c r="D503" s="3" t="s">
        <v>756</v>
      </c>
      <c r="E503" s="6">
        <v>45187.0</v>
      </c>
      <c r="F503" s="33">
        <v>980.0</v>
      </c>
      <c r="G503" s="3" t="s">
        <v>136</v>
      </c>
      <c r="H503" s="3" t="s">
        <v>22</v>
      </c>
      <c r="I503" s="3" t="s">
        <v>1145</v>
      </c>
      <c r="K503" s="3" t="s">
        <v>3615</v>
      </c>
      <c r="L503" s="3" t="s">
        <v>3616</v>
      </c>
      <c r="M503" s="3" t="s">
        <v>3617</v>
      </c>
      <c r="N503" s="3" t="s">
        <v>760</v>
      </c>
      <c r="O503" s="3" t="s">
        <v>487</v>
      </c>
      <c r="P503" s="3" t="s">
        <v>1150</v>
      </c>
      <c r="Q503" s="3" t="s">
        <v>29</v>
      </c>
      <c r="S503" s="27" t="s">
        <v>3618</v>
      </c>
      <c r="T503" s="27">
        <f>IFERROR(__xludf.DUMMYFUNCTION("""COMPUTED_VALUE"""),4.0)</f>
        <v>4</v>
      </c>
      <c r="U503" s="1" t="s">
        <v>3619</v>
      </c>
    </row>
    <row r="504">
      <c r="A504" s="4">
        <v>45195.526600717596</v>
      </c>
      <c r="B504" s="3" t="s">
        <v>2934</v>
      </c>
      <c r="C504" s="3" t="s">
        <v>3620</v>
      </c>
      <c r="D504" s="3" t="s">
        <v>358</v>
      </c>
      <c r="E504" s="6">
        <v>44908.0</v>
      </c>
      <c r="F504" s="28">
        <v>2755.0</v>
      </c>
      <c r="G504" s="3" t="s">
        <v>21</v>
      </c>
      <c r="H504" s="3" t="s">
        <v>22</v>
      </c>
      <c r="I504" s="3" t="s">
        <v>1160</v>
      </c>
      <c r="K504" s="3" t="s">
        <v>3621</v>
      </c>
      <c r="L504" s="3" t="s">
        <v>3622</v>
      </c>
      <c r="M504" s="3" t="s">
        <v>3623</v>
      </c>
      <c r="N504" s="3" t="s">
        <v>362</v>
      </c>
      <c r="O504" s="3" t="s">
        <v>2939</v>
      </c>
      <c r="P504" s="3" t="s">
        <v>1163</v>
      </c>
      <c r="Q504" s="3" t="s">
        <v>1205</v>
      </c>
      <c r="S504" s="27" t="s">
        <v>3624</v>
      </c>
      <c r="T504" s="27">
        <f>IFERROR(__xludf.DUMMYFUNCTION("""COMPUTED_VALUE"""),2011.0)</f>
        <v>2011</v>
      </c>
      <c r="U504" s="1" t="s">
        <v>3625</v>
      </c>
    </row>
    <row r="505">
      <c r="A505" s="4">
        <v>45195.602002314816</v>
      </c>
      <c r="B505" s="3" t="s">
        <v>2934</v>
      </c>
      <c r="C505" s="3" t="s">
        <v>3626</v>
      </c>
      <c r="D505" s="3" t="s">
        <v>358</v>
      </c>
      <c r="E505" s="6">
        <v>45064.0</v>
      </c>
      <c r="F505" s="28">
        <v>2877.0</v>
      </c>
      <c r="G505" s="3" t="s">
        <v>136</v>
      </c>
      <c r="H505" s="3" t="s">
        <v>22</v>
      </c>
      <c r="I505" s="3" t="s">
        <v>1145</v>
      </c>
      <c r="K505" s="3" t="s">
        <v>3627</v>
      </c>
      <c r="L505" s="3" t="s">
        <v>3628</v>
      </c>
      <c r="M505" s="3" t="s">
        <v>3629</v>
      </c>
      <c r="N505" s="3" t="s">
        <v>362</v>
      </c>
      <c r="O505" s="3" t="s">
        <v>2939</v>
      </c>
      <c r="P505" s="3" t="s">
        <v>1150</v>
      </c>
      <c r="Q505" s="3" t="s">
        <v>1205</v>
      </c>
      <c r="S505" s="27" t="s">
        <v>3630</v>
      </c>
      <c r="T505" s="27">
        <f>IFERROR(__xludf.DUMMYFUNCTION("""COMPUTED_VALUE"""),2011.0)</f>
        <v>2011</v>
      </c>
      <c r="U505" s="1" t="s">
        <v>3631</v>
      </c>
    </row>
    <row r="506">
      <c r="A506" s="4">
        <v>45196.61074636574</v>
      </c>
      <c r="B506" s="3" t="s">
        <v>1524</v>
      </c>
      <c r="C506" s="3" t="s">
        <v>3632</v>
      </c>
      <c r="D506" s="3" t="s">
        <v>1049</v>
      </c>
      <c r="E506" s="6">
        <v>45196.0</v>
      </c>
      <c r="F506" s="33">
        <v>5000.0</v>
      </c>
      <c r="G506" s="3" t="s">
        <v>136</v>
      </c>
      <c r="H506" s="3" t="s">
        <v>22</v>
      </c>
      <c r="I506" s="3" t="s">
        <v>1145</v>
      </c>
      <c r="J506" s="1" t="s">
        <v>1526</v>
      </c>
      <c r="K506" s="3" t="s">
        <v>3633</v>
      </c>
      <c r="L506" s="3" t="s">
        <v>3634</v>
      </c>
      <c r="M506" s="3" t="s">
        <v>3635</v>
      </c>
      <c r="N506" s="3" t="s">
        <v>1054</v>
      </c>
      <c r="O506" s="3" t="s">
        <v>1530</v>
      </c>
      <c r="P506" s="3" t="s">
        <v>1150</v>
      </c>
      <c r="Q506" s="3" t="s">
        <v>29</v>
      </c>
      <c r="S506" s="27" t="s">
        <v>3636</v>
      </c>
      <c r="T506" s="27"/>
      <c r="U506" s="1" t="s">
        <v>3637</v>
      </c>
    </row>
    <row r="507">
      <c r="A507" s="4">
        <v>45201.622623981486</v>
      </c>
      <c r="B507" s="3" t="s">
        <v>731</v>
      </c>
      <c r="C507" s="3" t="s">
        <v>3638</v>
      </c>
      <c r="D507" s="3" t="s">
        <v>358</v>
      </c>
      <c r="E507" s="6">
        <v>44882.0</v>
      </c>
      <c r="F507" s="3">
        <v>5285.0</v>
      </c>
      <c r="G507" s="3" t="s">
        <v>350</v>
      </c>
      <c r="H507" s="3" t="s">
        <v>22</v>
      </c>
      <c r="I507" s="3" t="s">
        <v>1160</v>
      </c>
      <c r="K507" s="3" t="s">
        <v>3639</v>
      </c>
      <c r="L507" s="3" t="s">
        <v>3640</v>
      </c>
      <c r="M507" s="3" t="s">
        <v>3641</v>
      </c>
      <c r="N507" s="3" t="s">
        <v>362</v>
      </c>
      <c r="O507" s="3" t="s">
        <v>735</v>
      </c>
      <c r="P507" s="3" t="s">
        <v>1163</v>
      </c>
      <c r="Q507" s="3" t="s">
        <v>1205</v>
      </c>
      <c r="S507" s="27" t="s">
        <v>3642</v>
      </c>
      <c r="T507" s="27">
        <f>IFERROR(__xludf.DUMMYFUNCTION("""COMPUTED_VALUE"""),731.0)</f>
        <v>731</v>
      </c>
      <c r="U507" s="1" t="s">
        <v>3643</v>
      </c>
    </row>
    <row r="508">
      <c r="A508" s="4">
        <v>45202.645779432874</v>
      </c>
      <c r="B508" s="3" t="s">
        <v>3517</v>
      </c>
      <c r="C508" s="3" t="s">
        <v>3644</v>
      </c>
      <c r="D508" s="3" t="s">
        <v>358</v>
      </c>
      <c r="E508" s="6">
        <v>45170.0</v>
      </c>
      <c r="F508" s="33">
        <v>56076.6</v>
      </c>
      <c r="G508" s="3" t="s">
        <v>136</v>
      </c>
      <c r="H508" s="3" t="s">
        <v>22</v>
      </c>
      <c r="I508" s="3" t="s">
        <v>1145</v>
      </c>
      <c r="J508" s="1" t="s">
        <v>3645</v>
      </c>
      <c r="K508" s="3" t="s">
        <v>3646</v>
      </c>
      <c r="L508" s="3" t="s">
        <v>3647</v>
      </c>
      <c r="M508" s="3" t="s">
        <v>3648</v>
      </c>
      <c r="N508" s="3" t="s">
        <v>362</v>
      </c>
      <c r="O508" s="3" t="s">
        <v>3523</v>
      </c>
      <c r="P508" s="3" t="s">
        <v>1150</v>
      </c>
      <c r="Q508" s="3" t="s">
        <v>1205</v>
      </c>
      <c r="S508" s="27" t="s">
        <v>3649</v>
      </c>
      <c r="T508" s="27">
        <f>IFERROR(__xludf.DUMMYFUNCTION("""COMPUTED_VALUE"""),2223.0)</f>
        <v>2223</v>
      </c>
      <c r="U508" s="1" t="s">
        <v>3650</v>
      </c>
    </row>
    <row r="509">
      <c r="A509" s="4">
        <v>45202.67485387731</v>
      </c>
      <c r="B509" s="3" t="s">
        <v>3651</v>
      </c>
      <c r="C509" s="3" t="s">
        <v>3652</v>
      </c>
      <c r="D509" s="3" t="s">
        <v>230</v>
      </c>
      <c r="E509" s="6">
        <v>45139.0</v>
      </c>
      <c r="F509" s="33">
        <v>300.0</v>
      </c>
      <c r="G509" s="3" t="s">
        <v>21</v>
      </c>
      <c r="H509" s="3" t="s">
        <v>22</v>
      </c>
      <c r="I509" s="3" t="s">
        <v>3436</v>
      </c>
      <c r="J509" s="1" t="s">
        <v>3653</v>
      </c>
      <c r="K509" s="3" t="s">
        <v>3654</v>
      </c>
      <c r="L509" s="3" t="s">
        <v>3655</v>
      </c>
      <c r="M509" s="3" t="s">
        <v>3656</v>
      </c>
      <c r="N509" s="3" t="s">
        <v>234</v>
      </c>
      <c r="O509" s="3" t="s">
        <v>3657</v>
      </c>
      <c r="P509" s="3" t="s">
        <v>3442</v>
      </c>
      <c r="Q509" s="3" t="s">
        <v>1205</v>
      </c>
      <c r="S509" s="27" t="s">
        <v>3658</v>
      </c>
      <c r="T509" s="27">
        <f>IFERROR(__xludf.DUMMYFUNCTION("""COMPUTED_VALUE"""),2266.0)</f>
        <v>2266</v>
      </c>
      <c r="U509" s="1" t="s">
        <v>3659</v>
      </c>
    </row>
    <row r="510">
      <c r="A510" s="4">
        <v>45202.67485387731</v>
      </c>
      <c r="B510" s="3" t="s">
        <v>3651</v>
      </c>
      <c r="C510" s="3" t="s">
        <v>3660</v>
      </c>
      <c r="D510" s="3" t="s">
        <v>756</v>
      </c>
      <c r="E510" s="6">
        <v>45181.0</v>
      </c>
      <c r="F510" s="33">
        <v>130.0</v>
      </c>
      <c r="G510" s="3" t="s">
        <v>21</v>
      </c>
      <c r="H510" s="3" t="s">
        <v>22</v>
      </c>
      <c r="I510" s="3" t="s">
        <v>3436</v>
      </c>
      <c r="K510" s="3" t="s">
        <v>3661</v>
      </c>
      <c r="L510" s="3" t="s">
        <v>3662</v>
      </c>
      <c r="M510" s="3" t="s">
        <v>3663</v>
      </c>
      <c r="N510" s="3" t="s">
        <v>760</v>
      </c>
      <c r="O510" s="3" t="s">
        <v>3657</v>
      </c>
      <c r="P510" s="3" t="s">
        <v>3442</v>
      </c>
      <c r="Q510" s="3" t="s">
        <v>1205</v>
      </c>
      <c r="S510" s="27" t="s">
        <v>3664</v>
      </c>
      <c r="T510" s="27">
        <f>IFERROR(__xludf.DUMMYFUNCTION("""COMPUTED_VALUE"""),2266.0)</f>
        <v>2266</v>
      </c>
      <c r="U510" s="1" t="s">
        <v>3665</v>
      </c>
    </row>
    <row r="511">
      <c r="A511" s="4">
        <v>45204.56847383102</v>
      </c>
      <c r="B511" s="3" t="s">
        <v>1124</v>
      </c>
      <c r="C511" s="3" t="s">
        <v>3666</v>
      </c>
      <c r="D511" s="3" t="s">
        <v>1362</v>
      </c>
      <c r="E511" s="6">
        <v>44866.0</v>
      </c>
      <c r="F511" s="33">
        <v>69385.0</v>
      </c>
      <c r="G511" s="3" t="s">
        <v>136</v>
      </c>
      <c r="H511" s="3" t="s">
        <v>22</v>
      </c>
      <c r="K511" s="3" t="s">
        <v>3667</v>
      </c>
      <c r="L511" s="3" t="s">
        <v>3668</v>
      </c>
      <c r="M511" s="3" t="s">
        <v>3669</v>
      </c>
      <c r="N511" s="3" t="s">
        <v>1366</v>
      </c>
      <c r="O511" s="3" t="s">
        <v>1129</v>
      </c>
      <c r="Q511" s="3" t="s">
        <v>1205</v>
      </c>
      <c r="S511" s="27" t="s">
        <v>3670</v>
      </c>
      <c r="T511" s="27">
        <f>IFERROR(__xludf.DUMMYFUNCTION("""COMPUTED_VALUE"""),509.0)</f>
        <v>509</v>
      </c>
      <c r="U511" s="1" t="s">
        <v>3671</v>
      </c>
    </row>
    <row r="512">
      <c r="A512" s="4">
        <v>45208.57024189815</v>
      </c>
      <c r="B512" s="3" t="s">
        <v>482</v>
      </c>
      <c r="C512" s="3" t="s">
        <v>3672</v>
      </c>
      <c r="D512" s="3" t="s">
        <v>358</v>
      </c>
      <c r="E512" s="6">
        <v>45085.0</v>
      </c>
      <c r="F512" s="33">
        <v>82990.0</v>
      </c>
      <c r="G512" s="3" t="s">
        <v>350</v>
      </c>
      <c r="H512" s="3" t="s">
        <v>22</v>
      </c>
      <c r="I512" s="3" t="s">
        <v>1137</v>
      </c>
      <c r="K512" s="3" t="s">
        <v>3673</v>
      </c>
      <c r="L512" s="3" t="s">
        <v>3674</v>
      </c>
      <c r="M512" s="3" t="s">
        <v>3675</v>
      </c>
      <c r="N512" s="3" t="s">
        <v>362</v>
      </c>
      <c r="O512" s="3" t="s">
        <v>487</v>
      </c>
      <c r="P512" s="3" t="s">
        <v>1141</v>
      </c>
      <c r="Q512" s="3" t="s">
        <v>29</v>
      </c>
      <c r="S512" s="27" t="s">
        <v>3676</v>
      </c>
      <c r="T512" s="27">
        <f>IFERROR(__xludf.DUMMYFUNCTION("""COMPUTED_VALUE"""),4.0)</f>
        <v>4</v>
      </c>
      <c r="U512" s="1" t="s">
        <v>3677</v>
      </c>
    </row>
    <row r="513">
      <c r="A513" s="4">
        <v>45245.53545138889</v>
      </c>
      <c r="B513" s="3" t="s">
        <v>2934</v>
      </c>
      <c r="C513" s="3" t="s">
        <v>3678</v>
      </c>
      <c r="D513" s="3" t="s">
        <v>358</v>
      </c>
      <c r="E513" s="6">
        <v>44986.0</v>
      </c>
      <c r="F513" s="28">
        <v>100000.0</v>
      </c>
      <c r="G513" s="3" t="s">
        <v>21</v>
      </c>
      <c r="H513" s="3" t="s">
        <v>22</v>
      </c>
      <c r="I513" s="3" t="s">
        <v>1145</v>
      </c>
      <c r="J513" s="1" t="s">
        <v>3679</v>
      </c>
      <c r="K513" s="3" t="s">
        <v>3680</v>
      </c>
      <c r="L513" s="3" t="s">
        <v>3681</v>
      </c>
      <c r="M513" s="3" t="s">
        <v>3682</v>
      </c>
      <c r="N513" s="3" t="s">
        <v>362</v>
      </c>
      <c r="O513" s="3" t="s">
        <v>2939</v>
      </c>
      <c r="P513" s="3" t="s">
        <v>1150</v>
      </c>
      <c r="Q513" s="3" t="s">
        <v>29</v>
      </c>
      <c r="S513" s="27" t="s">
        <v>3683</v>
      </c>
      <c r="T513" s="27">
        <f>IFERROR(__xludf.DUMMYFUNCTION("""COMPUTED_VALUE"""),2011.0)</f>
        <v>2011</v>
      </c>
      <c r="U513" s="1" t="s">
        <v>3684</v>
      </c>
    </row>
    <row r="514">
      <c r="A514" s="4">
        <v>45212.51682337963</v>
      </c>
      <c r="B514" s="3" t="s">
        <v>2934</v>
      </c>
      <c r="C514" s="3" t="s">
        <v>3685</v>
      </c>
      <c r="D514" s="3" t="s">
        <v>358</v>
      </c>
      <c r="E514" s="6">
        <v>45210.0</v>
      </c>
      <c r="F514" s="28">
        <f>6682+1909</f>
        <v>8591</v>
      </c>
      <c r="G514" s="3" t="s">
        <v>21</v>
      </c>
      <c r="H514" s="3" t="s">
        <v>22</v>
      </c>
      <c r="I514" s="3" t="s">
        <v>1145</v>
      </c>
      <c r="J514" s="1" t="s">
        <v>3679</v>
      </c>
      <c r="K514" s="3" t="s">
        <v>3686</v>
      </c>
      <c r="L514" s="3" t="s">
        <v>3687</v>
      </c>
      <c r="M514" s="3" t="s">
        <v>3688</v>
      </c>
      <c r="N514" s="3" t="s">
        <v>362</v>
      </c>
      <c r="O514" s="3" t="s">
        <v>2939</v>
      </c>
      <c r="P514" s="3" t="s">
        <v>1150</v>
      </c>
      <c r="Q514" s="3" t="s">
        <v>29</v>
      </c>
      <c r="S514" s="27" t="s">
        <v>3689</v>
      </c>
      <c r="T514" s="27">
        <f>IFERROR(__xludf.DUMMYFUNCTION("""COMPUTED_VALUE"""),2011.0)</f>
        <v>2011</v>
      </c>
      <c r="U514" s="1" t="s">
        <v>3690</v>
      </c>
    </row>
    <row r="515">
      <c r="A515" s="4">
        <v>45214.99153128472</v>
      </c>
      <c r="B515" s="3" t="s">
        <v>2708</v>
      </c>
      <c r="C515" s="3" t="s">
        <v>3691</v>
      </c>
      <c r="D515" s="3" t="s">
        <v>1049</v>
      </c>
      <c r="E515" s="6">
        <v>45200.0</v>
      </c>
      <c r="F515" s="33">
        <v>800.0</v>
      </c>
      <c r="G515" s="3" t="s">
        <v>136</v>
      </c>
      <c r="H515" s="3" t="s">
        <v>22</v>
      </c>
      <c r="I515" s="3" t="s">
        <v>1145</v>
      </c>
      <c r="K515" s="3" t="s">
        <v>3692</v>
      </c>
      <c r="L515" s="3" t="s">
        <v>3693</v>
      </c>
      <c r="M515" s="3" t="s">
        <v>3694</v>
      </c>
      <c r="N515" s="3" t="s">
        <v>1054</v>
      </c>
      <c r="O515" s="3" t="s">
        <v>2713</v>
      </c>
      <c r="P515" s="3" t="s">
        <v>1150</v>
      </c>
      <c r="Q515" s="3" t="s">
        <v>29</v>
      </c>
      <c r="S515" s="27" t="s">
        <v>3695</v>
      </c>
      <c r="T515" s="27">
        <f>IFERROR(__xludf.DUMMYFUNCTION("""COMPUTED_VALUE"""),1949.0)</f>
        <v>1949</v>
      </c>
      <c r="U515" s="1" t="s">
        <v>3696</v>
      </c>
    </row>
    <row r="516">
      <c r="A516" s="4">
        <v>45218.790071932875</v>
      </c>
      <c r="B516" s="3" t="s">
        <v>1218</v>
      </c>
      <c r="C516" s="3" t="s">
        <v>3697</v>
      </c>
      <c r="D516" s="3" t="s">
        <v>20</v>
      </c>
      <c r="E516" s="6">
        <v>45200.0</v>
      </c>
      <c r="F516" s="33">
        <v>0.0</v>
      </c>
      <c r="G516" s="3" t="s">
        <v>136</v>
      </c>
      <c r="H516" s="3" t="s">
        <v>22</v>
      </c>
      <c r="K516" s="3" t="s">
        <v>3698</v>
      </c>
      <c r="L516" s="3" t="s">
        <v>3699</v>
      </c>
      <c r="M516" s="3" t="s">
        <v>3700</v>
      </c>
      <c r="N516" s="3" t="s">
        <v>27</v>
      </c>
      <c r="O516" s="3" t="s">
        <v>1223</v>
      </c>
      <c r="Q516" s="3" t="s">
        <v>29</v>
      </c>
      <c r="S516" s="27" t="s">
        <v>3701</v>
      </c>
      <c r="T516" s="27">
        <f>IFERROR(__xludf.DUMMYFUNCTION("""COMPUTED_VALUE"""),1771.0)</f>
        <v>1771</v>
      </c>
      <c r="U516" s="1" t="s">
        <v>3702</v>
      </c>
    </row>
    <row r="517">
      <c r="A517" s="4">
        <v>45226.55508697916</v>
      </c>
      <c r="B517" s="3" t="s">
        <v>393</v>
      </c>
      <c r="C517" s="3" t="s">
        <v>3703</v>
      </c>
      <c r="D517" s="3" t="s">
        <v>20</v>
      </c>
      <c r="E517" s="6">
        <v>45225.0</v>
      </c>
      <c r="F517" s="33">
        <v>1500.0</v>
      </c>
      <c r="G517" s="3" t="s">
        <v>21</v>
      </c>
      <c r="H517" s="3" t="s">
        <v>22</v>
      </c>
      <c r="J517" s="1" t="s">
        <v>2279</v>
      </c>
      <c r="K517" s="3" t="s">
        <v>3704</v>
      </c>
      <c r="L517" s="3" t="s">
        <v>3705</v>
      </c>
      <c r="M517" s="3" t="s">
        <v>3706</v>
      </c>
      <c r="N517" s="3" t="s">
        <v>27</v>
      </c>
      <c r="O517" s="3" t="s">
        <v>398</v>
      </c>
      <c r="Q517" s="3" t="s">
        <v>29</v>
      </c>
      <c r="S517" s="27" t="s">
        <v>3707</v>
      </c>
      <c r="T517" s="27">
        <f>IFERROR(__xludf.DUMMYFUNCTION("""COMPUTED_VALUE"""),1148.0)</f>
        <v>1148</v>
      </c>
      <c r="U517" s="1" t="s">
        <v>3708</v>
      </c>
    </row>
    <row r="518">
      <c r="A518" s="4">
        <v>45227.46999571759</v>
      </c>
      <c r="B518" s="3" t="s">
        <v>3709</v>
      </c>
      <c r="C518" s="3" t="s">
        <v>3710</v>
      </c>
      <c r="D518" s="3" t="s">
        <v>20</v>
      </c>
      <c r="E518" s="6">
        <v>45210.0</v>
      </c>
      <c r="F518" s="33">
        <v>58400.0</v>
      </c>
      <c r="G518" s="3" t="s">
        <v>21</v>
      </c>
      <c r="H518" s="3" t="s">
        <v>22</v>
      </c>
      <c r="I518" s="3" t="s">
        <v>1434</v>
      </c>
      <c r="J518" s="1" t="s">
        <v>3711</v>
      </c>
      <c r="K518" s="3" t="s">
        <v>3712</v>
      </c>
      <c r="L518" s="3" t="s">
        <v>3713</v>
      </c>
      <c r="M518" s="3" t="s">
        <v>3714</v>
      </c>
      <c r="N518" s="3" t="s">
        <v>27</v>
      </c>
      <c r="O518" s="3" t="s">
        <v>3715</v>
      </c>
      <c r="P518" s="3" t="s">
        <v>1439</v>
      </c>
      <c r="Q518" s="3" t="s">
        <v>29</v>
      </c>
      <c r="S518" s="27" t="s">
        <v>3716</v>
      </c>
      <c r="T518" s="27">
        <f>IFERROR(__xludf.DUMMYFUNCTION("""COMPUTED_VALUE"""),2303.0)</f>
        <v>2303</v>
      </c>
      <c r="U518" s="1" t="s">
        <v>3717</v>
      </c>
    </row>
    <row r="519">
      <c r="A519" s="4">
        <v>45231.67025462963</v>
      </c>
      <c r="B519" s="3" t="s">
        <v>3278</v>
      </c>
      <c r="C519" s="3" t="s">
        <v>3718</v>
      </c>
      <c r="D519" s="3" t="s">
        <v>20</v>
      </c>
      <c r="E519" s="6">
        <v>45108.0</v>
      </c>
      <c r="F519" s="33">
        <v>14350.0</v>
      </c>
      <c r="G519" s="3" t="s">
        <v>350</v>
      </c>
      <c r="H519" s="3" t="s">
        <v>22</v>
      </c>
      <c r="I519" s="3" t="s">
        <v>1116</v>
      </c>
      <c r="K519" s="3" t="s">
        <v>3719</v>
      </c>
      <c r="L519" s="3" t="s">
        <v>3720</v>
      </c>
      <c r="M519" s="3" t="s">
        <v>3721</v>
      </c>
      <c r="N519" s="3" t="s">
        <v>27</v>
      </c>
      <c r="O519" s="3" t="s">
        <v>3284</v>
      </c>
      <c r="P519" s="3" t="s">
        <v>1122</v>
      </c>
      <c r="Q519" s="3" t="s">
        <v>29</v>
      </c>
      <c r="S519" s="27" t="s">
        <v>3722</v>
      </c>
      <c r="T519" s="27">
        <f>IFERROR(__xludf.DUMMYFUNCTION("""COMPUTED_VALUE"""),2176.0)</f>
        <v>2176</v>
      </c>
      <c r="U519" s="1" t="s">
        <v>3723</v>
      </c>
    </row>
    <row r="520">
      <c r="A520" s="4">
        <v>45231.68547453704</v>
      </c>
      <c r="B520" s="3" t="s">
        <v>3724</v>
      </c>
      <c r="C520" s="3" t="s">
        <v>3725</v>
      </c>
      <c r="D520" s="3" t="s">
        <v>20</v>
      </c>
      <c r="E520" s="6">
        <v>45170.0</v>
      </c>
      <c r="F520" s="33">
        <v>84400.0</v>
      </c>
      <c r="G520" s="3" t="s">
        <v>21</v>
      </c>
      <c r="H520" s="3" t="s">
        <v>22</v>
      </c>
      <c r="I520" s="3" t="s">
        <v>1116</v>
      </c>
      <c r="J520" s="1" t="s">
        <v>3726</v>
      </c>
      <c r="K520" s="3" t="s">
        <v>3727</v>
      </c>
      <c r="L520" s="3" t="s">
        <v>3728</v>
      </c>
      <c r="M520" s="3" t="s">
        <v>3729</v>
      </c>
      <c r="N520" s="3" t="s">
        <v>27</v>
      </c>
      <c r="O520" s="3" t="s">
        <v>3730</v>
      </c>
      <c r="P520" s="3" t="s">
        <v>1122</v>
      </c>
      <c r="Q520" s="3" t="s">
        <v>29</v>
      </c>
      <c r="S520" s="27" t="s">
        <v>3731</v>
      </c>
      <c r="T520" s="27">
        <f>IFERROR(__xludf.DUMMYFUNCTION("""COMPUTED_VALUE"""),2299.0)</f>
        <v>2299</v>
      </c>
      <c r="U520" s="1" t="s">
        <v>3732</v>
      </c>
    </row>
    <row r="521">
      <c r="A521" s="4">
        <v>45245.55414626157</v>
      </c>
      <c r="B521" s="3" t="s">
        <v>2934</v>
      </c>
      <c r="C521" s="3" t="s">
        <v>3733</v>
      </c>
      <c r="D521" s="3" t="s">
        <v>358</v>
      </c>
      <c r="E521" s="6">
        <v>45243.0</v>
      </c>
      <c r="F521" s="28">
        <f>51668</f>
        <v>51668</v>
      </c>
      <c r="G521" s="3" t="s">
        <v>21</v>
      </c>
      <c r="H521" s="3" t="s">
        <v>22</v>
      </c>
      <c r="I521" s="3" t="s">
        <v>1145</v>
      </c>
      <c r="K521" s="3" t="s">
        <v>3734</v>
      </c>
      <c r="L521" s="3" t="s">
        <v>3735</v>
      </c>
      <c r="M521" s="3" t="s">
        <v>3736</v>
      </c>
      <c r="N521" s="3" t="s">
        <v>362</v>
      </c>
      <c r="O521" s="3" t="s">
        <v>2939</v>
      </c>
      <c r="P521" s="3" t="s">
        <v>1150</v>
      </c>
      <c r="Q521" s="3" t="s">
        <v>29</v>
      </c>
      <c r="S521" s="27" t="s">
        <v>3737</v>
      </c>
      <c r="T521" s="27">
        <f>IFERROR(__xludf.DUMMYFUNCTION("""COMPUTED_VALUE"""),2011.0)</f>
        <v>2011</v>
      </c>
      <c r="U521" s="1" t="s">
        <v>3738</v>
      </c>
    </row>
    <row r="522">
      <c r="A522" s="4">
        <v>45314.75947247686</v>
      </c>
      <c r="B522" s="3" t="s">
        <v>2934</v>
      </c>
      <c r="C522" s="3" t="s">
        <v>3739</v>
      </c>
      <c r="D522" s="3" t="s">
        <v>1049</v>
      </c>
      <c r="E522" s="6">
        <v>45292.0</v>
      </c>
      <c r="F522" s="28">
        <v>45000.0</v>
      </c>
      <c r="G522" s="3" t="s">
        <v>136</v>
      </c>
      <c r="H522" s="3" t="s">
        <v>22</v>
      </c>
      <c r="I522" s="3" t="s">
        <v>1145</v>
      </c>
      <c r="K522" s="3" t="s">
        <v>3740</v>
      </c>
      <c r="L522" s="3" t="s">
        <v>3741</v>
      </c>
      <c r="M522" s="3" t="s">
        <v>3742</v>
      </c>
      <c r="N522" s="3" t="s">
        <v>1054</v>
      </c>
      <c r="O522" s="3" t="s">
        <v>2939</v>
      </c>
      <c r="P522" s="3" t="s">
        <v>1150</v>
      </c>
      <c r="Q522" s="3" t="s">
        <v>29</v>
      </c>
      <c r="S522" s="27" t="s">
        <v>3743</v>
      </c>
      <c r="T522" s="27">
        <f>IFERROR(__xludf.DUMMYFUNCTION("""COMPUTED_VALUE"""),2011.0)</f>
        <v>2011</v>
      </c>
      <c r="U522" s="1" t="s">
        <v>3744</v>
      </c>
    </row>
    <row r="523">
      <c r="A523" s="4">
        <v>45245.55569390046</v>
      </c>
      <c r="B523" s="3" t="s">
        <v>2934</v>
      </c>
      <c r="C523" s="3" t="s">
        <v>3745</v>
      </c>
      <c r="D523" s="3" t="s">
        <v>358</v>
      </c>
      <c r="E523" s="6">
        <v>45231.0</v>
      </c>
      <c r="F523" s="28">
        <v>45968.0</v>
      </c>
      <c r="G523" s="3" t="s">
        <v>21</v>
      </c>
      <c r="H523" s="3" t="s">
        <v>22</v>
      </c>
      <c r="I523" s="3" t="s">
        <v>1145</v>
      </c>
      <c r="J523" s="1" t="s">
        <v>3746</v>
      </c>
      <c r="K523" s="3" t="s">
        <v>3747</v>
      </c>
      <c r="L523" s="3" t="s">
        <v>3748</v>
      </c>
      <c r="M523" s="3" t="s">
        <v>3749</v>
      </c>
      <c r="N523" s="3" t="s">
        <v>362</v>
      </c>
      <c r="O523" s="3" t="s">
        <v>2939</v>
      </c>
      <c r="P523" s="3" t="s">
        <v>1150</v>
      </c>
      <c r="Q523" s="3" t="s">
        <v>29</v>
      </c>
      <c r="S523" s="27" t="s">
        <v>3750</v>
      </c>
      <c r="T523" s="27">
        <f>IFERROR(__xludf.DUMMYFUNCTION("""COMPUTED_VALUE"""),2011.0)</f>
        <v>2011</v>
      </c>
      <c r="U523" s="1" t="s">
        <v>3751</v>
      </c>
    </row>
    <row r="524">
      <c r="A524" s="4">
        <v>45245.582954467594</v>
      </c>
      <c r="B524" s="3" t="s">
        <v>2934</v>
      </c>
      <c r="C524" s="3" t="s">
        <v>3752</v>
      </c>
      <c r="D524" s="3" t="s">
        <v>358</v>
      </c>
      <c r="E524" s="6">
        <v>45203.0</v>
      </c>
      <c r="F524" s="28">
        <v>15120.0</v>
      </c>
      <c r="G524" s="3" t="s">
        <v>21</v>
      </c>
      <c r="H524" s="3" t="s">
        <v>22</v>
      </c>
      <c r="I524" s="3" t="s">
        <v>1145</v>
      </c>
      <c r="K524" s="3" t="s">
        <v>3753</v>
      </c>
      <c r="L524" s="3" t="s">
        <v>3754</v>
      </c>
      <c r="M524" s="3" t="s">
        <v>3755</v>
      </c>
      <c r="N524" s="3" t="s">
        <v>362</v>
      </c>
      <c r="O524" s="3" t="s">
        <v>2939</v>
      </c>
      <c r="P524" s="3" t="s">
        <v>1150</v>
      </c>
      <c r="Q524" s="3" t="s">
        <v>29</v>
      </c>
      <c r="S524" s="27" t="s">
        <v>3756</v>
      </c>
      <c r="T524" s="27">
        <f>IFERROR(__xludf.DUMMYFUNCTION("""COMPUTED_VALUE"""),2011.0)</f>
        <v>2011</v>
      </c>
      <c r="U524" s="1" t="s">
        <v>3757</v>
      </c>
    </row>
    <row r="525">
      <c r="A525" s="4">
        <v>45245.582954467594</v>
      </c>
      <c r="B525" s="3" t="s">
        <v>2934</v>
      </c>
      <c r="C525" s="3" t="s">
        <v>3758</v>
      </c>
      <c r="D525" s="3" t="s">
        <v>358</v>
      </c>
      <c r="E525" s="6">
        <v>45203.0</v>
      </c>
      <c r="F525" s="28">
        <v>1320.0</v>
      </c>
      <c r="G525" s="3" t="s">
        <v>21</v>
      </c>
      <c r="H525" s="3" t="s">
        <v>22</v>
      </c>
      <c r="I525" s="3" t="s">
        <v>1145</v>
      </c>
      <c r="K525" s="3" t="s">
        <v>3759</v>
      </c>
      <c r="L525" s="3" t="s">
        <v>3760</v>
      </c>
      <c r="M525" s="3" t="s">
        <v>3761</v>
      </c>
      <c r="N525" s="3" t="s">
        <v>362</v>
      </c>
      <c r="O525" s="3" t="s">
        <v>2939</v>
      </c>
      <c r="P525" s="3" t="s">
        <v>1150</v>
      </c>
      <c r="Q525" s="3" t="s">
        <v>29</v>
      </c>
      <c r="S525" s="27" t="s">
        <v>3762</v>
      </c>
      <c r="T525" s="27">
        <f>IFERROR(__xludf.DUMMYFUNCTION("""COMPUTED_VALUE"""),2011.0)</f>
        <v>2011</v>
      </c>
      <c r="U525" s="1" t="s">
        <v>3763</v>
      </c>
    </row>
    <row r="526">
      <c r="A526" s="4">
        <v>45246.77166262732</v>
      </c>
      <c r="B526" s="3" t="s">
        <v>3547</v>
      </c>
      <c r="C526" s="3" t="s">
        <v>3764</v>
      </c>
      <c r="D526" s="3" t="s">
        <v>1049</v>
      </c>
      <c r="E526" s="6">
        <v>45231.0</v>
      </c>
      <c r="F526" s="28">
        <v>1500.0</v>
      </c>
      <c r="G526" s="3" t="s">
        <v>136</v>
      </c>
      <c r="H526" s="3" t="s">
        <v>22</v>
      </c>
      <c r="I526" s="3" t="s">
        <v>1145</v>
      </c>
      <c r="J526" s="3" t="s">
        <v>3765</v>
      </c>
      <c r="K526" s="3" t="s">
        <v>3766</v>
      </c>
      <c r="L526" s="3" t="s">
        <v>3767</v>
      </c>
      <c r="M526" s="3" t="s">
        <v>3768</v>
      </c>
      <c r="N526" s="3" t="s">
        <v>1054</v>
      </c>
      <c r="O526" s="3" t="s">
        <v>3552</v>
      </c>
      <c r="P526" s="3" t="s">
        <v>1150</v>
      </c>
      <c r="Q526" s="3" t="s">
        <v>29</v>
      </c>
      <c r="S526" s="27" t="s">
        <v>3769</v>
      </c>
      <c r="T526" s="27">
        <f>IFERROR(__xludf.DUMMYFUNCTION("""COMPUTED_VALUE"""),634.0)</f>
        <v>634</v>
      </c>
      <c r="U526" s="1" t="s">
        <v>3770</v>
      </c>
    </row>
    <row r="527">
      <c r="A527" s="4">
        <v>45246.98789063658</v>
      </c>
      <c r="B527" s="3" t="s">
        <v>3771</v>
      </c>
      <c r="C527" s="3" t="s">
        <v>3772</v>
      </c>
      <c r="D527" s="3" t="s">
        <v>20</v>
      </c>
      <c r="E527" s="6">
        <v>45231.0</v>
      </c>
      <c r="F527" s="28">
        <v>2230000.0</v>
      </c>
      <c r="G527" s="3" t="s">
        <v>21</v>
      </c>
      <c r="H527" s="3" t="s">
        <v>22</v>
      </c>
      <c r="I527" s="3" t="s">
        <v>930</v>
      </c>
      <c r="K527" s="3" t="s">
        <v>3773</v>
      </c>
      <c r="L527" s="3" t="s">
        <v>3774</v>
      </c>
      <c r="M527" s="3" t="s">
        <v>3775</v>
      </c>
      <c r="N527" s="3" t="s">
        <v>27</v>
      </c>
      <c r="O527" s="3" t="s">
        <v>3776</v>
      </c>
      <c r="P527" s="3" t="s">
        <v>935</v>
      </c>
      <c r="Q527" s="3" t="s">
        <v>29</v>
      </c>
      <c r="S527" s="27" t="s">
        <v>3777</v>
      </c>
      <c r="T527" s="27">
        <f>IFERROR(__xludf.DUMMYFUNCTION("""COMPUTED_VALUE"""),2381.0)</f>
        <v>2381</v>
      </c>
      <c r="U527" s="1" t="s">
        <v>3778</v>
      </c>
    </row>
    <row r="528">
      <c r="A528" s="4">
        <v>45247.13508789352</v>
      </c>
      <c r="B528" s="3" t="s">
        <v>3779</v>
      </c>
      <c r="C528" s="3" t="s">
        <v>3780</v>
      </c>
      <c r="D528" s="3" t="s">
        <v>756</v>
      </c>
      <c r="E528" s="6">
        <v>45200.0</v>
      </c>
      <c r="F528" s="28">
        <v>50000.0</v>
      </c>
      <c r="G528" s="3" t="s">
        <v>21</v>
      </c>
      <c r="H528" s="3" t="s">
        <v>22</v>
      </c>
      <c r="I528" s="3" t="s">
        <v>3781</v>
      </c>
      <c r="J528" s="1" t="s">
        <v>3782</v>
      </c>
      <c r="K528" s="3" t="s">
        <v>3783</v>
      </c>
      <c r="L528" s="3" t="s">
        <v>3784</v>
      </c>
      <c r="M528" s="3" t="s">
        <v>3785</v>
      </c>
      <c r="N528" s="3" t="s">
        <v>760</v>
      </c>
      <c r="O528" s="3" t="s">
        <v>3786</v>
      </c>
      <c r="P528" s="3" t="s">
        <v>3787</v>
      </c>
      <c r="Q528" s="3" t="s">
        <v>29</v>
      </c>
      <c r="S528" s="27" t="s">
        <v>3788</v>
      </c>
      <c r="T528" s="27">
        <f>IFERROR(__xludf.DUMMYFUNCTION("""COMPUTED_VALUE"""),2307.0)</f>
        <v>2307</v>
      </c>
      <c r="U528" s="1" t="s">
        <v>3789</v>
      </c>
    </row>
    <row r="529">
      <c r="A529" s="4">
        <v>45251.173435150464</v>
      </c>
      <c r="B529" s="3" t="s">
        <v>1719</v>
      </c>
      <c r="C529" s="3" t="s">
        <v>3790</v>
      </c>
      <c r="D529" s="3" t="s">
        <v>3791</v>
      </c>
      <c r="E529" s="32">
        <v>45203.0</v>
      </c>
      <c r="F529" s="28">
        <v>24320.0</v>
      </c>
      <c r="G529" s="3" t="s">
        <v>136</v>
      </c>
      <c r="H529" s="3" t="s">
        <v>22</v>
      </c>
      <c r="I529" s="3" t="s">
        <v>3792</v>
      </c>
      <c r="K529" s="3" t="s">
        <v>3793</v>
      </c>
      <c r="L529" s="3" t="s">
        <v>3794</v>
      </c>
      <c r="M529" s="3" t="s">
        <v>3795</v>
      </c>
      <c r="N529" s="3" t="s">
        <v>3796</v>
      </c>
      <c r="O529" s="3" t="s">
        <v>1724</v>
      </c>
      <c r="P529" s="3" t="s">
        <v>3797</v>
      </c>
      <c r="Q529" s="3" t="s">
        <v>29</v>
      </c>
      <c r="S529" s="27" t="s">
        <v>3798</v>
      </c>
      <c r="T529" s="27">
        <f>IFERROR(__xludf.DUMMYFUNCTION("""COMPUTED_VALUE"""),1502.0)</f>
        <v>1502</v>
      </c>
      <c r="U529" s="1" t="s">
        <v>3799</v>
      </c>
    </row>
    <row r="530">
      <c r="A530" s="4">
        <v>45252.757580509264</v>
      </c>
      <c r="B530" s="3" t="s">
        <v>3800</v>
      </c>
      <c r="C530" s="3" t="s">
        <v>3801</v>
      </c>
      <c r="D530" s="3" t="s">
        <v>1049</v>
      </c>
      <c r="E530" s="32">
        <v>45200.0</v>
      </c>
      <c r="F530" s="28">
        <v>2970.0</v>
      </c>
      <c r="G530" s="3" t="s">
        <v>136</v>
      </c>
      <c r="H530" s="3" t="s">
        <v>22</v>
      </c>
      <c r="K530" s="3" t="s">
        <v>3802</v>
      </c>
      <c r="L530" s="3" t="s">
        <v>3803</v>
      </c>
      <c r="M530" s="3" t="s">
        <v>3804</v>
      </c>
      <c r="N530" s="3" t="s">
        <v>1054</v>
      </c>
      <c r="O530" s="3" t="s">
        <v>3805</v>
      </c>
      <c r="Q530" s="3" t="s">
        <v>29</v>
      </c>
      <c r="S530" s="27" t="s">
        <v>3806</v>
      </c>
      <c r="T530" s="27">
        <f>IFERROR(__xludf.DUMMYFUNCTION("""COMPUTED_VALUE"""),2310.0)</f>
        <v>2310</v>
      </c>
      <c r="U530" s="1" t="s">
        <v>3807</v>
      </c>
    </row>
    <row r="531">
      <c r="A531" s="32">
        <v>45259.82471210648</v>
      </c>
      <c r="B531" s="3" t="s">
        <v>482</v>
      </c>
      <c r="C531" s="3" t="s">
        <v>3808</v>
      </c>
      <c r="D531" s="3" t="s">
        <v>358</v>
      </c>
      <c r="E531" s="6">
        <v>45231.0</v>
      </c>
      <c r="F531" s="28">
        <v>13310.0</v>
      </c>
      <c r="G531" s="3" t="s">
        <v>21</v>
      </c>
      <c r="H531" s="3" t="s">
        <v>22</v>
      </c>
      <c r="I531" s="3" t="s">
        <v>1137</v>
      </c>
      <c r="K531" s="3" t="s">
        <v>3809</v>
      </c>
      <c r="L531" s="3" t="s">
        <v>3810</v>
      </c>
      <c r="M531" s="3" t="s">
        <v>3811</v>
      </c>
      <c r="N531" s="3" t="s">
        <v>362</v>
      </c>
      <c r="O531" s="3" t="s">
        <v>487</v>
      </c>
      <c r="P531" s="3" t="s">
        <v>1141</v>
      </c>
      <c r="Q531" s="3" t="s">
        <v>29</v>
      </c>
      <c r="S531" s="27" t="s">
        <v>3812</v>
      </c>
      <c r="T531" s="27">
        <f>IFERROR(__xludf.DUMMYFUNCTION("""COMPUTED_VALUE"""),4.0)</f>
        <v>4</v>
      </c>
      <c r="U531" s="1" t="s">
        <v>3813</v>
      </c>
    </row>
    <row r="532">
      <c r="A532" s="32">
        <v>45264.71032947917</v>
      </c>
      <c r="B532" s="3" t="s">
        <v>3814</v>
      </c>
      <c r="C532" s="3" t="s">
        <v>3815</v>
      </c>
      <c r="D532" s="3" t="s">
        <v>20</v>
      </c>
      <c r="E532" s="32">
        <v>45264.0</v>
      </c>
      <c r="F532" s="28">
        <v>29700.0</v>
      </c>
      <c r="G532" s="3" t="s">
        <v>21</v>
      </c>
      <c r="H532" s="3" t="s">
        <v>22</v>
      </c>
      <c r="I532" s="3" t="s">
        <v>1441</v>
      </c>
      <c r="J532" s="1" t="s">
        <v>3816</v>
      </c>
      <c r="K532" s="3" t="s">
        <v>3817</v>
      </c>
      <c r="L532" s="3" t="s">
        <v>3818</v>
      </c>
      <c r="M532" s="3" t="s">
        <v>3819</v>
      </c>
      <c r="N532" s="3" t="s">
        <v>27</v>
      </c>
      <c r="O532" s="3" t="s">
        <v>3820</v>
      </c>
      <c r="P532" s="3" t="s">
        <v>1445</v>
      </c>
      <c r="Q532" s="3" t="s">
        <v>29</v>
      </c>
      <c r="S532" s="27" t="s">
        <v>3821</v>
      </c>
      <c r="T532" s="27">
        <f>IFERROR(__xludf.DUMMYFUNCTION("""COMPUTED_VALUE"""),2347.0)</f>
        <v>2347</v>
      </c>
      <c r="U532" s="1" t="s">
        <v>3822</v>
      </c>
    </row>
    <row r="533">
      <c r="A533" s="32">
        <v>45266.556932719905</v>
      </c>
      <c r="B533" s="3" t="s">
        <v>2934</v>
      </c>
      <c r="C533" s="3" t="s">
        <v>3823</v>
      </c>
      <c r="D533" s="3" t="s">
        <v>358</v>
      </c>
      <c r="E533" s="6">
        <v>45203.0</v>
      </c>
      <c r="F533" s="28">
        <v>10339.0</v>
      </c>
      <c r="G533" s="3" t="s">
        <v>350</v>
      </c>
      <c r="H533" s="3" t="s">
        <v>22</v>
      </c>
      <c r="I533" s="3" t="s">
        <v>1145</v>
      </c>
      <c r="K533" s="3" t="s">
        <v>3824</v>
      </c>
      <c r="L533" s="3" t="s">
        <v>3825</v>
      </c>
      <c r="M533" s="3" t="s">
        <v>3826</v>
      </c>
      <c r="N533" s="3" t="s">
        <v>362</v>
      </c>
      <c r="O533" s="3" t="s">
        <v>2939</v>
      </c>
      <c r="P533" s="3" t="s">
        <v>1150</v>
      </c>
      <c r="Q533" s="3" t="s">
        <v>29</v>
      </c>
      <c r="S533" s="27" t="s">
        <v>3827</v>
      </c>
      <c r="T533" s="27">
        <f>IFERROR(__xludf.DUMMYFUNCTION("""COMPUTED_VALUE"""),2011.0)</f>
        <v>2011</v>
      </c>
      <c r="U533" s="1" t="s">
        <v>3828</v>
      </c>
    </row>
    <row r="534">
      <c r="A534" s="4">
        <v>45266.556932719905</v>
      </c>
      <c r="B534" s="3" t="s">
        <v>2934</v>
      </c>
      <c r="C534" s="3" t="s">
        <v>3829</v>
      </c>
      <c r="D534" s="3" t="s">
        <v>358</v>
      </c>
      <c r="E534" s="6">
        <v>45203.0</v>
      </c>
      <c r="F534" s="28">
        <v>0.0</v>
      </c>
      <c r="G534" s="3" t="s">
        <v>350</v>
      </c>
      <c r="H534" s="3" t="s">
        <v>22</v>
      </c>
      <c r="I534" s="3" t="s">
        <v>1145</v>
      </c>
      <c r="K534" s="3" t="s">
        <v>3830</v>
      </c>
      <c r="L534" s="3" t="s">
        <v>3831</v>
      </c>
      <c r="M534" s="3" t="s">
        <v>3832</v>
      </c>
      <c r="N534" s="3" t="s">
        <v>362</v>
      </c>
      <c r="O534" s="3" t="s">
        <v>2939</v>
      </c>
      <c r="P534" s="3" t="s">
        <v>1150</v>
      </c>
      <c r="Q534" s="3" t="s">
        <v>29</v>
      </c>
      <c r="S534" s="27" t="s">
        <v>3833</v>
      </c>
      <c r="T534" s="27">
        <f>IFERROR(__xludf.DUMMYFUNCTION("""COMPUTED_VALUE"""),2011.0)</f>
        <v>2011</v>
      </c>
      <c r="U534" s="1" t="s">
        <v>3834</v>
      </c>
    </row>
    <row r="535">
      <c r="A535" s="4">
        <v>45266.570554652775</v>
      </c>
      <c r="B535" s="3" t="s">
        <v>2934</v>
      </c>
      <c r="C535" s="3" t="s">
        <v>3835</v>
      </c>
      <c r="D535" s="3" t="s">
        <v>358</v>
      </c>
      <c r="E535" s="6">
        <v>45261.0</v>
      </c>
      <c r="F535" s="28">
        <v>219593.0</v>
      </c>
      <c r="G535" s="3" t="s">
        <v>21</v>
      </c>
      <c r="H535" s="3" t="s">
        <v>22</v>
      </c>
      <c r="I535" s="3" t="s">
        <v>1145</v>
      </c>
      <c r="J535" s="1" t="s">
        <v>3836</v>
      </c>
      <c r="K535" s="3" t="s">
        <v>3837</v>
      </c>
      <c r="L535" s="3" t="s">
        <v>3838</v>
      </c>
      <c r="M535" s="3" t="s">
        <v>3839</v>
      </c>
      <c r="N535" s="3" t="s">
        <v>362</v>
      </c>
      <c r="O535" s="3" t="s">
        <v>2939</v>
      </c>
      <c r="P535" s="3" t="s">
        <v>1150</v>
      </c>
      <c r="Q535" s="3" t="s">
        <v>29</v>
      </c>
      <c r="S535" s="27" t="s">
        <v>3840</v>
      </c>
      <c r="T535" s="27">
        <f>IFERROR(__xludf.DUMMYFUNCTION("""COMPUTED_VALUE"""),2011.0)</f>
        <v>2011</v>
      </c>
      <c r="U535" s="1" t="s">
        <v>3841</v>
      </c>
    </row>
    <row r="536">
      <c r="A536" s="4">
        <v>45266.570554652775</v>
      </c>
      <c r="B536" s="3" t="s">
        <v>2934</v>
      </c>
      <c r="C536" s="3" t="s">
        <v>3842</v>
      </c>
      <c r="D536" s="3" t="s">
        <v>358</v>
      </c>
      <c r="E536" s="6">
        <v>45261.0</v>
      </c>
      <c r="F536" s="28">
        <v>183367.5</v>
      </c>
      <c r="G536" s="3" t="s">
        <v>21</v>
      </c>
      <c r="H536" s="3" t="s">
        <v>22</v>
      </c>
      <c r="I536" s="3" t="s">
        <v>1145</v>
      </c>
      <c r="J536" s="1" t="s">
        <v>3391</v>
      </c>
      <c r="K536" s="3" t="s">
        <v>3843</v>
      </c>
      <c r="L536" s="3" t="s">
        <v>3844</v>
      </c>
      <c r="M536" s="3" t="s">
        <v>3845</v>
      </c>
      <c r="N536" s="3" t="s">
        <v>362</v>
      </c>
      <c r="O536" s="3" t="s">
        <v>2939</v>
      </c>
      <c r="P536" s="3" t="s">
        <v>1150</v>
      </c>
      <c r="Q536" s="3" t="s">
        <v>29</v>
      </c>
      <c r="S536" s="27" t="s">
        <v>3846</v>
      </c>
      <c r="T536" s="27">
        <f>IFERROR(__xludf.DUMMYFUNCTION("""COMPUTED_VALUE"""),2011.0)</f>
        <v>2011</v>
      </c>
      <c r="U536" s="1" t="s">
        <v>3847</v>
      </c>
    </row>
    <row r="537">
      <c r="A537" s="4">
        <v>45268.58726550926</v>
      </c>
      <c r="B537" s="3" t="s">
        <v>2708</v>
      </c>
      <c r="C537" s="3" t="s">
        <v>3848</v>
      </c>
      <c r="D537" s="3" t="s">
        <v>1049</v>
      </c>
      <c r="E537" s="6">
        <v>45267.0</v>
      </c>
      <c r="F537" s="28">
        <v>1700.0</v>
      </c>
      <c r="G537" s="3" t="s">
        <v>136</v>
      </c>
      <c r="H537" s="3" t="s">
        <v>22</v>
      </c>
      <c r="I537" s="3" t="s">
        <v>1145</v>
      </c>
      <c r="K537" s="3" t="s">
        <v>3849</v>
      </c>
      <c r="L537" s="3" t="s">
        <v>3850</v>
      </c>
      <c r="M537" s="3" t="s">
        <v>3851</v>
      </c>
      <c r="N537" s="3" t="s">
        <v>1054</v>
      </c>
      <c r="O537" s="3" t="s">
        <v>2713</v>
      </c>
      <c r="P537" s="3" t="s">
        <v>1150</v>
      </c>
      <c r="Q537" s="3" t="s">
        <v>29</v>
      </c>
      <c r="S537" s="27" t="s">
        <v>3852</v>
      </c>
      <c r="T537" s="27">
        <f>IFERROR(__xludf.DUMMYFUNCTION("""COMPUTED_VALUE"""),1949.0)</f>
        <v>1949</v>
      </c>
      <c r="U537" s="1" t="s">
        <v>3853</v>
      </c>
    </row>
    <row r="538">
      <c r="A538" s="4">
        <v>45276.598268483795</v>
      </c>
      <c r="B538" s="3" t="s">
        <v>482</v>
      </c>
      <c r="C538" s="3" t="s">
        <v>3854</v>
      </c>
      <c r="D538" s="3" t="s">
        <v>518</v>
      </c>
      <c r="E538" s="6">
        <v>45261.0</v>
      </c>
      <c r="F538" s="28">
        <v>2500.0</v>
      </c>
      <c r="G538" s="3" t="s">
        <v>136</v>
      </c>
      <c r="H538" s="3" t="s">
        <v>22</v>
      </c>
      <c r="I538" s="3" t="s">
        <v>1145</v>
      </c>
      <c r="K538" s="3" t="s">
        <v>3855</v>
      </c>
      <c r="L538" s="3" t="s">
        <v>3856</v>
      </c>
      <c r="M538" s="3" t="s">
        <v>3857</v>
      </c>
      <c r="N538" s="3" t="s">
        <v>523</v>
      </c>
      <c r="O538" s="3" t="s">
        <v>487</v>
      </c>
      <c r="P538" s="3" t="s">
        <v>1150</v>
      </c>
      <c r="Q538" s="3" t="s">
        <v>29</v>
      </c>
      <c r="S538" s="27" t="s">
        <v>3858</v>
      </c>
      <c r="T538" s="27">
        <f>IFERROR(__xludf.DUMMYFUNCTION("""COMPUTED_VALUE"""),4.0)</f>
        <v>4</v>
      </c>
      <c r="U538" s="1" t="s">
        <v>3859</v>
      </c>
    </row>
    <row r="539">
      <c r="A539" s="4">
        <v>45278.55339483796</v>
      </c>
      <c r="B539" s="3" t="s">
        <v>3860</v>
      </c>
      <c r="C539" s="3" t="s">
        <v>3861</v>
      </c>
      <c r="D539" s="3" t="s">
        <v>20</v>
      </c>
      <c r="E539" s="6">
        <v>45200.0</v>
      </c>
      <c r="F539" s="28">
        <v>25990.0</v>
      </c>
      <c r="G539" s="3" t="s">
        <v>21</v>
      </c>
      <c r="H539" s="3" t="s">
        <v>22</v>
      </c>
      <c r="I539" s="3" t="s">
        <v>1116</v>
      </c>
      <c r="J539" s="1" t="s">
        <v>3862</v>
      </c>
      <c r="K539" s="3" t="s">
        <v>3863</v>
      </c>
      <c r="L539" s="3" t="s">
        <v>3864</v>
      </c>
      <c r="M539" s="3" t="s">
        <v>3865</v>
      </c>
      <c r="N539" s="3" t="s">
        <v>27</v>
      </c>
      <c r="O539" s="3" t="s">
        <v>3866</v>
      </c>
      <c r="P539" s="3" t="s">
        <v>1122</v>
      </c>
      <c r="Q539" s="3" t="s">
        <v>29</v>
      </c>
      <c r="S539" s="27" t="s">
        <v>3867</v>
      </c>
      <c r="T539" s="27">
        <f>IFERROR(__xludf.DUMMYFUNCTION("""COMPUTED_VALUE"""),2322.0)</f>
        <v>2322</v>
      </c>
      <c r="U539" s="1" t="s">
        <v>3868</v>
      </c>
    </row>
    <row r="540">
      <c r="A540" s="4">
        <v>45279.6429597338</v>
      </c>
      <c r="B540" s="3" t="s">
        <v>3869</v>
      </c>
      <c r="C540" s="3" t="s">
        <v>3870</v>
      </c>
      <c r="D540" s="3" t="s">
        <v>358</v>
      </c>
      <c r="E540" s="6">
        <v>45104.0</v>
      </c>
      <c r="F540" s="28">
        <v>102052.0</v>
      </c>
      <c r="G540" s="3" t="s">
        <v>21</v>
      </c>
      <c r="H540" s="3" t="s">
        <v>22</v>
      </c>
      <c r="I540" s="3" t="s">
        <v>1145</v>
      </c>
      <c r="K540" s="3" t="s">
        <v>3871</v>
      </c>
      <c r="L540" s="3" t="s">
        <v>3872</v>
      </c>
      <c r="M540" s="3" t="s">
        <v>3873</v>
      </c>
      <c r="N540" s="3" t="s">
        <v>362</v>
      </c>
      <c r="O540" s="3" t="s">
        <v>3874</v>
      </c>
      <c r="P540" s="3" t="s">
        <v>1150</v>
      </c>
      <c r="Q540" s="3" t="s">
        <v>3875</v>
      </c>
      <c r="S540" s="27" t="s">
        <v>3876</v>
      </c>
      <c r="T540" s="27"/>
      <c r="U540" s="1" t="s">
        <v>3877</v>
      </c>
    </row>
    <row r="541">
      <c r="A541" s="4">
        <v>45279.6429597338</v>
      </c>
      <c r="B541" s="3" t="s">
        <v>3878</v>
      </c>
      <c r="C541" s="3" t="s">
        <v>3879</v>
      </c>
      <c r="D541" s="3" t="s">
        <v>358</v>
      </c>
      <c r="E541" s="6">
        <v>45028.0</v>
      </c>
      <c r="F541" s="28">
        <v>79428.0</v>
      </c>
      <c r="G541" s="3" t="s">
        <v>21</v>
      </c>
      <c r="H541" s="3" t="s">
        <v>22</v>
      </c>
      <c r="I541" s="3" t="s">
        <v>1145</v>
      </c>
      <c r="K541" s="3" t="s">
        <v>3880</v>
      </c>
      <c r="L541" s="3" t="s">
        <v>3881</v>
      </c>
      <c r="M541" s="3" t="s">
        <v>3882</v>
      </c>
      <c r="N541" s="3" t="s">
        <v>362</v>
      </c>
      <c r="O541" s="3" t="s">
        <v>3883</v>
      </c>
      <c r="P541" s="3" t="s">
        <v>1150</v>
      </c>
      <c r="Q541" s="3" t="s">
        <v>3875</v>
      </c>
      <c r="S541" s="27" t="s">
        <v>3884</v>
      </c>
      <c r="T541" s="27"/>
      <c r="U541" s="1" t="s">
        <v>3885</v>
      </c>
    </row>
    <row r="542">
      <c r="A542" s="4">
        <v>45280.51703592592</v>
      </c>
      <c r="B542" s="3" t="s">
        <v>3886</v>
      </c>
      <c r="C542" s="3" t="s">
        <v>373</v>
      </c>
      <c r="D542" s="3" t="s">
        <v>20</v>
      </c>
      <c r="E542" s="32">
        <v>45019.0</v>
      </c>
      <c r="F542" s="28">
        <v>27000.0</v>
      </c>
      <c r="G542" s="3" t="s">
        <v>21</v>
      </c>
      <c r="H542" s="3" t="s">
        <v>22</v>
      </c>
      <c r="J542" s="1" t="s">
        <v>3887</v>
      </c>
      <c r="K542" s="3" t="s">
        <v>3888</v>
      </c>
      <c r="L542" s="3" t="s">
        <v>3889</v>
      </c>
      <c r="M542" s="3" t="s">
        <v>3890</v>
      </c>
      <c r="N542" s="3" t="s">
        <v>27</v>
      </c>
      <c r="O542" s="3" t="s">
        <v>3891</v>
      </c>
      <c r="Q542" s="3" t="s">
        <v>3875</v>
      </c>
      <c r="S542" s="27" t="s">
        <v>3892</v>
      </c>
      <c r="T542" s="27">
        <f>IFERROR(__xludf.DUMMYFUNCTION("""COMPUTED_VALUE"""),1522.0)</f>
        <v>1522</v>
      </c>
      <c r="U542" s="1" t="s">
        <v>3893</v>
      </c>
    </row>
    <row r="543">
      <c r="A543" s="4">
        <v>45280.51703592592</v>
      </c>
      <c r="B543" s="3" t="s">
        <v>3886</v>
      </c>
      <c r="C543" s="3" t="s">
        <v>373</v>
      </c>
      <c r="D543" s="3" t="s">
        <v>230</v>
      </c>
      <c r="E543" s="32">
        <v>45259.0</v>
      </c>
      <c r="F543" s="28">
        <v>100.0</v>
      </c>
      <c r="G543" s="3" t="s">
        <v>21</v>
      </c>
      <c r="H543" s="3" t="s">
        <v>22</v>
      </c>
      <c r="K543" s="3" t="s">
        <v>3894</v>
      </c>
      <c r="L543" s="3" t="s">
        <v>3895</v>
      </c>
      <c r="M543" s="3" t="s">
        <v>3896</v>
      </c>
      <c r="N543" s="3" t="s">
        <v>234</v>
      </c>
      <c r="O543" s="3" t="s">
        <v>3891</v>
      </c>
      <c r="Q543" s="3" t="s">
        <v>3875</v>
      </c>
      <c r="S543" s="27" t="s">
        <v>3897</v>
      </c>
      <c r="T543" s="27">
        <f>IFERROR(__xludf.DUMMYFUNCTION("""COMPUTED_VALUE"""),1522.0)</f>
        <v>1522</v>
      </c>
      <c r="U543" s="1" t="s">
        <v>3898</v>
      </c>
    </row>
    <row r="544">
      <c r="A544" s="4">
        <v>45280.51935578704</v>
      </c>
      <c r="B544" s="3" t="s">
        <v>2808</v>
      </c>
      <c r="C544" s="3" t="s">
        <v>3899</v>
      </c>
      <c r="D544" s="3" t="s">
        <v>230</v>
      </c>
      <c r="E544" s="32">
        <v>45093.0</v>
      </c>
      <c r="F544" s="28">
        <v>300.0</v>
      </c>
      <c r="G544" s="3" t="s">
        <v>21</v>
      </c>
      <c r="H544" s="3" t="s">
        <v>22</v>
      </c>
      <c r="K544" s="3" t="s">
        <v>3900</v>
      </c>
      <c r="L544" s="3" t="s">
        <v>3901</v>
      </c>
      <c r="M544" s="3" t="s">
        <v>3902</v>
      </c>
      <c r="N544" s="3" t="s">
        <v>234</v>
      </c>
      <c r="O544" s="3" t="s">
        <v>2813</v>
      </c>
      <c r="Q544" s="3" t="s">
        <v>3875</v>
      </c>
      <c r="S544" s="27" t="s">
        <v>3903</v>
      </c>
      <c r="T544" s="27">
        <f>IFERROR(__xludf.DUMMYFUNCTION("""COMPUTED_VALUE"""),1942.0)</f>
        <v>1942</v>
      </c>
      <c r="U544" s="1" t="s">
        <v>3904</v>
      </c>
    </row>
    <row r="545">
      <c r="A545" s="4">
        <v>45280.53166925926</v>
      </c>
      <c r="B545" s="3" t="s">
        <v>1114</v>
      </c>
      <c r="C545" s="3" t="s">
        <v>3905</v>
      </c>
      <c r="D545" s="3" t="s">
        <v>230</v>
      </c>
      <c r="E545" s="32">
        <v>45200.0</v>
      </c>
      <c r="F545" s="28">
        <v>600.0</v>
      </c>
      <c r="G545" s="3" t="s">
        <v>21</v>
      </c>
      <c r="H545" s="3" t="s">
        <v>22</v>
      </c>
      <c r="J545" s="1" t="s">
        <v>1117</v>
      </c>
      <c r="K545" s="3" t="s">
        <v>3906</v>
      </c>
      <c r="L545" s="3" t="s">
        <v>3907</v>
      </c>
      <c r="M545" s="3" t="s">
        <v>3908</v>
      </c>
      <c r="N545" s="3" t="s">
        <v>234</v>
      </c>
      <c r="O545" s="3" t="s">
        <v>1121</v>
      </c>
      <c r="Q545" s="3" t="s">
        <v>3875</v>
      </c>
      <c r="S545" s="27" t="s">
        <v>3909</v>
      </c>
      <c r="T545" s="27">
        <f>IFERROR(__xludf.DUMMYFUNCTION("""COMPUTED_VALUE"""),1514.0)</f>
        <v>1514</v>
      </c>
      <c r="U545" s="1" t="s">
        <v>3910</v>
      </c>
    </row>
    <row r="546">
      <c r="A546" s="4">
        <v>45280.53166925926</v>
      </c>
      <c r="B546" s="3" t="s">
        <v>3651</v>
      </c>
      <c r="C546" s="3" t="s">
        <v>3911</v>
      </c>
      <c r="D546" s="3" t="s">
        <v>230</v>
      </c>
      <c r="E546" s="6">
        <v>45139.0</v>
      </c>
      <c r="F546" s="28">
        <v>300.0</v>
      </c>
      <c r="G546" s="3" t="s">
        <v>21</v>
      </c>
      <c r="H546" s="3" t="s">
        <v>22</v>
      </c>
      <c r="K546" s="3" t="s">
        <v>3912</v>
      </c>
      <c r="L546" s="3" t="s">
        <v>3913</v>
      </c>
      <c r="M546" s="3" t="s">
        <v>3914</v>
      </c>
      <c r="N546" s="3" t="s">
        <v>234</v>
      </c>
      <c r="O546" s="3" t="s">
        <v>3657</v>
      </c>
      <c r="Q546" s="3" t="s">
        <v>3875</v>
      </c>
      <c r="S546" s="27" t="s">
        <v>3915</v>
      </c>
      <c r="T546" s="27">
        <f>IFERROR(__xludf.DUMMYFUNCTION("""COMPUTED_VALUE"""),2266.0)</f>
        <v>2266</v>
      </c>
      <c r="U546" s="1" t="s">
        <v>3916</v>
      </c>
    </row>
    <row r="547">
      <c r="A547" s="4">
        <v>45280.53166925926</v>
      </c>
      <c r="B547" s="3" t="s">
        <v>1829</v>
      </c>
      <c r="C547" s="3" t="s">
        <v>3917</v>
      </c>
      <c r="D547" s="3" t="s">
        <v>230</v>
      </c>
      <c r="E547" s="6">
        <v>45170.0</v>
      </c>
      <c r="F547" s="28">
        <v>300.0</v>
      </c>
      <c r="G547" s="3" t="s">
        <v>136</v>
      </c>
      <c r="H547" s="3" t="s">
        <v>22</v>
      </c>
      <c r="K547" s="3" t="s">
        <v>3918</v>
      </c>
      <c r="L547" s="3" t="s">
        <v>3919</v>
      </c>
      <c r="M547" s="3" t="s">
        <v>3920</v>
      </c>
      <c r="N547" s="3" t="s">
        <v>234</v>
      </c>
      <c r="O547" s="3" t="s">
        <v>1835</v>
      </c>
      <c r="Q547" s="3" t="s">
        <v>3875</v>
      </c>
      <c r="S547" s="27" t="s">
        <v>3921</v>
      </c>
      <c r="T547" s="27">
        <f>IFERROR(__xludf.DUMMYFUNCTION("""COMPUTED_VALUE"""),1713.0)</f>
        <v>1713</v>
      </c>
      <c r="U547" s="1" t="s">
        <v>3922</v>
      </c>
    </row>
    <row r="548">
      <c r="A548" s="4">
        <v>45280.53166925926</v>
      </c>
      <c r="B548" s="3" t="s">
        <v>572</v>
      </c>
      <c r="C548" s="3" t="s">
        <v>3923</v>
      </c>
      <c r="D548" s="3" t="s">
        <v>230</v>
      </c>
      <c r="E548" s="6">
        <v>44531.0</v>
      </c>
      <c r="F548" s="28">
        <v>100.0</v>
      </c>
      <c r="G548" s="3" t="s">
        <v>21</v>
      </c>
      <c r="H548" s="3" t="s">
        <v>22</v>
      </c>
      <c r="K548" s="3" t="s">
        <v>3924</v>
      </c>
      <c r="L548" s="3" t="s">
        <v>3925</v>
      </c>
      <c r="M548" s="3" t="s">
        <v>3926</v>
      </c>
      <c r="N548" s="3" t="s">
        <v>234</v>
      </c>
      <c r="O548" s="3" t="s">
        <v>578</v>
      </c>
      <c r="Q548" s="3" t="s">
        <v>3875</v>
      </c>
      <c r="S548" s="27" t="s">
        <v>3927</v>
      </c>
      <c r="T548" s="27">
        <f>IFERROR(__xludf.DUMMYFUNCTION("""COMPUTED_VALUE"""),1453.0)</f>
        <v>1453</v>
      </c>
      <c r="U548" s="1" t="s">
        <v>3928</v>
      </c>
    </row>
    <row r="549">
      <c r="A549" s="4">
        <v>45280.53166925926</v>
      </c>
      <c r="B549" s="3" t="s">
        <v>3929</v>
      </c>
      <c r="C549" s="3" t="s">
        <v>3930</v>
      </c>
      <c r="D549" s="3" t="s">
        <v>230</v>
      </c>
      <c r="E549" s="6">
        <v>45292.0</v>
      </c>
      <c r="F549" s="28">
        <v>300.0</v>
      </c>
      <c r="G549" s="3" t="s">
        <v>21</v>
      </c>
      <c r="H549" s="3" t="s">
        <v>22</v>
      </c>
      <c r="K549" s="3" t="s">
        <v>3931</v>
      </c>
      <c r="L549" s="3" t="s">
        <v>3932</v>
      </c>
      <c r="M549" s="3" t="s">
        <v>3933</v>
      </c>
      <c r="N549" s="3" t="s">
        <v>234</v>
      </c>
      <c r="O549" s="3" t="s">
        <v>3934</v>
      </c>
      <c r="Q549" s="3" t="s">
        <v>3875</v>
      </c>
      <c r="S549" s="27" t="s">
        <v>3935</v>
      </c>
      <c r="T549" s="27">
        <f>IFERROR(__xludf.DUMMYFUNCTION("""COMPUTED_VALUE"""),2070.0)</f>
        <v>2070</v>
      </c>
      <c r="U549" s="1" t="s">
        <v>3936</v>
      </c>
    </row>
    <row r="550">
      <c r="A550" s="4">
        <v>45280.54639461805</v>
      </c>
      <c r="B550" s="3" t="s">
        <v>3937</v>
      </c>
      <c r="C550" s="3" t="s">
        <v>3938</v>
      </c>
      <c r="D550" s="3" t="s">
        <v>230</v>
      </c>
      <c r="E550" s="6">
        <v>44835.0</v>
      </c>
      <c r="F550" s="28">
        <v>400.0</v>
      </c>
      <c r="G550" s="3" t="s">
        <v>21</v>
      </c>
      <c r="H550" s="3" t="s">
        <v>22</v>
      </c>
      <c r="K550" s="3" t="s">
        <v>3939</v>
      </c>
      <c r="L550" s="3" t="s">
        <v>3940</v>
      </c>
      <c r="M550" s="3" t="s">
        <v>3941</v>
      </c>
      <c r="N550" s="3" t="s">
        <v>234</v>
      </c>
      <c r="O550" s="3" t="s">
        <v>3942</v>
      </c>
      <c r="Q550" s="3" t="s">
        <v>3875</v>
      </c>
      <c r="S550" s="27" t="s">
        <v>3943</v>
      </c>
      <c r="T550" s="27">
        <f>IFERROR(__xludf.DUMMYFUNCTION("""COMPUTED_VALUE"""),2007.0)</f>
        <v>2007</v>
      </c>
      <c r="U550" s="1" t="s">
        <v>3944</v>
      </c>
    </row>
    <row r="551">
      <c r="A551" s="4">
        <v>45280.54639461805</v>
      </c>
      <c r="B551" s="3" t="s">
        <v>3945</v>
      </c>
      <c r="C551" s="3" t="s">
        <v>3946</v>
      </c>
      <c r="D551" s="3" t="s">
        <v>230</v>
      </c>
      <c r="E551" s="6">
        <v>45266.0</v>
      </c>
      <c r="F551" s="28">
        <v>100.0</v>
      </c>
      <c r="G551" s="3" t="s">
        <v>21</v>
      </c>
      <c r="H551" s="3" t="s">
        <v>22</v>
      </c>
      <c r="K551" s="3" t="s">
        <v>3947</v>
      </c>
      <c r="L551" s="3" t="s">
        <v>3948</v>
      </c>
      <c r="M551" s="3" t="s">
        <v>3949</v>
      </c>
      <c r="N551" s="3" t="s">
        <v>234</v>
      </c>
      <c r="O551" s="3" t="s">
        <v>3950</v>
      </c>
      <c r="Q551" s="3" t="s">
        <v>3875</v>
      </c>
      <c r="S551" s="27" t="s">
        <v>3951</v>
      </c>
      <c r="T551" s="27">
        <f>IFERROR(__xludf.DUMMYFUNCTION("""COMPUTED_VALUE"""),2435.0)</f>
        <v>2435</v>
      </c>
      <c r="U551" s="1" t="s">
        <v>3952</v>
      </c>
    </row>
    <row r="552">
      <c r="A552" s="4">
        <v>45280.54639461805</v>
      </c>
      <c r="B552" s="3" t="s">
        <v>3953</v>
      </c>
      <c r="C552" s="3" t="s">
        <v>3954</v>
      </c>
      <c r="D552" s="3" t="s">
        <v>230</v>
      </c>
      <c r="E552" s="6">
        <v>45047.0</v>
      </c>
      <c r="F552" s="28">
        <v>600.0</v>
      </c>
      <c r="G552" s="3" t="s">
        <v>136</v>
      </c>
      <c r="H552" s="3" t="s">
        <v>22</v>
      </c>
      <c r="J552" s="3" t="s">
        <v>3955</v>
      </c>
      <c r="K552" s="3" t="s">
        <v>3956</v>
      </c>
      <c r="L552" s="3" t="s">
        <v>3957</v>
      </c>
      <c r="M552" s="3" t="s">
        <v>3958</v>
      </c>
      <c r="N552" s="3" t="s">
        <v>234</v>
      </c>
      <c r="O552" s="3" t="s">
        <v>3959</v>
      </c>
      <c r="Q552" s="3" t="s">
        <v>3875</v>
      </c>
      <c r="S552" s="27" t="s">
        <v>3960</v>
      </c>
      <c r="T552" s="27">
        <f>IFERROR(__xludf.DUMMYFUNCTION("""COMPUTED_VALUE"""),2200.0)</f>
        <v>2200</v>
      </c>
      <c r="U552" s="1" t="s">
        <v>3961</v>
      </c>
    </row>
    <row r="553">
      <c r="A553" s="4">
        <v>45280.54639461805</v>
      </c>
      <c r="B553" s="3" t="s">
        <v>3962</v>
      </c>
      <c r="C553" s="3" t="s">
        <v>3963</v>
      </c>
      <c r="D553" s="3" t="s">
        <v>230</v>
      </c>
      <c r="E553" s="6">
        <v>45170.0</v>
      </c>
      <c r="F553" s="28">
        <v>200.0</v>
      </c>
      <c r="G553" s="3" t="s">
        <v>136</v>
      </c>
      <c r="H553" s="3" t="s">
        <v>22</v>
      </c>
      <c r="K553" s="3" t="s">
        <v>3964</v>
      </c>
      <c r="L553" s="3" t="s">
        <v>3965</v>
      </c>
      <c r="M553" s="3" t="s">
        <v>3966</v>
      </c>
      <c r="N553" s="3" t="s">
        <v>234</v>
      </c>
      <c r="O553" s="3" t="s">
        <v>3967</v>
      </c>
      <c r="Q553" s="3" t="s">
        <v>3875</v>
      </c>
      <c r="S553" s="27" t="s">
        <v>3968</v>
      </c>
      <c r="T553" s="27">
        <f>IFERROR(__xludf.DUMMYFUNCTION("""COMPUTED_VALUE"""),2276.0)</f>
        <v>2276</v>
      </c>
      <c r="U553" s="1" t="s">
        <v>3969</v>
      </c>
    </row>
    <row r="554">
      <c r="A554" s="4">
        <v>45282.621896481476</v>
      </c>
      <c r="B554" s="3" t="s">
        <v>2899</v>
      </c>
      <c r="C554" s="3" t="s">
        <v>3970</v>
      </c>
      <c r="D554" s="3" t="s">
        <v>358</v>
      </c>
      <c r="E554" s="6">
        <v>45267.0</v>
      </c>
      <c r="F554" s="28">
        <v>311588.02</v>
      </c>
      <c r="G554" s="3" t="s">
        <v>350</v>
      </c>
      <c r="H554" s="3" t="s">
        <v>22</v>
      </c>
      <c r="K554" s="3" t="s">
        <v>3971</v>
      </c>
      <c r="L554" s="3" t="s">
        <v>3972</v>
      </c>
      <c r="M554" s="3" t="s">
        <v>3973</v>
      </c>
      <c r="N554" s="3" t="s">
        <v>362</v>
      </c>
      <c r="O554" s="3" t="s">
        <v>2904</v>
      </c>
      <c r="Q554" s="3" t="s">
        <v>3875</v>
      </c>
      <c r="R554" s="3" t="b">
        <v>1</v>
      </c>
      <c r="S554" s="27" t="s">
        <v>3974</v>
      </c>
      <c r="T554" s="27"/>
      <c r="U554" s="1" t="s">
        <v>3975</v>
      </c>
    </row>
    <row r="555">
      <c r="A555" s="4">
        <v>45282.621896481476</v>
      </c>
      <c r="B555" s="3" t="s">
        <v>2899</v>
      </c>
      <c r="C555" s="3" t="s">
        <v>3976</v>
      </c>
      <c r="D555" s="3" t="s">
        <v>358</v>
      </c>
      <c r="E555" s="6">
        <v>45267.0</v>
      </c>
      <c r="F555" s="28">
        <v>175247.0</v>
      </c>
      <c r="G555" s="3" t="s">
        <v>350</v>
      </c>
      <c r="H555" s="3" t="s">
        <v>22</v>
      </c>
      <c r="K555" s="3" t="s">
        <v>3977</v>
      </c>
      <c r="L555" s="3" t="s">
        <v>3978</v>
      </c>
      <c r="M555" s="3" t="s">
        <v>3979</v>
      </c>
      <c r="N555" s="3" t="s">
        <v>362</v>
      </c>
      <c r="O555" s="3" t="s">
        <v>2904</v>
      </c>
      <c r="Q555" s="3" t="s">
        <v>3875</v>
      </c>
      <c r="R555" s="3" t="b">
        <v>1</v>
      </c>
      <c r="S555" s="27" t="s">
        <v>3980</v>
      </c>
      <c r="T555" s="27"/>
      <c r="U555" s="1" t="s">
        <v>3981</v>
      </c>
    </row>
    <row r="556">
      <c r="A556" s="4">
        <v>45285.5273121412</v>
      </c>
      <c r="B556" s="3" t="s">
        <v>3982</v>
      </c>
      <c r="C556" s="3" t="s">
        <v>3983</v>
      </c>
      <c r="D556" s="3" t="s">
        <v>20</v>
      </c>
      <c r="E556" s="6">
        <v>45140.0</v>
      </c>
      <c r="F556" s="28">
        <v>22830.0</v>
      </c>
      <c r="G556" s="3" t="s">
        <v>21</v>
      </c>
      <c r="H556" s="3" t="s">
        <v>22</v>
      </c>
      <c r="J556" s="1" t="s">
        <v>3984</v>
      </c>
      <c r="K556" s="3" t="s">
        <v>3985</v>
      </c>
      <c r="L556" s="3" t="s">
        <v>3986</v>
      </c>
      <c r="M556" s="3" t="s">
        <v>3987</v>
      </c>
      <c r="N556" s="3" t="s">
        <v>27</v>
      </c>
      <c r="O556" s="3" t="s">
        <v>3988</v>
      </c>
      <c r="Q556" s="3" t="s">
        <v>3875</v>
      </c>
      <c r="S556" s="27" t="s">
        <v>3989</v>
      </c>
      <c r="T556" s="27">
        <f>IFERROR(__xludf.DUMMYFUNCTION("""COMPUTED_VALUE"""),959.0)</f>
        <v>959</v>
      </c>
      <c r="U556" s="1" t="s">
        <v>3990</v>
      </c>
    </row>
    <row r="557">
      <c r="A557" s="4">
        <v>45288.70380989583</v>
      </c>
      <c r="B557" s="3" t="s">
        <v>393</v>
      </c>
      <c r="C557" s="3" t="s">
        <v>3991</v>
      </c>
      <c r="D557" s="3" t="s">
        <v>20</v>
      </c>
      <c r="E557" s="6">
        <v>45261.0</v>
      </c>
      <c r="F557" s="28">
        <v>2000.0</v>
      </c>
      <c r="G557" s="3" t="s">
        <v>21</v>
      </c>
      <c r="H557" s="3" t="s">
        <v>22</v>
      </c>
      <c r="J557" s="1" t="s">
        <v>2279</v>
      </c>
      <c r="K557" s="3" t="s">
        <v>3992</v>
      </c>
      <c r="L557" s="3" t="s">
        <v>3993</v>
      </c>
      <c r="M557" s="3" t="s">
        <v>3994</v>
      </c>
      <c r="N557" s="3" t="s">
        <v>27</v>
      </c>
      <c r="O557" s="3" t="s">
        <v>398</v>
      </c>
      <c r="Q557" s="3" t="s">
        <v>29</v>
      </c>
      <c r="S557" s="27" t="s">
        <v>3995</v>
      </c>
      <c r="T557" s="27">
        <f>IFERROR(__xludf.DUMMYFUNCTION("""COMPUTED_VALUE"""),1148.0)</f>
        <v>1148</v>
      </c>
      <c r="U557" s="1" t="s">
        <v>3996</v>
      </c>
    </row>
    <row r="558">
      <c r="A558" s="4">
        <v>45288.714654745374</v>
      </c>
      <c r="B558" s="3" t="s">
        <v>322</v>
      </c>
      <c r="C558" s="3" t="s">
        <v>3997</v>
      </c>
      <c r="D558" s="3" t="s">
        <v>20</v>
      </c>
      <c r="E558" s="6">
        <v>45261.0</v>
      </c>
      <c r="F558" s="28">
        <v>616940.0</v>
      </c>
      <c r="G558" s="3" t="s">
        <v>21</v>
      </c>
      <c r="H558" s="3" t="s">
        <v>22</v>
      </c>
      <c r="J558" s="1" t="s">
        <v>3998</v>
      </c>
      <c r="K558" s="3" t="s">
        <v>3999</v>
      </c>
      <c r="L558" s="3" t="s">
        <v>4000</v>
      </c>
      <c r="M558" s="3" t="s">
        <v>4001</v>
      </c>
      <c r="N558" s="3" t="s">
        <v>27</v>
      </c>
      <c r="O558" s="3" t="s">
        <v>327</v>
      </c>
      <c r="Q558" s="3" t="s">
        <v>29</v>
      </c>
      <c r="S558" s="27" t="s">
        <v>4002</v>
      </c>
      <c r="T558" s="27">
        <f>IFERROR(__xludf.DUMMYFUNCTION("""COMPUTED_VALUE"""),1132.0)</f>
        <v>1132</v>
      </c>
      <c r="U558" s="1" t="s">
        <v>4003</v>
      </c>
    </row>
    <row r="559">
      <c r="A559" s="4">
        <v>45288.79911251157</v>
      </c>
      <c r="B559" s="3" t="s">
        <v>482</v>
      </c>
      <c r="C559" s="3" t="s">
        <v>4004</v>
      </c>
      <c r="D559" s="3" t="s">
        <v>1049</v>
      </c>
      <c r="E559" s="6">
        <v>45286.0</v>
      </c>
      <c r="F559" s="28">
        <v>1600.0</v>
      </c>
      <c r="G559" s="3" t="s">
        <v>136</v>
      </c>
      <c r="H559" s="3" t="s">
        <v>22</v>
      </c>
      <c r="I559" s="3" t="s">
        <v>1145</v>
      </c>
      <c r="K559" s="3" t="s">
        <v>4005</v>
      </c>
      <c r="L559" s="3" t="s">
        <v>4006</v>
      </c>
      <c r="M559" s="3" t="s">
        <v>4007</v>
      </c>
      <c r="N559" s="3" t="s">
        <v>1054</v>
      </c>
      <c r="O559" s="3" t="s">
        <v>487</v>
      </c>
      <c r="P559" s="3" t="s">
        <v>1150</v>
      </c>
      <c r="Q559" s="3" t="s">
        <v>29</v>
      </c>
      <c r="S559" s="27" t="s">
        <v>4008</v>
      </c>
      <c r="T559" s="27">
        <f>IFERROR(__xludf.DUMMYFUNCTION("""COMPUTED_VALUE"""),4.0)</f>
        <v>4</v>
      </c>
      <c r="U559" s="1" t="s">
        <v>4009</v>
      </c>
    </row>
    <row r="560">
      <c r="A560" s="4">
        <v>45288.80142579861</v>
      </c>
      <c r="B560" s="3" t="s">
        <v>4010</v>
      </c>
      <c r="C560" s="3" t="s">
        <v>4011</v>
      </c>
      <c r="D560" s="3" t="s">
        <v>518</v>
      </c>
      <c r="E560" s="6">
        <v>45286.0</v>
      </c>
      <c r="F560" s="28">
        <v>2800.0</v>
      </c>
      <c r="G560" s="3" t="s">
        <v>21</v>
      </c>
      <c r="H560" s="3" t="s">
        <v>22</v>
      </c>
      <c r="I560" s="3" t="s">
        <v>1145</v>
      </c>
      <c r="K560" s="3" t="s">
        <v>4012</v>
      </c>
      <c r="L560" s="3" t="s">
        <v>4013</v>
      </c>
      <c r="M560" s="3" t="s">
        <v>4014</v>
      </c>
      <c r="N560" s="3" t="s">
        <v>523</v>
      </c>
      <c r="O560" s="3" t="s">
        <v>4015</v>
      </c>
      <c r="P560" s="3" t="s">
        <v>1150</v>
      </c>
      <c r="Q560" s="3" t="s">
        <v>29</v>
      </c>
      <c r="S560" s="27" t="s">
        <v>4016</v>
      </c>
      <c r="T560" s="27">
        <f>IFERROR(__xludf.DUMMYFUNCTION("""COMPUTED_VALUE"""),796.0)</f>
        <v>796</v>
      </c>
      <c r="U560" s="1" t="s">
        <v>4017</v>
      </c>
    </row>
    <row r="561">
      <c r="A561" s="4">
        <v>45296.691887395835</v>
      </c>
      <c r="B561" s="3" t="s">
        <v>365</v>
      </c>
      <c r="C561" s="3" t="s">
        <v>4018</v>
      </c>
      <c r="D561" s="3" t="s">
        <v>756</v>
      </c>
      <c r="E561" s="6">
        <v>45261.0</v>
      </c>
      <c r="F561" s="28">
        <v>675.0</v>
      </c>
      <c r="G561" s="3" t="s">
        <v>21</v>
      </c>
      <c r="H561" s="3" t="s">
        <v>22</v>
      </c>
      <c r="I561" s="3" t="s">
        <v>3436</v>
      </c>
      <c r="K561" s="3" t="s">
        <v>4019</v>
      </c>
      <c r="L561" s="3" t="s">
        <v>4020</v>
      </c>
      <c r="M561" s="3" t="s">
        <v>4021</v>
      </c>
      <c r="N561" s="3" t="s">
        <v>760</v>
      </c>
      <c r="O561" s="3" t="s">
        <v>370</v>
      </c>
      <c r="P561" s="3" t="s">
        <v>3442</v>
      </c>
      <c r="Q561" s="3" t="s">
        <v>29</v>
      </c>
      <c r="S561" s="27" t="s">
        <v>4022</v>
      </c>
      <c r="T561" s="27">
        <f>IFERROR(__xludf.DUMMYFUNCTION("""COMPUTED_VALUE"""),1108.0)</f>
        <v>1108</v>
      </c>
      <c r="U561" s="1" t="s">
        <v>4023</v>
      </c>
    </row>
    <row r="562">
      <c r="A562" s="4">
        <v>45296.691887395835</v>
      </c>
      <c r="B562" s="3" t="s">
        <v>545</v>
      </c>
      <c r="C562" s="3" t="s">
        <v>4018</v>
      </c>
      <c r="D562" s="3" t="s">
        <v>756</v>
      </c>
      <c r="E562" s="6">
        <v>45261.0</v>
      </c>
      <c r="F562" s="28">
        <v>1000.0</v>
      </c>
      <c r="G562" s="3" t="s">
        <v>21</v>
      </c>
      <c r="H562" s="3" t="s">
        <v>22</v>
      </c>
      <c r="I562" s="3" t="s">
        <v>3436</v>
      </c>
      <c r="K562" s="3" t="s">
        <v>4024</v>
      </c>
      <c r="L562" s="3" t="s">
        <v>4025</v>
      </c>
      <c r="M562" s="3" t="s">
        <v>4026</v>
      </c>
      <c r="N562" s="3" t="s">
        <v>760</v>
      </c>
      <c r="O562" s="3" t="s">
        <v>550</v>
      </c>
      <c r="P562" s="3" t="s">
        <v>3442</v>
      </c>
      <c r="Q562" s="3" t="s">
        <v>29</v>
      </c>
      <c r="S562" s="27" t="s">
        <v>4027</v>
      </c>
      <c r="T562" s="27">
        <f>IFERROR(__xludf.DUMMYFUNCTION("""COMPUTED_VALUE"""),1314.0)</f>
        <v>1314</v>
      </c>
      <c r="U562" s="1" t="s">
        <v>4028</v>
      </c>
    </row>
    <row r="563">
      <c r="A563" s="4">
        <v>45314.77382869213</v>
      </c>
      <c r="B563" s="3" t="s">
        <v>516</v>
      </c>
      <c r="C563" s="3" t="s">
        <v>4029</v>
      </c>
      <c r="D563" s="3" t="s">
        <v>358</v>
      </c>
      <c r="E563" s="6">
        <v>45286.0</v>
      </c>
      <c r="F563" s="28">
        <v>9332.6</v>
      </c>
      <c r="G563" s="3" t="s">
        <v>136</v>
      </c>
      <c r="H563" s="3" t="s">
        <v>22</v>
      </c>
      <c r="I563" s="3" t="s">
        <v>1145</v>
      </c>
      <c r="K563" s="3" t="s">
        <v>4030</v>
      </c>
      <c r="L563" s="3" t="s">
        <v>4031</v>
      </c>
      <c r="M563" s="3" t="s">
        <v>4032</v>
      </c>
      <c r="N563" s="3" t="s">
        <v>362</v>
      </c>
      <c r="O563" s="3" t="s">
        <v>524</v>
      </c>
      <c r="P563" s="3" t="s">
        <v>1150</v>
      </c>
      <c r="Q563" s="3" t="s">
        <v>29</v>
      </c>
      <c r="S563" s="27" t="s">
        <v>4033</v>
      </c>
      <c r="T563" s="27">
        <f>IFERROR(__xludf.DUMMYFUNCTION("""COMPUTED_VALUE"""),1371.0)</f>
        <v>1371</v>
      </c>
      <c r="U563" s="1" t="s">
        <v>4034</v>
      </c>
    </row>
    <row r="564">
      <c r="A564" s="4">
        <v>45319.03268240741</v>
      </c>
      <c r="B564" s="3" t="s">
        <v>2934</v>
      </c>
      <c r="C564" s="3" t="s">
        <v>4035</v>
      </c>
      <c r="D564" s="3" t="s">
        <v>358</v>
      </c>
      <c r="E564" s="6">
        <v>45309.0</v>
      </c>
      <c r="F564" s="28">
        <v>1875.0</v>
      </c>
      <c r="G564" s="3" t="s">
        <v>21</v>
      </c>
      <c r="H564" s="3" t="s">
        <v>22</v>
      </c>
      <c r="I564" s="3" t="s">
        <v>1145</v>
      </c>
      <c r="K564" s="3" t="s">
        <v>4036</v>
      </c>
      <c r="L564" s="3" t="s">
        <v>4037</v>
      </c>
      <c r="M564" s="3" t="s">
        <v>4038</v>
      </c>
      <c r="N564" s="3" t="s">
        <v>362</v>
      </c>
      <c r="O564" s="3" t="s">
        <v>2939</v>
      </c>
      <c r="P564" s="3" t="s">
        <v>1150</v>
      </c>
      <c r="Q564" s="3" t="s">
        <v>29</v>
      </c>
      <c r="S564" s="27" t="s">
        <v>4039</v>
      </c>
      <c r="T564" s="27">
        <f>IFERROR(__xludf.DUMMYFUNCTION("""COMPUTED_VALUE"""),2011.0)</f>
        <v>2011</v>
      </c>
      <c r="U564" s="1" t="s">
        <v>4040</v>
      </c>
    </row>
    <row r="565">
      <c r="A565" s="4">
        <v>45319.039107731485</v>
      </c>
      <c r="B565" s="3" t="s">
        <v>2934</v>
      </c>
      <c r="C565" s="3" t="s">
        <v>4041</v>
      </c>
      <c r="D565" s="3" t="s">
        <v>358</v>
      </c>
      <c r="E565" s="6">
        <v>45309.0</v>
      </c>
      <c r="F565" s="28">
        <v>26817.0</v>
      </c>
      <c r="G565" s="3" t="s">
        <v>136</v>
      </c>
      <c r="H565" s="3" t="s">
        <v>22</v>
      </c>
      <c r="I565" s="3" t="s">
        <v>1145</v>
      </c>
      <c r="K565" s="3" t="s">
        <v>4042</v>
      </c>
      <c r="L565" s="3" t="s">
        <v>4043</v>
      </c>
      <c r="M565" s="3" t="s">
        <v>4044</v>
      </c>
      <c r="N565" s="3" t="s">
        <v>362</v>
      </c>
      <c r="O565" s="3" t="s">
        <v>2939</v>
      </c>
      <c r="P565" s="3" t="s">
        <v>1150</v>
      </c>
      <c r="Q565" s="3" t="s">
        <v>29</v>
      </c>
      <c r="S565" s="27" t="s">
        <v>4045</v>
      </c>
      <c r="T565" s="27">
        <f>IFERROR(__xludf.DUMMYFUNCTION("""COMPUTED_VALUE"""),2011.0)</f>
        <v>2011</v>
      </c>
      <c r="U565" s="1" t="s">
        <v>4046</v>
      </c>
    </row>
    <row r="566">
      <c r="A566" s="4">
        <v>45321.00879798611</v>
      </c>
      <c r="B566" s="3" t="s">
        <v>4047</v>
      </c>
      <c r="C566" s="3" t="s">
        <v>4048</v>
      </c>
      <c r="D566" s="3" t="s">
        <v>20</v>
      </c>
      <c r="E566" s="6">
        <v>45200.0</v>
      </c>
      <c r="F566" s="28">
        <v>323200.0</v>
      </c>
      <c r="G566" s="3" t="s">
        <v>21</v>
      </c>
      <c r="H566" s="3" t="s">
        <v>22</v>
      </c>
      <c r="J566" s="1" t="s">
        <v>4049</v>
      </c>
      <c r="K566" s="3" t="s">
        <v>4050</v>
      </c>
      <c r="L566" s="3" t="s">
        <v>4051</v>
      </c>
      <c r="M566" s="3" t="s">
        <v>4052</v>
      </c>
      <c r="N566" s="3" t="s">
        <v>27</v>
      </c>
      <c r="O566" s="3" t="s">
        <v>4053</v>
      </c>
      <c r="Q566" s="3" t="s">
        <v>29</v>
      </c>
      <c r="S566" s="27" t="s">
        <v>4054</v>
      </c>
      <c r="T566" s="27">
        <f>IFERROR(__xludf.DUMMYFUNCTION("""COMPUTED_VALUE"""),2487.0)</f>
        <v>2487</v>
      </c>
      <c r="U566" s="1" t="s">
        <v>4055</v>
      </c>
    </row>
    <row r="567">
      <c r="A567" s="4">
        <v>45330.0166646412</v>
      </c>
      <c r="B567" s="3" t="s">
        <v>4056</v>
      </c>
      <c r="C567" s="3" t="s">
        <v>4057</v>
      </c>
      <c r="D567" s="3" t="s">
        <v>20</v>
      </c>
      <c r="E567" s="6">
        <v>45327.0</v>
      </c>
      <c r="F567" s="28">
        <v>200000.0</v>
      </c>
      <c r="G567" s="3" t="s">
        <v>21</v>
      </c>
      <c r="H567" s="3" t="s">
        <v>22</v>
      </c>
      <c r="I567" s="3" t="s">
        <v>3781</v>
      </c>
      <c r="K567" s="3" t="s">
        <v>4058</v>
      </c>
      <c r="L567" s="3" t="s">
        <v>4059</v>
      </c>
      <c r="M567" s="3" t="s">
        <v>4060</v>
      </c>
      <c r="N567" s="3" t="s">
        <v>27</v>
      </c>
      <c r="O567" s="3" t="s">
        <v>4061</v>
      </c>
      <c r="P567" s="3" t="s">
        <v>3787</v>
      </c>
      <c r="Q567" s="3" t="s">
        <v>29</v>
      </c>
      <c r="S567" s="27" t="s">
        <v>4062</v>
      </c>
      <c r="T567" s="27">
        <f>IFERROR(__xludf.DUMMYFUNCTION("""COMPUTED_VALUE"""),2413.0)</f>
        <v>2413</v>
      </c>
      <c r="U567" s="1" t="s">
        <v>4063</v>
      </c>
    </row>
    <row r="568">
      <c r="A568" s="4">
        <v>45336.780454872685</v>
      </c>
      <c r="B568" s="3" t="s">
        <v>4064</v>
      </c>
      <c r="C568" s="3" t="s">
        <v>4065</v>
      </c>
      <c r="D568" s="3" t="s">
        <v>358</v>
      </c>
      <c r="E568" s="6">
        <v>45334.0</v>
      </c>
      <c r="F568" s="28">
        <v>118273.05</v>
      </c>
      <c r="G568" s="3" t="s">
        <v>21</v>
      </c>
      <c r="H568" s="3" t="s">
        <v>22</v>
      </c>
      <c r="K568" s="3" t="s">
        <v>4066</v>
      </c>
      <c r="L568" s="3" t="s">
        <v>4067</v>
      </c>
      <c r="M568" s="3" t="s">
        <v>4068</v>
      </c>
      <c r="N568" s="3" t="s">
        <v>362</v>
      </c>
      <c r="O568" s="3" t="s">
        <v>4069</v>
      </c>
      <c r="Q568" s="3" t="s">
        <v>29</v>
      </c>
      <c r="S568" s="27" t="s">
        <v>4070</v>
      </c>
      <c r="T568" s="27"/>
      <c r="U568" s="1" t="s">
        <v>4071</v>
      </c>
    </row>
    <row r="569">
      <c r="A569" s="4">
        <v>45339.60112903935</v>
      </c>
      <c r="B569" s="3" t="s">
        <v>393</v>
      </c>
      <c r="C569" s="3" t="s">
        <v>4072</v>
      </c>
      <c r="D569" s="3" t="s">
        <v>20</v>
      </c>
      <c r="E569" s="6">
        <v>45323.0</v>
      </c>
      <c r="F569" s="28">
        <v>5000.0</v>
      </c>
      <c r="G569" s="3" t="s">
        <v>21</v>
      </c>
      <c r="H569" s="3" t="s">
        <v>22</v>
      </c>
      <c r="J569" s="1" t="s">
        <v>2279</v>
      </c>
      <c r="K569" s="3" t="s">
        <v>4073</v>
      </c>
      <c r="L569" s="3" t="s">
        <v>4074</v>
      </c>
      <c r="M569" s="3" t="s">
        <v>4075</v>
      </c>
      <c r="N569" s="3" t="s">
        <v>27</v>
      </c>
      <c r="O569" s="3" t="s">
        <v>398</v>
      </c>
      <c r="Q569" s="3" t="s">
        <v>29</v>
      </c>
      <c r="S569" s="27" t="s">
        <v>4076</v>
      </c>
      <c r="T569" s="27">
        <f>IFERROR(__xludf.DUMMYFUNCTION("""COMPUTED_VALUE"""),1148.0)</f>
        <v>1148</v>
      </c>
      <c r="U569" s="1" t="s">
        <v>4077</v>
      </c>
    </row>
    <row r="570">
      <c r="A570" s="4">
        <v>45339.606802546296</v>
      </c>
      <c r="B570" s="3" t="s">
        <v>482</v>
      </c>
      <c r="C570" s="3" t="s">
        <v>4078</v>
      </c>
      <c r="D570" s="3" t="s">
        <v>20</v>
      </c>
      <c r="E570" s="6">
        <v>45323.0</v>
      </c>
      <c r="F570" s="28">
        <v>200000.0</v>
      </c>
      <c r="G570" s="3" t="s">
        <v>21</v>
      </c>
      <c r="H570" s="3" t="s">
        <v>22</v>
      </c>
      <c r="K570" s="3" t="s">
        <v>4079</v>
      </c>
      <c r="L570" s="3" t="s">
        <v>4080</v>
      </c>
      <c r="M570" s="3" t="s">
        <v>4081</v>
      </c>
      <c r="N570" s="3" t="s">
        <v>27</v>
      </c>
      <c r="O570" s="3" t="s">
        <v>487</v>
      </c>
      <c r="Q570" s="3" t="s">
        <v>29</v>
      </c>
      <c r="S570" s="27" t="s">
        <v>4082</v>
      </c>
      <c r="T570" s="27">
        <f>IFERROR(__xludf.DUMMYFUNCTION("""COMPUTED_VALUE"""),4.0)</f>
        <v>4</v>
      </c>
      <c r="U570" s="1" t="s">
        <v>4083</v>
      </c>
    </row>
    <row r="571">
      <c r="A571" s="4">
        <v>45342.60087155092</v>
      </c>
      <c r="B571" s="3" t="s">
        <v>242</v>
      </c>
      <c r="C571" s="3" t="s">
        <v>4084</v>
      </c>
      <c r="D571" s="3" t="s">
        <v>20</v>
      </c>
      <c r="E571" s="6">
        <v>45625.0</v>
      </c>
      <c r="F571" s="28">
        <v>25910.0</v>
      </c>
      <c r="G571" s="3" t="s">
        <v>21</v>
      </c>
      <c r="H571" s="3" t="s">
        <v>22</v>
      </c>
      <c r="K571" s="3" t="s">
        <v>4085</v>
      </c>
      <c r="L571" s="3" t="s">
        <v>4086</v>
      </c>
      <c r="M571" s="3" t="s">
        <v>4087</v>
      </c>
      <c r="N571" s="3" t="s">
        <v>27</v>
      </c>
      <c r="O571" s="3" t="s">
        <v>248</v>
      </c>
      <c r="Q571" s="3" t="s">
        <v>29</v>
      </c>
      <c r="S571" s="27" t="s">
        <v>4088</v>
      </c>
      <c r="T571" s="27">
        <f>IFERROR(__xludf.DUMMYFUNCTION("""COMPUTED_VALUE"""),773.0)</f>
        <v>773</v>
      </c>
      <c r="U571" s="1" t="s">
        <v>4089</v>
      </c>
    </row>
    <row r="572">
      <c r="A572" s="4">
        <v>45349.490771122684</v>
      </c>
      <c r="B572" s="3" t="s">
        <v>3517</v>
      </c>
      <c r="C572" s="3" t="s">
        <v>4090</v>
      </c>
      <c r="D572" s="3" t="s">
        <v>358</v>
      </c>
      <c r="E572" s="6">
        <v>45200.0</v>
      </c>
      <c r="F572" s="28">
        <v>122329.89</v>
      </c>
      <c r="G572" s="3" t="s">
        <v>136</v>
      </c>
      <c r="H572" s="3" t="s">
        <v>22</v>
      </c>
      <c r="I572" s="3" t="s">
        <v>1145</v>
      </c>
      <c r="J572" s="1" t="s">
        <v>3645</v>
      </c>
      <c r="K572" s="3" t="s">
        <v>4091</v>
      </c>
      <c r="L572" s="3" t="s">
        <v>4092</v>
      </c>
      <c r="M572" s="3" t="s">
        <v>4093</v>
      </c>
      <c r="N572" s="3" t="s">
        <v>362</v>
      </c>
      <c r="O572" s="3" t="s">
        <v>3523</v>
      </c>
      <c r="P572" s="3" t="s">
        <v>1150</v>
      </c>
      <c r="Q572" s="3" t="s">
        <v>29</v>
      </c>
      <c r="S572" s="27" t="s">
        <v>4094</v>
      </c>
      <c r="T572" s="27">
        <f>IFERROR(__xludf.DUMMYFUNCTION("""COMPUTED_VALUE"""),2223.0)</f>
        <v>2223</v>
      </c>
      <c r="U572" s="1" t="s">
        <v>4095</v>
      </c>
    </row>
    <row r="573">
      <c r="A573" s="4">
        <v>45350.76482282407</v>
      </c>
      <c r="B573" s="3" t="s">
        <v>482</v>
      </c>
      <c r="C573" s="3" t="s">
        <v>4096</v>
      </c>
      <c r="D573" s="3" t="s">
        <v>1049</v>
      </c>
      <c r="E573" s="6">
        <v>45323.0</v>
      </c>
      <c r="F573" s="28">
        <v>1250.0</v>
      </c>
      <c r="G573" s="3" t="s">
        <v>136</v>
      </c>
      <c r="H573" s="3" t="s">
        <v>22</v>
      </c>
      <c r="K573" s="3" t="s">
        <v>4097</v>
      </c>
      <c r="L573" s="3" t="s">
        <v>4098</v>
      </c>
      <c r="M573" s="3" t="s">
        <v>4099</v>
      </c>
      <c r="N573" s="3" t="s">
        <v>1054</v>
      </c>
      <c r="O573" s="3" t="s">
        <v>487</v>
      </c>
      <c r="Q573" s="3" t="s">
        <v>29</v>
      </c>
      <c r="S573" s="27" t="s">
        <v>4100</v>
      </c>
      <c r="T573" s="27">
        <f>IFERROR(__xludf.DUMMYFUNCTION("""COMPUTED_VALUE"""),4.0)</f>
        <v>4</v>
      </c>
      <c r="U573" s="1" t="s">
        <v>4101</v>
      </c>
    </row>
    <row r="574">
      <c r="A574" s="4">
        <v>45351.697754837965</v>
      </c>
      <c r="B574" s="3" t="s">
        <v>3517</v>
      </c>
      <c r="C574" s="3" t="s">
        <v>4102</v>
      </c>
      <c r="D574" s="3" t="s">
        <v>230</v>
      </c>
      <c r="E574" s="6">
        <v>45327.0</v>
      </c>
      <c r="F574" s="28">
        <v>300.0</v>
      </c>
      <c r="G574" s="3" t="s">
        <v>136</v>
      </c>
      <c r="H574" s="3" t="s">
        <v>22</v>
      </c>
      <c r="I574" s="3" t="s">
        <v>3436</v>
      </c>
      <c r="J574" s="1" t="s">
        <v>4103</v>
      </c>
      <c r="K574" s="3" t="s">
        <v>4104</v>
      </c>
      <c r="L574" s="3" t="s">
        <v>4105</v>
      </c>
      <c r="M574" s="3" t="s">
        <v>4106</v>
      </c>
      <c r="N574" s="3" t="s">
        <v>234</v>
      </c>
      <c r="O574" s="3" t="s">
        <v>3523</v>
      </c>
      <c r="P574" s="3" t="s">
        <v>3442</v>
      </c>
      <c r="Q574" s="3" t="s">
        <v>29</v>
      </c>
      <c r="S574" s="27" t="s">
        <v>4107</v>
      </c>
      <c r="T574" s="27">
        <f>IFERROR(__xludf.DUMMYFUNCTION("""COMPUTED_VALUE"""),2223.0)</f>
        <v>2223</v>
      </c>
      <c r="U574" s="1" t="s">
        <v>4108</v>
      </c>
    </row>
    <row r="575">
      <c r="A575" s="4">
        <v>45352.55235221065</v>
      </c>
      <c r="B575" s="3" t="s">
        <v>4109</v>
      </c>
      <c r="C575" s="3" t="s">
        <v>4110</v>
      </c>
      <c r="D575" s="3" t="s">
        <v>20</v>
      </c>
      <c r="E575" s="6">
        <v>45343.0</v>
      </c>
      <c r="F575" s="28">
        <v>130000.0</v>
      </c>
      <c r="G575" s="3" t="s">
        <v>21</v>
      </c>
      <c r="H575" s="3" t="s">
        <v>22</v>
      </c>
      <c r="I575" s="3" t="s">
        <v>3781</v>
      </c>
      <c r="J575" s="1" t="s">
        <v>4111</v>
      </c>
      <c r="K575" s="3" t="s">
        <v>4112</v>
      </c>
      <c r="L575" s="3" t="s">
        <v>4113</v>
      </c>
      <c r="M575" s="3" t="s">
        <v>4114</v>
      </c>
      <c r="N575" s="3" t="s">
        <v>27</v>
      </c>
      <c r="O575" s="3" t="s">
        <v>4115</v>
      </c>
      <c r="P575" s="3" t="s">
        <v>3787</v>
      </c>
      <c r="Q575" s="3" t="s">
        <v>29</v>
      </c>
      <c r="S575" s="27" t="s">
        <v>4116</v>
      </c>
      <c r="T575" s="27">
        <f>IFERROR(__xludf.DUMMYFUNCTION("""COMPUTED_VALUE"""),2433.0)</f>
        <v>2433</v>
      </c>
      <c r="U575" s="1" t="s">
        <v>4117</v>
      </c>
    </row>
    <row r="576">
      <c r="A576" s="4">
        <v>45364.53813925926</v>
      </c>
      <c r="B576" s="3" t="s">
        <v>4118</v>
      </c>
      <c r="C576" s="3" t="s">
        <v>4119</v>
      </c>
      <c r="D576" s="3" t="s">
        <v>20</v>
      </c>
      <c r="E576" s="6">
        <v>45358.0</v>
      </c>
      <c r="F576" s="28">
        <v>195270.0</v>
      </c>
      <c r="G576" s="3" t="s">
        <v>21</v>
      </c>
      <c r="H576" s="3" t="s">
        <v>22</v>
      </c>
      <c r="I576" s="3" t="s">
        <v>3781</v>
      </c>
      <c r="J576" s="1" t="s">
        <v>4120</v>
      </c>
      <c r="K576" s="3" t="s">
        <v>4121</v>
      </c>
      <c r="L576" s="3" t="s">
        <v>4122</v>
      </c>
      <c r="M576" s="3" t="s">
        <v>4123</v>
      </c>
      <c r="N576" s="3" t="s">
        <v>27</v>
      </c>
      <c r="O576" s="3" t="s">
        <v>4124</v>
      </c>
      <c r="P576" s="3" t="s">
        <v>3787</v>
      </c>
      <c r="Q576" s="3" t="s">
        <v>29</v>
      </c>
      <c r="S576" s="27" t="s">
        <v>4125</v>
      </c>
      <c r="T576" s="27">
        <f>IFERROR(__xludf.DUMMYFUNCTION("""COMPUTED_VALUE"""),2478.0)</f>
        <v>2478</v>
      </c>
      <c r="U576" s="1" t="s">
        <v>4126</v>
      </c>
    </row>
    <row r="577">
      <c r="A577" s="4">
        <v>45364.79018994213</v>
      </c>
      <c r="B577" s="3" t="s">
        <v>393</v>
      </c>
      <c r="C577" s="3" t="s">
        <v>4127</v>
      </c>
      <c r="D577" s="3" t="s">
        <v>20</v>
      </c>
      <c r="E577" s="6">
        <v>45352.0</v>
      </c>
      <c r="F577" s="28">
        <v>2000.0</v>
      </c>
      <c r="G577" s="3" t="s">
        <v>136</v>
      </c>
      <c r="H577" s="3" t="s">
        <v>22</v>
      </c>
      <c r="K577" s="3" t="s">
        <v>4128</v>
      </c>
      <c r="L577" s="3" t="s">
        <v>4129</v>
      </c>
      <c r="M577" s="3" t="s">
        <v>4130</v>
      </c>
      <c r="N577" s="3" t="s">
        <v>27</v>
      </c>
      <c r="O577" s="3" t="s">
        <v>398</v>
      </c>
      <c r="Q577" s="3" t="s">
        <v>29</v>
      </c>
      <c r="S577" s="27" t="s">
        <v>4131</v>
      </c>
      <c r="T577" s="27">
        <f>IFERROR(__xludf.DUMMYFUNCTION("""COMPUTED_VALUE"""),1148.0)</f>
        <v>1148</v>
      </c>
      <c r="U577" s="1" t="s">
        <v>4132</v>
      </c>
    </row>
    <row r="578">
      <c r="A578" s="4">
        <v>45370.51392894676</v>
      </c>
      <c r="B578" s="3" t="s">
        <v>4133</v>
      </c>
      <c r="C578" s="3" t="s">
        <v>4134</v>
      </c>
      <c r="D578" s="3" t="s">
        <v>358</v>
      </c>
      <c r="E578" s="6">
        <v>45356.0</v>
      </c>
      <c r="F578" s="28">
        <v>110000.0</v>
      </c>
      <c r="G578" s="3" t="s">
        <v>21</v>
      </c>
      <c r="H578" s="3" t="s">
        <v>22</v>
      </c>
      <c r="I578" s="3" t="s">
        <v>1145</v>
      </c>
      <c r="J578" s="1" t="s">
        <v>4135</v>
      </c>
      <c r="K578" s="3" t="s">
        <v>4136</v>
      </c>
      <c r="L578" s="3" t="s">
        <v>4137</v>
      </c>
      <c r="M578" s="3" t="s">
        <v>4138</v>
      </c>
      <c r="N578" s="3" t="s">
        <v>362</v>
      </c>
      <c r="O578" s="3" t="s">
        <v>4139</v>
      </c>
      <c r="P578" s="3" t="s">
        <v>1150</v>
      </c>
      <c r="Q578" s="3" t="s">
        <v>29</v>
      </c>
      <c r="S578" s="27" t="s">
        <v>4140</v>
      </c>
      <c r="T578" s="27">
        <f>IFERROR(__xludf.DUMMYFUNCTION("""COMPUTED_VALUE"""),2440.0)</f>
        <v>2440</v>
      </c>
      <c r="U578" s="1" t="s">
        <v>4141</v>
      </c>
    </row>
    <row r="579">
      <c r="A579" s="4">
        <v>45371.60147708333</v>
      </c>
      <c r="B579" s="3" t="s">
        <v>4142</v>
      </c>
      <c r="C579" s="3" t="s">
        <v>4143</v>
      </c>
      <c r="D579" s="3" t="s">
        <v>20</v>
      </c>
      <c r="E579" s="6">
        <v>45352.0</v>
      </c>
      <c r="F579" s="28">
        <v>100000.0</v>
      </c>
      <c r="G579" s="3" t="s">
        <v>21</v>
      </c>
      <c r="H579" s="3" t="s">
        <v>22</v>
      </c>
      <c r="I579" s="3" t="s">
        <v>1124</v>
      </c>
      <c r="K579" s="3" t="s">
        <v>4144</v>
      </c>
      <c r="L579" s="3" t="s">
        <v>4145</v>
      </c>
      <c r="M579" s="3" t="s">
        <v>4146</v>
      </c>
      <c r="N579" s="3" t="s">
        <v>27</v>
      </c>
      <c r="O579" s="3" t="s">
        <v>4147</v>
      </c>
      <c r="P579" s="3" t="s">
        <v>1129</v>
      </c>
      <c r="Q579" s="3" t="s">
        <v>29</v>
      </c>
      <c r="S579" s="27" t="s">
        <v>4148</v>
      </c>
      <c r="T579" s="27"/>
      <c r="U579" s="1" t="s">
        <v>4149</v>
      </c>
    </row>
    <row r="580">
      <c r="A580" s="4">
        <v>45371.60861704861</v>
      </c>
      <c r="B580" s="3" t="s">
        <v>4150</v>
      </c>
      <c r="C580" s="3" t="s">
        <v>4151</v>
      </c>
      <c r="D580" s="3" t="s">
        <v>20</v>
      </c>
      <c r="E580" s="6">
        <v>45292.0</v>
      </c>
      <c r="F580" s="28">
        <v>97800.0</v>
      </c>
      <c r="G580" s="3" t="s">
        <v>136</v>
      </c>
      <c r="H580" s="3" t="s">
        <v>22</v>
      </c>
      <c r="I580" s="3" t="s">
        <v>1124</v>
      </c>
      <c r="J580" s="1" t="s">
        <v>4152</v>
      </c>
      <c r="K580" s="3" t="s">
        <v>4153</v>
      </c>
      <c r="L580" s="3" t="s">
        <v>4154</v>
      </c>
      <c r="M580" s="3" t="s">
        <v>4155</v>
      </c>
      <c r="N580" s="3" t="s">
        <v>27</v>
      </c>
      <c r="O580" s="3" t="s">
        <v>4156</v>
      </c>
      <c r="P580" s="3" t="s">
        <v>1129</v>
      </c>
      <c r="Q580" s="3" t="s">
        <v>29</v>
      </c>
      <c r="S580" s="27" t="s">
        <v>4157</v>
      </c>
      <c r="T580" s="27">
        <f>IFERROR(__xludf.DUMMYFUNCTION("""COMPUTED_VALUE"""),2479.0)</f>
        <v>2479</v>
      </c>
      <c r="U580" s="1" t="s">
        <v>4158</v>
      </c>
    </row>
    <row r="581">
      <c r="A581" s="4">
        <v>45372.797509780095</v>
      </c>
      <c r="B581" s="3" t="s">
        <v>4159</v>
      </c>
      <c r="C581" s="3" t="s">
        <v>4160</v>
      </c>
      <c r="D581" s="3" t="s">
        <v>20</v>
      </c>
      <c r="E581" s="6">
        <v>45142.0</v>
      </c>
      <c r="F581" s="28">
        <v>191360.0</v>
      </c>
      <c r="G581" s="3" t="s">
        <v>21</v>
      </c>
      <c r="H581" s="3" t="s">
        <v>22</v>
      </c>
      <c r="J581" s="1" t="s">
        <v>4161</v>
      </c>
      <c r="K581" s="3" t="s">
        <v>4162</v>
      </c>
      <c r="L581" s="3" t="s">
        <v>4163</v>
      </c>
      <c r="M581" s="3" t="s">
        <v>4164</v>
      </c>
      <c r="N581" s="3" t="s">
        <v>27</v>
      </c>
      <c r="O581" s="3" t="s">
        <v>4165</v>
      </c>
      <c r="Q581" s="3" t="s">
        <v>29</v>
      </c>
      <c r="S581" s="27" t="s">
        <v>4166</v>
      </c>
      <c r="T581" s="27">
        <f>IFERROR(__xludf.DUMMYFUNCTION("""COMPUTED_VALUE"""),2290.0)</f>
        <v>2290</v>
      </c>
      <c r="U581" s="1" t="s">
        <v>4167</v>
      </c>
    </row>
    <row r="582">
      <c r="A582" s="4">
        <v>45376.4854656713</v>
      </c>
      <c r="B582" s="3" t="s">
        <v>3215</v>
      </c>
      <c r="C582" s="3" t="s">
        <v>4168</v>
      </c>
      <c r="D582" s="3" t="s">
        <v>358</v>
      </c>
      <c r="E582" s="6">
        <v>45210.0</v>
      </c>
      <c r="F582" s="28">
        <v>83274.0</v>
      </c>
      <c r="G582" s="3" t="s">
        <v>350</v>
      </c>
      <c r="H582" s="3" t="s">
        <v>22</v>
      </c>
      <c r="I582" s="3" t="s">
        <v>1145</v>
      </c>
      <c r="K582" s="3" t="s">
        <v>4169</v>
      </c>
      <c r="L582" s="3" t="s">
        <v>4170</v>
      </c>
      <c r="M582" s="3" t="s">
        <v>4171</v>
      </c>
      <c r="N582" s="3" t="s">
        <v>362</v>
      </c>
      <c r="O582" s="3" t="s">
        <v>3220</v>
      </c>
      <c r="P582" s="3" t="s">
        <v>1150</v>
      </c>
      <c r="Q582" s="3" t="s">
        <v>29</v>
      </c>
      <c r="S582" s="27" t="s">
        <v>4172</v>
      </c>
      <c r="T582" s="27">
        <f>IFERROR(__xludf.DUMMYFUNCTION("""COMPUTED_VALUE"""),2050.0)</f>
        <v>2050</v>
      </c>
      <c r="U582" s="1" t="s">
        <v>4173</v>
      </c>
    </row>
    <row r="583">
      <c r="A583" s="4">
        <v>45376.4854656713</v>
      </c>
      <c r="B583" s="3" t="s">
        <v>3215</v>
      </c>
      <c r="C583" s="3" t="s">
        <v>4174</v>
      </c>
      <c r="D583" s="3" t="s">
        <v>358</v>
      </c>
      <c r="E583" s="6">
        <v>45352.0</v>
      </c>
      <c r="F583" s="28">
        <v>22000.0</v>
      </c>
      <c r="G583" s="3" t="s">
        <v>21</v>
      </c>
      <c r="H583" s="3" t="s">
        <v>22</v>
      </c>
      <c r="I583" s="3" t="s">
        <v>1145</v>
      </c>
      <c r="K583" s="3" t="s">
        <v>4175</v>
      </c>
      <c r="L583" s="3" t="s">
        <v>4176</v>
      </c>
      <c r="M583" s="3" t="s">
        <v>4177</v>
      </c>
      <c r="N583" s="3" t="s">
        <v>362</v>
      </c>
      <c r="O583" s="3" t="s">
        <v>3220</v>
      </c>
      <c r="P583" s="3" t="s">
        <v>1150</v>
      </c>
      <c r="Q583" s="3" t="s">
        <v>29</v>
      </c>
      <c r="S583" s="27" t="s">
        <v>4178</v>
      </c>
      <c r="T583" s="27">
        <f>IFERROR(__xludf.DUMMYFUNCTION("""COMPUTED_VALUE"""),2050.0)</f>
        <v>2050</v>
      </c>
      <c r="U583" s="1" t="s">
        <v>4179</v>
      </c>
    </row>
    <row r="584">
      <c r="A584" s="4">
        <v>45379.76129064815</v>
      </c>
      <c r="B584" s="3" t="s">
        <v>4180</v>
      </c>
      <c r="C584" s="3" t="s">
        <v>3548</v>
      </c>
      <c r="D584" s="3" t="s">
        <v>358</v>
      </c>
      <c r="E584" s="6">
        <v>45236.0</v>
      </c>
      <c r="F584" s="28">
        <v>7370.0</v>
      </c>
      <c r="G584" s="3" t="s">
        <v>21</v>
      </c>
      <c r="H584" s="3" t="s">
        <v>22</v>
      </c>
      <c r="I584" s="3" t="s">
        <v>1160</v>
      </c>
      <c r="J584" s="1" t="s">
        <v>4181</v>
      </c>
      <c r="K584" s="3" t="s">
        <v>4182</v>
      </c>
      <c r="L584" s="3" t="s">
        <v>4183</v>
      </c>
      <c r="M584" s="3" t="s">
        <v>4184</v>
      </c>
      <c r="N584" s="3" t="s">
        <v>362</v>
      </c>
      <c r="O584" s="3" t="s">
        <v>4185</v>
      </c>
      <c r="P584" s="3" t="s">
        <v>1163</v>
      </c>
      <c r="Q584" s="3" t="s">
        <v>29</v>
      </c>
      <c r="S584" s="27" t="s">
        <v>4186</v>
      </c>
      <c r="T584" s="27">
        <f>IFERROR(__xludf.DUMMYFUNCTION("""COMPUTED_VALUE"""),2323.0)</f>
        <v>2323</v>
      </c>
      <c r="U584" s="1" t="s">
        <v>4187</v>
      </c>
    </row>
    <row r="585">
      <c r="A585" s="4">
        <v>45380.79313763889</v>
      </c>
      <c r="B585" s="3" t="s">
        <v>4188</v>
      </c>
      <c r="C585" s="3" t="s">
        <v>4189</v>
      </c>
      <c r="D585" s="3" t="s">
        <v>20</v>
      </c>
      <c r="E585" s="6">
        <v>45380.0</v>
      </c>
      <c r="F585" s="28">
        <v>45150.0</v>
      </c>
      <c r="G585" s="3" t="s">
        <v>21</v>
      </c>
      <c r="H585" s="3" t="s">
        <v>22</v>
      </c>
      <c r="I585" s="3" t="s">
        <v>3781</v>
      </c>
      <c r="J585" s="1" t="s">
        <v>4190</v>
      </c>
      <c r="K585" s="3" t="s">
        <v>4191</v>
      </c>
      <c r="L585" s="3" t="s">
        <v>4192</v>
      </c>
      <c r="M585" s="3" t="s">
        <v>4193</v>
      </c>
      <c r="N585" s="3" t="s">
        <v>27</v>
      </c>
      <c r="O585" s="3" t="s">
        <v>4194</v>
      </c>
      <c r="P585" s="3" t="s">
        <v>3787</v>
      </c>
      <c r="Q585" s="3" t="s">
        <v>29</v>
      </c>
      <c r="S585" s="27" t="s">
        <v>4195</v>
      </c>
      <c r="T585" s="27">
        <f>IFERROR(__xludf.DUMMYFUNCTION("""COMPUTED_VALUE"""),2515.0)</f>
        <v>2515</v>
      </c>
      <c r="U585" s="1" t="s">
        <v>4196</v>
      </c>
    </row>
    <row r="586">
      <c r="A586" s="4">
        <v>45386.68091604167</v>
      </c>
      <c r="B586" s="3" t="s">
        <v>3278</v>
      </c>
      <c r="C586" s="3" t="s">
        <v>4197</v>
      </c>
      <c r="D586" s="3" t="s">
        <v>20</v>
      </c>
      <c r="E586" s="6">
        <v>45323.0</v>
      </c>
      <c r="F586" s="28">
        <v>120000.0</v>
      </c>
      <c r="G586" s="3" t="s">
        <v>21</v>
      </c>
      <c r="H586" s="3" t="s">
        <v>22</v>
      </c>
      <c r="K586" s="3" t="s">
        <v>4198</v>
      </c>
      <c r="L586" s="3" t="s">
        <v>4199</v>
      </c>
      <c r="M586" s="3" t="s">
        <v>4200</v>
      </c>
      <c r="N586" s="3" t="s">
        <v>27</v>
      </c>
      <c r="O586" s="3" t="s">
        <v>3284</v>
      </c>
      <c r="Q586" s="3" t="s">
        <v>29</v>
      </c>
      <c r="S586" s="27" t="s">
        <v>4201</v>
      </c>
      <c r="T586" s="27">
        <f>IFERROR(__xludf.DUMMYFUNCTION("""COMPUTED_VALUE"""),2176.0)</f>
        <v>2176</v>
      </c>
      <c r="U586" s="1" t="s">
        <v>4202</v>
      </c>
    </row>
    <row r="587">
      <c r="A587" s="4">
        <v>45387.54812064815</v>
      </c>
      <c r="B587" s="3" t="s">
        <v>4203</v>
      </c>
      <c r="C587" s="3" t="s">
        <v>4204</v>
      </c>
      <c r="D587" s="3" t="s">
        <v>230</v>
      </c>
      <c r="E587" s="6">
        <v>45200.0</v>
      </c>
      <c r="F587" s="28">
        <v>200.0</v>
      </c>
      <c r="G587" s="3" t="s">
        <v>21</v>
      </c>
      <c r="H587" s="3" t="s">
        <v>22</v>
      </c>
      <c r="I587" s="3" t="s">
        <v>3436</v>
      </c>
      <c r="K587" s="3" t="s">
        <v>4205</v>
      </c>
      <c r="L587" s="3" t="s">
        <v>4206</v>
      </c>
      <c r="M587" s="3" t="s">
        <v>4207</v>
      </c>
      <c r="N587" s="3" t="s">
        <v>234</v>
      </c>
      <c r="O587" s="3" t="s">
        <v>4208</v>
      </c>
      <c r="P587" s="3" t="s">
        <v>3442</v>
      </c>
      <c r="Q587" s="3" t="s">
        <v>29</v>
      </c>
      <c r="S587" s="27" t="s">
        <v>4209</v>
      </c>
      <c r="T587" s="27">
        <f>IFERROR(__xludf.DUMMYFUNCTION("""COMPUTED_VALUE"""),2371.0)</f>
        <v>2371</v>
      </c>
      <c r="U587" s="1" t="s">
        <v>4210</v>
      </c>
    </row>
    <row r="588">
      <c r="A588" s="4">
        <v>45387.561662141205</v>
      </c>
      <c r="B588" s="3" t="s">
        <v>4211</v>
      </c>
      <c r="C588" s="3" t="s">
        <v>4212</v>
      </c>
      <c r="D588" s="3" t="s">
        <v>230</v>
      </c>
      <c r="E588" s="6">
        <v>45292.0</v>
      </c>
      <c r="F588" s="28">
        <v>300.0</v>
      </c>
      <c r="G588" s="3" t="s">
        <v>21</v>
      </c>
      <c r="H588" s="3" t="s">
        <v>22</v>
      </c>
      <c r="I588" s="3" t="s">
        <v>3436</v>
      </c>
      <c r="K588" s="3" t="s">
        <v>4213</v>
      </c>
      <c r="L588" s="3" t="s">
        <v>4214</v>
      </c>
      <c r="M588" s="3" t="s">
        <v>4215</v>
      </c>
      <c r="N588" s="3" t="s">
        <v>234</v>
      </c>
      <c r="O588" s="3" t="s">
        <v>4216</v>
      </c>
      <c r="P588" s="3" t="s">
        <v>3442</v>
      </c>
      <c r="Q588" s="3" t="s">
        <v>29</v>
      </c>
      <c r="S588" s="27" t="s">
        <v>4217</v>
      </c>
      <c r="T588" s="27">
        <f>IFERROR(__xludf.DUMMYFUNCTION("""COMPUTED_VALUE"""),2407.0)</f>
        <v>2407</v>
      </c>
      <c r="U588" s="1" t="s">
        <v>4218</v>
      </c>
    </row>
    <row r="589">
      <c r="A589" s="4">
        <v>45387.561662141205</v>
      </c>
      <c r="B589" s="3" t="s">
        <v>4219</v>
      </c>
      <c r="C589" s="3" t="s">
        <v>4220</v>
      </c>
      <c r="D589" s="3" t="s">
        <v>230</v>
      </c>
      <c r="E589" s="6">
        <v>45292.0</v>
      </c>
      <c r="F589" s="28">
        <v>300.0</v>
      </c>
      <c r="G589" s="3" t="s">
        <v>21</v>
      </c>
      <c r="H589" s="3" t="s">
        <v>22</v>
      </c>
      <c r="I589" s="3" t="s">
        <v>3436</v>
      </c>
      <c r="K589" s="3" t="s">
        <v>4221</v>
      </c>
      <c r="L589" s="3" t="s">
        <v>4222</v>
      </c>
      <c r="M589" s="3" t="s">
        <v>4223</v>
      </c>
      <c r="N589" s="3" t="s">
        <v>234</v>
      </c>
      <c r="O589" s="3" t="s">
        <v>4224</v>
      </c>
      <c r="P589" s="3" t="s">
        <v>3442</v>
      </c>
      <c r="Q589" s="3" t="s">
        <v>29</v>
      </c>
      <c r="S589" s="27" t="s">
        <v>4225</v>
      </c>
      <c r="T589" s="27">
        <f>IFERROR(__xludf.DUMMYFUNCTION("""COMPUTED_VALUE"""),2436.0)</f>
        <v>2436</v>
      </c>
      <c r="U589" s="1" t="s">
        <v>4226</v>
      </c>
    </row>
    <row r="590">
      <c r="A590" s="4">
        <v>45387.561662141205</v>
      </c>
      <c r="B590" s="3" t="s">
        <v>4227</v>
      </c>
      <c r="C590" s="3" t="s">
        <v>4228</v>
      </c>
      <c r="D590" s="3" t="s">
        <v>230</v>
      </c>
      <c r="E590" s="6">
        <v>45292.0</v>
      </c>
      <c r="F590" s="28">
        <v>300.0</v>
      </c>
      <c r="G590" s="3" t="s">
        <v>21</v>
      </c>
      <c r="H590" s="3" t="s">
        <v>22</v>
      </c>
      <c r="I590" s="3" t="s">
        <v>3436</v>
      </c>
      <c r="K590" s="3" t="s">
        <v>4229</v>
      </c>
      <c r="L590" s="3" t="s">
        <v>4230</v>
      </c>
      <c r="M590" s="3" t="s">
        <v>4231</v>
      </c>
      <c r="N590" s="3" t="s">
        <v>234</v>
      </c>
      <c r="O590" s="3" t="s">
        <v>4232</v>
      </c>
      <c r="P590" s="3" t="s">
        <v>3442</v>
      </c>
      <c r="Q590" s="3" t="s">
        <v>29</v>
      </c>
      <c r="S590" s="27" t="s">
        <v>4233</v>
      </c>
      <c r="T590" s="27">
        <f>IFERROR(__xludf.DUMMYFUNCTION("""COMPUTED_VALUE"""),2437.0)</f>
        <v>2437</v>
      </c>
      <c r="U590" s="1" t="s">
        <v>4234</v>
      </c>
    </row>
    <row r="591">
      <c r="A591" s="4">
        <v>45387.561662141205</v>
      </c>
      <c r="B591" s="3" t="s">
        <v>4235</v>
      </c>
      <c r="C591" s="3" t="s">
        <v>4236</v>
      </c>
      <c r="D591" s="3" t="s">
        <v>230</v>
      </c>
      <c r="E591" s="6">
        <v>45292.0</v>
      </c>
      <c r="F591" s="28">
        <v>200.0</v>
      </c>
      <c r="G591" s="3" t="s">
        <v>21</v>
      </c>
      <c r="H591" s="3" t="s">
        <v>22</v>
      </c>
      <c r="I591" s="3" t="s">
        <v>3436</v>
      </c>
      <c r="K591" s="3" t="s">
        <v>4237</v>
      </c>
      <c r="L591" s="3" t="s">
        <v>4238</v>
      </c>
      <c r="M591" s="3" t="s">
        <v>4239</v>
      </c>
      <c r="N591" s="3" t="s">
        <v>234</v>
      </c>
      <c r="O591" s="3" t="s">
        <v>4240</v>
      </c>
      <c r="P591" s="3" t="s">
        <v>3442</v>
      </c>
      <c r="Q591" s="3" t="s">
        <v>29</v>
      </c>
      <c r="S591" s="27" t="s">
        <v>4241</v>
      </c>
      <c r="T591" s="27">
        <f>IFERROR(__xludf.DUMMYFUNCTION("""COMPUTED_VALUE"""),2394.0)</f>
        <v>2394</v>
      </c>
      <c r="U591" s="1" t="s">
        <v>4242</v>
      </c>
    </row>
    <row r="592">
      <c r="A592" s="4">
        <v>45387.561662141205</v>
      </c>
      <c r="B592" s="3" t="s">
        <v>4243</v>
      </c>
      <c r="C592" s="3" t="s">
        <v>4244</v>
      </c>
      <c r="D592" s="3" t="s">
        <v>230</v>
      </c>
      <c r="E592" s="6">
        <v>45292.0</v>
      </c>
      <c r="F592" s="28">
        <v>200.0</v>
      </c>
      <c r="G592" s="3" t="s">
        <v>21</v>
      </c>
      <c r="H592" s="3" t="s">
        <v>22</v>
      </c>
      <c r="I592" s="3" t="s">
        <v>3436</v>
      </c>
      <c r="J592" s="1" t="s">
        <v>4245</v>
      </c>
      <c r="K592" s="3" t="s">
        <v>4246</v>
      </c>
      <c r="L592" s="3" t="s">
        <v>4247</v>
      </c>
      <c r="M592" s="3" t="s">
        <v>4248</v>
      </c>
      <c r="N592" s="3" t="s">
        <v>234</v>
      </c>
      <c r="O592" s="3" t="s">
        <v>4249</v>
      </c>
      <c r="P592" s="3" t="s">
        <v>3442</v>
      </c>
      <c r="Q592" s="3" t="s">
        <v>29</v>
      </c>
      <c r="S592" s="27" t="s">
        <v>4250</v>
      </c>
      <c r="T592" s="27">
        <f>IFERROR(__xludf.DUMMYFUNCTION("""COMPUTED_VALUE"""),2395.0)</f>
        <v>2395</v>
      </c>
      <c r="U592" s="1" t="s">
        <v>4251</v>
      </c>
    </row>
    <row r="593">
      <c r="A593" s="4">
        <v>45387.58983409722</v>
      </c>
      <c r="B593" s="3" t="s">
        <v>4252</v>
      </c>
      <c r="C593" s="3" t="s">
        <v>4253</v>
      </c>
      <c r="D593" s="3" t="s">
        <v>230</v>
      </c>
      <c r="E593" s="6">
        <v>44835.0</v>
      </c>
      <c r="F593" s="28">
        <v>400.0</v>
      </c>
      <c r="G593" s="3" t="s">
        <v>21</v>
      </c>
      <c r="H593" s="3" t="s">
        <v>22</v>
      </c>
      <c r="I593" s="3" t="s">
        <v>3436</v>
      </c>
      <c r="K593" s="3" t="s">
        <v>4254</v>
      </c>
      <c r="L593" s="3" t="s">
        <v>4255</v>
      </c>
      <c r="M593" s="3" t="s">
        <v>4256</v>
      </c>
      <c r="N593" s="3" t="s">
        <v>234</v>
      </c>
      <c r="O593" s="3" t="s">
        <v>3942</v>
      </c>
      <c r="P593" s="3" t="s">
        <v>3442</v>
      </c>
      <c r="Q593" s="3" t="s">
        <v>29</v>
      </c>
      <c r="S593" s="27" t="s">
        <v>4257</v>
      </c>
      <c r="T593" s="27">
        <f>IFERROR(__xludf.DUMMYFUNCTION("""COMPUTED_VALUE"""),2007.0)</f>
        <v>2007</v>
      </c>
      <c r="U593" s="1" t="s">
        <v>4258</v>
      </c>
    </row>
    <row r="594">
      <c r="A594" s="4">
        <v>45387.757306458334</v>
      </c>
      <c r="B594" s="3" t="s">
        <v>4259</v>
      </c>
      <c r="C594" s="3" t="s">
        <v>4260</v>
      </c>
      <c r="D594" s="3" t="s">
        <v>230</v>
      </c>
      <c r="E594" s="6">
        <v>44774.0</v>
      </c>
      <c r="F594" s="28">
        <v>500.0</v>
      </c>
      <c r="G594" s="3" t="s">
        <v>136</v>
      </c>
      <c r="H594" s="3" t="s">
        <v>22</v>
      </c>
      <c r="I594" s="3" t="s">
        <v>3436</v>
      </c>
      <c r="J594" s="3" t="s">
        <v>4261</v>
      </c>
      <c r="K594" s="3" t="s">
        <v>4262</v>
      </c>
      <c r="L594" s="3" t="s">
        <v>4263</v>
      </c>
      <c r="M594" s="3" t="s">
        <v>4264</v>
      </c>
      <c r="N594" s="3" t="s">
        <v>234</v>
      </c>
      <c r="O594" s="3" t="s">
        <v>4265</v>
      </c>
      <c r="P594" s="3" t="s">
        <v>3442</v>
      </c>
      <c r="Q594" s="3" t="s">
        <v>29</v>
      </c>
      <c r="S594" s="27" t="s">
        <v>4266</v>
      </c>
      <c r="T594" s="27"/>
      <c r="U594" s="1" t="s">
        <v>4267</v>
      </c>
    </row>
    <row r="595">
      <c r="A595" s="4">
        <v>45387.770738217594</v>
      </c>
      <c r="B595" s="3" t="s">
        <v>4268</v>
      </c>
      <c r="C595" s="3" t="s">
        <v>4269</v>
      </c>
      <c r="D595" s="3" t="s">
        <v>230</v>
      </c>
      <c r="E595" s="6">
        <v>44805.0</v>
      </c>
      <c r="F595" s="28">
        <v>250.0</v>
      </c>
      <c r="G595" s="3" t="s">
        <v>136</v>
      </c>
      <c r="H595" s="3" t="s">
        <v>22</v>
      </c>
      <c r="I595" s="3" t="s">
        <v>3436</v>
      </c>
      <c r="K595" s="3" t="s">
        <v>4270</v>
      </c>
      <c r="L595" s="3" t="s">
        <v>4271</v>
      </c>
      <c r="M595" s="3" t="s">
        <v>4272</v>
      </c>
      <c r="N595" s="3" t="s">
        <v>234</v>
      </c>
      <c r="O595" s="3" t="s">
        <v>4273</v>
      </c>
      <c r="P595" s="3" t="s">
        <v>3442</v>
      </c>
      <c r="Q595" s="3" t="s">
        <v>29</v>
      </c>
      <c r="S595" s="27" t="s">
        <v>4274</v>
      </c>
      <c r="T595" s="27"/>
      <c r="U595" s="1" t="s">
        <v>4275</v>
      </c>
    </row>
    <row r="596">
      <c r="A596" s="4">
        <v>45393.55315011574</v>
      </c>
      <c r="B596" s="3" t="s">
        <v>3229</v>
      </c>
      <c r="C596" s="3" t="s">
        <v>4276</v>
      </c>
      <c r="D596" s="3" t="s">
        <v>20</v>
      </c>
      <c r="E596" s="6">
        <v>45105.0</v>
      </c>
      <c r="F596" s="28">
        <v>179560.0</v>
      </c>
      <c r="G596" s="3" t="s">
        <v>21</v>
      </c>
      <c r="H596" s="3" t="s">
        <v>22</v>
      </c>
      <c r="J596" s="1" t="s">
        <v>4277</v>
      </c>
      <c r="K596" s="3" t="s">
        <v>4278</v>
      </c>
      <c r="L596" s="3" t="s">
        <v>4279</v>
      </c>
      <c r="M596" s="3" t="s">
        <v>4280</v>
      </c>
      <c r="N596" s="3" t="s">
        <v>27</v>
      </c>
      <c r="O596" s="3" t="s">
        <v>3234</v>
      </c>
      <c r="Q596" s="3" t="s">
        <v>29</v>
      </c>
      <c r="S596" s="27" t="s">
        <v>4281</v>
      </c>
      <c r="T596" s="27">
        <f>IFERROR(__xludf.DUMMYFUNCTION("""COMPUTED_VALUE"""),1486.0)</f>
        <v>1486</v>
      </c>
      <c r="U596" s="1" t="s">
        <v>4282</v>
      </c>
    </row>
    <row r="597">
      <c r="A597" s="4">
        <v>45393.685809456016</v>
      </c>
      <c r="B597" s="3" t="s">
        <v>2725</v>
      </c>
      <c r="C597" s="3" t="s">
        <v>4283</v>
      </c>
      <c r="D597" s="3" t="s">
        <v>230</v>
      </c>
      <c r="E597" s="6">
        <v>45200.0</v>
      </c>
      <c r="F597" s="28">
        <v>3955.0</v>
      </c>
      <c r="G597" s="3" t="s">
        <v>21</v>
      </c>
      <c r="H597" s="3" t="s">
        <v>22</v>
      </c>
      <c r="I597" s="3" t="s">
        <v>3436</v>
      </c>
      <c r="J597" s="1" t="s">
        <v>4284</v>
      </c>
      <c r="K597" s="3" t="s">
        <v>4285</v>
      </c>
      <c r="L597" s="3" t="s">
        <v>4286</v>
      </c>
      <c r="M597" s="3" t="s">
        <v>4287</v>
      </c>
      <c r="N597" s="3" t="s">
        <v>234</v>
      </c>
      <c r="O597" s="3" t="s">
        <v>2731</v>
      </c>
      <c r="P597" s="3" t="s">
        <v>3442</v>
      </c>
      <c r="Q597" s="3" t="s">
        <v>29</v>
      </c>
      <c r="S597" s="27" t="s">
        <v>4288</v>
      </c>
      <c r="T597" s="27">
        <f>IFERROR(__xludf.DUMMYFUNCTION("""COMPUTED_VALUE"""),1959.0)</f>
        <v>1959</v>
      </c>
      <c r="U597" s="1" t="s">
        <v>4289</v>
      </c>
    </row>
    <row r="598">
      <c r="A598" s="4">
        <v>45396.599936597224</v>
      </c>
      <c r="B598" s="3" t="s">
        <v>3161</v>
      </c>
      <c r="C598" s="3" t="s">
        <v>4290</v>
      </c>
      <c r="D598" s="3" t="s">
        <v>230</v>
      </c>
      <c r="E598" s="6">
        <v>45292.0</v>
      </c>
      <c r="F598" s="28">
        <v>500.0</v>
      </c>
      <c r="G598" s="3" t="s">
        <v>21</v>
      </c>
      <c r="H598" s="3" t="s">
        <v>22</v>
      </c>
      <c r="I598" s="3" t="s">
        <v>3436</v>
      </c>
      <c r="J598" s="1" t="s">
        <v>4291</v>
      </c>
      <c r="K598" s="3" t="s">
        <v>4292</v>
      </c>
      <c r="L598" s="3" t="s">
        <v>4293</v>
      </c>
      <c r="M598" s="3" t="s">
        <v>4294</v>
      </c>
      <c r="N598" s="3" t="s">
        <v>234</v>
      </c>
      <c r="O598" s="3" t="s">
        <v>3167</v>
      </c>
      <c r="P598" s="3" t="s">
        <v>3442</v>
      </c>
      <c r="Q598" s="3" t="s">
        <v>29</v>
      </c>
      <c r="S598" s="27" t="s">
        <v>4295</v>
      </c>
      <c r="T598" s="27">
        <f>IFERROR(__xludf.DUMMYFUNCTION("""COMPUTED_VALUE"""),2172.0)</f>
        <v>2172</v>
      </c>
      <c r="U598" s="1" t="s">
        <v>4296</v>
      </c>
    </row>
    <row r="599">
      <c r="A599" s="4">
        <v>45396.74931305555</v>
      </c>
      <c r="B599" s="3" t="s">
        <v>482</v>
      </c>
      <c r="C599" s="3" t="s">
        <v>4297</v>
      </c>
      <c r="D599" s="3" t="s">
        <v>230</v>
      </c>
      <c r="E599" s="6">
        <v>45292.0</v>
      </c>
      <c r="F599" s="28">
        <v>960.0</v>
      </c>
      <c r="G599" s="3" t="s">
        <v>21</v>
      </c>
      <c r="H599" s="3" t="s">
        <v>22</v>
      </c>
      <c r="I599" s="3" t="s">
        <v>3436</v>
      </c>
      <c r="K599" s="3" t="s">
        <v>4298</v>
      </c>
      <c r="L599" s="3" t="s">
        <v>4299</v>
      </c>
      <c r="M599" s="3" t="s">
        <v>4300</v>
      </c>
      <c r="N599" s="3" t="s">
        <v>234</v>
      </c>
      <c r="O599" s="3" t="s">
        <v>487</v>
      </c>
      <c r="P599" s="3" t="s">
        <v>3442</v>
      </c>
      <c r="Q599" s="3" t="s">
        <v>29</v>
      </c>
      <c r="S599" s="27" t="s">
        <v>4301</v>
      </c>
      <c r="T599" s="27">
        <f>IFERROR(__xludf.DUMMYFUNCTION("""COMPUTED_VALUE"""),4.0)</f>
        <v>4</v>
      </c>
      <c r="U599" s="1" t="s">
        <v>4302</v>
      </c>
    </row>
    <row r="600">
      <c r="A600" s="4">
        <v>45396.78111060185</v>
      </c>
      <c r="B600" s="3" t="s">
        <v>1719</v>
      </c>
      <c r="C600" s="3" t="s">
        <v>4303</v>
      </c>
      <c r="D600" s="3" t="s">
        <v>230</v>
      </c>
      <c r="E600" s="6">
        <v>45292.0</v>
      </c>
      <c r="F600" s="28">
        <v>480.0</v>
      </c>
      <c r="G600" s="3" t="s">
        <v>21</v>
      </c>
      <c r="H600" s="3" t="s">
        <v>22</v>
      </c>
      <c r="I600" s="3" t="s">
        <v>3436</v>
      </c>
      <c r="K600" s="3" t="s">
        <v>4304</v>
      </c>
      <c r="L600" s="3" t="s">
        <v>4305</v>
      </c>
      <c r="M600" s="3" t="s">
        <v>4306</v>
      </c>
      <c r="N600" s="3" t="s">
        <v>234</v>
      </c>
      <c r="O600" s="3" t="s">
        <v>1724</v>
      </c>
      <c r="P600" s="3" t="s">
        <v>3442</v>
      </c>
      <c r="Q600" s="3" t="s">
        <v>29</v>
      </c>
      <c r="S600" s="27" t="s">
        <v>4307</v>
      </c>
      <c r="T600" s="27">
        <f>IFERROR(__xludf.DUMMYFUNCTION("""COMPUTED_VALUE"""),1502.0)</f>
        <v>1502</v>
      </c>
      <c r="U600" s="1" t="s">
        <v>4308</v>
      </c>
    </row>
    <row r="601">
      <c r="A601" s="4">
        <v>45396.78111060185</v>
      </c>
      <c r="B601" s="3" t="s">
        <v>1990</v>
      </c>
      <c r="C601" s="3" t="s">
        <v>4309</v>
      </c>
      <c r="D601" s="3" t="s">
        <v>230</v>
      </c>
      <c r="E601" s="6">
        <v>45292.0</v>
      </c>
      <c r="F601" s="28">
        <v>1560.0</v>
      </c>
      <c r="G601" s="3" t="s">
        <v>21</v>
      </c>
      <c r="H601" s="3" t="s">
        <v>22</v>
      </c>
      <c r="I601" s="3" t="s">
        <v>3436</v>
      </c>
      <c r="K601" s="3" t="s">
        <v>4310</v>
      </c>
      <c r="L601" s="3" t="s">
        <v>4311</v>
      </c>
      <c r="M601" s="3" t="s">
        <v>4312</v>
      </c>
      <c r="N601" s="3" t="s">
        <v>234</v>
      </c>
      <c r="O601" s="3" t="s">
        <v>1995</v>
      </c>
      <c r="P601" s="3" t="s">
        <v>3442</v>
      </c>
      <c r="Q601" s="3" t="s">
        <v>29</v>
      </c>
      <c r="S601" s="27" t="s">
        <v>4313</v>
      </c>
      <c r="T601" s="27">
        <f>IFERROR(__xludf.DUMMYFUNCTION("""COMPUTED_VALUE"""),1791.0)</f>
        <v>1791</v>
      </c>
      <c r="U601" s="1" t="s">
        <v>4314</v>
      </c>
    </row>
    <row r="602">
      <c r="A602" s="4">
        <v>45397.68457142361</v>
      </c>
      <c r="B602" s="3" t="s">
        <v>4315</v>
      </c>
      <c r="C602" s="3" t="s">
        <v>4316</v>
      </c>
      <c r="D602" s="3" t="s">
        <v>1049</v>
      </c>
      <c r="E602" s="6">
        <v>45375.0</v>
      </c>
      <c r="F602" s="28">
        <v>2990.0</v>
      </c>
      <c r="G602" s="3" t="s">
        <v>136</v>
      </c>
      <c r="H602" s="3" t="s">
        <v>22</v>
      </c>
      <c r="I602" s="3" t="s">
        <v>1145</v>
      </c>
      <c r="K602" s="3" t="s">
        <v>4317</v>
      </c>
      <c r="L602" s="3" t="s">
        <v>4318</v>
      </c>
      <c r="M602" s="3" t="s">
        <v>4319</v>
      </c>
      <c r="N602" s="3" t="s">
        <v>1054</v>
      </c>
      <c r="O602" s="3" t="s">
        <v>4320</v>
      </c>
      <c r="P602" s="3" t="s">
        <v>1150</v>
      </c>
      <c r="Q602" s="3" t="s">
        <v>29</v>
      </c>
      <c r="S602" s="27" t="s">
        <v>4321</v>
      </c>
      <c r="T602" s="27">
        <f>IFERROR(__xludf.DUMMYFUNCTION("""COMPUTED_VALUE"""),2321.0)</f>
        <v>2321</v>
      </c>
      <c r="U602" s="1" t="s">
        <v>4322</v>
      </c>
    </row>
    <row r="603">
      <c r="A603" s="4">
        <v>45398.59795452547</v>
      </c>
      <c r="B603" s="3" t="s">
        <v>2716</v>
      </c>
      <c r="C603" s="3" t="s">
        <v>2717</v>
      </c>
      <c r="D603" s="3" t="s">
        <v>230</v>
      </c>
      <c r="E603" s="6">
        <v>45292.0</v>
      </c>
      <c r="F603" s="28">
        <v>1770.0</v>
      </c>
      <c r="G603" s="3" t="s">
        <v>21</v>
      </c>
      <c r="H603" s="3" t="s">
        <v>22</v>
      </c>
      <c r="I603" s="3" t="s">
        <v>3436</v>
      </c>
      <c r="K603" s="3" t="s">
        <v>4323</v>
      </c>
      <c r="L603" s="3" t="s">
        <v>4324</v>
      </c>
      <c r="M603" s="3" t="s">
        <v>4325</v>
      </c>
      <c r="N603" s="3" t="s">
        <v>234</v>
      </c>
      <c r="O603" s="3" t="s">
        <v>2722</v>
      </c>
      <c r="P603" s="3" t="s">
        <v>3442</v>
      </c>
      <c r="Q603" s="3" t="s">
        <v>29</v>
      </c>
      <c r="S603" s="27" t="s">
        <v>4326</v>
      </c>
      <c r="T603" s="27">
        <f>IFERROR(__xludf.DUMMYFUNCTION("""COMPUTED_VALUE"""),1952.0)</f>
        <v>1952</v>
      </c>
      <c r="U603" s="1" t="s">
        <v>4327</v>
      </c>
    </row>
    <row r="604">
      <c r="A604" s="4">
        <v>45398.64563564815</v>
      </c>
      <c r="B604" s="3" t="s">
        <v>2716</v>
      </c>
      <c r="C604" s="3" t="s">
        <v>4328</v>
      </c>
      <c r="D604" s="3" t="s">
        <v>230</v>
      </c>
      <c r="E604" s="6">
        <v>45292.0</v>
      </c>
      <c r="F604" s="28">
        <v>1770.0</v>
      </c>
      <c r="G604" s="3" t="s">
        <v>21</v>
      </c>
      <c r="H604" s="3" t="s">
        <v>22</v>
      </c>
      <c r="I604" s="3" t="s">
        <v>3436</v>
      </c>
      <c r="K604" s="3" t="s">
        <v>4329</v>
      </c>
      <c r="L604" s="3" t="s">
        <v>4330</v>
      </c>
      <c r="M604" s="3" t="s">
        <v>4331</v>
      </c>
      <c r="N604" s="3" t="s">
        <v>234</v>
      </c>
      <c r="O604" s="3" t="s">
        <v>2722</v>
      </c>
      <c r="P604" s="3" t="s">
        <v>3442</v>
      </c>
      <c r="Q604" s="3" t="s">
        <v>29</v>
      </c>
      <c r="S604" s="27" t="s">
        <v>4332</v>
      </c>
      <c r="T604" s="27">
        <f>IFERROR(__xludf.DUMMYFUNCTION("""COMPUTED_VALUE"""),1952.0)</f>
        <v>1952</v>
      </c>
      <c r="U604" s="1" t="s">
        <v>4333</v>
      </c>
    </row>
    <row r="605">
      <c r="A605" s="4">
        <v>45398.65848145833</v>
      </c>
      <c r="B605" s="3" t="s">
        <v>2957</v>
      </c>
      <c r="C605" s="3" t="s">
        <v>4334</v>
      </c>
      <c r="D605" s="3" t="s">
        <v>230</v>
      </c>
      <c r="E605" s="6">
        <v>45292.0</v>
      </c>
      <c r="F605" s="28">
        <v>531.0</v>
      </c>
      <c r="G605" s="3" t="s">
        <v>21</v>
      </c>
      <c r="H605" s="3" t="s">
        <v>22</v>
      </c>
      <c r="I605" s="3" t="s">
        <v>3436</v>
      </c>
      <c r="K605" s="3" t="s">
        <v>4335</v>
      </c>
      <c r="L605" s="3" t="s">
        <v>4336</v>
      </c>
      <c r="M605" s="3" t="s">
        <v>4337</v>
      </c>
      <c r="N605" s="3" t="s">
        <v>234</v>
      </c>
      <c r="O605" s="3" t="s">
        <v>2963</v>
      </c>
      <c r="P605" s="3" t="s">
        <v>3442</v>
      </c>
      <c r="Q605" s="3" t="s">
        <v>29</v>
      </c>
      <c r="S605" s="27" t="s">
        <v>4338</v>
      </c>
      <c r="T605" s="27">
        <f>IFERROR(__xludf.DUMMYFUNCTION("""COMPUTED_VALUE"""),2102.0)</f>
        <v>2102</v>
      </c>
      <c r="U605" s="1" t="s">
        <v>4339</v>
      </c>
    </row>
    <row r="606">
      <c r="A606" s="4">
        <v>45398.67080605324</v>
      </c>
      <c r="B606" s="3" t="s">
        <v>2699</v>
      </c>
      <c r="C606" s="3" t="s">
        <v>4340</v>
      </c>
      <c r="D606" s="3" t="s">
        <v>230</v>
      </c>
      <c r="E606" s="6">
        <v>45292.0</v>
      </c>
      <c r="F606" s="28">
        <v>531.0</v>
      </c>
      <c r="G606" s="3" t="s">
        <v>21</v>
      </c>
      <c r="H606" s="3" t="s">
        <v>22</v>
      </c>
      <c r="I606" s="3" t="s">
        <v>3436</v>
      </c>
      <c r="K606" s="3" t="s">
        <v>4341</v>
      </c>
      <c r="L606" s="3" t="s">
        <v>4342</v>
      </c>
      <c r="M606" s="3" t="s">
        <v>4343</v>
      </c>
      <c r="N606" s="3" t="s">
        <v>234</v>
      </c>
      <c r="O606" s="3" t="s">
        <v>2705</v>
      </c>
      <c r="P606" s="3" t="s">
        <v>3442</v>
      </c>
      <c r="Q606" s="3" t="s">
        <v>29</v>
      </c>
      <c r="S606" s="27" t="s">
        <v>4344</v>
      </c>
      <c r="T606" s="27">
        <f>IFERROR(__xludf.DUMMYFUNCTION("""COMPUTED_VALUE"""),1927.0)</f>
        <v>1927</v>
      </c>
      <c r="U606" s="1" t="s">
        <v>4345</v>
      </c>
    </row>
    <row r="607">
      <c r="A607" s="4">
        <v>45398.763857881946</v>
      </c>
      <c r="B607" s="3" t="s">
        <v>3170</v>
      </c>
      <c r="C607" s="3" t="s">
        <v>4346</v>
      </c>
      <c r="D607" s="3" t="s">
        <v>230</v>
      </c>
      <c r="E607" s="6">
        <v>45292.0</v>
      </c>
      <c r="F607" s="28">
        <v>118.0</v>
      </c>
      <c r="G607" s="3" t="s">
        <v>21</v>
      </c>
      <c r="H607" s="3" t="s">
        <v>22</v>
      </c>
      <c r="I607" s="3" t="s">
        <v>3436</v>
      </c>
      <c r="K607" s="3" t="s">
        <v>4347</v>
      </c>
      <c r="L607" s="3" t="s">
        <v>4348</v>
      </c>
      <c r="M607" s="3" t="s">
        <v>4349</v>
      </c>
      <c r="N607" s="3" t="s">
        <v>234</v>
      </c>
      <c r="O607" s="3" t="s">
        <v>3175</v>
      </c>
      <c r="P607" s="3" t="s">
        <v>3442</v>
      </c>
      <c r="Q607" s="3" t="s">
        <v>29</v>
      </c>
      <c r="S607" s="27" t="s">
        <v>4350</v>
      </c>
      <c r="T607" s="27">
        <f>IFERROR(__xludf.DUMMYFUNCTION("""COMPUTED_VALUE"""),2237.0)</f>
        <v>2237</v>
      </c>
      <c r="U607" s="1" t="s">
        <v>4351</v>
      </c>
    </row>
    <row r="608">
      <c r="A608" s="4">
        <v>45398.77397203704</v>
      </c>
      <c r="B608" s="3" t="s">
        <v>3178</v>
      </c>
      <c r="C608" s="3" t="s">
        <v>4352</v>
      </c>
      <c r="D608" s="3" t="s">
        <v>230</v>
      </c>
      <c r="E608" s="6">
        <v>45292.0</v>
      </c>
      <c r="F608" s="28">
        <v>1203.6</v>
      </c>
      <c r="G608" s="3" t="s">
        <v>21</v>
      </c>
      <c r="H608" s="3" t="s">
        <v>22</v>
      </c>
      <c r="I608" s="3" t="s">
        <v>3436</v>
      </c>
      <c r="K608" s="3" t="s">
        <v>4353</v>
      </c>
      <c r="L608" s="3" t="s">
        <v>4354</v>
      </c>
      <c r="M608" s="3" t="s">
        <v>4355</v>
      </c>
      <c r="N608" s="3" t="s">
        <v>234</v>
      </c>
      <c r="O608" s="3" t="s">
        <v>3184</v>
      </c>
      <c r="P608" s="3" t="s">
        <v>3442</v>
      </c>
      <c r="Q608" s="3" t="s">
        <v>29</v>
      </c>
      <c r="S608" s="27" t="s">
        <v>4356</v>
      </c>
      <c r="T608" s="27">
        <f>IFERROR(__xludf.DUMMYFUNCTION("""COMPUTED_VALUE"""),2053.0)</f>
        <v>2053</v>
      </c>
      <c r="U608" s="1" t="s">
        <v>4357</v>
      </c>
    </row>
    <row r="609">
      <c r="A609" s="4">
        <v>45398.79335748842</v>
      </c>
      <c r="B609" s="3" t="s">
        <v>2948</v>
      </c>
      <c r="C609" s="3" t="s">
        <v>4358</v>
      </c>
      <c r="D609" s="3" t="s">
        <v>230</v>
      </c>
      <c r="E609" s="6">
        <v>45292.0</v>
      </c>
      <c r="F609" s="28">
        <v>100.0</v>
      </c>
      <c r="G609" s="3" t="s">
        <v>21</v>
      </c>
      <c r="H609" s="3" t="s">
        <v>22</v>
      </c>
      <c r="I609" s="3" t="s">
        <v>3436</v>
      </c>
      <c r="K609" s="3" t="s">
        <v>4359</v>
      </c>
      <c r="L609" s="3" t="s">
        <v>4360</v>
      </c>
      <c r="M609" s="3" t="s">
        <v>4361</v>
      </c>
      <c r="N609" s="3" t="s">
        <v>234</v>
      </c>
      <c r="O609" s="3" t="s">
        <v>2954</v>
      </c>
      <c r="P609" s="3" t="s">
        <v>3442</v>
      </c>
      <c r="Q609" s="3" t="s">
        <v>29</v>
      </c>
      <c r="S609" s="27" t="s">
        <v>4362</v>
      </c>
      <c r="T609" s="27">
        <f>IFERROR(__xludf.DUMMYFUNCTION("""COMPUTED_VALUE"""),2037.0)</f>
        <v>2037</v>
      </c>
      <c r="U609" s="1" t="s">
        <v>4363</v>
      </c>
    </row>
    <row r="610">
      <c r="A610" s="4">
        <v>45398.797048078704</v>
      </c>
      <c r="B610" s="3" t="s">
        <v>3004</v>
      </c>
      <c r="C610" s="3" t="s">
        <v>4364</v>
      </c>
      <c r="D610" s="3" t="s">
        <v>230</v>
      </c>
      <c r="E610" s="6">
        <v>45292.0</v>
      </c>
      <c r="F610" s="28">
        <v>500.0</v>
      </c>
      <c r="G610" s="3" t="s">
        <v>21</v>
      </c>
      <c r="H610" s="3" t="s">
        <v>22</v>
      </c>
      <c r="I610" s="3" t="s">
        <v>3436</v>
      </c>
      <c r="K610" s="3" t="s">
        <v>4365</v>
      </c>
      <c r="L610" s="3" t="s">
        <v>4366</v>
      </c>
      <c r="M610" s="3" t="s">
        <v>4367</v>
      </c>
      <c r="N610" s="3" t="s">
        <v>234</v>
      </c>
      <c r="O610" s="3" t="s">
        <v>3010</v>
      </c>
      <c r="P610" s="3" t="s">
        <v>3442</v>
      </c>
      <c r="Q610" s="3" t="s">
        <v>29</v>
      </c>
      <c r="S610" s="27" t="s">
        <v>4368</v>
      </c>
      <c r="T610" s="27">
        <f>IFERROR(__xludf.DUMMYFUNCTION("""COMPUTED_VALUE"""),2101.0)</f>
        <v>2101</v>
      </c>
      <c r="U610" s="1" t="s">
        <v>4369</v>
      </c>
    </row>
    <row r="611">
      <c r="A611" s="4">
        <v>45398.804717129635</v>
      </c>
      <c r="B611" s="3" t="s">
        <v>4370</v>
      </c>
      <c r="C611" s="3" t="s">
        <v>4371</v>
      </c>
      <c r="D611" s="3" t="s">
        <v>230</v>
      </c>
      <c r="E611" s="6">
        <v>45292.0</v>
      </c>
      <c r="F611" s="28">
        <v>120.0</v>
      </c>
      <c r="G611" s="3" t="s">
        <v>21</v>
      </c>
      <c r="H611" s="3" t="s">
        <v>22</v>
      </c>
      <c r="I611" s="3" t="s">
        <v>3436</v>
      </c>
      <c r="K611" s="3" t="s">
        <v>4372</v>
      </c>
      <c r="L611" s="3" t="s">
        <v>4373</v>
      </c>
      <c r="M611" s="3" t="s">
        <v>4374</v>
      </c>
      <c r="N611" s="3" t="s">
        <v>234</v>
      </c>
      <c r="O611" s="3" t="s">
        <v>4375</v>
      </c>
      <c r="P611" s="3" t="s">
        <v>3442</v>
      </c>
      <c r="Q611" s="3" t="s">
        <v>29</v>
      </c>
      <c r="S611" s="27" t="s">
        <v>4376</v>
      </c>
      <c r="T611" s="27">
        <f>IFERROR(__xludf.DUMMYFUNCTION("""COMPUTED_VALUE"""),2496.0)</f>
        <v>2496</v>
      </c>
      <c r="U611" s="1" t="s">
        <v>4377</v>
      </c>
    </row>
    <row r="612">
      <c r="A612" s="4">
        <v>45398.809217256945</v>
      </c>
      <c r="B612" s="3" t="s">
        <v>2583</v>
      </c>
      <c r="C612" s="3" t="s">
        <v>4378</v>
      </c>
      <c r="D612" s="3" t="s">
        <v>230</v>
      </c>
      <c r="E612" s="6">
        <v>45292.0</v>
      </c>
      <c r="F612" s="28">
        <v>600.0</v>
      </c>
      <c r="G612" s="3" t="s">
        <v>21</v>
      </c>
      <c r="H612" s="3" t="s">
        <v>22</v>
      </c>
      <c r="I612" s="3" t="s">
        <v>3436</v>
      </c>
      <c r="J612" s="1" t="s">
        <v>2585</v>
      </c>
      <c r="K612" s="3" t="s">
        <v>4379</v>
      </c>
      <c r="L612" s="3" t="s">
        <v>4380</v>
      </c>
      <c r="M612" s="3" t="s">
        <v>4381</v>
      </c>
      <c r="N612" s="3" t="s">
        <v>234</v>
      </c>
      <c r="O612" s="3" t="s">
        <v>2587</v>
      </c>
      <c r="P612" s="3" t="s">
        <v>3442</v>
      </c>
      <c r="Q612" s="3" t="s">
        <v>29</v>
      </c>
      <c r="S612" s="27" t="s">
        <v>4382</v>
      </c>
      <c r="T612" s="27">
        <f>IFERROR(__xludf.DUMMYFUNCTION("""COMPUTED_VALUE"""),810.0)</f>
        <v>810</v>
      </c>
      <c r="U612" s="1" t="s">
        <v>4383</v>
      </c>
    </row>
    <row r="613">
      <c r="A613" s="4">
        <v>45398.98407814815</v>
      </c>
      <c r="B613" s="3" t="s">
        <v>3187</v>
      </c>
      <c r="C613" s="3" t="s">
        <v>3188</v>
      </c>
      <c r="D613" s="3" t="s">
        <v>230</v>
      </c>
      <c r="E613" s="6">
        <v>45292.0</v>
      </c>
      <c r="F613" s="28">
        <v>675.0</v>
      </c>
      <c r="G613" s="3" t="s">
        <v>21</v>
      </c>
      <c r="H613" s="3" t="s">
        <v>22</v>
      </c>
      <c r="I613" s="3" t="s">
        <v>3436</v>
      </c>
      <c r="K613" s="3" t="s">
        <v>4384</v>
      </c>
      <c r="L613" s="3" t="s">
        <v>4385</v>
      </c>
      <c r="M613" s="3" t="s">
        <v>4386</v>
      </c>
      <c r="N613" s="3" t="s">
        <v>234</v>
      </c>
      <c r="O613" s="3" t="s">
        <v>3193</v>
      </c>
      <c r="P613" s="3" t="s">
        <v>3442</v>
      </c>
      <c r="Q613" s="3" t="s">
        <v>29</v>
      </c>
      <c r="S613" s="27" t="s">
        <v>4387</v>
      </c>
      <c r="T613" s="27">
        <f>IFERROR(__xludf.DUMMYFUNCTION("""COMPUTED_VALUE"""),2107.0)</f>
        <v>2107</v>
      </c>
      <c r="U613" s="1" t="s">
        <v>4388</v>
      </c>
    </row>
    <row r="614">
      <c r="A614" s="4">
        <v>45398.98407814815</v>
      </c>
      <c r="B614" s="3" t="s">
        <v>3593</v>
      </c>
      <c r="C614" s="3" t="s">
        <v>3594</v>
      </c>
      <c r="D614" s="3" t="s">
        <v>230</v>
      </c>
      <c r="E614" s="6">
        <v>45292.0</v>
      </c>
      <c r="F614" s="28">
        <v>450.0</v>
      </c>
      <c r="G614" s="3" t="s">
        <v>21</v>
      </c>
      <c r="H614" s="3" t="s">
        <v>22</v>
      </c>
      <c r="I614" s="3" t="s">
        <v>3436</v>
      </c>
      <c r="K614" s="3" t="s">
        <v>4389</v>
      </c>
      <c r="L614" s="3" t="s">
        <v>4390</v>
      </c>
      <c r="M614" s="3" t="s">
        <v>4391</v>
      </c>
      <c r="N614" s="3" t="s">
        <v>234</v>
      </c>
      <c r="O614" s="3" t="s">
        <v>3599</v>
      </c>
      <c r="P614" s="3" t="s">
        <v>3442</v>
      </c>
      <c r="Q614" s="3" t="s">
        <v>29</v>
      </c>
      <c r="S614" s="27" t="s">
        <v>4392</v>
      </c>
      <c r="T614" s="27">
        <f>IFERROR(__xludf.DUMMYFUNCTION("""COMPUTED_VALUE"""),2260.0)</f>
        <v>2260</v>
      </c>
      <c r="U614" s="1" t="s">
        <v>4393</v>
      </c>
    </row>
    <row r="615">
      <c r="A615" s="4">
        <v>45398.98407814815</v>
      </c>
      <c r="B615" s="3" t="s">
        <v>4159</v>
      </c>
      <c r="C615" s="3" t="s">
        <v>4160</v>
      </c>
      <c r="D615" s="3" t="s">
        <v>230</v>
      </c>
      <c r="E615" s="6">
        <v>45292.0</v>
      </c>
      <c r="F615" s="28">
        <v>450.0</v>
      </c>
      <c r="G615" s="3" t="s">
        <v>21</v>
      </c>
      <c r="H615" s="3" t="s">
        <v>22</v>
      </c>
      <c r="I615" s="3" t="s">
        <v>3436</v>
      </c>
      <c r="K615" s="3" t="s">
        <v>4394</v>
      </c>
      <c r="L615" s="3" t="s">
        <v>4395</v>
      </c>
      <c r="M615" s="3" t="s">
        <v>4396</v>
      </c>
      <c r="N615" s="3" t="s">
        <v>234</v>
      </c>
      <c r="O615" s="3" t="s">
        <v>4165</v>
      </c>
      <c r="P615" s="3" t="s">
        <v>3442</v>
      </c>
      <c r="Q615" s="3" t="s">
        <v>29</v>
      </c>
      <c r="S615" s="27" t="s">
        <v>4397</v>
      </c>
      <c r="T615" s="27">
        <f>IFERROR(__xludf.DUMMYFUNCTION("""COMPUTED_VALUE"""),2290.0)</f>
        <v>2290</v>
      </c>
      <c r="U615" s="1" t="s">
        <v>4398</v>
      </c>
    </row>
    <row r="616">
      <c r="A616" s="4">
        <v>45399.03278646991</v>
      </c>
      <c r="B616" s="3" t="s">
        <v>3345</v>
      </c>
      <c r="C616" s="3" t="s">
        <v>4399</v>
      </c>
      <c r="D616" s="3" t="s">
        <v>230</v>
      </c>
      <c r="E616" s="6">
        <v>45292.0</v>
      </c>
      <c r="F616" s="28">
        <v>360.0</v>
      </c>
      <c r="G616" s="3" t="s">
        <v>21</v>
      </c>
      <c r="H616" s="3" t="s">
        <v>22</v>
      </c>
      <c r="I616" s="3" t="s">
        <v>3436</v>
      </c>
      <c r="K616" s="3" t="s">
        <v>4400</v>
      </c>
      <c r="L616" s="3" t="s">
        <v>4401</v>
      </c>
      <c r="M616" s="3" t="s">
        <v>4402</v>
      </c>
      <c r="N616" s="3" t="s">
        <v>234</v>
      </c>
      <c r="O616" s="3" t="s">
        <v>3351</v>
      </c>
      <c r="P616" s="3" t="s">
        <v>3442</v>
      </c>
      <c r="Q616" s="3" t="s">
        <v>29</v>
      </c>
      <c r="S616" s="27" t="s">
        <v>4403</v>
      </c>
      <c r="T616" s="27">
        <f>IFERROR(__xludf.DUMMYFUNCTION("""COMPUTED_VALUE"""),2227.0)</f>
        <v>2227</v>
      </c>
      <c r="U616" s="1" t="s">
        <v>4404</v>
      </c>
    </row>
    <row r="617">
      <c r="A617" s="4">
        <v>45399.040202696764</v>
      </c>
      <c r="B617" s="3" t="s">
        <v>2734</v>
      </c>
      <c r="C617" s="3" t="s">
        <v>4405</v>
      </c>
      <c r="D617" s="3" t="s">
        <v>230</v>
      </c>
      <c r="E617" s="6">
        <v>45292.0</v>
      </c>
      <c r="F617" s="28">
        <v>1350.0</v>
      </c>
      <c r="G617" s="3" t="s">
        <v>21</v>
      </c>
      <c r="H617" s="3" t="s">
        <v>22</v>
      </c>
      <c r="I617" s="3" t="s">
        <v>3436</v>
      </c>
      <c r="K617" s="3" t="s">
        <v>4406</v>
      </c>
      <c r="L617" s="3" t="s">
        <v>4407</v>
      </c>
      <c r="M617" s="3" t="s">
        <v>4408</v>
      </c>
      <c r="N617" s="3" t="s">
        <v>234</v>
      </c>
      <c r="O617" s="3" t="s">
        <v>2739</v>
      </c>
      <c r="P617" s="3" t="s">
        <v>3442</v>
      </c>
      <c r="Q617" s="3" t="s">
        <v>29</v>
      </c>
      <c r="S617" s="27" t="s">
        <v>4409</v>
      </c>
      <c r="T617" s="27">
        <f>IFERROR(__xludf.DUMMYFUNCTION("""COMPUTED_VALUE"""),1960.0)</f>
        <v>1960</v>
      </c>
      <c r="U617" s="1" t="s">
        <v>4410</v>
      </c>
    </row>
    <row r="618">
      <c r="A618" s="4">
        <v>45399.09141767361</v>
      </c>
      <c r="B618" s="3" t="s">
        <v>4411</v>
      </c>
      <c r="C618" s="3" t="s">
        <v>4412</v>
      </c>
      <c r="D618" s="3" t="s">
        <v>230</v>
      </c>
      <c r="E618" s="6">
        <v>45292.0</v>
      </c>
      <c r="F618" s="28">
        <v>118.0</v>
      </c>
      <c r="G618" s="3" t="s">
        <v>21</v>
      </c>
      <c r="H618" s="3" t="s">
        <v>22</v>
      </c>
      <c r="I618" s="3" t="s">
        <v>3436</v>
      </c>
      <c r="J618" s="1" t="s">
        <v>4413</v>
      </c>
      <c r="K618" s="3" t="s">
        <v>4414</v>
      </c>
      <c r="L618" s="3" t="s">
        <v>4415</v>
      </c>
      <c r="M618" s="3" t="s">
        <v>4416</v>
      </c>
      <c r="N618" s="3" t="s">
        <v>234</v>
      </c>
      <c r="O618" s="3" t="s">
        <v>4417</v>
      </c>
      <c r="P618" s="3" t="s">
        <v>3442</v>
      </c>
      <c r="Q618" s="3" t="s">
        <v>29</v>
      </c>
      <c r="S618" s="27" t="s">
        <v>4418</v>
      </c>
      <c r="T618" s="27">
        <f>IFERROR(__xludf.DUMMYFUNCTION("""COMPUTED_VALUE"""),2497.0)</f>
        <v>2497</v>
      </c>
      <c r="U618" s="1" t="s">
        <v>4419</v>
      </c>
    </row>
    <row r="619">
      <c r="A619" s="4">
        <v>45399.10268835648</v>
      </c>
      <c r="B619" s="3" t="s">
        <v>1737</v>
      </c>
      <c r="C619" s="3" t="s">
        <v>4420</v>
      </c>
      <c r="D619" s="3" t="s">
        <v>230</v>
      </c>
      <c r="E619" s="6">
        <v>45292.0</v>
      </c>
      <c r="F619" s="28">
        <v>1440.0</v>
      </c>
      <c r="G619" s="3" t="s">
        <v>21</v>
      </c>
      <c r="H619" s="3" t="s">
        <v>22</v>
      </c>
      <c r="I619" s="3" t="s">
        <v>3436</v>
      </c>
      <c r="J619" s="1" t="s">
        <v>4421</v>
      </c>
      <c r="K619" s="3" t="s">
        <v>4422</v>
      </c>
      <c r="L619" s="3" t="s">
        <v>4423</v>
      </c>
      <c r="M619" s="3" t="s">
        <v>4424</v>
      </c>
      <c r="N619" s="3" t="s">
        <v>234</v>
      </c>
      <c r="O619" s="3" t="s">
        <v>1743</v>
      </c>
      <c r="P619" s="3" t="s">
        <v>3442</v>
      </c>
      <c r="Q619" s="3" t="s">
        <v>29</v>
      </c>
      <c r="S619" s="27" t="s">
        <v>4425</v>
      </c>
      <c r="T619" s="27">
        <f>IFERROR(__xludf.DUMMYFUNCTION("""COMPUTED_VALUE"""),1703.0)</f>
        <v>1703</v>
      </c>
      <c r="U619" s="1" t="s">
        <v>4426</v>
      </c>
    </row>
    <row r="620">
      <c r="A620" s="4">
        <v>45399.123424641206</v>
      </c>
      <c r="B620" s="3" t="s">
        <v>242</v>
      </c>
      <c r="C620" s="3" t="s">
        <v>4427</v>
      </c>
      <c r="D620" s="3" t="s">
        <v>230</v>
      </c>
      <c r="E620" s="6">
        <v>45292.0</v>
      </c>
      <c r="F620" s="28">
        <v>1858.5</v>
      </c>
      <c r="G620" s="3" t="s">
        <v>21</v>
      </c>
      <c r="H620" s="3" t="s">
        <v>22</v>
      </c>
      <c r="I620" s="3" t="s">
        <v>3436</v>
      </c>
      <c r="J620" s="1" t="s">
        <v>4428</v>
      </c>
      <c r="K620" s="3" t="s">
        <v>4429</v>
      </c>
      <c r="L620" s="3" t="s">
        <v>4430</v>
      </c>
      <c r="M620" s="3" t="s">
        <v>4431</v>
      </c>
      <c r="N620" s="3" t="s">
        <v>234</v>
      </c>
      <c r="O620" s="3" t="s">
        <v>248</v>
      </c>
      <c r="P620" s="3" t="s">
        <v>3442</v>
      </c>
      <c r="Q620" s="3" t="s">
        <v>29</v>
      </c>
      <c r="S620" s="27" t="s">
        <v>4432</v>
      </c>
      <c r="T620" s="27">
        <f>IFERROR(__xludf.DUMMYFUNCTION("""COMPUTED_VALUE"""),773.0)</f>
        <v>773</v>
      </c>
      <c r="U620" s="1" t="s">
        <v>4433</v>
      </c>
    </row>
    <row r="621">
      <c r="A621" s="4">
        <v>45399.123424641206</v>
      </c>
      <c r="B621" s="3" t="s">
        <v>242</v>
      </c>
      <c r="C621" s="3" t="s">
        <v>4434</v>
      </c>
      <c r="D621" s="3" t="s">
        <v>230</v>
      </c>
      <c r="E621" s="6">
        <v>45292.0</v>
      </c>
      <c r="F621" s="28">
        <v>1858.5</v>
      </c>
      <c r="G621" s="3" t="s">
        <v>21</v>
      </c>
      <c r="H621" s="3" t="s">
        <v>22</v>
      </c>
      <c r="I621" s="3" t="s">
        <v>3436</v>
      </c>
      <c r="K621" s="3" t="s">
        <v>4435</v>
      </c>
      <c r="L621" s="3" t="s">
        <v>4436</v>
      </c>
      <c r="M621" s="3" t="s">
        <v>4437</v>
      </c>
      <c r="N621" s="3" t="s">
        <v>234</v>
      </c>
      <c r="O621" s="3" t="s">
        <v>248</v>
      </c>
      <c r="P621" s="3" t="s">
        <v>3442</v>
      </c>
      <c r="Q621" s="3" t="s">
        <v>29</v>
      </c>
      <c r="S621" s="27" t="s">
        <v>4438</v>
      </c>
      <c r="T621" s="27">
        <f>IFERROR(__xludf.DUMMYFUNCTION("""COMPUTED_VALUE"""),773.0)</f>
        <v>773</v>
      </c>
      <c r="U621" s="1" t="s">
        <v>4439</v>
      </c>
    </row>
    <row r="622">
      <c r="A622" s="4">
        <v>45399.58779020833</v>
      </c>
      <c r="B622" s="3" t="s">
        <v>2162</v>
      </c>
      <c r="C622" s="3" t="s">
        <v>4440</v>
      </c>
      <c r="D622" s="3" t="s">
        <v>230</v>
      </c>
      <c r="E622" s="6">
        <v>45292.0</v>
      </c>
      <c r="F622" s="28">
        <v>885.0</v>
      </c>
      <c r="G622" s="3" t="s">
        <v>21</v>
      </c>
      <c r="H622" s="3" t="s">
        <v>22</v>
      </c>
      <c r="I622" s="3" t="s">
        <v>3436</v>
      </c>
      <c r="K622" s="3" t="s">
        <v>4441</v>
      </c>
      <c r="L622" s="3" t="s">
        <v>4442</v>
      </c>
      <c r="M622" s="3" t="s">
        <v>4443</v>
      </c>
      <c r="N622" s="3" t="s">
        <v>234</v>
      </c>
      <c r="O622" s="3" t="s">
        <v>2167</v>
      </c>
      <c r="P622" s="3" t="s">
        <v>3442</v>
      </c>
      <c r="Q622" s="3" t="s">
        <v>29</v>
      </c>
      <c r="S622" s="27" t="s">
        <v>4444</v>
      </c>
      <c r="T622" s="27">
        <f>IFERROR(__xludf.DUMMYFUNCTION("""COMPUTED_VALUE"""),1911.0)</f>
        <v>1911</v>
      </c>
      <c r="U622" s="1" t="s">
        <v>4445</v>
      </c>
    </row>
    <row r="623">
      <c r="A623" s="4">
        <v>45399.593751747685</v>
      </c>
      <c r="B623" s="3" t="s">
        <v>4446</v>
      </c>
      <c r="C623" s="3" t="s">
        <v>4447</v>
      </c>
      <c r="D623" s="3" t="s">
        <v>230</v>
      </c>
      <c r="E623" s="6">
        <v>45292.0</v>
      </c>
      <c r="F623" s="28">
        <v>1000.0</v>
      </c>
      <c r="G623" s="3" t="s">
        <v>21</v>
      </c>
      <c r="H623" s="3" t="s">
        <v>22</v>
      </c>
      <c r="I623" s="3" t="s">
        <v>3436</v>
      </c>
      <c r="K623" s="3" t="s">
        <v>4448</v>
      </c>
      <c r="L623" s="3" t="s">
        <v>4449</v>
      </c>
      <c r="M623" s="3" t="s">
        <v>4450</v>
      </c>
      <c r="N623" s="3" t="s">
        <v>234</v>
      </c>
      <c r="O623" s="3" t="s">
        <v>4451</v>
      </c>
      <c r="P623" s="3" t="s">
        <v>3442</v>
      </c>
      <c r="Q623" s="3" t="s">
        <v>29</v>
      </c>
      <c r="S623" s="27" t="s">
        <v>4452</v>
      </c>
      <c r="T623" s="27"/>
      <c r="U623" s="1" t="s">
        <v>4453</v>
      </c>
    </row>
    <row r="624">
      <c r="A624" s="4">
        <v>45399.615174085644</v>
      </c>
      <c r="B624" s="3" t="s">
        <v>3368</v>
      </c>
      <c r="C624" s="3" t="s">
        <v>3369</v>
      </c>
      <c r="D624" s="3" t="s">
        <v>230</v>
      </c>
      <c r="E624" s="6">
        <v>45292.0</v>
      </c>
      <c r="F624" s="28">
        <v>200.0</v>
      </c>
      <c r="G624" s="3" t="s">
        <v>21</v>
      </c>
      <c r="H624" s="3" t="s">
        <v>22</v>
      </c>
      <c r="I624" s="3" t="s">
        <v>3436</v>
      </c>
      <c r="K624" s="3" t="s">
        <v>4454</v>
      </c>
      <c r="L624" s="3" t="s">
        <v>4455</v>
      </c>
      <c r="M624" s="3" t="s">
        <v>4456</v>
      </c>
      <c r="N624" s="3" t="s">
        <v>234</v>
      </c>
      <c r="O624" s="3" t="s">
        <v>3374</v>
      </c>
      <c r="P624" s="3" t="s">
        <v>3442</v>
      </c>
      <c r="Q624" s="3" t="s">
        <v>29</v>
      </c>
      <c r="S624" s="27" t="s">
        <v>4457</v>
      </c>
      <c r="T624" s="27">
        <f>IFERROR(__xludf.DUMMYFUNCTION("""COMPUTED_VALUE"""),2211.0)</f>
        <v>2211</v>
      </c>
      <c r="U624" s="1" t="s">
        <v>4458</v>
      </c>
    </row>
    <row r="625">
      <c r="A625" s="4">
        <v>45399.615174085644</v>
      </c>
      <c r="B625" s="3" t="s">
        <v>3287</v>
      </c>
      <c r="C625" s="3" t="s">
        <v>3288</v>
      </c>
      <c r="D625" s="3" t="s">
        <v>230</v>
      </c>
      <c r="E625" s="6">
        <v>45292.0</v>
      </c>
      <c r="F625" s="28">
        <v>708.0</v>
      </c>
      <c r="G625" s="3" t="s">
        <v>21</v>
      </c>
      <c r="H625" s="3" t="s">
        <v>22</v>
      </c>
      <c r="I625" s="3" t="s">
        <v>3436</v>
      </c>
      <c r="K625" s="3" t="s">
        <v>4459</v>
      </c>
      <c r="L625" s="3" t="s">
        <v>4460</v>
      </c>
      <c r="M625" s="3" t="s">
        <v>4461</v>
      </c>
      <c r="N625" s="3" t="s">
        <v>234</v>
      </c>
      <c r="O625" s="3" t="s">
        <v>3293</v>
      </c>
      <c r="P625" s="3" t="s">
        <v>3442</v>
      </c>
      <c r="Q625" s="3" t="s">
        <v>29</v>
      </c>
      <c r="S625" s="27" t="s">
        <v>4462</v>
      </c>
      <c r="T625" s="27">
        <f>IFERROR(__xludf.DUMMYFUNCTION("""COMPUTED_VALUE"""),2136.0)</f>
        <v>2136</v>
      </c>
      <c r="U625" s="1" t="s">
        <v>4463</v>
      </c>
    </row>
    <row r="626">
      <c r="A626" s="4">
        <v>45399.62208239583</v>
      </c>
      <c r="B626" s="3" t="s">
        <v>3584</v>
      </c>
      <c r="C626" s="3" t="s">
        <v>4464</v>
      </c>
      <c r="D626" s="3" t="s">
        <v>230</v>
      </c>
      <c r="E626" s="6">
        <v>45292.0</v>
      </c>
      <c r="F626" s="28">
        <v>177.0</v>
      </c>
      <c r="G626" s="3" t="s">
        <v>21</v>
      </c>
      <c r="H626" s="3" t="s">
        <v>22</v>
      </c>
      <c r="I626" s="3" t="s">
        <v>3436</v>
      </c>
      <c r="K626" s="3" t="s">
        <v>4465</v>
      </c>
      <c r="L626" s="3" t="s">
        <v>4466</v>
      </c>
      <c r="M626" s="3" t="s">
        <v>4467</v>
      </c>
      <c r="N626" s="3" t="s">
        <v>234</v>
      </c>
      <c r="O626" s="3" t="s">
        <v>3590</v>
      </c>
      <c r="P626" s="3" t="s">
        <v>3442</v>
      </c>
      <c r="Q626" s="3" t="s">
        <v>29</v>
      </c>
      <c r="S626" s="27" t="s">
        <v>4468</v>
      </c>
      <c r="T626" s="27">
        <f>IFERROR(__xludf.DUMMYFUNCTION("""COMPUTED_VALUE"""),2228.0)</f>
        <v>2228</v>
      </c>
      <c r="U626" s="1" t="s">
        <v>4469</v>
      </c>
    </row>
    <row r="627">
      <c r="A627" s="4">
        <v>45401.63590923611</v>
      </c>
      <c r="B627" s="3" t="s">
        <v>4470</v>
      </c>
      <c r="C627" s="3" t="s">
        <v>4471</v>
      </c>
      <c r="D627" s="3" t="s">
        <v>230</v>
      </c>
      <c r="E627" s="6">
        <v>45292.0</v>
      </c>
      <c r="F627" s="28">
        <v>2478.0</v>
      </c>
      <c r="G627" s="3" t="s">
        <v>21</v>
      </c>
      <c r="H627" s="3" t="s">
        <v>22</v>
      </c>
      <c r="I627" s="3" t="s">
        <v>3436</v>
      </c>
      <c r="K627" s="3" t="s">
        <v>4472</v>
      </c>
      <c r="L627" s="3" t="s">
        <v>4473</v>
      </c>
      <c r="M627" s="3" t="s">
        <v>4474</v>
      </c>
      <c r="N627" s="3" t="s">
        <v>234</v>
      </c>
      <c r="O627" s="3" t="s">
        <v>3786</v>
      </c>
      <c r="P627" s="3" t="s">
        <v>3442</v>
      </c>
      <c r="Q627" s="3" t="s">
        <v>29</v>
      </c>
      <c r="S627" s="27" t="s">
        <v>4475</v>
      </c>
      <c r="T627" s="27">
        <f>IFERROR(__xludf.DUMMYFUNCTION("""COMPUTED_VALUE"""),2307.0)</f>
        <v>2307</v>
      </c>
      <c r="U627" s="1" t="s">
        <v>4476</v>
      </c>
    </row>
    <row r="628">
      <c r="A628" s="4">
        <v>45401.69295439815</v>
      </c>
      <c r="B628" s="3" t="s">
        <v>30</v>
      </c>
      <c r="C628" s="3" t="s">
        <v>4477</v>
      </c>
      <c r="D628" s="3" t="s">
        <v>230</v>
      </c>
      <c r="E628" s="6">
        <v>45292.0</v>
      </c>
      <c r="F628" s="28">
        <v>120.0</v>
      </c>
      <c r="G628" s="3" t="s">
        <v>21</v>
      </c>
      <c r="H628" s="3" t="s">
        <v>22</v>
      </c>
      <c r="I628" s="3" t="s">
        <v>3436</v>
      </c>
      <c r="K628" s="3" t="s">
        <v>4478</v>
      </c>
      <c r="L628" s="3" t="s">
        <v>4479</v>
      </c>
      <c r="M628" s="3" t="s">
        <v>4480</v>
      </c>
      <c r="N628" s="3" t="s">
        <v>234</v>
      </c>
      <c r="O628" s="3" t="s">
        <v>36</v>
      </c>
      <c r="P628" s="3" t="s">
        <v>3442</v>
      </c>
      <c r="Q628" s="3" t="s">
        <v>29</v>
      </c>
      <c r="S628" s="27" t="s">
        <v>4481</v>
      </c>
      <c r="T628" s="27">
        <f>IFERROR(__xludf.DUMMYFUNCTION("""COMPUTED_VALUE"""),541.0)</f>
        <v>541</v>
      </c>
      <c r="U628" s="1" t="s">
        <v>4482</v>
      </c>
    </row>
    <row r="629">
      <c r="A629" s="4">
        <v>45401.712881562504</v>
      </c>
      <c r="B629" s="3" t="s">
        <v>4483</v>
      </c>
      <c r="C629" s="3" t="s">
        <v>641</v>
      </c>
      <c r="D629" s="3" t="s">
        <v>230</v>
      </c>
      <c r="E629" s="6">
        <v>45292.0</v>
      </c>
      <c r="F629" s="28">
        <v>250.0</v>
      </c>
      <c r="G629" s="3" t="s">
        <v>136</v>
      </c>
      <c r="H629" s="3" t="s">
        <v>22</v>
      </c>
      <c r="I629" s="3" t="s">
        <v>3436</v>
      </c>
      <c r="K629" s="3" t="s">
        <v>4484</v>
      </c>
      <c r="L629" s="3" t="s">
        <v>4485</v>
      </c>
      <c r="M629" s="3" t="s">
        <v>4486</v>
      </c>
      <c r="N629" s="3" t="s">
        <v>234</v>
      </c>
      <c r="O629" s="3" t="s">
        <v>4487</v>
      </c>
      <c r="P629" s="3" t="s">
        <v>3442</v>
      </c>
      <c r="Q629" s="3" t="s">
        <v>29</v>
      </c>
      <c r="S629" s="27" t="s">
        <v>4488</v>
      </c>
      <c r="T629" s="27"/>
      <c r="U629" s="1" t="s">
        <v>4489</v>
      </c>
    </row>
    <row r="630">
      <c r="A630" s="4">
        <v>45401.79686003472</v>
      </c>
      <c r="B630" s="3" t="s">
        <v>3434</v>
      </c>
      <c r="C630" s="3" t="s">
        <v>4490</v>
      </c>
      <c r="D630" s="3" t="s">
        <v>230</v>
      </c>
      <c r="E630" s="6">
        <v>45292.0</v>
      </c>
      <c r="F630" s="28">
        <v>300.0</v>
      </c>
      <c r="G630" s="3" t="s">
        <v>21</v>
      </c>
      <c r="H630" s="3" t="s">
        <v>22</v>
      </c>
      <c r="I630" s="3" t="s">
        <v>3436</v>
      </c>
      <c r="K630" s="3" t="s">
        <v>4491</v>
      </c>
      <c r="L630" s="3" t="s">
        <v>4492</v>
      </c>
      <c r="M630" s="3" t="s">
        <v>4493</v>
      </c>
      <c r="N630" s="3" t="s">
        <v>234</v>
      </c>
      <c r="O630" s="3" t="s">
        <v>3441</v>
      </c>
      <c r="P630" s="3" t="s">
        <v>3442</v>
      </c>
      <c r="Q630" s="3" t="s">
        <v>29</v>
      </c>
      <c r="S630" s="27" t="s">
        <v>4494</v>
      </c>
      <c r="T630" s="27">
        <f>IFERROR(__xludf.DUMMYFUNCTION("""COMPUTED_VALUE"""),2241.0)</f>
        <v>2241</v>
      </c>
      <c r="U630" s="1" t="s">
        <v>4495</v>
      </c>
    </row>
    <row r="631">
      <c r="A631" s="4">
        <v>45401.96269206019</v>
      </c>
      <c r="B631" s="3" t="s">
        <v>393</v>
      </c>
      <c r="C631" s="3" t="s">
        <v>4496</v>
      </c>
      <c r="D631" s="3" t="s">
        <v>20</v>
      </c>
      <c r="E631" s="6">
        <v>45292.0</v>
      </c>
      <c r="F631" s="28">
        <v>40000.0</v>
      </c>
      <c r="G631" s="3" t="s">
        <v>21</v>
      </c>
      <c r="H631" s="3" t="s">
        <v>22</v>
      </c>
      <c r="J631" s="1" t="s">
        <v>2279</v>
      </c>
      <c r="K631" s="3" t="s">
        <v>4497</v>
      </c>
      <c r="L631" s="3" t="s">
        <v>4498</v>
      </c>
      <c r="M631" s="3" t="s">
        <v>4499</v>
      </c>
      <c r="N631" s="3" t="s">
        <v>27</v>
      </c>
      <c r="O631" s="3" t="s">
        <v>398</v>
      </c>
      <c r="Q631" s="3" t="s">
        <v>29</v>
      </c>
      <c r="S631" s="27" t="s">
        <v>4500</v>
      </c>
      <c r="T631" s="27">
        <f>IFERROR(__xludf.DUMMYFUNCTION("""COMPUTED_VALUE"""),1148.0)</f>
        <v>1148</v>
      </c>
      <c r="U631" s="1" t="s">
        <v>4501</v>
      </c>
    </row>
    <row r="632">
      <c r="A632" s="4">
        <v>45401.96269206019</v>
      </c>
      <c r="B632" s="3" t="s">
        <v>393</v>
      </c>
      <c r="C632" s="3" t="s">
        <v>4496</v>
      </c>
      <c r="D632" s="3" t="s">
        <v>230</v>
      </c>
      <c r="E632" s="6">
        <v>45292.0</v>
      </c>
      <c r="F632" s="28">
        <v>1200.0</v>
      </c>
      <c r="G632" s="3" t="s">
        <v>21</v>
      </c>
      <c r="H632" s="3" t="s">
        <v>22</v>
      </c>
      <c r="I632" s="3" t="s">
        <v>3436</v>
      </c>
      <c r="K632" s="3" t="s">
        <v>4502</v>
      </c>
      <c r="L632" s="3" t="s">
        <v>4503</v>
      </c>
      <c r="M632" s="3" t="s">
        <v>4504</v>
      </c>
      <c r="N632" s="3" t="s">
        <v>234</v>
      </c>
      <c r="O632" s="3" t="s">
        <v>398</v>
      </c>
      <c r="P632" s="3" t="s">
        <v>3442</v>
      </c>
      <c r="Q632" s="3" t="s">
        <v>29</v>
      </c>
      <c r="S632" s="27" t="s">
        <v>4505</v>
      </c>
      <c r="T632" s="27">
        <f>IFERROR(__xludf.DUMMYFUNCTION("""COMPUTED_VALUE"""),1148.0)</f>
        <v>1148</v>
      </c>
      <c r="U632" s="1" t="s">
        <v>4506</v>
      </c>
    </row>
    <row r="633">
      <c r="A633" s="4">
        <v>45413.80943091435</v>
      </c>
      <c r="B633" s="3" t="s">
        <v>2934</v>
      </c>
      <c r="C633" s="3" t="s">
        <v>4507</v>
      </c>
      <c r="D633" s="3" t="s">
        <v>1049</v>
      </c>
      <c r="E633" s="6">
        <v>45413.0</v>
      </c>
      <c r="F633" s="28">
        <v>9300.0</v>
      </c>
      <c r="G633" s="3" t="s">
        <v>21</v>
      </c>
      <c r="H633" s="3" t="s">
        <v>22</v>
      </c>
      <c r="I633" s="3" t="s">
        <v>1145</v>
      </c>
      <c r="J633" s="1" t="s">
        <v>4508</v>
      </c>
      <c r="K633" s="3" t="s">
        <v>4509</v>
      </c>
      <c r="L633" s="3" t="s">
        <v>4510</v>
      </c>
      <c r="M633" s="3" t="s">
        <v>4511</v>
      </c>
      <c r="N633" s="3" t="s">
        <v>1054</v>
      </c>
      <c r="O633" s="3" t="s">
        <v>2939</v>
      </c>
      <c r="P633" s="3" t="s">
        <v>1150</v>
      </c>
      <c r="Q633" s="3" t="s">
        <v>29</v>
      </c>
      <c r="S633" s="27" t="s">
        <v>4512</v>
      </c>
      <c r="T633" s="27">
        <f>IFERROR(__xludf.DUMMYFUNCTION("""COMPUTED_VALUE"""),2011.0)</f>
        <v>2011</v>
      </c>
      <c r="U633" s="1" t="s">
        <v>4513</v>
      </c>
    </row>
    <row r="634">
      <c r="A634" s="4">
        <v>45425.76929415509</v>
      </c>
      <c r="B634" s="3" t="s">
        <v>2934</v>
      </c>
      <c r="C634" s="3" t="s">
        <v>4514</v>
      </c>
      <c r="D634" s="3" t="s">
        <v>1049</v>
      </c>
      <c r="E634" s="6">
        <v>45413.0</v>
      </c>
      <c r="F634" s="28">
        <v>2200.0</v>
      </c>
      <c r="G634" s="3" t="s">
        <v>136</v>
      </c>
      <c r="H634" s="3" t="s">
        <v>22</v>
      </c>
      <c r="K634" s="3" t="s">
        <v>4515</v>
      </c>
      <c r="L634" s="3" t="s">
        <v>4516</v>
      </c>
      <c r="M634" s="3" t="s">
        <v>4517</v>
      </c>
      <c r="N634" s="3" t="s">
        <v>1054</v>
      </c>
      <c r="O634" s="3" t="s">
        <v>2939</v>
      </c>
      <c r="Q634" s="3" t="s">
        <v>29</v>
      </c>
      <c r="S634" s="27" t="s">
        <v>4518</v>
      </c>
      <c r="T634" s="27">
        <f>IFERROR(__xludf.DUMMYFUNCTION("""COMPUTED_VALUE"""),2011.0)</f>
        <v>2011</v>
      </c>
      <c r="U634" s="1" t="s">
        <v>4519</v>
      </c>
    </row>
    <row r="635">
      <c r="A635" s="4">
        <v>45425.79354684028</v>
      </c>
      <c r="B635" s="3" t="s">
        <v>2995</v>
      </c>
      <c r="C635" s="3" t="s">
        <v>4520</v>
      </c>
      <c r="D635" s="3" t="s">
        <v>1049</v>
      </c>
      <c r="E635" s="6">
        <v>45413.0</v>
      </c>
      <c r="F635" s="28">
        <v>1600.0</v>
      </c>
      <c r="G635" s="3" t="s">
        <v>136</v>
      </c>
      <c r="H635" s="3" t="s">
        <v>22</v>
      </c>
      <c r="I635" s="3" t="s">
        <v>1145</v>
      </c>
      <c r="J635" s="3" t="s">
        <v>2997</v>
      </c>
      <c r="K635" s="3" t="s">
        <v>4521</v>
      </c>
      <c r="L635" s="3" t="s">
        <v>4522</v>
      </c>
      <c r="M635" s="3" t="s">
        <v>4523</v>
      </c>
      <c r="N635" s="3" t="s">
        <v>1054</v>
      </c>
      <c r="O635" s="3" t="s">
        <v>3001</v>
      </c>
      <c r="P635" s="3" t="s">
        <v>1150</v>
      </c>
      <c r="Q635" s="3" t="s">
        <v>29</v>
      </c>
      <c r="S635" s="27" t="s">
        <v>4524</v>
      </c>
      <c r="T635" s="27">
        <f>IFERROR(__xludf.DUMMYFUNCTION("""COMPUTED_VALUE"""),2064.0)</f>
        <v>2064</v>
      </c>
      <c r="U635" s="1" t="s">
        <v>4525</v>
      </c>
    </row>
    <row r="636">
      <c r="A636" s="4">
        <v>45435.86590238426</v>
      </c>
      <c r="B636" s="3" t="s">
        <v>2934</v>
      </c>
      <c r="C636" s="3" t="s">
        <v>4526</v>
      </c>
      <c r="D636" s="3" t="s">
        <v>1049</v>
      </c>
      <c r="E636" s="6">
        <v>45413.0</v>
      </c>
      <c r="F636" s="28">
        <v>444536.2</v>
      </c>
      <c r="G636" s="3" t="s">
        <v>21</v>
      </c>
      <c r="H636" s="3" t="s">
        <v>22</v>
      </c>
      <c r="J636" s="1" t="s">
        <v>4508</v>
      </c>
      <c r="K636" s="3" t="s">
        <v>4527</v>
      </c>
      <c r="L636" s="3" t="s">
        <v>4528</v>
      </c>
      <c r="M636" s="3" t="s">
        <v>4529</v>
      </c>
      <c r="N636" s="3" t="s">
        <v>1054</v>
      </c>
      <c r="O636" s="3" t="s">
        <v>2939</v>
      </c>
      <c r="Q636" s="3" t="s">
        <v>29</v>
      </c>
      <c r="S636" s="27" t="s">
        <v>4530</v>
      </c>
      <c r="T636" s="27">
        <f>IFERROR(__xludf.DUMMYFUNCTION("""COMPUTED_VALUE"""),2011.0)</f>
        <v>2011</v>
      </c>
      <c r="U636" s="1" t="s">
        <v>4531</v>
      </c>
    </row>
    <row r="637">
      <c r="A637" s="4">
        <v>45440.683179722226</v>
      </c>
      <c r="B637" s="3" t="s">
        <v>2934</v>
      </c>
      <c r="C637" s="3" t="s">
        <v>4532</v>
      </c>
      <c r="D637" s="3" t="s">
        <v>1049</v>
      </c>
      <c r="E637" s="6">
        <v>45426.0</v>
      </c>
      <c r="F637" s="28">
        <v>20344.29</v>
      </c>
      <c r="G637" s="3" t="s">
        <v>136</v>
      </c>
      <c r="H637" s="3" t="s">
        <v>22</v>
      </c>
      <c r="I637" s="3" t="s">
        <v>1145</v>
      </c>
      <c r="K637" s="3" t="s">
        <v>4533</v>
      </c>
      <c r="L637" s="3" t="s">
        <v>4534</v>
      </c>
      <c r="M637" s="3" t="s">
        <v>4535</v>
      </c>
      <c r="N637" s="3" t="s">
        <v>1054</v>
      </c>
      <c r="O637" s="3" t="s">
        <v>2939</v>
      </c>
      <c r="P637" s="3" t="s">
        <v>1150</v>
      </c>
      <c r="Q637" s="3" t="s">
        <v>29</v>
      </c>
      <c r="S637" s="27" t="s">
        <v>4536</v>
      </c>
      <c r="T637" s="27">
        <f>IFERROR(__xludf.DUMMYFUNCTION("""COMPUTED_VALUE"""),2011.0)</f>
        <v>2011</v>
      </c>
      <c r="U637" s="1" t="s">
        <v>4537</v>
      </c>
    </row>
    <row r="638">
      <c r="A638" s="4">
        <v>45446.880528622685</v>
      </c>
      <c r="B638" s="3" t="s">
        <v>4538</v>
      </c>
      <c r="C638" s="3" t="s">
        <v>4539</v>
      </c>
      <c r="D638" s="3" t="s">
        <v>358</v>
      </c>
      <c r="E638" s="6">
        <v>45432.0</v>
      </c>
      <c r="F638" s="28">
        <v>14591.0</v>
      </c>
      <c r="G638" s="3" t="s">
        <v>21</v>
      </c>
      <c r="H638" s="3" t="s">
        <v>22</v>
      </c>
      <c r="I638" s="3" t="s">
        <v>1145</v>
      </c>
      <c r="J638" s="1" t="s">
        <v>4540</v>
      </c>
      <c r="K638" s="3" t="s">
        <v>4541</v>
      </c>
      <c r="L638" s="3" t="s">
        <v>4542</v>
      </c>
      <c r="M638" s="3" t="s">
        <v>4543</v>
      </c>
      <c r="N638" s="3" t="s">
        <v>362</v>
      </c>
      <c r="O638" s="3" t="s">
        <v>4544</v>
      </c>
      <c r="P638" s="3" t="s">
        <v>1150</v>
      </c>
      <c r="Q638" s="3" t="s">
        <v>29</v>
      </c>
      <c r="S638" s="27" t="s">
        <v>4545</v>
      </c>
      <c r="T638" s="27">
        <f>IFERROR(__xludf.DUMMYFUNCTION("""COMPUTED_VALUE"""),2504.0)</f>
        <v>2504</v>
      </c>
      <c r="U638" s="1" t="s">
        <v>4546</v>
      </c>
    </row>
    <row r="639">
      <c r="A639" s="4">
        <v>45446.880528622685</v>
      </c>
      <c r="B639" s="3" t="s">
        <v>4538</v>
      </c>
      <c r="C639" s="3" t="s">
        <v>4547</v>
      </c>
      <c r="D639" s="3" t="s">
        <v>358</v>
      </c>
      <c r="E639" s="6">
        <v>45432.0</v>
      </c>
      <c r="F639" s="28">
        <v>9407.0</v>
      </c>
      <c r="G639" s="3" t="s">
        <v>21</v>
      </c>
      <c r="H639" s="3" t="s">
        <v>22</v>
      </c>
      <c r="I639" s="3" t="s">
        <v>1145</v>
      </c>
      <c r="J639" s="1" t="s">
        <v>4540</v>
      </c>
      <c r="K639" s="3" t="s">
        <v>4548</v>
      </c>
      <c r="L639" s="3" t="s">
        <v>4549</v>
      </c>
      <c r="M639" s="3" t="s">
        <v>4550</v>
      </c>
      <c r="N639" s="3" t="s">
        <v>362</v>
      </c>
      <c r="O639" s="3" t="s">
        <v>4544</v>
      </c>
      <c r="P639" s="3" t="s">
        <v>1150</v>
      </c>
      <c r="Q639" s="3" t="s">
        <v>29</v>
      </c>
      <c r="S639" s="27" t="s">
        <v>4551</v>
      </c>
      <c r="T639" s="27">
        <f>IFERROR(__xludf.DUMMYFUNCTION("""COMPUTED_VALUE"""),2504.0)</f>
        <v>2504</v>
      </c>
      <c r="U639" s="1" t="s">
        <v>4552</v>
      </c>
    </row>
    <row r="640">
      <c r="A640" s="4">
        <v>45449.5164678588</v>
      </c>
      <c r="B640" s="3" t="s">
        <v>4056</v>
      </c>
      <c r="C640" s="3" t="s">
        <v>4553</v>
      </c>
      <c r="D640" s="3" t="s">
        <v>756</v>
      </c>
      <c r="E640" s="6">
        <v>45448.0</v>
      </c>
      <c r="F640" s="28">
        <v>1800.0</v>
      </c>
      <c r="G640" s="3" t="s">
        <v>136</v>
      </c>
      <c r="H640" s="3" t="s">
        <v>22</v>
      </c>
      <c r="K640" s="3" t="s">
        <v>4554</v>
      </c>
      <c r="L640" s="3" t="s">
        <v>4555</v>
      </c>
      <c r="M640" s="3" t="s">
        <v>4556</v>
      </c>
      <c r="N640" s="3" t="s">
        <v>760</v>
      </c>
      <c r="O640" s="3" t="s">
        <v>4061</v>
      </c>
      <c r="Q640" s="3" t="s">
        <v>29</v>
      </c>
      <c r="S640" s="27" t="s">
        <v>4557</v>
      </c>
      <c r="T640" s="27">
        <f>IFERROR(__xludf.DUMMYFUNCTION("""COMPUTED_VALUE"""),2413.0)</f>
        <v>2413</v>
      </c>
      <c r="U640" s="1" t="s">
        <v>4558</v>
      </c>
    </row>
    <row r="641">
      <c r="A641" s="4">
        <v>45453.73327689814</v>
      </c>
      <c r="B641" s="3" t="s">
        <v>677</v>
      </c>
      <c r="C641" s="3" t="s">
        <v>4559</v>
      </c>
      <c r="D641" s="3" t="s">
        <v>756</v>
      </c>
      <c r="E641" s="6">
        <v>45383.0</v>
      </c>
      <c r="F641" s="28">
        <v>2000.0</v>
      </c>
      <c r="G641" s="3" t="s">
        <v>136</v>
      </c>
      <c r="H641" s="3" t="s">
        <v>22</v>
      </c>
      <c r="K641" s="3" t="s">
        <v>4560</v>
      </c>
      <c r="L641" s="3" t="s">
        <v>4561</v>
      </c>
      <c r="M641" s="3" t="s">
        <v>4562</v>
      </c>
      <c r="N641" s="3" t="s">
        <v>760</v>
      </c>
      <c r="O641" s="3" t="s">
        <v>681</v>
      </c>
      <c r="Q641" s="3" t="s">
        <v>29</v>
      </c>
      <c r="S641" s="27" t="s">
        <v>4563</v>
      </c>
      <c r="T641" s="27">
        <f>IFERROR(__xludf.DUMMYFUNCTION("""COMPUTED_VALUE"""),1233.0)</f>
        <v>1233</v>
      </c>
      <c r="U641" s="1" t="s">
        <v>4564</v>
      </c>
    </row>
    <row r="642">
      <c r="A642" s="4">
        <v>45461.6704994676</v>
      </c>
      <c r="B642" s="3" t="s">
        <v>4565</v>
      </c>
      <c r="C642" s="3" t="s">
        <v>4566</v>
      </c>
      <c r="D642" s="3" t="s">
        <v>358</v>
      </c>
      <c r="E642" s="6">
        <v>45456.0</v>
      </c>
      <c r="F642" s="33">
        <v>3990.0</v>
      </c>
      <c r="G642" s="3" t="s">
        <v>21</v>
      </c>
      <c r="H642" s="3" t="s">
        <v>22</v>
      </c>
      <c r="I642" s="3" t="s">
        <v>1160</v>
      </c>
      <c r="K642" s="3" t="s">
        <v>4567</v>
      </c>
      <c r="L642" s="3" t="s">
        <v>4568</v>
      </c>
      <c r="M642" s="3" t="s">
        <v>4569</v>
      </c>
      <c r="N642" s="3" t="s">
        <v>362</v>
      </c>
      <c r="O642" s="3" t="s">
        <v>4570</v>
      </c>
      <c r="P642" s="3" t="s">
        <v>1163</v>
      </c>
      <c r="Q642" s="3" t="s">
        <v>29</v>
      </c>
      <c r="S642" s="27" t="s">
        <v>4571</v>
      </c>
      <c r="T642" s="27"/>
      <c r="U642" s="1" t="s">
        <v>4572</v>
      </c>
    </row>
    <row r="643">
      <c r="A643" s="4">
        <v>45469.63814112269</v>
      </c>
      <c r="B643" s="3" t="s">
        <v>4573</v>
      </c>
      <c r="C643" s="3" t="s">
        <v>4574</v>
      </c>
      <c r="D643" s="3" t="s">
        <v>20</v>
      </c>
      <c r="E643" s="6">
        <v>45383.0</v>
      </c>
      <c r="F643" s="33">
        <v>25100.0</v>
      </c>
      <c r="G643" s="3" t="s">
        <v>21</v>
      </c>
      <c r="H643" s="3" t="s">
        <v>22</v>
      </c>
      <c r="I643" s="3" t="s">
        <v>1116</v>
      </c>
      <c r="K643" s="3" t="s">
        <v>4575</v>
      </c>
      <c r="L643" s="3" t="s">
        <v>4576</v>
      </c>
      <c r="M643" s="3" t="s">
        <v>4577</v>
      </c>
      <c r="N643" s="3" t="s">
        <v>27</v>
      </c>
      <c r="O643" s="3" t="s">
        <v>4578</v>
      </c>
      <c r="P643" s="3" t="s">
        <v>1122</v>
      </c>
      <c r="Q643" s="3" t="s">
        <v>29</v>
      </c>
      <c r="S643" s="27" t="s">
        <v>4579</v>
      </c>
      <c r="T643" s="27">
        <f>IFERROR(__xludf.DUMMYFUNCTION("""COMPUTED_VALUE"""),2492.0)</f>
        <v>2492</v>
      </c>
      <c r="U643" s="1" t="s">
        <v>4580</v>
      </c>
    </row>
    <row r="644">
      <c r="A644" s="4">
        <v>45469.63814112269</v>
      </c>
      <c r="B644" s="3" t="s">
        <v>4573</v>
      </c>
      <c r="C644" s="3" t="s">
        <v>4581</v>
      </c>
      <c r="D644" s="3" t="s">
        <v>358</v>
      </c>
      <c r="E644" s="6">
        <v>45383.0</v>
      </c>
      <c r="F644" s="33">
        <v>491903.93</v>
      </c>
      <c r="G644" s="3" t="s">
        <v>21</v>
      </c>
      <c r="H644" s="3" t="s">
        <v>22</v>
      </c>
      <c r="I644" s="3" t="s">
        <v>1145</v>
      </c>
      <c r="J644" s="1" t="s">
        <v>4582</v>
      </c>
      <c r="K644" s="3" t="s">
        <v>4583</v>
      </c>
      <c r="L644" s="3" t="s">
        <v>4584</v>
      </c>
      <c r="M644" s="3" t="s">
        <v>4585</v>
      </c>
      <c r="N644" s="3" t="s">
        <v>362</v>
      </c>
      <c r="O644" s="3" t="s">
        <v>4578</v>
      </c>
      <c r="P644" s="3" t="s">
        <v>1150</v>
      </c>
      <c r="Q644" s="3" t="s">
        <v>29</v>
      </c>
      <c r="S644" s="27" t="s">
        <v>4586</v>
      </c>
      <c r="T644" s="27">
        <f>IFERROR(__xludf.DUMMYFUNCTION("""COMPUTED_VALUE"""),2492.0)</f>
        <v>2492</v>
      </c>
      <c r="U644" s="1" t="s">
        <v>4587</v>
      </c>
    </row>
    <row r="645">
      <c r="A645" s="4">
        <v>45485.69999304398</v>
      </c>
      <c r="B645" s="3" t="s">
        <v>4588</v>
      </c>
      <c r="C645" s="3" t="s">
        <v>157</v>
      </c>
      <c r="D645" s="3" t="s">
        <v>230</v>
      </c>
      <c r="E645" s="6">
        <v>45292.0</v>
      </c>
      <c r="F645" s="33">
        <v>1000.0</v>
      </c>
      <c r="G645" s="3" t="s">
        <v>136</v>
      </c>
      <c r="H645" s="3" t="s">
        <v>22</v>
      </c>
      <c r="I645" s="3" t="s">
        <v>3436</v>
      </c>
      <c r="J645" s="1" t="s">
        <v>4589</v>
      </c>
      <c r="K645" s="3" t="s">
        <v>4590</v>
      </c>
      <c r="L645" s="3" t="s">
        <v>4591</v>
      </c>
      <c r="M645" s="3" t="s">
        <v>4592</v>
      </c>
      <c r="N645" s="3" t="s">
        <v>234</v>
      </c>
      <c r="O645" s="3" t="s">
        <v>4593</v>
      </c>
      <c r="P645" s="3" t="s">
        <v>3442</v>
      </c>
      <c r="Q645" s="3" t="s">
        <v>4594</v>
      </c>
      <c r="S645" s="27" t="s">
        <v>4595</v>
      </c>
      <c r="T645" s="27">
        <f>IFERROR(__xludf.DUMMYFUNCTION("""COMPUTED_VALUE"""),1975.0)</f>
        <v>1975</v>
      </c>
      <c r="U645" s="1" t="s">
        <v>4596</v>
      </c>
    </row>
    <row r="646">
      <c r="A646" s="4">
        <v>45490.99782934028</v>
      </c>
      <c r="B646" s="3" t="s">
        <v>4597</v>
      </c>
      <c r="C646" s="3" t="s">
        <v>4598</v>
      </c>
      <c r="D646" s="3" t="s">
        <v>20</v>
      </c>
      <c r="E646" s="6">
        <v>45444.0</v>
      </c>
      <c r="F646" s="33">
        <v>103910.0</v>
      </c>
      <c r="G646" s="3" t="s">
        <v>21</v>
      </c>
      <c r="H646" s="3" t="s">
        <v>22</v>
      </c>
      <c r="I646" s="3" t="s">
        <v>1434</v>
      </c>
      <c r="J646" s="1" t="s">
        <v>4599</v>
      </c>
      <c r="K646" s="3" t="s">
        <v>4600</v>
      </c>
      <c r="L646" s="3" t="s">
        <v>4601</v>
      </c>
      <c r="M646" s="3" t="s">
        <v>4602</v>
      </c>
      <c r="N646" s="3" t="s">
        <v>27</v>
      </c>
      <c r="O646" s="3" t="s">
        <v>4603</v>
      </c>
      <c r="P646" s="3" t="s">
        <v>1439</v>
      </c>
      <c r="Q646" s="3" t="s">
        <v>29</v>
      </c>
      <c r="S646" s="27" t="s">
        <v>4604</v>
      </c>
      <c r="T646" s="27">
        <f>IFERROR(__xludf.DUMMYFUNCTION("""COMPUTED_VALUE"""),2556.0)</f>
        <v>2556</v>
      </c>
      <c r="U646" s="1" t="s">
        <v>4605</v>
      </c>
    </row>
    <row r="647">
      <c r="A647" s="4">
        <v>45491.900399351856</v>
      </c>
      <c r="B647" s="3" t="s">
        <v>393</v>
      </c>
      <c r="C647" s="3" t="s">
        <v>4606</v>
      </c>
      <c r="D647" s="3" t="s">
        <v>20</v>
      </c>
      <c r="E647" s="6">
        <v>45444.0</v>
      </c>
      <c r="F647" s="33">
        <v>2000.0</v>
      </c>
      <c r="G647" s="3" t="s">
        <v>21</v>
      </c>
      <c r="H647" s="3" t="s">
        <v>22</v>
      </c>
      <c r="I647" s="3" t="s">
        <v>1434</v>
      </c>
      <c r="J647" s="1" t="s">
        <v>2279</v>
      </c>
      <c r="K647" s="3" t="s">
        <v>4607</v>
      </c>
      <c r="L647" s="3" t="s">
        <v>4608</v>
      </c>
      <c r="M647" s="3" t="s">
        <v>4609</v>
      </c>
      <c r="N647" s="3" t="s">
        <v>27</v>
      </c>
      <c r="O647" s="3" t="s">
        <v>398</v>
      </c>
      <c r="P647" s="3" t="s">
        <v>1439</v>
      </c>
      <c r="Q647" s="3" t="s">
        <v>29</v>
      </c>
      <c r="S647" s="27" t="s">
        <v>4610</v>
      </c>
      <c r="T647" s="27">
        <f>IFERROR(__xludf.DUMMYFUNCTION("""COMPUTED_VALUE"""),1148.0)</f>
        <v>1148</v>
      </c>
      <c r="U647" s="1" t="s">
        <v>4611</v>
      </c>
    </row>
    <row r="648">
      <c r="A648" s="4">
        <v>45492.610099328704</v>
      </c>
      <c r="B648" s="3" t="s">
        <v>4612</v>
      </c>
      <c r="C648" s="3" t="s">
        <v>4613</v>
      </c>
      <c r="D648" s="3" t="s">
        <v>358</v>
      </c>
      <c r="E648" s="6">
        <v>45475.0</v>
      </c>
      <c r="F648" s="33">
        <v>7715.0</v>
      </c>
      <c r="G648" s="3" t="s">
        <v>21</v>
      </c>
      <c r="H648" s="3" t="s">
        <v>22</v>
      </c>
      <c r="I648" s="3" t="s">
        <v>1145</v>
      </c>
      <c r="K648" s="3" t="s">
        <v>4614</v>
      </c>
      <c r="L648" s="3" t="s">
        <v>4615</v>
      </c>
      <c r="M648" s="3" t="s">
        <v>4616</v>
      </c>
      <c r="N648" s="3" t="s">
        <v>362</v>
      </c>
      <c r="O648" s="3" t="s">
        <v>4617</v>
      </c>
      <c r="P648" s="3" t="s">
        <v>1150</v>
      </c>
      <c r="Q648" s="3" t="s">
        <v>29</v>
      </c>
      <c r="S648" s="27" t="s">
        <v>4618</v>
      </c>
      <c r="T648" s="27">
        <f>IFERROR(__xludf.DUMMYFUNCTION("""COMPUTED_VALUE"""),2558.0)</f>
        <v>2558</v>
      </c>
      <c r="U648" s="1" t="s">
        <v>4619</v>
      </c>
    </row>
    <row r="649">
      <c r="A649" s="4">
        <v>45506.59859956018</v>
      </c>
      <c r="B649" s="3" t="s">
        <v>2734</v>
      </c>
      <c r="C649" s="3" t="s">
        <v>4620</v>
      </c>
      <c r="D649" s="3" t="s">
        <v>358</v>
      </c>
      <c r="E649" s="6">
        <v>45505.0</v>
      </c>
      <c r="F649" s="28">
        <v>3500.0</v>
      </c>
      <c r="G649" s="3" t="s">
        <v>21</v>
      </c>
      <c r="H649" s="3" t="s">
        <v>22</v>
      </c>
      <c r="I649" s="3" t="s">
        <v>1145</v>
      </c>
      <c r="J649" s="3" t="s">
        <v>4621</v>
      </c>
      <c r="K649" s="3" t="s">
        <v>4622</v>
      </c>
      <c r="L649" s="3" t="s">
        <v>4623</v>
      </c>
      <c r="M649" s="3" t="s">
        <v>4624</v>
      </c>
      <c r="N649" s="3" t="s">
        <v>362</v>
      </c>
      <c r="O649" s="3" t="s">
        <v>2739</v>
      </c>
      <c r="P649" s="3" t="s">
        <v>1150</v>
      </c>
      <c r="Q649" s="3" t="s">
        <v>29</v>
      </c>
      <c r="S649" s="27" t="s">
        <v>4625</v>
      </c>
      <c r="T649" s="27">
        <f>IFERROR(__xludf.DUMMYFUNCTION("""COMPUTED_VALUE"""),1960.0)</f>
        <v>1960</v>
      </c>
      <c r="U649" s="1" t="s">
        <v>4626</v>
      </c>
    </row>
    <row r="650">
      <c r="A650" s="4">
        <v>45511.59650157407</v>
      </c>
      <c r="B650" s="3" t="s">
        <v>4627</v>
      </c>
      <c r="C650" s="3" t="s">
        <v>4628</v>
      </c>
      <c r="D650" s="3" t="s">
        <v>20</v>
      </c>
      <c r="E650" s="6">
        <v>45511.0</v>
      </c>
      <c r="F650" s="33">
        <v>23860.0</v>
      </c>
      <c r="G650" s="3" t="s">
        <v>21</v>
      </c>
      <c r="H650" s="3" t="s">
        <v>22</v>
      </c>
      <c r="I650" s="3" t="s">
        <v>1441</v>
      </c>
      <c r="J650" s="1" t="s">
        <v>4629</v>
      </c>
      <c r="K650" s="3" t="s">
        <v>4630</v>
      </c>
      <c r="L650" s="3" t="s">
        <v>4631</v>
      </c>
      <c r="M650" s="3" t="s">
        <v>4632</v>
      </c>
      <c r="N650" s="3" t="s">
        <v>27</v>
      </c>
      <c r="O650" s="3" t="s">
        <v>4633</v>
      </c>
      <c r="P650" s="3" t="s">
        <v>1445</v>
      </c>
      <c r="Q650" s="3" t="s">
        <v>29</v>
      </c>
      <c r="S650" s="27" t="s">
        <v>4634</v>
      </c>
      <c r="T650" s="27">
        <f>IFERROR(__xludf.DUMMYFUNCTION("""COMPUTED_VALUE"""),2571.0)</f>
        <v>2571</v>
      </c>
      <c r="U650" s="1" t="s">
        <v>4635</v>
      </c>
    </row>
    <row r="651">
      <c r="A651" s="4">
        <v>45512.61168569444</v>
      </c>
      <c r="B651" s="3" t="s">
        <v>4636</v>
      </c>
      <c r="C651" s="3" t="s">
        <v>4637</v>
      </c>
      <c r="D651" s="3" t="s">
        <v>20</v>
      </c>
      <c r="E651" s="6">
        <v>45505.0</v>
      </c>
      <c r="F651" s="33">
        <v>307060.0</v>
      </c>
      <c r="G651" s="3" t="s">
        <v>21</v>
      </c>
      <c r="H651" s="3" t="s">
        <v>22</v>
      </c>
      <c r="I651" s="3" t="s">
        <v>3781</v>
      </c>
      <c r="K651" s="3" t="s">
        <v>4638</v>
      </c>
      <c r="L651" s="3" t="s">
        <v>4639</v>
      </c>
      <c r="M651" s="3" t="s">
        <v>4640</v>
      </c>
      <c r="N651" s="3" t="s">
        <v>27</v>
      </c>
      <c r="O651" s="3" t="s">
        <v>4641</v>
      </c>
      <c r="P651" s="3" t="s">
        <v>3787</v>
      </c>
      <c r="Q651" s="3" t="s">
        <v>29</v>
      </c>
      <c r="S651" s="27" t="s">
        <v>4642</v>
      </c>
      <c r="T651" s="27">
        <f>IFERROR(__xludf.DUMMYFUNCTION("""COMPUTED_VALUE"""),2567.0)</f>
        <v>2567</v>
      </c>
      <c r="U651" s="1" t="s">
        <v>4643</v>
      </c>
    </row>
    <row r="652">
      <c r="A652" s="4">
        <v>45519.79637997685</v>
      </c>
      <c r="B652" s="3" t="s">
        <v>482</v>
      </c>
      <c r="C652" s="3" t="s">
        <v>4644</v>
      </c>
      <c r="D652" s="3" t="s">
        <v>20</v>
      </c>
      <c r="E652" s="6">
        <v>45505.0</v>
      </c>
      <c r="F652" s="33">
        <v>1500.0</v>
      </c>
      <c r="G652" s="3" t="s">
        <v>136</v>
      </c>
      <c r="H652" s="3" t="s">
        <v>22</v>
      </c>
      <c r="I652" s="3" t="s">
        <v>1145</v>
      </c>
      <c r="K652" s="3" t="s">
        <v>4645</v>
      </c>
      <c r="L652" s="3" t="s">
        <v>4646</v>
      </c>
      <c r="M652" s="3" t="s">
        <v>4647</v>
      </c>
      <c r="N652" s="3" t="s">
        <v>27</v>
      </c>
      <c r="O652" s="3" t="s">
        <v>487</v>
      </c>
      <c r="P652" s="3" t="s">
        <v>1150</v>
      </c>
      <c r="Q652" s="3" t="s">
        <v>29</v>
      </c>
      <c r="S652" s="27" t="s">
        <v>4648</v>
      </c>
      <c r="T652" s="27">
        <f>IFERROR(__xludf.DUMMYFUNCTION("""COMPUTED_VALUE"""),4.0)</f>
        <v>4</v>
      </c>
      <c r="U652" s="1" t="s">
        <v>4649</v>
      </c>
    </row>
    <row r="653">
      <c r="A653" s="4">
        <v>45533.68556520833</v>
      </c>
      <c r="B653" s="3" t="s">
        <v>4650</v>
      </c>
      <c r="C653" s="3" t="s">
        <v>4651</v>
      </c>
      <c r="D653" s="3" t="s">
        <v>20</v>
      </c>
      <c r="E653" s="6">
        <v>45505.0</v>
      </c>
      <c r="F653" s="33">
        <v>125180.0</v>
      </c>
      <c r="G653" s="3" t="s">
        <v>21</v>
      </c>
      <c r="H653" s="3" t="s">
        <v>22</v>
      </c>
      <c r="I653" s="3" t="s">
        <v>3781</v>
      </c>
      <c r="K653" s="3" t="s">
        <v>4652</v>
      </c>
      <c r="L653" s="3" t="s">
        <v>4653</v>
      </c>
      <c r="M653" s="3" t="s">
        <v>4654</v>
      </c>
      <c r="N653" s="3" t="s">
        <v>27</v>
      </c>
      <c r="O653" s="3" t="s">
        <v>4655</v>
      </c>
      <c r="P653" s="3" t="s">
        <v>3787</v>
      </c>
      <c r="Q653" s="3" t="s">
        <v>29</v>
      </c>
      <c r="S653" s="27" t="s">
        <v>4656</v>
      </c>
      <c r="T653" s="27">
        <f>IFERROR(__xludf.DUMMYFUNCTION("""COMPUTED_VALUE"""),2583.0)</f>
        <v>2583</v>
      </c>
      <c r="U653" s="1" t="s">
        <v>4657</v>
      </c>
    </row>
    <row r="654">
      <c r="A654" s="4">
        <v>45538.95474798611</v>
      </c>
      <c r="B654" s="3" t="s">
        <v>4658</v>
      </c>
      <c r="C654" s="3" t="s">
        <v>4659</v>
      </c>
      <c r="D654" s="3" t="s">
        <v>358</v>
      </c>
      <c r="E654" s="6">
        <v>45538.0</v>
      </c>
      <c r="F654" s="33">
        <v>1155220.0</v>
      </c>
      <c r="G654" s="3" t="s">
        <v>21</v>
      </c>
      <c r="H654" s="3" t="s">
        <v>22</v>
      </c>
      <c r="I654" s="3" t="s">
        <v>1145</v>
      </c>
      <c r="K654" s="3" t="s">
        <v>4660</v>
      </c>
      <c r="L654" s="3" t="s">
        <v>4661</v>
      </c>
      <c r="M654" s="3" t="s">
        <v>4662</v>
      </c>
      <c r="N654" s="3" t="s">
        <v>362</v>
      </c>
      <c r="O654" s="3" t="s">
        <v>4663</v>
      </c>
      <c r="P654" s="3" t="s">
        <v>1150</v>
      </c>
      <c r="Q654" s="3" t="s">
        <v>29</v>
      </c>
      <c r="S654" s="27" t="s">
        <v>4664</v>
      </c>
      <c r="T654" s="27">
        <f>IFERROR(__xludf.DUMMYFUNCTION("""COMPUTED_VALUE"""),2589.0)</f>
        <v>2589</v>
      </c>
      <c r="U654" s="1" t="s">
        <v>4665</v>
      </c>
    </row>
    <row r="655">
      <c r="A655" s="4">
        <v>45544.73457606482</v>
      </c>
      <c r="B655" s="3" t="s">
        <v>482</v>
      </c>
      <c r="C655" s="3" t="s">
        <v>4666</v>
      </c>
      <c r="D655" s="3" t="s">
        <v>358</v>
      </c>
      <c r="E655" s="6">
        <v>45412.0</v>
      </c>
      <c r="F655" s="33">
        <v>250757.0</v>
      </c>
      <c r="G655" s="3" t="s">
        <v>350</v>
      </c>
      <c r="H655" s="3" t="s">
        <v>22</v>
      </c>
      <c r="I655" s="3" t="s">
        <v>1137</v>
      </c>
      <c r="K655" s="3" t="s">
        <v>4667</v>
      </c>
      <c r="L655" s="3" t="s">
        <v>4668</v>
      </c>
      <c r="M655" s="3" t="s">
        <v>4669</v>
      </c>
      <c r="N655" s="3" t="s">
        <v>362</v>
      </c>
      <c r="O655" s="3" t="s">
        <v>487</v>
      </c>
      <c r="P655" s="3" t="s">
        <v>1141</v>
      </c>
      <c r="Q655" s="3" t="s">
        <v>29</v>
      </c>
      <c r="S655" s="27" t="s">
        <v>4670</v>
      </c>
      <c r="T655" s="27">
        <f>IFERROR(__xludf.DUMMYFUNCTION("""COMPUTED_VALUE"""),4.0)</f>
        <v>4</v>
      </c>
      <c r="U655" s="1" t="s">
        <v>4671</v>
      </c>
    </row>
    <row r="656">
      <c r="A656" s="4">
        <v>45546.667335543985</v>
      </c>
      <c r="B656" s="3" t="s">
        <v>393</v>
      </c>
      <c r="C656" s="3" t="s">
        <v>4672</v>
      </c>
      <c r="D656" s="3" t="s">
        <v>20</v>
      </c>
      <c r="E656" s="6">
        <v>45536.0</v>
      </c>
      <c r="F656" s="33">
        <v>19160.0</v>
      </c>
      <c r="G656" s="3" t="s">
        <v>21</v>
      </c>
      <c r="H656" s="3" t="s">
        <v>22</v>
      </c>
      <c r="I656" s="3" t="s">
        <v>4673</v>
      </c>
      <c r="J656" s="1" t="s">
        <v>2279</v>
      </c>
      <c r="K656" s="3" t="s">
        <v>4674</v>
      </c>
      <c r="L656" s="3" t="s">
        <v>4675</v>
      </c>
      <c r="M656" s="3" t="s">
        <v>4676</v>
      </c>
      <c r="N656" s="3" t="s">
        <v>27</v>
      </c>
      <c r="O656" s="3" t="s">
        <v>398</v>
      </c>
      <c r="P656" s="3" t="s">
        <v>4677</v>
      </c>
      <c r="Q656" s="3" t="s">
        <v>29</v>
      </c>
      <c r="S656" s="27" t="s">
        <v>4678</v>
      </c>
      <c r="T656" s="27">
        <f>IFERROR(__xludf.DUMMYFUNCTION("""COMPUTED_VALUE"""),1148.0)</f>
        <v>1148</v>
      </c>
      <c r="U656" s="1" t="s">
        <v>4679</v>
      </c>
    </row>
    <row r="657">
      <c r="A657" s="4">
        <v>45552.509864004634</v>
      </c>
      <c r="B657" s="3" t="s">
        <v>4680</v>
      </c>
      <c r="C657" s="3" t="s">
        <v>4681</v>
      </c>
      <c r="D657" s="3" t="s">
        <v>20</v>
      </c>
      <c r="E657" s="6">
        <v>45536.0</v>
      </c>
      <c r="F657" s="33">
        <v>213160.0</v>
      </c>
      <c r="G657" s="3" t="s">
        <v>21</v>
      </c>
      <c r="H657" s="3" t="s">
        <v>22</v>
      </c>
      <c r="I657" s="3" t="s">
        <v>3781</v>
      </c>
      <c r="K657" s="3" t="s">
        <v>4682</v>
      </c>
      <c r="L657" s="3" t="s">
        <v>4683</v>
      </c>
      <c r="M657" s="3" t="s">
        <v>4684</v>
      </c>
      <c r="N657" s="3" t="s">
        <v>27</v>
      </c>
      <c r="O657" s="3" t="s">
        <v>4685</v>
      </c>
      <c r="P657" s="3" t="s">
        <v>3787</v>
      </c>
      <c r="Q657" s="3" t="s">
        <v>29</v>
      </c>
      <c r="S657" s="27" t="s">
        <v>4686</v>
      </c>
      <c r="T657" s="27">
        <f>IFERROR(__xludf.DUMMYFUNCTION("""COMPUTED_VALUE"""),2592.0)</f>
        <v>2592</v>
      </c>
      <c r="U657" s="1" t="s">
        <v>4687</v>
      </c>
    </row>
    <row r="658">
      <c r="A658" s="4">
        <v>45556.8479078588</v>
      </c>
      <c r="B658" s="3" t="s">
        <v>2934</v>
      </c>
      <c r="C658" s="3" t="s">
        <v>4688</v>
      </c>
      <c r="D658" s="3" t="s">
        <v>358</v>
      </c>
      <c r="E658" s="6">
        <v>45555.0</v>
      </c>
      <c r="F658" s="28">
        <v>35000.0</v>
      </c>
      <c r="G658" s="3" t="s">
        <v>136</v>
      </c>
      <c r="H658" s="3" t="s">
        <v>22</v>
      </c>
      <c r="I658" s="3" t="s">
        <v>1145</v>
      </c>
      <c r="K658" s="3" t="s">
        <v>4689</v>
      </c>
      <c r="L658" s="3" t="s">
        <v>4690</v>
      </c>
      <c r="M658" s="3" t="s">
        <v>4691</v>
      </c>
      <c r="N658" s="3" t="s">
        <v>362</v>
      </c>
      <c r="O658" s="3" t="s">
        <v>2939</v>
      </c>
      <c r="P658" s="3" t="s">
        <v>1150</v>
      </c>
      <c r="Q658" s="3" t="s">
        <v>29</v>
      </c>
      <c r="S658" s="27" t="s">
        <v>4692</v>
      </c>
      <c r="T658" s="27">
        <f>IFERROR(__xludf.DUMMYFUNCTION("""COMPUTED_VALUE"""),2011.0)</f>
        <v>2011</v>
      </c>
      <c r="U658" s="1" t="s">
        <v>4693</v>
      </c>
    </row>
    <row r="659">
      <c r="A659" s="4">
        <v>45561.04991671296</v>
      </c>
      <c r="B659" s="3" t="s">
        <v>482</v>
      </c>
      <c r="C659" s="3" t="s">
        <v>4694</v>
      </c>
      <c r="D659" s="3" t="s">
        <v>756</v>
      </c>
      <c r="E659" s="6">
        <v>45536.0</v>
      </c>
      <c r="F659" s="33">
        <v>50000.0</v>
      </c>
      <c r="G659" s="3" t="s">
        <v>136</v>
      </c>
      <c r="H659" s="3" t="s">
        <v>22</v>
      </c>
      <c r="I659" s="3" t="s">
        <v>1145</v>
      </c>
      <c r="K659" s="3" t="s">
        <v>4695</v>
      </c>
      <c r="L659" s="3" t="s">
        <v>4696</v>
      </c>
      <c r="M659" s="3" t="s">
        <v>4697</v>
      </c>
      <c r="N659" s="3" t="s">
        <v>760</v>
      </c>
      <c r="O659" s="3" t="s">
        <v>487</v>
      </c>
      <c r="P659" s="3" t="s">
        <v>1150</v>
      </c>
      <c r="Q659" s="3" t="s">
        <v>29</v>
      </c>
      <c r="S659" s="27" t="s">
        <v>4698</v>
      </c>
      <c r="T659" s="27">
        <f>IFERROR(__xludf.DUMMYFUNCTION("""COMPUTED_VALUE"""),4.0)</f>
        <v>4</v>
      </c>
      <c r="U659" s="1" t="s">
        <v>4699</v>
      </c>
    </row>
    <row r="660">
      <c r="A660" s="4">
        <v>45561.05638915509</v>
      </c>
      <c r="B660" s="3" t="s">
        <v>4700</v>
      </c>
      <c r="C660" s="3" t="s">
        <v>4701</v>
      </c>
      <c r="D660" s="3" t="s">
        <v>1049</v>
      </c>
      <c r="E660" s="6">
        <v>45553.0</v>
      </c>
      <c r="F660" s="33">
        <v>2100.0</v>
      </c>
      <c r="G660" s="3" t="s">
        <v>136</v>
      </c>
      <c r="H660" s="3" t="s">
        <v>22</v>
      </c>
      <c r="I660" s="3" t="s">
        <v>3781</v>
      </c>
      <c r="K660" s="3" t="s">
        <v>4702</v>
      </c>
      <c r="L660" s="3" t="s">
        <v>4703</v>
      </c>
      <c r="M660" s="3" t="s">
        <v>4704</v>
      </c>
      <c r="N660" s="3" t="s">
        <v>1054</v>
      </c>
      <c r="O660" s="3" t="s">
        <v>4705</v>
      </c>
      <c r="P660" s="3" t="s">
        <v>3787</v>
      </c>
      <c r="Q660" s="3" t="s">
        <v>29</v>
      </c>
      <c r="S660" s="27" t="s">
        <v>4706</v>
      </c>
      <c r="T660" s="27">
        <f>IFERROR(__xludf.DUMMYFUNCTION("""COMPUTED_VALUE"""),2588.0)</f>
        <v>2588</v>
      </c>
      <c r="U660" s="1" t="s">
        <v>4707</v>
      </c>
    </row>
    <row r="661">
      <c r="A661" s="4">
        <v>45566.600821898144</v>
      </c>
      <c r="B661" s="3" t="s">
        <v>4708</v>
      </c>
      <c r="C661" s="3" t="s">
        <v>4709</v>
      </c>
      <c r="D661" s="3" t="s">
        <v>20</v>
      </c>
      <c r="E661" s="6">
        <v>45536.0</v>
      </c>
      <c r="F661" s="33">
        <v>181950.0</v>
      </c>
      <c r="G661" s="3" t="s">
        <v>21</v>
      </c>
      <c r="H661" s="3" t="s">
        <v>22</v>
      </c>
      <c r="K661" s="3" t="s">
        <v>4710</v>
      </c>
      <c r="L661" s="3" t="s">
        <v>4711</v>
      </c>
      <c r="M661" s="3" t="s">
        <v>4712</v>
      </c>
      <c r="N661" s="3" t="s">
        <v>27</v>
      </c>
      <c r="O661" s="3" t="s">
        <v>4713</v>
      </c>
      <c r="Q661" s="3" t="s">
        <v>29</v>
      </c>
      <c r="S661" s="27" t="s">
        <v>4714</v>
      </c>
      <c r="T661" s="27">
        <f>IFERROR(__xludf.DUMMYFUNCTION("""COMPUTED_VALUE"""),2597.0)</f>
        <v>2597</v>
      </c>
      <c r="U661" s="1" t="s">
        <v>4715</v>
      </c>
    </row>
    <row r="662">
      <c r="A662" s="4">
        <v>45567.622414618054</v>
      </c>
      <c r="B662" s="3" t="s">
        <v>4612</v>
      </c>
      <c r="C662" s="3" t="s">
        <v>4716</v>
      </c>
      <c r="D662" s="3" t="s">
        <v>358</v>
      </c>
      <c r="E662" s="6">
        <v>45505.0</v>
      </c>
      <c r="F662" s="33">
        <v>187859.8</v>
      </c>
      <c r="G662" s="3" t="s">
        <v>21</v>
      </c>
      <c r="H662" s="3" t="s">
        <v>22</v>
      </c>
      <c r="I662" s="3" t="s">
        <v>1145</v>
      </c>
      <c r="J662" s="1" t="s">
        <v>4717</v>
      </c>
      <c r="K662" s="3" t="s">
        <v>4718</v>
      </c>
      <c r="L662" s="3" t="s">
        <v>4719</v>
      </c>
      <c r="M662" s="3" t="s">
        <v>4720</v>
      </c>
      <c r="N662" s="3" t="s">
        <v>362</v>
      </c>
      <c r="O662" s="3" t="s">
        <v>4617</v>
      </c>
      <c r="P662" s="3" t="s">
        <v>1150</v>
      </c>
      <c r="Q662" s="3" t="s">
        <v>29</v>
      </c>
      <c r="S662" s="27" t="s">
        <v>4721</v>
      </c>
      <c r="T662" s="27">
        <f>IFERROR(__xludf.DUMMYFUNCTION("""COMPUTED_VALUE"""),2558.0)</f>
        <v>2558</v>
      </c>
      <c r="U662" s="1" t="s">
        <v>4722</v>
      </c>
    </row>
    <row r="663">
      <c r="A663" s="4">
        <v>45574.69946908565</v>
      </c>
      <c r="B663" s="3" t="s">
        <v>30</v>
      </c>
      <c r="C663" s="3" t="s">
        <v>4723</v>
      </c>
      <c r="D663" s="3" t="s">
        <v>358</v>
      </c>
      <c r="E663" s="6">
        <v>45474.0</v>
      </c>
      <c r="F663" s="28">
        <v>1800000.0</v>
      </c>
      <c r="G663" s="3" t="s">
        <v>4724</v>
      </c>
      <c r="H663" s="3" t="s">
        <v>22</v>
      </c>
      <c r="I663" s="3" t="s">
        <v>1145</v>
      </c>
      <c r="J663" s="1" t="s">
        <v>4725</v>
      </c>
      <c r="K663" s="3" t="s">
        <v>4726</v>
      </c>
      <c r="L663" s="3" t="s">
        <v>4727</v>
      </c>
      <c r="M663" s="3" t="s">
        <v>4728</v>
      </c>
      <c r="N663" s="3" t="s">
        <v>362</v>
      </c>
      <c r="O663" s="3" t="s">
        <v>36</v>
      </c>
      <c r="P663" s="3" t="s">
        <v>1150</v>
      </c>
      <c r="Q663" s="3" t="s">
        <v>29</v>
      </c>
      <c r="S663" s="27" t="s">
        <v>4729</v>
      </c>
      <c r="T663" s="27">
        <f>IFERROR(__xludf.DUMMYFUNCTION("""COMPUTED_VALUE"""),541.0)</f>
        <v>541</v>
      </c>
      <c r="U663" s="1" t="s">
        <v>4730</v>
      </c>
    </row>
    <row r="664">
      <c r="A664" s="4">
        <v>45580.575926006946</v>
      </c>
      <c r="B664" s="3" t="s">
        <v>4573</v>
      </c>
      <c r="C664" s="3" t="s">
        <v>4731</v>
      </c>
      <c r="D664" s="3" t="s">
        <v>358</v>
      </c>
      <c r="E664" s="6">
        <v>45383.0</v>
      </c>
      <c r="F664" s="33">
        <v>63680.0</v>
      </c>
      <c r="G664" s="3" t="s">
        <v>350</v>
      </c>
      <c r="H664" s="3" t="s">
        <v>22</v>
      </c>
      <c r="I664" s="3" t="s">
        <v>1145</v>
      </c>
      <c r="K664" s="3" t="s">
        <v>4732</v>
      </c>
      <c r="L664" s="3" t="s">
        <v>4733</v>
      </c>
      <c r="M664" s="3" t="s">
        <v>4734</v>
      </c>
      <c r="N664" s="3" t="s">
        <v>362</v>
      </c>
      <c r="O664" s="3" t="s">
        <v>4578</v>
      </c>
      <c r="P664" s="3" t="s">
        <v>1150</v>
      </c>
      <c r="Q664" s="3" t="s">
        <v>29</v>
      </c>
      <c r="S664" s="27" t="s">
        <v>4735</v>
      </c>
      <c r="T664" s="27">
        <f>IFERROR(__xludf.DUMMYFUNCTION("""COMPUTED_VALUE"""),2492.0)</f>
        <v>2492</v>
      </c>
      <c r="U664" s="1" t="s">
        <v>4736</v>
      </c>
    </row>
    <row r="665">
      <c r="A665" s="4">
        <v>45597.5830802662</v>
      </c>
      <c r="B665" s="3" t="s">
        <v>1165</v>
      </c>
      <c r="C665" s="3" t="s">
        <v>4737</v>
      </c>
      <c r="D665" s="3" t="s">
        <v>20</v>
      </c>
      <c r="E665" s="6">
        <v>45560.0</v>
      </c>
      <c r="F665" s="33">
        <v>41250.0</v>
      </c>
      <c r="G665" s="3" t="s">
        <v>21</v>
      </c>
      <c r="H665" s="3" t="s">
        <v>22</v>
      </c>
      <c r="I665" s="3" t="s">
        <v>3436</v>
      </c>
      <c r="K665" s="3" t="s">
        <v>4738</v>
      </c>
      <c r="L665" s="3" t="s">
        <v>4739</v>
      </c>
      <c r="M665" s="3" t="s">
        <v>4740</v>
      </c>
      <c r="N665" s="3" t="s">
        <v>27</v>
      </c>
      <c r="O665" s="3" t="s">
        <v>1171</v>
      </c>
      <c r="P665" s="3" t="s">
        <v>3442</v>
      </c>
      <c r="Q665" s="3" t="s">
        <v>29</v>
      </c>
      <c r="S665" s="27" t="s">
        <v>4741</v>
      </c>
      <c r="T665" s="27">
        <f>IFERROR(__xludf.DUMMYFUNCTION("""COMPUTED_VALUE"""),1167.0)</f>
        <v>1167</v>
      </c>
      <c r="U665" s="1" t="s">
        <v>4742</v>
      </c>
    </row>
    <row r="666">
      <c r="A666" s="4">
        <v>45600.76987116898</v>
      </c>
      <c r="B666" s="3" t="s">
        <v>4743</v>
      </c>
      <c r="C666" s="3" t="s">
        <v>4744</v>
      </c>
      <c r="D666" s="3" t="s">
        <v>20</v>
      </c>
      <c r="E666" s="6">
        <v>45429.0</v>
      </c>
      <c r="F666" s="33">
        <v>8640.0</v>
      </c>
      <c r="G666" s="3" t="s">
        <v>21</v>
      </c>
      <c r="H666" s="3" t="s">
        <v>22</v>
      </c>
      <c r="K666" s="3" t="s">
        <v>4745</v>
      </c>
      <c r="L666" s="3" t="s">
        <v>4746</v>
      </c>
      <c r="M666" s="3" t="s">
        <v>4747</v>
      </c>
      <c r="N666" s="3" t="s">
        <v>27</v>
      </c>
      <c r="O666" s="3" t="s">
        <v>4748</v>
      </c>
      <c r="Q666" s="3" t="s">
        <v>29</v>
      </c>
      <c r="S666" s="27" t="s">
        <v>4749</v>
      </c>
      <c r="T666" s="27">
        <f>IFERROR(__xludf.DUMMYFUNCTION("""COMPUTED_VALUE"""),2510.0)</f>
        <v>2510</v>
      </c>
      <c r="U666" s="1" t="s">
        <v>4750</v>
      </c>
    </row>
    <row r="667">
      <c r="A667" s="4">
        <v>45601.51383625</v>
      </c>
      <c r="B667" s="3" t="s">
        <v>4751</v>
      </c>
      <c r="C667" s="3" t="s">
        <v>4752</v>
      </c>
      <c r="D667" s="3" t="s">
        <v>358</v>
      </c>
      <c r="E667" s="6">
        <v>45601.0</v>
      </c>
      <c r="F667" s="33">
        <v>693840.0</v>
      </c>
      <c r="G667" s="3" t="s">
        <v>21</v>
      </c>
      <c r="H667" s="3" t="s">
        <v>22</v>
      </c>
      <c r="K667" s="3" t="s">
        <v>4753</v>
      </c>
      <c r="L667" s="3" t="s">
        <v>4754</v>
      </c>
      <c r="M667" s="3" t="s">
        <v>4755</v>
      </c>
      <c r="N667" s="3" t="s">
        <v>362</v>
      </c>
      <c r="O667" s="3" t="s">
        <v>4756</v>
      </c>
      <c r="Q667" s="3" t="s">
        <v>29</v>
      </c>
      <c r="S667" s="27" t="s">
        <v>4757</v>
      </c>
      <c r="T667" s="27"/>
      <c r="U667" s="1" t="s">
        <v>4758</v>
      </c>
    </row>
    <row r="668">
      <c r="A668" s="4">
        <v>45601.61031585648</v>
      </c>
      <c r="B668" s="3" t="s">
        <v>4759</v>
      </c>
      <c r="C668" s="3" t="s">
        <v>4760</v>
      </c>
      <c r="D668" s="3" t="s">
        <v>20</v>
      </c>
      <c r="E668" s="6">
        <v>45582.0</v>
      </c>
      <c r="F668" s="33">
        <v>52000.0</v>
      </c>
      <c r="G668" s="3" t="s">
        <v>21</v>
      </c>
      <c r="H668" s="3" t="s">
        <v>22</v>
      </c>
      <c r="I668" s="3" t="s">
        <v>1441</v>
      </c>
      <c r="K668" s="3" t="s">
        <v>4761</v>
      </c>
      <c r="L668" s="3" t="s">
        <v>4762</v>
      </c>
      <c r="M668" s="3" t="s">
        <v>4763</v>
      </c>
      <c r="N668" s="3" t="s">
        <v>27</v>
      </c>
      <c r="O668" s="3" t="s">
        <v>4764</v>
      </c>
      <c r="P668" s="3" t="s">
        <v>1445</v>
      </c>
      <c r="Q668" s="3" t="s">
        <v>29</v>
      </c>
      <c r="S668" s="27" t="s">
        <v>4765</v>
      </c>
      <c r="T668" s="27">
        <f>IFERROR(__xludf.DUMMYFUNCTION("""COMPUTED_VALUE"""),2645.0)</f>
        <v>2645</v>
      </c>
      <c r="U668" s="1" t="s">
        <v>4766</v>
      </c>
    </row>
    <row r="669">
      <c r="A669" s="4">
        <v>45610.99554765046</v>
      </c>
      <c r="B669" s="3" t="s">
        <v>4767</v>
      </c>
      <c r="C669" s="3" t="s">
        <v>4768</v>
      </c>
      <c r="D669" s="3" t="s">
        <v>20</v>
      </c>
      <c r="E669" s="6">
        <v>45597.0</v>
      </c>
      <c r="F669" s="33">
        <v>131040.0</v>
      </c>
      <c r="G669" s="3" t="s">
        <v>21</v>
      </c>
      <c r="H669" s="3" t="s">
        <v>22</v>
      </c>
      <c r="J669" s="1" t="s">
        <v>4769</v>
      </c>
      <c r="K669" s="3" t="s">
        <v>4770</v>
      </c>
      <c r="L669" s="3" t="s">
        <v>4771</v>
      </c>
      <c r="M669" s="3" t="s">
        <v>4772</v>
      </c>
      <c r="N669" s="3" t="s">
        <v>27</v>
      </c>
      <c r="O669" s="3" t="s">
        <v>4773</v>
      </c>
      <c r="Q669" s="3" t="s">
        <v>29</v>
      </c>
      <c r="S669" s="27" t="s">
        <v>4774</v>
      </c>
      <c r="T669" s="27">
        <f>IFERROR(__xludf.DUMMYFUNCTION("""COMPUTED_VALUE"""),2732.0)</f>
        <v>2732</v>
      </c>
      <c r="U669" s="1" t="s">
        <v>4775</v>
      </c>
    </row>
    <row r="670">
      <c r="A670" s="4">
        <v>45624.63875657407</v>
      </c>
      <c r="B670" s="3" t="s">
        <v>103</v>
      </c>
      <c r="C670" s="3" t="s">
        <v>4776</v>
      </c>
      <c r="D670" s="3" t="s">
        <v>358</v>
      </c>
      <c r="E670" s="6">
        <v>45469.0</v>
      </c>
      <c r="F670" s="33">
        <v>257240.0</v>
      </c>
      <c r="G670" s="3" t="s">
        <v>350</v>
      </c>
      <c r="H670" s="3" t="s">
        <v>22</v>
      </c>
      <c r="J670" s="3" t="s">
        <v>4777</v>
      </c>
      <c r="K670" s="3" t="s">
        <v>4778</v>
      </c>
      <c r="L670" s="3" t="s">
        <v>4779</v>
      </c>
      <c r="M670" s="3" t="s">
        <v>4780</v>
      </c>
      <c r="N670" s="3" t="s">
        <v>362</v>
      </c>
      <c r="O670" s="3" t="s">
        <v>108</v>
      </c>
      <c r="Q670" s="3" t="s">
        <v>29</v>
      </c>
      <c r="S670" s="27" t="s">
        <v>4781</v>
      </c>
      <c r="T670" s="27">
        <f>IFERROR(__xludf.DUMMYFUNCTION("""COMPUTED_VALUE"""),93.0)</f>
        <v>93</v>
      </c>
      <c r="U670" s="1" t="s">
        <v>4782</v>
      </c>
    </row>
    <row r="671">
      <c r="A671" s="4">
        <v>45625.443019976854</v>
      </c>
      <c r="B671" s="3" t="s">
        <v>4783</v>
      </c>
      <c r="C671" s="3" t="s">
        <v>4784</v>
      </c>
      <c r="D671" s="3" t="s">
        <v>20</v>
      </c>
      <c r="E671" s="6">
        <v>45607.0</v>
      </c>
      <c r="F671" s="33">
        <v>26750.0</v>
      </c>
      <c r="G671" s="3" t="s">
        <v>21</v>
      </c>
      <c r="H671" s="3" t="s">
        <v>22</v>
      </c>
      <c r="K671" s="3" t="s">
        <v>4785</v>
      </c>
      <c r="L671" s="3" t="s">
        <v>4786</v>
      </c>
      <c r="M671" s="3" t="s">
        <v>4787</v>
      </c>
      <c r="N671" s="3" t="s">
        <v>27</v>
      </c>
      <c r="O671" s="3" t="s">
        <v>4788</v>
      </c>
      <c r="Q671" s="3" t="s">
        <v>29</v>
      </c>
      <c r="S671" s="27" t="s">
        <v>4789</v>
      </c>
      <c r="T671" s="27">
        <f>IFERROR(__xludf.DUMMYFUNCTION("""COMPUTED_VALUE"""),2627.0)</f>
        <v>2627</v>
      </c>
      <c r="U671" s="1" t="s">
        <v>4790</v>
      </c>
    </row>
    <row r="672">
      <c r="A672" s="4">
        <v>45633.62913421296</v>
      </c>
      <c r="B672" s="3" t="s">
        <v>4658</v>
      </c>
      <c r="C672" s="3" t="s">
        <v>4791</v>
      </c>
      <c r="D672" s="3" t="s">
        <v>358</v>
      </c>
      <c r="E672" s="6">
        <v>45628.0</v>
      </c>
      <c r="F672" s="33">
        <v>43449.1</v>
      </c>
      <c r="G672" s="3" t="s">
        <v>21</v>
      </c>
      <c r="H672" s="3" t="s">
        <v>22</v>
      </c>
      <c r="I672" s="3" t="s">
        <v>1145</v>
      </c>
      <c r="J672" s="1" t="s">
        <v>4792</v>
      </c>
      <c r="K672" s="3" t="s">
        <v>4793</v>
      </c>
      <c r="L672" s="3" t="s">
        <v>4794</v>
      </c>
      <c r="M672" s="3" t="s">
        <v>4795</v>
      </c>
      <c r="N672" s="3" t="s">
        <v>362</v>
      </c>
      <c r="O672" s="3" t="s">
        <v>4663</v>
      </c>
      <c r="P672" s="3" t="s">
        <v>1150</v>
      </c>
      <c r="Q672" s="3" t="s">
        <v>29</v>
      </c>
      <c r="S672" s="27" t="s">
        <v>4796</v>
      </c>
      <c r="T672" s="27">
        <f>IFERROR(__xludf.DUMMYFUNCTION("""COMPUTED_VALUE"""),2589.0)</f>
        <v>2589</v>
      </c>
      <c r="U672" s="1" t="s">
        <v>4797</v>
      </c>
    </row>
    <row r="673">
      <c r="A673" s="4">
        <v>45657.74107087963</v>
      </c>
      <c r="B673" s="3" t="s">
        <v>4798</v>
      </c>
      <c r="C673" s="3" t="s">
        <v>4799</v>
      </c>
      <c r="D673" s="3" t="s">
        <v>20</v>
      </c>
      <c r="E673" s="6">
        <v>45627.0</v>
      </c>
      <c r="F673" s="33">
        <v>32000.0</v>
      </c>
      <c r="G673" s="3" t="s">
        <v>21</v>
      </c>
      <c r="H673" s="3" t="s">
        <v>22</v>
      </c>
      <c r="I673" s="3" t="s">
        <v>3781</v>
      </c>
      <c r="K673" s="3" t="s">
        <v>4800</v>
      </c>
      <c r="L673" s="3" t="s">
        <v>4801</v>
      </c>
      <c r="M673" s="3" t="s">
        <v>4802</v>
      </c>
      <c r="N673" s="3" t="s">
        <v>27</v>
      </c>
      <c r="O673" s="3" t="s">
        <v>4803</v>
      </c>
      <c r="P673" s="3" t="s">
        <v>3787</v>
      </c>
      <c r="Q673" s="3" t="s">
        <v>29</v>
      </c>
      <c r="S673" s="27" t="s">
        <v>4804</v>
      </c>
      <c r="T673" s="27">
        <f>IFERROR(__xludf.DUMMYFUNCTION("""COMPUTED_VALUE"""),2664.0)</f>
        <v>2664</v>
      </c>
      <c r="U673" s="1" t="s">
        <v>4805</v>
      </c>
    </row>
    <row r="674">
      <c r="A674" s="4">
        <v>45661.59844864583</v>
      </c>
      <c r="B674" s="3" t="s">
        <v>3800</v>
      </c>
      <c r="C674" s="3" t="s">
        <v>4806</v>
      </c>
      <c r="D674" s="3" t="s">
        <v>358</v>
      </c>
      <c r="E674" s="6">
        <v>45983.0</v>
      </c>
      <c r="F674" s="33">
        <v>6040.0</v>
      </c>
      <c r="G674" s="3" t="s">
        <v>21</v>
      </c>
      <c r="H674" s="3" t="s">
        <v>22</v>
      </c>
      <c r="I674" s="3" t="s">
        <v>1145</v>
      </c>
      <c r="K674" s="3" t="s">
        <v>4807</v>
      </c>
      <c r="L674" s="3" t="s">
        <v>4808</v>
      </c>
      <c r="M674" s="3" t="s">
        <v>4809</v>
      </c>
      <c r="N674" s="3" t="s">
        <v>362</v>
      </c>
      <c r="O674" s="3" t="s">
        <v>3805</v>
      </c>
      <c r="P674" s="3" t="s">
        <v>1150</v>
      </c>
      <c r="Q674" s="3" t="s">
        <v>29</v>
      </c>
      <c r="S674" s="27" t="s">
        <v>4810</v>
      </c>
      <c r="T674" s="27">
        <f>IFERROR(__xludf.DUMMYFUNCTION("""COMPUTED_VALUE"""),2310.0)</f>
        <v>2310</v>
      </c>
      <c r="U674" s="1" t="s">
        <v>4811</v>
      </c>
    </row>
    <row r="675">
      <c r="A675" s="4">
        <v>45666.75887034722</v>
      </c>
      <c r="B675" s="3" t="s">
        <v>2934</v>
      </c>
      <c r="C675" s="3" t="s">
        <v>4812</v>
      </c>
      <c r="D675" s="3" t="s">
        <v>358</v>
      </c>
      <c r="E675" s="6">
        <v>45658.0</v>
      </c>
      <c r="F675" s="28">
        <v>169060.0</v>
      </c>
      <c r="G675" s="3" t="s">
        <v>21</v>
      </c>
      <c r="H675" s="3" t="s">
        <v>22</v>
      </c>
      <c r="K675" s="3" t="s">
        <v>4813</v>
      </c>
      <c r="L675" s="3" t="s">
        <v>4814</v>
      </c>
      <c r="M675" s="3" t="s">
        <v>4815</v>
      </c>
      <c r="N675" s="3" t="s">
        <v>362</v>
      </c>
      <c r="O675" s="3" t="s">
        <v>2939</v>
      </c>
      <c r="Q675" s="3" t="s">
        <v>29</v>
      </c>
      <c r="S675" s="27" t="s">
        <v>4816</v>
      </c>
      <c r="T675" s="27">
        <f>IFERROR(__xludf.DUMMYFUNCTION("""COMPUTED_VALUE"""),2011.0)</f>
        <v>2011</v>
      </c>
      <c r="U675" s="1" t="s">
        <v>4817</v>
      </c>
    </row>
    <row r="676">
      <c r="A676" s="4">
        <v>45670.799473969906</v>
      </c>
      <c r="B676" s="3" t="s">
        <v>4818</v>
      </c>
      <c r="C676" s="3" t="s">
        <v>4819</v>
      </c>
      <c r="D676" s="3" t="s">
        <v>20</v>
      </c>
      <c r="E676" s="6">
        <v>45658.0</v>
      </c>
      <c r="F676" s="33">
        <v>50000.0</v>
      </c>
      <c r="G676" s="3" t="s">
        <v>21</v>
      </c>
      <c r="H676" s="3" t="s">
        <v>22</v>
      </c>
      <c r="I676" s="3" t="s">
        <v>3781</v>
      </c>
      <c r="K676" s="3" t="s">
        <v>4820</v>
      </c>
      <c r="L676" s="3" t="s">
        <v>4821</v>
      </c>
      <c r="M676" s="3" t="s">
        <v>4822</v>
      </c>
      <c r="N676" s="3" t="s">
        <v>27</v>
      </c>
      <c r="O676" s="3" t="s">
        <v>4823</v>
      </c>
      <c r="P676" s="3" t="s">
        <v>3787</v>
      </c>
      <c r="Q676" s="3" t="s">
        <v>29</v>
      </c>
      <c r="S676" s="27" t="s">
        <v>4824</v>
      </c>
      <c r="T676" s="27">
        <f>IFERROR(__xludf.DUMMYFUNCTION("""COMPUTED_VALUE"""),2675.0)</f>
        <v>2675</v>
      </c>
      <c r="U676" s="1" t="s">
        <v>4825</v>
      </c>
    </row>
    <row r="677">
      <c r="A677" s="4">
        <v>45671.66631211806</v>
      </c>
      <c r="B677" s="3" t="s">
        <v>393</v>
      </c>
      <c r="C677" s="3" t="s">
        <v>4826</v>
      </c>
      <c r="D677" s="3" t="s">
        <v>1469</v>
      </c>
      <c r="E677" s="6">
        <v>45519.0</v>
      </c>
      <c r="F677" s="33">
        <v>2700.0</v>
      </c>
      <c r="G677" s="3" t="s">
        <v>21</v>
      </c>
      <c r="H677" s="3" t="s">
        <v>22</v>
      </c>
      <c r="K677" s="3" t="s">
        <v>4827</v>
      </c>
      <c r="L677" s="3" t="s">
        <v>4828</v>
      </c>
      <c r="M677" s="3" t="s">
        <v>4829</v>
      </c>
      <c r="N677" s="3" t="s">
        <v>1473</v>
      </c>
      <c r="O677" s="3" t="s">
        <v>398</v>
      </c>
      <c r="Q677" s="3" t="s">
        <v>29</v>
      </c>
      <c r="S677" s="27" t="s">
        <v>4830</v>
      </c>
      <c r="T677" s="27">
        <f>IFERROR(__xludf.DUMMYFUNCTION("""COMPUTED_VALUE"""),1148.0)</f>
        <v>1148</v>
      </c>
      <c r="U677" s="1" t="s">
        <v>4831</v>
      </c>
    </row>
    <row r="678">
      <c r="A678" s="4">
        <v>45671.66631211806</v>
      </c>
      <c r="B678" s="3" t="s">
        <v>3229</v>
      </c>
      <c r="C678" s="3" t="s">
        <v>4832</v>
      </c>
      <c r="D678" s="3" t="s">
        <v>1469</v>
      </c>
      <c r="E678" s="6">
        <v>45519.0</v>
      </c>
      <c r="F678" s="33">
        <v>500.0</v>
      </c>
      <c r="G678" s="3" t="s">
        <v>21</v>
      </c>
      <c r="H678" s="3" t="s">
        <v>22</v>
      </c>
      <c r="K678" s="3" t="s">
        <v>4833</v>
      </c>
      <c r="L678" s="3" t="s">
        <v>4834</v>
      </c>
      <c r="M678" s="3" t="s">
        <v>4835</v>
      </c>
      <c r="N678" s="3" t="s">
        <v>1473</v>
      </c>
      <c r="O678" s="3" t="s">
        <v>3234</v>
      </c>
      <c r="Q678" s="3" t="s">
        <v>29</v>
      </c>
      <c r="S678" s="27" t="s">
        <v>4836</v>
      </c>
      <c r="T678" s="27">
        <f>IFERROR(__xludf.DUMMYFUNCTION("""COMPUTED_VALUE"""),1486.0)</f>
        <v>1486</v>
      </c>
      <c r="U678" s="1" t="s">
        <v>4837</v>
      </c>
    </row>
    <row r="679">
      <c r="A679" s="4">
        <v>45674.73497291667</v>
      </c>
      <c r="B679" s="3" t="s">
        <v>4838</v>
      </c>
      <c r="C679" s="3" t="s">
        <v>4839</v>
      </c>
      <c r="D679" s="3" t="s">
        <v>20</v>
      </c>
      <c r="E679" s="6">
        <v>45674.0</v>
      </c>
      <c r="F679" s="33">
        <v>30510.0</v>
      </c>
      <c r="G679" s="3" t="s">
        <v>21</v>
      </c>
      <c r="H679" s="3" t="s">
        <v>22</v>
      </c>
      <c r="J679" s="1" t="s">
        <v>4840</v>
      </c>
      <c r="K679" s="3" t="s">
        <v>4841</v>
      </c>
      <c r="L679" s="3" t="s">
        <v>4842</v>
      </c>
      <c r="M679" s="3" t="s">
        <v>4843</v>
      </c>
      <c r="N679" s="3" t="s">
        <v>27</v>
      </c>
      <c r="O679" s="3" t="s">
        <v>4844</v>
      </c>
      <c r="Q679" s="3" t="s">
        <v>29</v>
      </c>
      <c r="S679" s="27" t="s">
        <v>4845</v>
      </c>
      <c r="T679" s="27">
        <f>IFERROR(__xludf.DUMMYFUNCTION("""COMPUTED_VALUE"""),2667.0)</f>
        <v>2667</v>
      </c>
      <c r="U679" s="1" t="s">
        <v>4846</v>
      </c>
    </row>
    <row r="680">
      <c r="A680" s="4">
        <v>45677.50117052083</v>
      </c>
      <c r="B680" s="3" t="s">
        <v>4847</v>
      </c>
      <c r="C680" s="3" t="s">
        <v>4848</v>
      </c>
      <c r="D680" s="3" t="s">
        <v>756</v>
      </c>
      <c r="E680" s="6">
        <v>45658.0</v>
      </c>
      <c r="F680" s="33">
        <v>115.0</v>
      </c>
      <c r="G680" s="3" t="s">
        <v>21</v>
      </c>
      <c r="H680" s="3" t="s">
        <v>22</v>
      </c>
      <c r="I680" s="3" t="s">
        <v>3436</v>
      </c>
      <c r="K680" s="3" t="s">
        <v>4849</v>
      </c>
      <c r="L680" s="3" t="s">
        <v>4850</v>
      </c>
      <c r="M680" s="3" t="s">
        <v>4851</v>
      </c>
      <c r="N680" s="3" t="s">
        <v>760</v>
      </c>
      <c r="O680" s="3" t="s">
        <v>4852</v>
      </c>
      <c r="P680" s="3" t="s">
        <v>3442</v>
      </c>
      <c r="Q680" s="3" t="s">
        <v>29</v>
      </c>
      <c r="S680" s="27" t="s">
        <v>4853</v>
      </c>
      <c r="T680" s="27">
        <f>IFERROR(__xludf.DUMMYFUNCTION("""COMPUTED_VALUE"""),2668.0)</f>
        <v>2668</v>
      </c>
      <c r="U680" s="1" t="s">
        <v>4854</v>
      </c>
    </row>
    <row r="681">
      <c r="A681" s="4">
        <v>45677.50117052083</v>
      </c>
      <c r="B681" s="3" t="s">
        <v>4855</v>
      </c>
      <c r="C681" s="3" t="s">
        <v>4856</v>
      </c>
      <c r="D681" s="3" t="s">
        <v>230</v>
      </c>
      <c r="E681" s="6">
        <v>45627.0</v>
      </c>
      <c r="F681" s="33">
        <v>200.0</v>
      </c>
      <c r="G681" s="3" t="s">
        <v>21</v>
      </c>
      <c r="H681" s="3" t="s">
        <v>22</v>
      </c>
      <c r="I681" s="3" t="s">
        <v>3436</v>
      </c>
      <c r="K681" s="3" t="s">
        <v>4857</v>
      </c>
      <c r="L681" s="3" t="s">
        <v>4858</v>
      </c>
      <c r="M681" s="3" t="s">
        <v>4859</v>
      </c>
      <c r="N681" s="3" t="s">
        <v>234</v>
      </c>
      <c r="O681" s="3" t="s">
        <v>4860</v>
      </c>
      <c r="P681" s="3" t="s">
        <v>3442</v>
      </c>
      <c r="Q681" s="3" t="s">
        <v>29</v>
      </c>
      <c r="S681" s="27" t="s">
        <v>4861</v>
      </c>
      <c r="T681" s="27">
        <f>IFERROR(__xludf.DUMMYFUNCTION("""COMPUTED_VALUE"""),2085.0)</f>
        <v>2085</v>
      </c>
      <c r="U681" s="1" t="s">
        <v>4862</v>
      </c>
    </row>
    <row r="682">
      <c r="A682" s="4">
        <v>45679.67555596065</v>
      </c>
      <c r="B682" s="3" t="s">
        <v>393</v>
      </c>
      <c r="C682" s="3" t="s">
        <v>4863</v>
      </c>
      <c r="D682" s="3" t="s">
        <v>756</v>
      </c>
      <c r="E682" s="6">
        <v>45658.0</v>
      </c>
      <c r="F682" s="33">
        <v>1700.0</v>
      </c>
      <c r="G682" s="3" t="s">
        <v>136</v>
      </c>
      <c r="H682" s="3" t="s">
        <v>22</v>
      </c>
      <c r="K682" s="3" t="s">
        <v>4864</v>
      </c>
      <c r="L682" s="3" t="s">
        <v>4865</v>
      </c>
      <c r="M682" s="3" t="s">
        <v>4866</v>
      </c>
      <c r="N682" s="3" t="s">
        <v>760</v>
      </c>
      <c r="O682" s="3" t="s">
        <v>398</v>
      </c>
      <c r="Q682" s="3" t="s">
        <v>29</v>
      </c>
      <c r="S682" s="27" t="s">
        <v>4867</v>
      </c>
      <c r="T682" s="27">
        <f>IFERROR(__xludf.DUMMYFUNCTION("""COMPUTED_VALUE"""),1148.0)</f>
        <v>1148</v>
      </c>
      <c r="U682" s="1" t="s">
        <v>4868</v>
      </c>
    </row>
    <row r="683">
      <c r="A683" s="4">
        <v>45679.67555596065</v>
      </c>
      <c r="B683" s="3" t="s">
        <v>393</v>
      </c>
      <c r="C683" s="3" t="s">
        <v>4869</v>
      </c>
      <c r="D683" s="3" t="s">
        <v>20</v>
      </c>
      <c r="E683" s="6">
        <v>45658.0</v>
      </c>
      <c r="F683" s="33">
        <v>15000.0</v>
      </c>
      <c r="G683" s="3" t="s">
        <v>21</v>
      </c>
      <c r="H683" s="3" t="s">
        <v>22</v>
      </c>
      <c r="J683" s="1" t="s">
        <v>2279</v>
      </c>
      <c r="K683" s="3" t="s">
        <v>4870</v>
      </c>
      <c r="L683" s="3" t="s">
        <v>4871</v>
      </c>
      <c r="M683" s="3" t="s">
        <v>4872</v>
      </c>
      <c r="N683" s="3" t="s">
        <v>27</v>
      </c>
      <c r="O683" s="3" t="s">
        <v>398</v>
      </c>
      <c r="Q683" s="3" t="s">
        <v>29</v>
      </c>
      <c r="S683" s="27" t="s">
        <v>4873</v>
      </c>
      <c r="T683" s="27">
        <f>IFERROR(__xludf.DUMMYFUNCTION("""COMPUTED_VALUE"""),1148.0)</f>
        <v>1148</v>
      </c>
      <c r="U683" s="1" t="s">
        <v>4874</v>
      </c>
    </row>
    <row r="684">
      <c r="A684" s="4">
        <v>45679.873919502315</v>
      </c>
      <c r="B684" s="3" t="s">
        <v>4650</v>
      </c>
      <c r="C684" s="3" t="s">
        <v>4651</v>
      </c>
      <c r="D684" s="3" t="s">
        <v>20</v>
      </c>
      <c r="E684" s="6">
        <v>45658.0</v>
      </c>
      <c r="F684" s="33">
        <v>125180.0</v>
      </c>
      <c r="G684" s="3" t="s">
        <v>21</v>
      </c>
      <c r="H684" s="3" t="s">
        <v>22</v>
      </c>
      <c r="K684" s="3" t="s">
        <v>4875</v>
      </c>
      <c r="L684" s="3" t="s">
        <v>4876</v>
      </c>
      <c r="M684" s="3" t="s">
        <v>4654</v>
      </c>
      <c r="N684" s="3" t="s">
        <v>27</v>
      </c>
      <c r="O684" s="3" t="s">
        <v>4655</v>
      </c>
      <c r="Q684" s="3" t="s">
        <v>29</v>
      </c>
      <c r="R684" s="3" t="b">
        <v>1</v>
      </c>
      <c r="S684" s="27" t="s">
        <v>4877</v>
      </c>
      <c r="T684" s="27">
        <f>IFERROR(__xludf.DUMMYFUNCTION("""COMPUTED_VALUE"""),2583.0)</f>
        <v>2583</v>
      </c>
      <c r="U684" s="1" t="s">
        <v>4878</v>
      </c>
    </row>
    <row r="685">
      <c r="A685" s="4">
        <v>45679.94102859954</v>
      </c>
      <c r="B685" s="3" t="s">
        <v>4650</v>
      </c>
      <c r="C685" s="3" t="s">
        <v>4879</v>
      </c>
      <c r="D685" s="3" t="s">
        <v>20</v>
      </c>
      <c r="E685" s="6">
        <v>45658.0</v>
      </c>
      <c r="F685" s="33">
        <v>3500.0</v>
      </c>
      <c r="G685" s="3" t="s">
        <v>136</v>
      </c>
      <c r="H685" s="3" t="s">
        <v>22</v>
      </c>
      <c r="K685" s="3" t="s">
        <v>4880</v>
      </c>
      <c r="L685" s="3" t="s">
        <v>4881</v>
      </c>
      <c r="M685" s="3" t="s">
        <v>4882</v>
      </c>
      <c r="N685" s="3" t="s">
        <v>27</v>
      </c>
      <c r="O685" s="3" t="s">
        <v>4655</v>
      </c>
      <c r="Q685" s="3" t="s">
        <v>29</v>
      </c>
      <c r="S685" s="27" t="s">
        <v>4883</v>
      </c>
      <c r="T685" s="27">
        <f>IFERROR(__xludf.DUMMYFUNCTION("""COMPUTED_VALUE"""),2583.0)</f>
        <v>2583</v>
      </c>
      <c r="U685" s="1" t="s">
        <v>4884</v>
      </c>
    </row>
    <row r="686">
      <c r="A686" s="4">
        <v>45688.42759506944</v>
      </c>
      <c r="B686" s="3" t="s">
        <v>4885</v>
      </c>
      <c r="C686" s="3" t="s">
        <v>4886</v>
      </c>
      <c r="D686" s="3" t="s">
        <v>358</v>
      </c>
      <c r="E686" s="6">
        <v>45638.0</v>
      </c>
      <c r="F686" s="33">
        <v>596100.6</v>
      </c>
      <c r="G686" s="3" t="s">
        <v>350</v>
      </c>
      <c r="H686" s="3" t="s">
        <v>22</v>
      </c>
      <c r="I686" s="3" t="s">
        <v>1145</v>
      </c>
      <c r="K686" s="3" t="s">
        <v>4887</v>
      </c>
      <c r="L686" s="3" t="s">
        <v>4888</v>
      </c>
      <c r="M686" s="3" t="s">
        <v>4889</v>
      </c>
      <c r="N686" s="3" t="s">
        <v>362</v>
      </c>
      <c r="O686" s="3" t="s">
        <v>4890</v>
      </c>
      <c r="P686" s="3" t="s">
        <v>1150</v>
      </c>
      <c r="Q686" s="3" t="s">
        <v>4891</v>
      </c>
      <c r="S686" s="27" t="s">
        <v>4892</v>
      </c>
      <c r="T686" s="27">
        <f>IFERROR(__xludf.DUMMYFUNCTION("""COMPUTED_VALUE"""),2661.0)</f>
        <v>2661</v>
      </c>
      <c r="U686" s="1" t="s">
        <v>4893</v>
      </c>
    </row>
    <row r="687">
      <c r="A687" s="4">
        <v>45691.625107569445</v>
      </c>
      <c r="B687" s="3" t="s">
        <v>4894</v>
      </c>
      <c r="C687" s="3" t="s">
        <v>4895</v>
      </c>
      <c r="D687" s="3" t="s">
        <v>20</v>
      </c>
      <c r="E687" s="6">
        <v>45602.0</v>
      </c>
      <c r="F687" s="33">
        <v>664000.0</v>
      </c>
      <c r="G687" s="3" t="s">
        <v>21</v>
      </c>
      <c r="H687" s="3" t="s">
        <v>22</v>
      </c>
      <c r="K687" s="3" t="s">
        <v>4896</v>
      </c>
      <c r="L687" s="3" t="s">
        <v>4897</v>
      </c>
      <c r="M687" s="3" t="s">
        <v>4898</v>
      </c>
      <c r="N687" s="3" t="s">
        <v>27</v>
      </c>
      <c r="O687" s="3" t="s">
        <v>4899</v>
      </c>
      <c r="Q687" s="3" t="s">
        <v>4891</v>
      </c>
      <c r="S687" s="27" t="s">
        <v>4900</v>
      </c>
      <c r="T687" s="27">
        <f>IFERROR(__xludf.DUMMYFUNCTION("""COMPUTED_VALUE"""),2585.0)</f>
        <v>2585</v>
      </c>
      <c r="U687" s="1" t="s">
        <v>4901</v>
      </c>
    </row>
    <row r="688">
      <c r="A688" s="4">
        <v>45691.67962638889</v>
      </c>
      <c r="B688" s="3" t="s">
        <v>4902</v>
      </c>
      <c r="C688" s="3" t="s">
        <v>4903</v>
      </c>
      <c r="D688" s="3" t="s">
        <v>20</v>
      </c>
      <c r="E688" s="6">
        <v>45545.0</v>
      </c>
      <c r="F688" s="33">
        <v>65640.0</v>
      </c>
      <c r="G688" s="3" t="s">
        <v>21</v>
      </c>
      <c r="H688" s="3" t="s">
        <v>22</v>
      </c>
      <c r="K688" s="3" t="s">
        <v>4904</v>
      </c>
      <c r="L688" s="3" t="s">
        <v>4905</v>
      </c>
      <c r="M688" s="3" t="s">
        <v>4906</v>
      </c>
      <c r="N688" s="3" t="s">
        <v>27</v>
      </c>
      <c r="O688" s="3" t="s">
        <v>4907</v>
      </c>
      <c r="Q688" s="3" t="s">
        <v>4891</v>
      </c>
      <c r="S688" s="27" t="s">
        <v>4908</v>
      </c>
      <c r="T688" s="27">
        <f>IFERROR(__xludf.DUMMYFUNCTION("""COMPUTED_VALUE"""),2529.0)</f>
        <v>2529</v>
      </c>
      <c r="U688" s="1" t="s">
        <v>4909</v>
      </c>
    </row>
    <row r="689">
      <c r="A689" s="4">
        <v>45693.519729548614</v>
      </c>
      <c r="B689" s="3" t="s">
        <v>4910</v>
      </c>
      <c r="C689" s="3" t="s">
        <v>4911</v>
      </c>
      <c r="D689" s="3" t="s">
        <v>358</v>
      </c>
      <c r="E689" s="6">
        <v>45601.0</v>
      </c>
      <c r="F689" s="33">
        <v>693840.0</v>
      </c>
      <c r="G689" s="3" t="s">
        <v>350</v>
      </c>
      <c r="H689" s="3" t="s">
        <v>22</v>
      </c>
      <c r="J689" s="1" t="s">
        <v>4912</v>
      </c>
      <c r="K689" s="3" t="s">
        <v>4913</v>
      </c>
      <c r="L689" s="3" t="s">
        <v>4914</v>
      </c>
      <c r="M689" s="3" t="s">
        <v>4915</v>
      </c>
      <c r="N689" s="3" t="s">
        <v>362</v>
      </c>
      <c r="O689" s="3" t="s">
        <v>4916</v>
      </c>
      <c r="Q689" s="3" t="s">
        <v>4891</v>
      </c>
      <c r="S689" s="27" t="s">
        <v>4917</v>
      </c>
      <c r="T689" s="27">
        <f>IFERROR(__xludf.DUMMYFUNCTION("""COMPUTED_VALUE"""),2625.0)</f>
        <v>2625</v>
      </c>
      <c r="U689" s="1" t="s">
        <v>4918</v>
      </c>
    </row>
    <row r="690">
      <c r="A690" s="4">
        <v>45693.55373018519</v>
      </c>
      <c r="B690" s="3" t="s">
        <v>4919</v>
      </c>
      <c r="C690" s="3" t="s">
        <v>4920</v>
      </c>
      <c r="D690" s="3" t="s">
        <v>20</v>
      </c>
      <c r="E690" s="6">
        <v>45463.0</v>
      </c>
      <c r="F690" s="33">
        <v>104000.0</v>
      </c>
      <c r="G690" s="3" t="s">
        <v>21</v>
      </c>
      <c r="H690" s="3" t="s">
        <v>22</v>
      </c>
      <c r="K690" s="3" t="s">
        <v>4921</v>
      </c>
      <c r="L690" s="3" t="s">
        <v>4922</v>
      </c>
      <c r="M690" s="3" t="s">
        <v>4923</v>
      </c>
      <c r="N690" s="3" t="s">
        <v>27</v>
      </c>
      <c r="O690" s="3" t="s">
        <v>4924</v>
      </c>
      <c r="Q690" s="3" t="s">
        <v>4891</v>
      </c>
      <c r="S690" s="27" t="s">
        <v>4925</v>
      </c>
      <c r="T690" s="27">
        <f>IFERROR(__xludf.DUMMYFUNCTION("""COMPUTED_VALUE"""),2555.0)</f>
        <v>2555</v>
      </c>
      <c r="U690" s="1" t="s">
        <v>4926</v>
      </c>
    </row>
    <row r="691">
      <c r="A691" s="4">
        <v>45693.694091770834</v>
      </c>
      <c r="B691" s="3" t="s">
        <v>103</v>
      </c>
      <c r="C691" s="3" t="s">
        <v>4927</v>
      </c>
      <c r="D691" s="3" t="s">
        <v>358</v>
      </c>
      <c r="E691" s="6">
        <v>45489.0</v>
      </c>
      <c r="F691" s="33">
        <v>164800.0</v>
      </c>
      <c r="G691" s="3" t="s">
        <v>350</v>
      </c>
      <c r="H691" s="3" t="s">
        <v>22</v>
      </c>
      <c r="J691" s="3" t="s">
        <v>4777</v>
      </c>
      <c r="K691" s="3" t="s">
        <v>4928</v>
      </c>
      <c r="L691" s="3" t="s">
        <v>4929</v>
      </c>
      <c r="M691" s="3" t="s">
        <v>4930</v>
      </c>
      <c r="N691" s="3" t="s">
        <v>362</v>
      </c>
      <c r="O691" s="3" t="s">
        <v>108</v>
      </c>
      <c r="Q691" s="3" t="s">
        <v>4891</v>
      </c>
      <c r="S691" s="27" t="s">
        <v>4931</v>
      </c>
      <c r="T691" s="27">
        <f>IFERROR(__xludf.DUMMYFUNCTION("""COMPUTED_VALUE"""),93.0)</f>
        <v>93</v>
      </c>
      <c r="U691" s="1" t="s">
        <v>4932</v>
      </c>
    </row>
    <row r="692">
      <c r="A692" s="4">
        <v>45693.74219292824</v>
      </c>
      <c r="B692" s="3" t="s">
        <v>4933</v>
      </c>
      <c r="C692" s="3" t="s">
        <v>4934</v>
      </c>
      <c r="D692" s="3" t="s">
        <v>230</v>
      </c>
      <c r="E692" s="6">
        <v>45597.0</v>
      </c>
      <c r="F692" s="33">
        <v>450.0</v>
      </c>
      <c r="G692" s="3" t="s">
        <v>21</v>
      </c>
      <c r="H692" s="3" t="s">
        <v>22</v>
      </c>
      <c r="K692" s="3" t="s">
        <v>4935</v>
      </c>
      <c r="L692" s="3" t="s">
        <v>4936</v>
      </c>
      <c r="M692" s="3" t="s">
        <v>4937</v>
      </c>
      <c r="N692" s="3" t="s">
        <v>234</v>
      </c>
      <c r="O692" s="3" t="s">
        <v>4938</v>
      </c>
      <c r="Q692" s="3" t="s">
        <v>4891</v>
      </c>
      <c r="S692" s="27" t="s">
        <v>4939</v>
      </c>
      <c r="T692" s="27">
        <f>IFERROR(__xludf.DUMMYFUNCTION("""COMPUTED_VALUE"""),2651.0)</f>
        <v>2651</v>
      </c>
      <c r="U692" s="1" t="s">
        <v>4940</v>
      </c>
    </row>
    <row r="693">
      <c r="A693" s="4">
        <v>45694.6442153588</v>
      </c>
      <c r="B693" s="3" t="s">
        <v>830</v>
      </c>
      <c r="C693" s="3" t="s">
        <v>4941</v>
      </c>
      <c r="D693" s="3" t="s">
        <v>756</v>
      </c>
      <c r="E693" s="6">
        <v>45590.0</v>
      </c>
      <c r="F693" s="33">
        <v>760.0</v>
      </c>
      <c r="G693" s="3" t="s">
        <v>21</v>
      </c>
      <c r="H693" s="3" t="s">
        <v>1946</v>
      </c>
      <c r="K693" s="3" t="s">
        <v>4942</v>
      </c>
      <c r="L693" s="3" t="s">
        <v>4943</v>
      </c>
      <c r="M693" s="3" t="s">
        <v>4944</v>
      </c>
      <c r="N693" s="3" t="s">
        <v>760</v>
      </c>
      <c r="O693" s="3" t="s">
        <v>835</v>
      </c>
      <c r="Q693" s="3" t="s">
        <v>4891</v>
      </c>
      <c r="S693" s="27" t="s">
        <v>4945</v>
      </c>
      <c r="T693" s="27">
        <f>IFERROR(__xludf.DUMMYFUNCTION("""COMPUTED_VALUE"""),1271.0)</f>
        <v>1271</v>
      </c>
      <c r="U693" s="1" t="s">
        <v>4946</v>
      </c>
    </row>
    <row r="694">
      <c r="A694" s="4">
        <v>45695.58712888889</v>
      </c>
      <c r="B694" s="3" t="s">
        <v>4947</v>
      </c>
      <c r="C694" s="3" t="s">
        <v>4948</v>
      </c>
      <c r="D694" s="3" t="s">
        <v>230</v>
      </c>
      <c r="E694" s="6">
        <v>45474.0</v>
      </c>
      <c r="F694" s="33">
        <v>300.0</v>
      </c>
      <c r="G694" s="3" t="s">
        <v>136</v>
      </c>
      <c r="H694" s="3" t="s">
        <v>22</v>
      </c>
      <c r="J694" s="1" t="s">
        <v>4949</v>
      </c>
      <c r="K694" s="3" t="s">
        <v>4950</v>
      </c>
      <c r="L694" s="3" t="s">
        <v>4951</v>
      </c>
      <c r="M694" s="3" t="s">
        <v>4952</v>
      </c>
      <c r="N694" s="3" t="s">
        <v>234</v>
      </c>
      <c r="O694" s="3" t="s">
        <v>4953</v>
      </c>
      <c r="Q694" s="3" t="s">
        <v>4891</v>
      </c>
      <c r="S694" s="27" t="s">
        <v>4954</v>
      </c>
      <c r="T694" s="27">
        <f>IFERROR(__xludf.DUMMYFUNCTION("""COMPUTED_VALUE"""),2559.0)</f>
        <v>2559</v>
      </c>
      <c r="U694" s="1" t="s">
        <v>4955</v>
      </c>
    </row>
    <row r="695">
      <c r="A695" s="4">
        <v>45696.583517314815</v>
      </c>
      <c r="B695" s="3" t="s">
        <v>4956</v>
      </c>
      <c r="C695" s="3" t="s">
        <v>4957</v>
      </c>
      <c r="D695" s="3" t="s">
        <v>756</v>
      </c>
      <c r="E695" s="6">
        <v>45625.0</v>
      </c>
      <c r="F695" s="33">
        <v>1900.0</v>
      </c>
      <c r="G695" s="3" t="s">
        <v>136</v>
      </c>
      <c r="H695" s="3" t="s">
        <v>1946</v>
      </c>
      <c r="K695" s="3" t="s">
        <v>4958</v>
      </c>
      <c r="L695" s="3" t="s">
        <v>4959</v>
      </c>
      <c r="M695" s="3" t="s">
        <v>4960</v>
      </c>
      <c r="N695" s="3" t="s">
        <v>760</v>
      </c>
      <c r="O695" s="3" t="s">
        <v>4961</v>
      </c>
      <c r="Q695" s="3" t="s">
        <v>4891</v>
      </c>
      <c r="S695" s="27" t="s">
        <v>4962</v>
      </c>
      <c r="T695" s="27">
        <f>IFERROR(__xludf.DUMMYFUNCTION("""COMPUTED_VALUE"""),2628.0)</f>
        <v>2628</v>
      </c>
      <c r="U695" s="1" t="s">
        <v>4963</v>
      </c>
    </row>
    <row r="696">
      <c r="A696" s="4">
        <v>45696.58704837963</v>
      </c>
      <c r="B696" s="3" t="s">
        <v>4964</v>
      </c>
      <c r="C696" s="3" t="s">
        <v>3325</v>
      </c>
      <c r="D696" s="3" t="s">
        <v>358</v>
      </c>
      <c r="E696" s="6">
        <v>45621.0</v>
      </c>
      <c r="F696" s="33">
        <v>2850.0</v>
      </c>
      <c r="G696" s="3" t="s">
        <v>136</v>
      </c>
      <c r="H696" s="3" t="s">
        <v>1946</v>
      </c>
      <c r="K696" s="3" t="s">
        <v>4965</v>
      </c>
      <c r="L696" s="3" t="s">
        <v>4966</v>
      </c>
      <c r="M696" s="3" t="s">
        <v>4967</v>
      </c>
      <c r="N696" s="3" t="s">
        <v>362</v>
      </c>
      <c r="O696" s="3" t="s">
        <v>4968</v>
      </c>
      <c r="Q696" s="3" t="s">
        <v>4891</v>
      </c>
      <c r="S696" s="27" t="s">
        <v>4969</v>
      </c>
      <c r="T696" s="27">
        <f>IFERROR(__xludf.DUMMYFUNCTION("""COMPUTED_VALUE"""),2634.0)</f>
        <v>2634</v>
      </c>
      <c r="U696" s="1" t="s">
        <v>4970</v>
      </c>
    </row>
    <row r="697">
      <c r="A697" s="4">
        <v>45696.59307697917</v>
      </c>
      <c r="B697" s="3" t="s">
        <v>526</v>
      </c>
      <c r="C697" s="3" t="s">
        <v>4971</v>
      </c>
      <c r="D697" s="3" t="s">
        <v>230</v>
      </c>
      <c r="E697" s="6">
        <v>45047.0</v>
      </c>
      <c r="F697" s="33">
        <v>250.0</v>
      </c>
      <c r="G697" s="3" t="s">
        <v>136</v>
      </c>
      <c r="H697" s="3" t="s">
        <v>22</v>
      </c>
      <c r="K697" s="3" t="s">
        <v>4972</v>
      </c>
      <c r="L697" s="3" t="s">
        <v>4973</v>
      </c>
      <c r="M697" s="3" t="s">
        <v>4974</v>
      </c>
      <c r="N697" s="3" t="s">
        <v>234</v>
      </c>
      <c r="O697" s="3" t="s">
        <v>531</v>
      </c>
      <c r="Q697" s="3" t="s">
        <v>4891</v>
      </c>
      <c r="S697" s="27" t="s">
        <v>4975</v>
      </c>
      <c r="T697" s="27"/>
      <c r="U697" s="1" t="s">
        <v>4976</v>
      </c>
    </row>
    <row r="698">
      <c r="A698" s="4">
        <v>45696.59644311343</v>
      </c>
      <c r="B698" s="3" t="s">
        <v>4977</v>
      </c>
      <c r="C698" s="3" t="s">
        <v>4978</v>
      </c>
      <c r="D698" s="3" t="s">
        <v>358</v>
      </c>
      <c r="E698" s="6">
        <v>45581.0</v>
      </c>
      <c r="F698" s="33">
        <v>4716.0</v>
      </c>
      <c r="G698" s="3" t="s">
        <v>136</v>
      </c>
      <c r="H698" s="3" t="s">
        <v>1946</v>
      </c>
      <c r="K698" s="3" t="s">
        <v>4979</v>
      </c>
      <c r="L698" s="3" t="s">
        <v>4980</v>
      </c>
      <c r="M698" s="3" t="s">
        <v>4981</v>
      </c>
      <c r="N698" s="3" t="s">
        <v>362</v>
      </c>
      <c r="O698" s="3" t="s">
        <v>4982</v>
      </c>
      <c r="Q698" s="3" t="s">
        <v>4891</v>
      </c>
      <c r="S698" s="27" t="s">
        <v>4983</v>
      </c>
      <c r="T698" s="27">
        <f>IFERROR(__xludf.DUMMYFUNCTION("""COMPUTED_VALUE"""),2609.0)</f>
        <v>2609</v>
      </c>
      <c r="U698" s="1" t="s">
        <v>4984</v>
      </c>
    </row>
    <row r="699">
      <c r="A699" s="4">
        <v>45696.59996206019</v>
      </c>
      <c r="B699" s="3" t="s">
        <v>4985</v>
      </c>
      <c r="C699" s="3" t="s">
        <v>4986</v>
      </c>
      <c r="D699" s="3" t="s">
        <v>358</v>
      </c>
      <c r="E699" s="6">
        <v>45559.0</v>
      </c>
      <c r="F699" s="33">
        <v>1900.0</v>
      </c>
      <c r="G699" s="3" t="s">
        <v>136</v>
      </c>
      <c r="H699" s="3" t="s">
        <v>1946</v>
      </c>
      <c r="K699" s="3" t="s">
        <v>4987</v>
      </c>
      <c r="L699" s="3" t="s">
        <v>4988</v>
      </c>
      <c r="M699" s="3" t="s">
        <v>4989</v>
      </c>
      <c r="N699" s="3" t="s">
        <v>362</v>
      </c>
      <c r="O699" s="3" t="s">
        <v>4990</v>
      </c>
      <c r="Q699" s="3" t="s">
        <v>4891</v>
      </c>
      <c r="S699" s="27" t="s">
        <v>4991</v>
      </c>
      <c r="T699" s="27">
        <f>IFERROR(__xludf.DUMMYFUNCTION("""COMPUTED_VALUE"""),2639.0)</f>
        <v>2639</v>
      </c>
      <c r="U699" s="1" t="s">
        <v>4992</v>
      </c>
    </row>
    <row r="700">
      <c r="A700" s="4">
        <v>45696.645633252316</v>
      </c>
      <c r="B700" s="3" t="s">
        <v>4993</v>
      </c>
      <c r="C700" s="3" t="s">
        <v>4994</v>
      </c>
      <c r="D700" s="3" t="s">
        <v>358</v>
      </c>
      <c r="E700" s="6">
        <v>45489.0</v>
      </c>
      <c r="F700" s="33">
        <v>950.0</v>
      </c>
      <c r="G700" s="3" t="s">
        <v>136</v>
      </c>
      <c r="H700" s="3" t="s">
        <v>1946</v>
      </c>
      <c r="K700" s="3" t="s">
        <v>4995</v>
      </c>
      <c r="L700" s="3" t="s">
        <v>4996</v>
      </c>
      <c r="M700" s="3" t="s">
        <v>4997</v>
      </c>
      <c r="N700" s="3" t="s">
        <v>362</v>
      </c>
      <c r="O700" s="3" t="s">
        <v>4998</v>
      </c>
      <c r="Q700" s="3" t="s">
        <v>4891</v>
      </c>
      <c r="S700" s="27" t="s">
        <v>4999</v>
      </c>
      <c r="T700" s="27">
        <f>IFERROR(__xludf.DUMMYFUNCTION("""COMPUTED_VALUE"""),2536.0)</f>
        <v>2536</v>
      </c>
      <c r="U700" s="1" t="s">
        <v>5000</v>
      </c>
    </row>
    <row r="701">
      <c r="A701" s="4">
        <v>45696.64767590278</v>
      </c>
      <c r="B701" s="3" t="s">
        <v>5001</v>
      </c>
      <c r="C701" s="3" t="s">
        <v>5002</v>
      </c>
      <c r="D701" s="3" t="s">
        <v>358</v>
      </c>
      <c r="E701" s="6">
        <v>45485.0</v>
      </c>
      <c r="F701" s="33">
        <v>500.0</v>
      </c>
      <c r="G701" s="3" t="s">
        <v>136</v>
      </c>
      <c r="H701" s="3" t="s">
        <v>1946</v>
      </c>
      <c r="K701" s="3" t="s">
        <v>5003</v>
      </c>
      <c r="L701" s="3" t="s">
        <v>5004</v>
      </c>
      <c r="M701" s="3" t="s">
        <v>5005</v>
      </c>
      <c r="N701" s="3" t="s">
        <v>362</v>
      </c>
      <c r="O701" s="3" t="s">
        <v>5006</v>
      </c>
      <c r="Q701" s="3" t="s">
        <v>4891</v>
      </c>
      <c r="S701" s="27" t="s">
        <v>5007</v>
      </c>
      <c r="T701" s="27"/>
      <c r="U701" s="1" t="s">
        <v>5008</v>
      </c>
    </row>
    <row r="702">
      <c r="A702" s="4">
        <v>45696.65070442129</v>
      </c>
      <c r="B702" s="3" t="s">
        <v>5009</v>
      </c>
      <c r="C702" s="3" t="s">
        <v>5010</v>
      </c>
      <c r="D702" s="3" t="s">
        <v>358</v>
      </c>
      <c r="E702" s="6">
        <v>45444.0</v>
      </c>
      <c r="F702" s="33">
        <v>1300.0</v>
      </c>
      <c r="G702" s="3" t="s">
        <v>136</v>
      </c>
      <c r="H702" s="3" t="s">
        <v>1946</v>
      </c>
      <c r="K702" s="3" t="s">
        <v>5011</v>
      </c>
      <c r="L702" s="3" t="s">
        <v>5012</v>
      </c>
      <c r="M702" s="3" t="s">
        <v>5013</v>
      </c>
      <c r="N702" s="3" t="s">
        <v>362</v>
      </c>
      <c r="O702" s="3" t="s">
        <v>5014</v>
      </c>
      <c r="Q702" s="3" t="s">
        <v>4891</v>
      </c>
      <c r="S702" s="27" t="s">
        <v>5015</v>
      </c>
      <c r="T702" s="27">
        <f>IFERROR(__xludf.DUMMYFUNCTION("""COMPUTED_VALUE"""),2531.0)</f>
        <v>2531</v>
      </c>
      <c r="U702" s="1" t="s">
        <v>5016</v>
      </c>
    </row>
    <row r="703">
      <c r="A703" s="4">
        <v>45696.65270497685</v>
      </c>
      <c r="B703" s="3" t="s">
        <v>5017</v>
      </c>
      <c r="C703" s="3" t="s">
        <v>5018</v>
      </c>
      <c r="D703" s="3" t="s">
        <v>358</v>
      </c>
      <c r="E703" s="6">
        <v>45460.0</v>
      </c>
      <c r="F703" s="33">
        <v>1850.0</v>
      </c>
      <c r="G703" s="3" t="s">
        <v>136</v>
      </c>
      <c r="H703" s="3" t="s">
        <v>1946</v>
      </c>
      <c r="K703" s="3" t="s">
        <v>5019</v>
      </c>
      <c r="L703" s="3" t="s">
        <v>5020</v>
      </c>
      <c r="M703" s="3" t="s">
        <v>5021</v>
      </c>
      <c r="N703" s="3" t="s">
        <v>362</v>
      </c>
      <c r="O703" s="3" t="s">
        <v>5022</v>
      </c>
      <c r="Q703" s="3" t="s">
        <v>4891</v>
      </c>
      <c r="S703" s="27" t="s">
        <v>5023</v>
      </c>
      <c r="T703" s="27">
        <f>IFERROR(__xludf.DUMMYFUNCTION("""COMPUTED_VALUE"""),2550.0)</f>
        <v>2550</v>
      </c>
      <c r="U703" s="1" t="s">
        <v>5024</v>
      </c>
    </row>
    <row r="704">
      <c r="A704" s="4">
        <v>45696.662651238425</v>
      </c>
      <c r="B704" s="3" t="s">
        <v>5025</v>
      </c>
      <c r="C704" s="3" t="s">
        <v>5026</v>
      </c>
      <c r="D704" s="3" t="s">
        <v>358</v>
      </c>
      <c r="E704" s="6">
        <v>45456.0</v>
      </c>
      <c r="F704" s="33">
        <v>1900.0</v>
      </c>
      <c r="G704" s="3" t="s">
        <v>136</v>
      </c>
      <c r="H704" s="3" t="s">
        <v>1946</v>
      </c>
      <c r="K704" s="3" t="s">
        <v>5027</v>
      </c>
      <c r="L704" s="3" t="s">
        <v>5028</v>
      </c>
      <c r="M704" s="3" t="s">
        <v>5029</v>
      </c>
      <c r="N704" s="3" t="s">
        <v>362</v>
      </c>
      <c r="O704" s="3" t="s">
        <v>5030</v>
      </c>
      <c r="Q704" s="3" t="s">
        <v>4891</v>
      </c>
      <c r="S704" s="27" t="s">
        <v>5031</v>
      </c>
      <c r="T704" s="27">
        <f>IFERROR(__xludf.DUMMYFUNCTION("""COMPUTED_VALUE"""),2549.0)</f>
        <v>2549</v>
      </c>
      <c r="U704" s="1" t="s">
        <v>5032</v>
      </c>
    </row>
    <row r="705">
      <c r="A705" s="4">
        <v>45696.66566780093</v>
      </c>
      <c r="B705" s="3" t="s">
        <v>5033</v>
      </c>
      <c r="C705" s="3" t="s">
        <v>5034</v>
      </c>
      <c r="D705" s="3" t="s">
        <v>358</v>
      </c>
      <c r="E705" s="6">
        <v>45436.0</v>
      </c>
      <c r="F705" s="33">
        <v>8500.0</v>
      </c>
      <c r="G705" s="3" t="s">
        <v>136</v>
      </c>
      <c r="H705" s="3" t="s">
        <v>1946</v>
      </c>
      <c r="K705" s="3" t="s">
        <v>5035</v>
      </c>
      <c r="L705" s="3" t="s">
        <v>5036</v>
      </c>
      <c r="M705" s="3" t="s">
        <v>5037</v>
      </c>
      <c r="N705" s="3" t="s">
        <v>362</v>
      </c>
      <c r="O705" s="3" t="s">
        <v>5038</v>
      </c>
      <c r="Q705" s="3" t="s">
        <v>4891</v>
      </c>
      <c r="S705" s="27" t="s">
        <v>5039</v>
      </c>
      <c r="T705" s="27">
        <f>IFERROR(__xludf.DUMMYFUNCTION("""COMPUTED_VALUE"""),2514.0)</f>
        <v>2514</v>
      </c>
      <c r="U705" s="1" t="s">
        <v>5040</v>
      </c>
    </row>
    <row r="706">
      <c r="A706" s="4">
        <v>45696.66836793981</v>
      </c>
      <c r="B706" s="3" t="s">
        <v>5041</v>
      </c>
      <c r="C706" s="3" t="s">
        <v>5042</v>
      </c>
      <c r="D706" s="3" t="s">
        <v>358</v>
      </c>
      <c r="E706" s="6">
        <v>45427.0</v>
      </c>
      <c r="F706" s="33">
        <v>2450.0</v>
      </c>
      <c r="G706" s="3" t="s">
        <v>136</v>
      </c>
      <c r="H706" s="3" t="s">
        <v>1946</v>
      </c>
      <c r="K706" s="3" t="s">
        <v>5043</v>
      </c>
      <c r="L706" s="3" t="s">
        <v>5044</v>
      </c>
      <c r="M706" s="3" t="s">
        <v>5045</v>
      </c>
      <c r="N706" s="3" t="s">
        <v>362</v>
      </c>
      <c r="O706" s="3" t="s">
        <v>5046</v>
      </c>
      <c r="Q706" s="3" t="s">
        <v>4891</v>
      </c>
      <c r="S706" s="27" t="s">
        <v>5047</v>
      </c>
      <c r="T706" s="27">
        <f>IFERROR(__xludf.DUMMYFUNCTION("""COMPUTED_VALUE"""),2499.0)</f>
        <v>2499</v>
      </c>
      <c r="U706" s="1" t="s">
        <v>5048</v>
      </c>
    </row>
    <row r="707">
      <c r="A707" s="4">
        <v>45696.67283445602</v>
      </c>
      <c r="B707" s="3" t="s">
        <v>5049</v>
      </c>
      <c r="C707" s="3" t="s">
        <v>5050</v>
      </c>
      <c r="D707" s="3" t="s">
        <v>230</v>
      </c>
      <c r="E707" s="6">
        <v>45292.0</v>
      </c>
      <c r="F707" s="33">
        <v>200.0</v>
      </c>
      <c r="G707" s="3" t="s">
        <v>136</v>
      </c>
      <c r="H707" s="3" t="s">
        <v>22</v>
      </c>
      <c r="K707" s="3" t="s">
        <v>5051</v>
      </c>
      <c r="L707" s="3" t="s">
        <v>5052</v>
      </c>
      <c r="M707" s="3" t="s">
        <v>5053</v>
      </c>
      <c r="N707" s="3" t="s">
        <v>234</v>
      </c>
      <c r="O707" s="3" t="s">
        <v>5054</v>
      </c>
      <c r="Q707" s="3" t="s">
        <v>4891</v>
      </c>
      <c r="S707" s="27" t="s">
        <v>5055</v>
      </c>
      <c r="T707" s="27">
        <f>IFERROR(__xludf.DUMMYFUNCTION("""COMPUTED_VALUE"""),2459.0)</f>
        <v>2459</v>
      </c>
      <c r="U707" s="1" t="s">
        <v>5056</v>
      </c>
    </row>
    <row r="708">
      <c r="A708" s="4">
        <v>45696.676402418976</v>
      </c>
      <c r="B708" s="3" t="s">
        <v>5057</v>
      </c>
      <c r="C708" s="3" t="s">
        <v>5058</v>
      </c>
      <c r="D708" s="3" t="s">
        <v>358</v>
      </c>
      <c r="E708" s="6">
        <v>45597.0</v>
      </c>
      <c r="F708" s="33">
        <v>2850.0</v>
      </c>
      <c r="G708" s="3" t="s">
        <v>136</v>
      </c>
      <c r="H708" s="3" t="s">
        <v>1946</v>
      </c>
      <c r="K708" s="3" t="s">
        <v>5059</v>
      </c>
      <c r="L708" s="3" t="s">
        <v>5060</v>
      </c>
      <c r="M708" s="3" t="s">
        <v>5061</v>
      </c>
      <c r="N708" s="3" t="s">
        <v>362</v>
      </c>
      <c r="O708" s="3" t="s">
        <v>5062</v>
      </c>
      <c r="Q708" s="3" t="s">
        <v>4891</v>
      </c>
      <c r="S708" s="27" t="s">
        <v>5063</v>
      </c>
      <c r="T708" s="27">
        <f>IFERROR(__xludf.DUMMYFUNCTION("""COMPUTED_VALUE"""),2632.0)</f>
        <v>2632</v>
      </c>
      <c r="U708" s="1" t="s">
        <v>5064</v>
      </c>
    </row>
    <row r="709">
      <c r="A709" s="4">
        <v>45696.67919956018</v>
      </c>
      <c r="B709" s="3" t="s">
        <v>3324</v>
      </c>
      <c r="C709" s="3" t="s">
        <v>5065</v>
      </c>
      <c r="D709" s="3" t="s">
        <v>358</v>
      </c>
      <c r="E709" s="6">
        <v>45272.0</v>
      </c>
      <c r="F709" s="33">
        <v>4948.0</v>
      </c>
      <c r="G709" s="3" t="s">
        <v>21</v>
      </c>
      <c r="H709" s="3" t="s">
        <v>1946</v>
      </c>
      <c r="K709" s="3" t="s">
        <v>5066</v>
      </c>
      <c r="L709" s="3" t="s">
        <v>5067</v>
      </c>
      <c r="M709" s="3" t="s">
        <v>5068</v>
      </c>
      <c r="N709" s="3" t="s">
        <v>362</v>
      </c>
      <c r="O709" s="3" t="s">
        <v>3329</v>
      </c>
      <c r="Q709" s="3" t="s">
        <v>4891</v>
      </c>
      <c r="S709" s="27" t="s">
        <v>5069</v>
      </c>
      <c r="T709" s="27">
        <f>IFERROR(__xludf.DUMMYFUNCTION("""COMPUTED_VALUE"""),2192.0)</f>
        <v>2192</v>
      </c>
      <c r="U709" s="1" t="s">
        <v>5070</v>
      </c>
    </row>
    <row r="710">
      <c r="A710" s="4">
        <v>45696.69093199074</v>
      </c>
      <c r="B710" s="3" t="s">
        <v>5071</v>
      </c>
      <c r="C710" s="3" t="s">
        <v>5072</v>
      </c>
      <c r="D710" s="3" t="s">
        <v>358</v>
      </c>
      <c r="E710" s="6">
        <v>45084.0</v>
      </c>
      <c r="F710" s="33">
        <v>4919.0</v>
      </c>
      <c r="G710" s="3" t="s">
        <v>21</v>
      </c>
      <c r="H710" s="3" t="s">
        <v>1946</v>
      </c>
      <c r="K710" s="3" t="s">
        <v>5073</v>
      </c>
      <c r="L710" s="3" t="s">
        <v>5074</v>
      </c>
      <c r="M710" s="3" t="s">
        <v>5075</v>
      </c>
      <c r="N710" s="3" t="s">
        <v>362</v>
      </c>
      <c r="O710" s="3" t="s">
        <v>5076</v>
      </c>
      <c r="Q710" s="3" t="s">
        <v>4891</v>
      </c>
      <c r="S710" s="27" t="s">
        <v>5077</v>
      </c>
      <c r="T710" s="27">
        <f>IFERROR(__xludf.DUMMYFUNCTION("""COMPUTED_VALUE"""),2205.0)</f>
        <v>2205</v>
      </c>
      <c r="U710" s="1" t="s">
        <v>5078</v>
      </c>
    </row>
    <row r="711">
      <c r="A711" s="4">
        <v>45696.70240844907</v>
      </c>
      <c r="B711" s="3" t="s">
        <v>5079</v>
      </c>
      <c r="C711" s="3" t="s">
        <v>5080</v>
      </c>
      <c r="D711" s="3" t="s">
        <v>358</v>
      </c>
      <c r="E711" s="6">
        <v>45159.0</v>
      </c>
      <c r="F711" s="33">
        <v>2230.0</v>
      </c>
      <c r="G711" s="3" t="s">
        <v>136</v>
      </c>
      <c r="H711" s="3" t="s">
        <v>1946</v>
      </c>
      <c r="K711" s="3" t="s">
        <v>5081</v>
      </c>
      <c r="L711" s="3" t="s">
        <v>5082</v>
      </c>
      <c r="M711" s="3" t="s">
        <v>5083</v>
      </c>
      <c r="N711" s="3" t="s">
        <v>362</v>
      </c>
      <c r="O711" s="3" t="s">
        <v>5084</v>
      </c>
      <c r="Q711" s="3" t="s">
        <v>4891</v>
      </c>
      <c r="S711" s="27" t="s">
        <v>5085</v>
      </c>
      <c r="T711" s="27">
        <f>IFERROR(__xludf.DUMMYFUNCTION("""COMPUTED_VALUE"""),2267.0)</f>
        <v>2267</v>
      </c>
      <c r="U711" s="1" t="s">
        <v>5086</v>
      </c>
    </row>
    <row r="712">
      <c r="A712" s="4">
        <v>45696.70724585648</v>
      </c>
      <c r="B712" s="3" t="s">
        <v>5087</v>
      </c>
      <c r="C712" s="3" t="s">
        <v>5088</v>
      </c>
      <c r="D712" s="3" t="s">
        <v>358</v>
      </c>
      <c r="E712" s="6">
        <v>45048.0</v>
      </c>
      <c r="F712" s="33">
        <v>775.0</v>
      </c>
      <c r="G712" s="3" t="s">
        <v>21</v>
      </c>
      <c r="H712" s="3" t="s">
        <v>1946</v>
      </c>
      <c r="K712" s="3" t="s">
        <v>5089</v>
      </c>
      <c r="L712" s="3" t="s">
        <v>5090</v>
      </c>
      <c r="M712" s="3" t="s">
        <v>5091</v>
      </c>
      <c r="N712" s="3" t="s">
        <v>362</v>
      </c>
      <c r="O712" s="3" t="s">
        <v>5092</v>
      </c>
      <c r="Q712" s="3" t="s">
        <v>4891</v>
      </c>
      <c r="S712" s="27" t="s">
        <v>5093</v>
      </c>
      <c r="T712" s="27">
        <f>IFERROR(__xludf.DUMMYFUNCTION("""COMPUTED_VALUE"""),2177.0)</f>
        <v>2177</v>
      </c>
      <c r="U712" s="1" t="s">
        <v>5094</v>
      </c>
    </row>
    <row r="713">
      <c r="A713" s="4">
        <v>45696.71567074074</v>
      </c>
      <c r="B713" s="3" t="s">
        <v>5095</v>
      </c>
      <c r="C713" s="3" t="s">
        <v>5096</v>
      </c>
      <c r="D713" s="3" t="s">
        <v>358</v>
      </c>
      <c r="E713" s="6">
        <v>45537.0</v>
      </c>
      <c r="F713" s="33">
        <v>2200.0</v>
      </c>
      <c r="G713" s="3" t="s">
        <v>136</v>
      </c>
      <c r="H713" s="3" t="s">
        <v>1946</v>
      </c>
      <c r="K713" s="3" t="s">
        <v>5097</v>
      </c>
      <c r="L713" s="3" t="s">
        <v>5098</v>
      </c>
      <c r="M713" s="3" t="s">
        <v>5099</v>
      </c>
      <c r="N713" s="3" t="s">
        <v>362</v>
      </c>
      <c r="O713" s="3" t="s">
        <v>5100</v>
      </c>
      <c r="Q713" s="3" t="s">
        <v>4891</v>
      </c>
      <c r="S713" s="27" t="s">
        <v>5101</v>
      </c>
      <c r="T713" s="27"/>
      <c r="U713" s="1" t="s">
        <v>5102</v>
      </c>
    </row>
    <row r="714">
      <c r="A714" s="4">
        <v>45696.7237375</v>
      </c>
      <c r="B714" s="3" t="s">
        <v>5103</v>
      </c>
      <c r="C714" s="3" t="s">
        <v>5104</v>
      </c>
      <c r="D714" s="3" t="s">
        <v>358</v>
      </c>
      <c r="E714" s="6">
        <v>45495.0</v>
      </c>
      <c r="F714" s="33">
        <v>7964.0</v>
      </c>
      <c r="G714" s="3" t="s">
        <v>136</v>
      </c>
      <c r="H714" s="3" t="s">
        <v>1946</v>
      </c>
      <c r="K714" s="3" t="s">
        <v>5105</v>
      </c>
      <c r="L714" s="3" t="s">
        <v>5106</v>
      </c>
      <c r="M714" s="3" t="s">
        <v>5107</v>
      </c>
      <c r="N714" s="3" t="s">
        <v>362</v>
      </c>
      <c r="O714" s="3" t="s">
        <v>5108</v>
      </c>
      <c r="Q714" s="3" t="s">
        <v>4891</v>
      </c>
      <c r="S714" s="27" t="s">
        <v>5109</v>
      </c>
      <c r="T714" s="27">
        <f>IFERROR(__xludf.DUMMYFUNCTION("""COMPUTED_VALUE"""),2538.0)</f>
        <v>2538</v>
      </c>
      <c r="U714" s="1" t="s">
        <v>5110</v>
      </c>
    </row>
    <row r="715">
      <c r="A715" s="4">
        <v>45698.566032013885</v>
      </c>
      <c r="B715" s="3" t="s">
        <v>5111</v>
      </c>
      <c r="C715" s="3" t="s">
        <v>5112</v>
      </c>
      <c r="D715" s="3" t="s">
        <v>230</v>
      </c>
      <c r="E715" s="6">
        <v>44937.0</v>
      </c>
      <c r="F715" s="33">
        <v>800.0</v>
      </c>
      <c r="G715" s="3" t="s">
        <v>136</v>
      </c>
      <c r="H715" s="3" t="s">
        <v>22</v>
      </c>
      <c r="K715" s="3" t="s">
        <v>5113</v>
      </c>
      <c r="L715" s="3" t="s">
        <v>5114</v>
      </c>
      <c r="M715" s="3" t="s">
        <v>5115</v>
      </c>
      <c r="N715" s="3" t="s">
        <v>234</v>
      </c>
      <c r="O715" s="3" t="s">
        <v>5116</v>
      </c>
      <c r="Q715" s="3" t="s">
        <v>4891</v>
      </c>
      <c r="S715" s="27" t="s">
        <v>5117</v>
      </c>
      <c r="T715" s="27">
        <f>IFERROR(__xludf.DUMMYFUNCTION("""COMPUTED_VALUE"""),1153.0)</f>
        <v>1153</v>
      </c>
      <c r="U715" s="1" t="s">
        <v>5118</v>
      </c>
    </row>
    <row r="716">
      <c r="A716" s="4">
        <v>45698.566032013885</v>
      </c>
      <c r="B716" s="3" t="s">
        <v>5111</v>
      </c>
      <c r="C716" s="3" t="s">
        <v>5119</v>
      </c>
      <c r="D716" s="3" t="s">
        <v>230</v>
      </c>
      <c r="E716" s="6">
        <v>44937.0</v>
      </c>
      <c r="F716" s="33">
        <v>400.0</v>
      </c>
      <c r="G716" s="3" t="s">
        <v>136</v>
      </c>
      <c r="H716" s="3" t="s">
        <v>22</v>
      </c>
      <c r="K716" s="3" t="s">
        <v>5120</v>
      </c>
      <c r="L716" s="3" t="s">
        <v>5121</v>
      </c>
      <c r="M716" s="3" t="s">
        <v>5122</v>
      </c>
      <c r="N716" s="3" t="s">
        <v>234</v>
      </c>
      <c r="O716" s="3" t="s">
        <v>5116</v>
      </c>
      <c r="Q716" s="3" t="s">
        <v>4891</v>
      </c>
      <c r="S716" s="27" t="s">
        <v>5123</v>
      </c>
      <c r="T716" s="27">
        <f>IFERROR(__xludf.DUMMYFUNCTION("""COMPUTED_VALUE"""),1153.0)</f>
        <v>1153</v>
      </c>
      <c r="U716" s="1" t="s">
        <v>5124</v>
      </c>
    </row>
    <row r="717">
      <c r="A717" s="4">
        <v>45698.566032013885</v>
      </c>
      <c r="B717" s="3" t="s">
        <v>5111</v>
      </c>
      <c r="C717" s="3" t="s">
        <v>5125</v>
      </c>
      <c r="D717" s="3" t="s">
        <v>230</v>
      </c>
      <c r="E717" s="6">
        <v>44937.0</v>
      </c>
      <c r="F717" s="33">
        <v>400.0</v>
      </c>
      <c r="G717" s="3" t="s">
        <v>136</v>
      </c>
      <c r="H717" s="3" t="s">
        <v>22</v>
      </c>
      <c r="K717" s="3" t="s">
        <v>5126</v>
      </c>
      <c r="L717" s="3" t="s">
        <v>5127</v>
      </c>
      <c r="M717" s="3" t="s">
        <v>5128</v>
      </c>
      <c r="N717" s="3" t="s">
        <v>234</v>
      </c>
      <c r="O717" s="3" t="s">
        <v>5116</v>
      </c>
      <c r="Q717" s="3" t="s">
        <v>4891</v>
      </c>
      <c r="S717" s="27" t="s">
        <v>5129</v>
      </c>
      <c r="T717" s="27">
        <f>IFERROR(__xludf.DUMMYFUNCTION("""COMPUTED_VALUE"""),1153.0)</f>
        <v>1153</v>
      </c>
      <c r="U717" s="1" t="s">
        <v>5130</v>
      </c>
    </row>
    <row r="718">
      <c r="A718" s="4">
        <v>45698.566032013885</v>
      </c>
      <c r="B718" s="3" t="s">
        <v>5111</v>
      </c>
      <c r="C718" s="3" t="s">
        <v>5131</v>
      </c>
      <c r="D718" s="3" t="s">
        <v>230</v>
      </c>
      <c r="E718" s="6">
        <v>44937.0</v>
      </c>
      <c r="F718" s="33">
        <v>600.0</v>
      </c>
      <c r="G718" s="3" t="s">
        <v>136</v>
      </c>
      <c r="H718" s="3" t="s">
        <v>22</v>
      </c>
      <c r="K718" s="3" t="s">
        <v>5132</v>
      </c>
      <c r="L718" s="3" t="s">
        <v>5133</v>
      </c>
      <c r="M718" s="3" t="s">
        <v>5134</v>
      </c>
      <c r="N718" s="3" t="s">
        <v>234</v>
      </c>
      <c r="O718" s="3" t="s">
        <v>5116</v>
      </c>
      <c r="Q718" s="3" t="s">
        <v>4891</v>
      </c>
      <c r="S718" s="27" t="s">
        <v>5135</v>
      </c>
      <c r="T718" s="27">
        <f>IFERROR(__xludf.DUMMYFUNCTION("""COMPUTED_VALUE"""),1153.0)</f>
        <v>1153</v>
      </c>
      <c r="U718" s="1" t="s">
        <v>5136</v>
      </c>
    </row>
    <row r="719">
      <c r="A719" s="4">
        <v>45698.566032013885</v>
      </c>
      <c r="B719" s="3" t="s">
        <v>5111</v>
      </c>
      <c r="C719" s="3" t="s">
        <v>3424</v>
      </c>
      <c r="D719" s="3" t="s">
        <v>230</v>
      </c>
      <c r="E719" s="6">
        <v>44937.0</v>
      </c>
      <c r="F719" s="33">
        <v>450.0</v>
      </c>
      <c r="G719" s="3" t="s">
        <v>136</v>
      </c>
      <c r="H719" s="3" t="s">
        <v>22</v>
      </c>
      <c r="K719" s="3" t="s">
        <v>5137</v>
      </c>
      <c r="L719" s="3" t="s">
        <v>5138</v>
      </c>
      <c r="M719" s="3" t="s">
        <v>5139</v>
      </c>
      <c r="N719" s="3" t="s">
        <v>234</v>
      </c>
      <c r="O719" s="3" t="s">
        <v>5116</v>
      </c>
      <c r="Q719" s="3" t="s">
        <v>4891</v>
      </c>
      <c r="S719" s="27" t="s">
        <v>5140</v>
      </c>
      <c r="T719" s="27">
        <f>IFERROR(__xludf.DUMMYFUNCTION("""COMPUTED_VALUE"""),1153.0)</f>
        <v>1153</v>
      </c>
      <c r="U719" s="1" t="s">
        <v>5141</v>
      </c>
    </row>
    <row r="720">
      <c r="A720" s="4">
        <v>45698.72011358796</v>
      </c>
      <c r="B720" s="3" t="s">
        <v>5142</v>
      </c>
      <c r="C720" s="3" t="s">
        <v>5143</v>
      </c>
      <c r="D720" s="3" t="s">
        <v>230</v>
      </c>
      <c r="E720" s="6">
        <v>45536.0</v>
      </c>
      <c r="F720" s="33">
        <v>100.0</v>
      </c>
      <c r="G720" s="3" t="s">
        <v>21</v>
      </c>
      <c r="H720" s="3" t="s">
        <v>22</v>
      </c>
      <c r="K720" s="3" t="s">
        <v>5144</v>
      </c>
      <c r="L720" s="3" t="s">
        <v>5145</v>
      </c>
      <c r="M720" s="3" t="s">
        <v>5146</v>
      </c>
      <c r="N720" s="3" t="s">
        <v>234</v>
      </c>
      <c r="O720" s="3" t="s">
        <v>5147</v>
      </c>
      <c r="Q720" s="3" t="s">
        <v>4891</v>
      </c>
      <c r="S720" s="27" t="s">
        <v>5148</v>
      </c>
      <c r="T720" s="27">
        <f>IFERROR(__xludf.DUMMYFUNCTION("""COMPUTED_VALUE"""),2595.0)</f>
        <v>2595</v>
      </c>
      <c r="U720" s="1" t="s">
        <v>5149</v>
      </c>
    </row>
    <row r="721">
      <c r="A721" s="4">
        <v>45698.75022798611</v>
      </c>
      <c r="B721" s="3" t="s">
        <v>4315</v>
      </c>
      <c r="C721" s="3" t="s">
        <v>5150</v>
      </c>
      <c r="D721" s="3" t="s">
        <v>230</v>
      </c>
      <c r="E721" s="6">
        <v>45201.0</v>
      </c>
      <c r="F721" s="33">
        <v>2000.0</v>
      </c>
      <c r="G721" s="3" t="s">
        <v>136</v>
      </c>
      <c r="H721" s="3" t="s">
        <v>22</v>
      </c>
      <c r="K721" s="3" t="s">
        <v>5151</v>
      </c>
      <c r="L721" s="3" t="s">
        <v>5152</v>
      </c>
      <c r="M721" s="3" t="s">
        <v>5153</v>
      </c>
      <c r="N721" s="3" t="s">
        <v>234</v>
      </c>
      <c r="O721" s="3" t="s">
        <v>4320</v>
      </c>
      <c r="Q721" s="3" t="s">
        <v>4891</v>
      </c>
      <c r="S721" s="27" t="s">
        <v>5154</v>
      </c>
      <c r="T721" s="27">
        <f>IFERROR(__xludf.DUMMYFUNCTION("""COMPUTED_VALUE"""),2321.0)</f>
        <v>2321</v>
      </c>
      <c r="U721" s="1" t="s">
        <v>5155</v>
      </c>
    </row>
    <row r="722">
      <c r="A722" s="4">
        <v>45699.39711052083</v>
      </c>
      <c r="B722" s="3" t="s">
        <v>2095</v>
      </c>
      <c r="C722" s="3" t="s">
        <v>5156</v>
      </c>
      <c r="D722" s="3" t="s">
        <v>756</v>
      </c>
      <c r="E722" s="6">
        <v>45428.0</v>
      </c>
      <c r="F722" s="33">
        <v>250.0</v>
      </c>
      <c r="G722" s="3" t="s">
        <v>21</v>
      </c>
      <c r="H722" s="3" t="s">
        <v>1946</v>
      </c>
      <c r="K722" s="3" t="s">
        <v>5157</v>
      </c>
      <c r="L722" s="3" t="s">
        <v>5158</v>
      </c>
      <c r="M722" s="3" t="s">
        <v>5159</v>
      </c>
      <c r="N722" s="3" t="s">
        <v>760</v>
      </c>
      <c r="O722" s="3" t="s">
        <v>2100</v>
      </c>
      <c r="Q722" s="3" t="s">
        <v>4891</v>
      </c>
      <c r="S722" s="27" t="s">
        <v>5160</v>
      </c>
      <c r="T722" s="27">
        <f>IFERROR(__xludf.DUMMYFUNCTION("""COMPUTED_VALUE"""),1747.0)</f>
        <v>1747</v>
      </c>
      <c r="U722" s="1" t="s">
        <v>5161</v>
      </c>
    </row>
    <row r="723">
      <c r="A723" s="4">
        <v>45699.40126003472</v>
      </c>
      <c r="B723" s="3" t="s">
        <v>5162</v>
      </c>
      <c r="C723" s="3" t="s">
        <v>5163</v>
      </c>
      <c r="D723" s="3" t="s">
        <v>756</v>
      </c>
      <c r="E723" s="6">
        <v>45650.0</v>
      </c>
      <c r="F723" s="33">
        <v>1800.0</v>
      </c>
      <c r="G723" s="3" t="s">
        <v>136</v>
      </c>
      <c r="H723" s="3" t="s">
        <v>1946</v>
      </c>
      <c r="K723" s="3" t="s">
        <v>5164</v>
      </c>
      <c r="L723" s="3" t="s">
        <v>5165</v>
      </c>
      <c r="M723" s="3" t="s">
        <v>5166</v>
      </c>
      <c r="N723" s="3" t="s">
        <v>760</v>
      </c>
      <c r="O723" s="3" t="s">
        <v>5167</v>
      </c>
      <c r="Q723" s="3" t="s">
        <v>4891</v>
      </c>
      <c r="S723" s="27" t="s">
        <v>5168</v>
      </c>
      <c r="T723" s="27"/>
      <c r="U723" s="1" t="s">
        <v>5169</v>
      </c>
    </row>
    <row r="724">
      <c r="A724" s="4">
        <v>45699.42005998842</v>
      </c>
      <c r="B724" s="3" t="s">
        <v>5170</v>
      </c>
      <c r="C724" s="3" t="s">
        <v>5171</v>
      </c>
      <c r="D724" s="3" t="s">
        <v>756</v>
      </c>
      <c r="E724" s="6">
        <v>45446.0</v>
      </c>
      <c r="F724" s="33">
        <v>310.0</v>
      </c>
      <c r="G724" s="3" t="s">
        <v>21</v>
      </c>
      <c r="H724" s="3" t="s">
        <v>1946</v>
      </c>
      <c r="K724" s="3" t="s">
        <v>5172</v>
      </c>
      <c r="L724" s="3" t="s">
        <v>5173</v>
      </c>
      <c r="M724" s="3" t="s">
        <v>5174</v>
      </c>
      <c r="N724" s="3" t="s">
        <v>760</v>
      </c>
      <c r="O724" s="3" t="s">
        <v>5175</v>
      </c>
      <c r="Q724" s="3" t="s">
        <v>4891</v>
      </c>
      <c r="S724" s="27" t="s">
        <v>5176</v>
      </c>
      <c r="T724" s="27"/>
      <c r="U724" s="1" t="s">
        <v>5177</v>
      </c>
    </row>
    <row r="725">
      <c r="A725" s="4">
        <v>45699.42935034722</v>
      </c>
      <c r="B725" s="3" t="s">
        <v>4700</v>
      </c>
      <c r="C725" s="3" t="s">
        <v>5178</v>
      </c>
      <c r="D725" s="3" t="s">
        <v>1049</v>
      </c>
      <c r="E725" s="6">
        <v>45559.0</v>
      </c>
      <c r="F725" s="33">
        <v>2825.0</v>
      </c>
      <c r="G725" s="3" t="s">
        <v>21</v>
      </c>
      <c r="H725" s="3" t="s">
        <v>1946</v>
      </c>
      <c r="K725" s="3" t="s">
        <v>5179</v>
      </c>
      <c r="L725" s="3" t="s">
        <v>5180</v>
      </c>
      <c r="M725" s="3" t="s">
        <v>5181</v>
      </c>
      <c r="N725" s="3" t="s">
        <v>1054</v>
      </c>
      <c r="O725" s="3" t="s">
        <v>4705</v>
      </c>
      <c r="Q725" s="3" t="s">
        <v>4891</v>
      </c>
      <c r="S725" s="27" t="s">
        <v>5182</v>
      </c>
      <c r="T725" s="27">
        <f>IFERROR(__xludf.DUMMYFUNCTION("""COMPUTED_VALUE"""),2588.0)</f>
        <v>2588</v>
      </c>
      <c r="U725" s="1" t="s">
        <v>5183</v>
      </c>
    </row>
    <row r="726">
      <c r="A726" s="4">
        <v>45699.432801250005</v>
      </c>
      <c r="B726" s="3" t="s">
        <v>5184</v>
      </c>
      <c r="C726" s="3" t="s">
        <v>5185</v>
      </c>
      <c r="D726" s="3" t="s">
        <v>230</v>
      </c>
      <c r="E726" s="6">
        <v>45444.0</v>
      </c>
      <c r="F726" s="33">
        <v>100.0</v>
      </c>
      <c r="G726" s="3" t="s">
        <v>21</v>
      </c>
      <c r="H726" s="3" t="s">
        <v>22</v>
      </c>
      <c r="K726" s="3" t="s">
        <v>5186</v>
      </c>
      <c r="L726" s="3" t="s">
        <v>5187</v>
      </c>
      <c r="M726" s="3" t="s">
        <v>5188</v>
      </c>
      <c r="N726" s="3" t="s">
        <v>234</v>
      </c>
      <c r="O726" s="3" t="s">
        <v>5189</v>
      </c>
      <c r="Q726" s="3" t="s">
        <v>4891</v>
      </c>
      <c r="S726" s="27" t="s">
        <v>5190</v>
      </c>
      <c r="T726" s="27">
        <f>IFERROR(__xludf.DUMMYFUNCTION("""COMPUTED_VALUE"""),2813.0)</f>
        <v>2813</v>
      </c>
      <c r="U726" s="1" t="s">
        <v>5191</v>
      </c>
    </row>
    <row r="727">
      <c r="A727" s="4">
        <v>45699.4844725</v>
      </c>
      <c r="B727" s="3" t="s">
        <v>5192</v>
      </c>
      <c r="C727" s="3" t="s">
        <v>5193</v>
      </c>
      <c r="D727" s="3" t="s">
        <v>230</v>
      </c>
      <c r="E727" s="6">
        <v>45170.0</v>
      </c>
      <c r="F727" s="33">
        <v>385.0</v>
      </c>
      <c r="G727" s="3" t="s">
        <v>21</v>
      </c>
      <c r="H727" s="3" t="s">
        <v>1946</v>
      </c>
      <c r="K727" s="3" t="s">
        <v>5194</v>
      </c>
      <c r="L727" s="3" t="s">
        <v>5195</v>
      </c>
      <c r="M727" s="3" t="s">
        <v>5196</v>
      </c>
      <c r="N727" s="3" t="s">
        <v>234</v>
      </c>
      <c r="O727" s="3" t="s">
        <v>5197</v>
      </c>
      <c r="Q727" s="3" t="s">
        <v>4891</v>
      </c>
      <c r="S727" s="27" t="s">
        <v>5198</v>
      </c>
      <c r="T727" s="27">
        <f>IFERROR(__xludf.DUMMYFUNCTION("""COMPUTED_VALUE"""),2351.0)</f>
        <v>2351</v>
      </c>
      <c r="U727" s="1" t="s">
        <v>5199</v>
      </c>
    </row>
    <row r="728">
      <c r="A728" s="4">
        <v>45699.540716400465</v>
      </c>
      <c r="B728" s="3" t="s">
        <v>2583</v>
      </c>
      <c r="C728" s="3" t="s">
        <v>5200</v>
      </c>
      <c r="D728" s="3" t="s">
        <v>1049</v>
      </c>
      <c r="E728" s="6">
        <v>45383.0</v>
      </c>
      <c r="F728" s="33">
        <v>1080.0</v>
      </c>
      <c r="G728" s="3" t="s">
        <v>21</v>
      </c>
      <c r="H728" s="3" t="s">
        <v>1946</v>
      </c>
      <c r="K728" s="3" t="s">
        <v>5201</v>
      </c>
      <c r="L728" s="3" t="s">
        <v>5202</v>
      </c>
      <c r="M728" s="3" t="s">
        <v>5203</v>
      </c>
      <c r="N728" s="3" t="s">
        <v>1054</v>
      </c>
      <c r="O728" s="3" t="s">
        <v>2587</v>
      </c>
      <c r="Q728" s="3" t="s">
        <v>4891</v>
      </c>
      <c r="S728" s="27" t="s">
        <v>5204</v>
      </c>
      <c r="T728" s="27">
        <f>IFERROR(__xludf.DUMMYFUNCTION("""COMPUTED_VALUE"""),810.0)</f>
        <v>810</v>
      </c>
      <c r="U728" s="1" t="s">
        <v>5205</v>
      </c>
    </row>
    <row r="729">
      <c r="A729" s="4">
        <v>45699.544188935186</v>
      </c>
      <c r="B729" s="3" t="s">
        <v>5206</v>
      </c>
      <c r="C729" s="3" t="s">
        <v>5207</v>
      </c>
      <c r="D729" s="3" t="s">
        <v>230</v>
      </c>
      <c r="E729" s="6">
        <v>45505.0</v>
      </c>
      <c r="F729" s="33">
        <v>100.0</v>
      </c>
      <c r="G729" s="3" t="s">
        <v>21</v>
      </c>
      <c r="H729" s="3" t="s">
        <v>22</v>
      </c>
      <c r="K729" s="3" t="s">
        <v>5208</v>
      </c>
      <c r="L729" s="3" t="s">
        <v>5209</v>
      </c>
      <c r="M729" s="3" t="s">
        <v>5210</v>
      </c>
      <c r="N729" s="3" t="s">
        <v>234</v>
      </c>
      <c r="O729" s="3" t="s">
        <v>5211</v>
      </c>
      <c r="Q729" s="3" t="s">
        <v>4891</v>
      </c>
      <c r="S729" s="27" t="s">
        <v>5212</v>
      </c>
      <c r="T729" s="27">
        <f>IFERROR(__xludf.DUMMYFUNCTION("""COMPUTED_VALUE"""),2100.0)</f>
        <v>2100</v>
      </c>
      <c r="U729" s="1" t="s">
        <v>5213</v>
      </c>
    </row>
    <row r="730">
      <c r="A730" s="4">
        <v>45699.55001467593</v>
      </c>
      <c r="B730" s="3" t="s">
        <v>5214</v>
      </c>
      <c r="C730" s="3" t="s">
        <v>5215</v>
      </c>
      <c r="D730" s="3" t="s">
        <v>1362</v>
      </c>
      <c r="E730" s="6">
        <v>45200.0</v>
      </c>
      <c r="F730" s="33">
        <v>30000.0</v>
      </c>
      <c r="G730" s="3" t="s">
        <v>21</v>
      </c>
      <c r="H730" s="3" t="s">
        <v>1946</v>
      </c>
      <c r="K730" s="3" t="s">
        <v>5216</v>
      </c>
      <c r="L730" s="3" t="s">
        <v>5217</v>
      </c>
      <c r="M730" s="3" t="s">
        <v>5218</v>
      </c>
      <c r="N730" s="3" t="s">
        <v>1366</v>
      </c>
      <c r="O730" s="3" t="s">
        <v>5219</v>
      </c>
      <c r="Q730" s="3" t="s">
        <v>4891</v>
      </c>
      <c r="S730" s="27" t="s">
        <v>5220</v>
      </c>
      <c r="T730" s="27"/>
      <c r="U730" s="1" t="s">
        <v>5221</v>
      </c>
    </row>
    <row r="731">
      <c r="A731" s="4">
        <v>45699.55001467593</v>
      </c>
      <c r="B731" s="3" t="s">
        <v>5222</v>
      </c>
      <c r="C731" s="3" t="s">
        <v>5223</v>
      </c>
      <c r="D731" s="3" t="s">
        <v>1362</v>
      </c>
      <c r="E731" s="6">
        <v>45499.0</v>
      </c>
      <c r="F731" s="33">
        <v>3000.0</v>
      </c>
      <c r="G731" s="3" t="s">
        <v>136</v>
      </c>
      <c r="H731" s="3" t="s">
        <v>1946</v>
      </c>
      <c r="K731" s="3" t="s">
        <v>5224</v>
      </c>
      <c r="L731" s="3" t="s">
        <v>5225</v>
      </c>
      <c r="M731" s="3" t="s">
        <v>5226</v>
      </c>
      <c r="N731" s="3" t="s">
        <v>1366</v>
      </c>
      <c r="O731" s="3" t="s">
        <v>5227</v>
      </c>
      <c r="Q731" s="3" t="s">
        <v>4891</v>
      </c>
      <c r="S731" s="27" t="s">
        <v>5228</v>
      </c>
      <c r="T731" s="27">
        <f>IFERROR(__xludf.DUMMYFUNCTION("""COMPUTED_VALUE"""),2250.0)</f>
        <v>2250</v>
      </c>
      <c r="U731" s="1" t="s">
        <v>5229</v>
      </c>
    </row>
    <row r="732">
      <c r="A732" s="4">
        <v>45699.56528592593</v>
      </c>
      <c r="B732" s="3" t="s">
        <v>4947</v>
      </c>
      <c r="C732" s="3" t="s">
        <v>5230</v>
      </c>
      <c r="D732" s="3" t="s">
        <v>756</v>
      </c>
      <c r="E732" s="6">
        <v>45452.0</v>
      </c>
      <c r="F732" s="33">
        <v>170.0</v>
      </c>
      <c r="G732" s="3" t="s">
        <v>136</v>
      </c>
      <c r="H732" s="3" t="s">
        <v>22</v>
      </c>
      <c r="J732" s="1" t="s">
        <v>4949</v>
      </c>
      <c r="K732" s="3" t="s">
        <v>5231</v>
      </c>
      <c r="L732" s="3" t="s">
        <v>5232</v>
      </c>
      <c r="M732" s="3" t="s">
        <v>5233</v>
      </c>
      <c r="N732" s="3" t="s">
        <v>760</v>
      </c>
      <c r="O732" s="3" t="s">
        <v>4953</v>
      </c>
      <c r="Q732" s="3" t="s">
        <v>4891</v>
      </c>
      <c r="S732" s="27" t="s">
        <v>5234</v>
      </c>
      <c r="T732" s="27">
        <f>IFERROR(__xludf.DUMMYFUNCTION("""COMPUTED_VALUE"""),2559.0)</f>
        <v>2559</v>
      </c>
      <c r="U732" s="1" t="s">
        <v>5235</v>
      </c>
    </row>
    <row r="733">
      <c r="A733" s="4">
        <v>45699.575074988425</v>
      </c>
      <c r="B733" s="3" t="s">
        <v>5236</v>
      </c>
      <c r="C733" s="3" t="s">
        <v>5237</v>
      </c>
      <c r="D733" s="3" t="s">
        <v>20</v>
      </c>
      <c r="E733" s="6">
        <v>45513.0</v>
      </c>
      <c r="F733" s="33">
        <v>1232000.0</v>
      </c>
      <c r="G733" s="3" t="s">
        <v>21</v>
      </c>
      <c r="H733" s="3" t="s">
        <v>22</v>
      </c>
      <c r="K733" s="3" t="s">
        <v>5238</v>
      </c>
      <c r="L733" s="3" t="s">
        <v>5239</v>
      </c>
      <c r="M733" s="3" t="s">
        <v>5240</v>
      </c>
      <c r="N733" s="3" t="s">
        <v>27</v>
      </c>
      <c r="O733" s="3" t="s">
        <v>5241</v>
      </c>
      <c r="Q733" s="3" t="s">
        <v>4891</v>
      </c>
      <c r="S733" s="27" t="s">
        <v>5242</v>
      </c>
      <c r="T733" s="27"/>
      <c r="U733" s="1" t="s">
        <v>5243</v>
      </c>
    </row>
    <row r="734">
      <c r="A734" s="4">
        <v>45699.57846989583</v>
      </c>
      <c r="B734" s="3" t="s">
        <v>5244</v>
      </c>
      <c r="C734" s="3" t="s">
        <v>5245</v>
      </c>
      <c r="D734" s="3" t="s">
        <v>1362</v>
      </c>
      <c r="E734" s="6">
        <v>45790.0</v>
      </c>
      <c r="F734" s="33">
        <v>465.0</v>
      </c>
      <c r="G734" s="3" t="s">
        <v>21</v>
      </c>
      <c r="H734" s="3" t="s">
        <v>22</v>
      </c>
      <c r="K734" s="3" t="s">
        <v>5246</v>
      </c>
      <c r="L734" s="3" t="s">
        <v>5247</v>
      </c>
      <c r="M734" s="3" t="s">
        <v>5248</v>
      </c>
      <c r="N734" s="3" t="s">
        <v>1366</v>
      </c>
      <c r="O734" s="3" t="s">
        <v>5249</v>
      </c>
      <c r="Q734" s="3" t="s">
        <v>4891</v>
      </c>
      <c r="S734" s="27" t="s">
        <v>5250</v>
      </c>
      <c r="T734" s="27">
        <f>IFERROR(__xludf.DUMMYFUNCTION("""COMPUTED_VALUE"""),2194.0)</f>
        <v>2194</v>
      </c>
      <c r="U734" s="1" t="s">
        <v>5251</v>
      </c>
    </row>
    <row r="735">
      <c r="A735" s="4">
        <v>45699.58503899306</v>
      </c>
      <c r="B735" s="3" t="s">
        <v>5252</v>
      </c>
      <c r="C735" s="3" t="s">
        <v>5253</v>
      </c>
      <c r="D735" s="3" t="s">
        <v>1049</v>
      </c>
      <c r="E735" s="6">
        <v>45281.0</v>
      </c>
      <c r="F735" s="33">
        <v>2100.0</v>
      </c>
      <c r="G735" s="3" t="s">
        <v>136</v>
      </c>
      <c r="H735" s="3" t="s">
        <v>1946</v>
      </c>
      <c r="K735" s="3" t="s">
        <v>5254</v>
      </c>
      <c r="L735" s="3" t="s">
        <v>5255</v>
      </c>
      <c r="M735" s="3" t="s">
        <v>5256</v>
      </c>
      <c r="N735" s="3" t="s">
        <v>1054</v>
      </c>
      <c r="O735" s="3" t="s">
        <v>5257</v>
      </c>
      <c r="Q735" s="3" t="s">
        <v>4891</v>
      </c>
      <c r="S735" s="27" t="s">
        <v>5258</v>
      </c>
      <c r="T735" s="27">
        <f>IFERROR(__xludf.DUMMYFUNCTION("""COMPUTED_VALUE"""),2370.0)</f>
        <v>2370</v>
      </c>
      <c r="U735" s="1" t="s">
        <v>5259</v>
      </c>
    </row>
    <row r="736">
      <c r="A736" s="4">
        <v>45699.642965694446</v>
      </c>
      <c r="B736" s="3" t="s">
        <v>5260</v>
      </c>
      <c r="C736" s="3" t="s">
        <v>5261</v>
      </c>
      <c r="D736" s="3" t="s">
        <v>20</v>
      </c>
      <c r="E736" s="6">
        <v>45423.0</v>
      </c>
      <c r="F736" s="33">
        <v>69644.0</v>
      </c>
      <c r="G736" s="3" t="s">
        <v>21</v>
      </c>
      <c r="H736" s="3" t="s">
        <v>22</v>
      </c>
      <c r="J736" s="1" t="s">
        <v>5262</v>
      </c>
      <c r="K736" s="3" t="s">
        <v>5263</v>
      </c>
      <c r="L736" s="3" t="s">
        <v>5264</v>
      </c>
      <c r="M736" s="3" t="s">
        <v>5265</v>
      </c>
      <c r="N736" s="3" t="s">
        <v>27</v>
      </c>
      <c r="O736" s="3" t="s">
        <v>5266</v>
      </c>
      <c r="Q736" s="3" t="s">
        <v>4891</v>
      </c>
      <c r="S736" s="27" t="s">
        <v>5267</v>
      </c>
      <c r="T736" s="27">
        <f>IFERROR(__xludf.DUMMYFUNCTION("""COMPUTED_VALUE"""),2553.0)</f>
        <v>2553</v>
      </c>
      <c r="U736" s="1" t="s">
        <v>5268</v>
      </c>
    </row>
    <row r="737">
      <c r="A737" s="4">
        <v>45699.73213013889</v>
      </c>
      <c r="B737" s="3" t="s">
        <v>2699</v>
      </c>
      <c r="C737" s="3" t="s">
        <v>5269</v>
      </c>
      <c r="D737" s="3" t="s">
        <v>358</v>
      </c>
      <c r="E737" s="6">
        <v>45225.0</v>
      </c>
      <c r="F737" s="33">
        <v>14985.0</v>
      </c>
      <c r="G737" s="3" t="s">
        <v>21</v>
      </c>
      <c r="H737" s="3" t="s">
        <v>1946</v>
      </c>
      <c r="K737" s="3" t="s">
        <v>5270</v>
      </c>
      <c r="L737" s="3" t="s">
        <v>5271</v>
      </c>
      <c r="M737" s="3" t="s">
        <v>5272</v>
      </c>
      <c r="N737" s="3" t="s">
        <v>362</v>
      </c>
      <c r="O737" s="3" t="s">
        <v>2705</v>
      </c>
      <c r="Q737" s="3" t="s">
        <v>4891</v>
      </c>
      <c r="S737" s="27" t="s">
        <v>5273</v>
      </c>
      <c r="T737" s="27">
        <f>IFERROR(__xludf.DUMMYFUNCTION("""COMPUTED_VALUE"""),1927.0)</f>
        <v>1927</v>
      </c>
      <c r="U737" s="1" t="s">
        <v>5274</v>
      </c>
    </row>
    <row r="738">
      <c r="A738" s="4">
        <v>45699.73213013889</v>
      </c>
      <c r="B738" s="3" t="s">
        <v>2699</v>
      </c>
      <c r="C738" s="3" t="s">
        <v>5275</v>
      </c>
      <c r="D738" s="3" t="s">
        <v>1049</v>
      </c>
      <c r="E738" s="6">
        <v>45393.0</v>
      </c>
      <c r="F738" s="33">
        <v>100.0</v>
      </c>
      <c r="G738" s="3" t="s">
        <v>21</v>
      </c>
      <c r="H738" s="3" t="s">
        <v>1946</v>
      </c>
      <c r="K738" s="3" t="s">
        <v>5276</v>
      </c>
      <c r="L738" s="3" t="s">
        <v>5277</v>
      </c>
      <c r="M738" s="3" t="s">
        <v>5278</v>
      </c>
      <c r="N738" s="3" t="s">
        <v>1054</v>
      </c>
      <c r="O738" s="3" t="s">
        <v>2705</v>
      </c>
      <c r="Q738" s="3" t="s">
        <v>4891</v>
      </c>
      <c r="R738" s="3" t="b">
        <v>1</v>
      </c>
      <c r="S738" s="27" t="s">
        <v>5279</v>
      </c>
      <c r="T738" s="27">
        <f>IFERROR(__xludf.DUMMYFUNCTION("""COMPUTED_VALUE"""),1927.0)</f>
        <v>1927</v>
      </c>
      <c r="U738" s="1" t="s">
        <v>5280</v>
      </c>
    </row>
    <row r="739">
      <c r="A739" s="4">
        <v>45699.74404741898</v>
      </c>
      <c r="B739" s="3" t="s">
        <v>3345</v>
      </c>
      <c r="C739" s="3" t="s">
        <v>5281</v>
      </c>
      <c r="D739" s="3" t="s">
        <v>756</v>
      </c>
      <c r="E739" s="6">
        <v>45548.0</v>
      </c>
      <c r="F739" s="33">
        <v>500.0</v>
      </c>
      <c r="G739" s="3" t="s">
        <v>136</v>
      </c>
      <c r="H739" s="3" t="s">
        <v>22</v>
      </c>
      <c r="K739" s="3" t="s">
        <v>5282</v>
      </c>
      <c r="L739" s="3" t="s">
        <v>5283</v>
      </c>
      <c r="M739" s="3" t="s">
        <v>5284</v>
      </c>
      <c r="N739" s="3" t="s">
        <v>760</v>
      </c>
      <c r="O739" s="3" t="s">
        <v>3351</v>
      </c>
      <c r="Q739" s="3" t="s">
        <v>4891</v>
      </c>
      <c r="S739" s="27" t="s">
        <v>5285</v>
      </c>
      <c r="T739" s="27">
        <f>IFERROR(__xludf.DUMMYFUNCTION("""COMPUTED_VALUE"""),2227.0)</f>
        <v>2227</v>
      </c>
      <c r="U739" s="1" t="s">
        <v>5286</v>
      </c>
    </row>
    <row r="740">
      <c r="A740" s="4">
        <v>45700.43694388889</v>
      </c>
      <c r="B740" s="3" t="s">
        <v>5287</v>
      </c>
      <c r="C740" s="3" t="s">
        <v>5288</v>
      </c>
      <c r="D740" s="3" t="s">
        <v>358</v>
      </c>
      <c r="E740" s="6">
        <v>45320.0</v>
      </c>
      <c r="F740" s="33">
        <v>4310.0</v>
      </c>
      <c r="G740" s="3" t="s">
        <v>21</v>
      </c>
      <c r="H740" s="3" t="s">
        <v>1946</v>
      </c>
      <c r="K740" s="3" t="s">
        <v>5289</v>
      </c>
      <c r="L740" s="3" t="s">
        <v>5290</v>
      </c>
      <c r="M740" s="3" t="s">
        <v>5291</v>
      </c>
      <c r="N740" s="3" t="s">
        <v>362</v>
      </c>
      <c r="O740" s="3" t="s">
        <v>5292</v>
      </c>
      <c r="Q740" s="3" t="s">
        <v>4891</v>
      </c>
      <c r="S740" s="27" t="s">
        <v>5293</v>
      </c>
      <c r="T740" s="27">
        <f>IFERROR(__xludf.DUMMYFUNCTION("""COMPUTED_VALUE"""),2398.0)</f>
        <v>2398</v>
      </c>
      <c r="U740" s="1" t="s">
        <v>5294</v>
      </c>
    </row>
    <row r="741">
      <c r="A741" s="4">
        <v>45700.439677256945</v>
      </c>
      <c r="B741" s="3" t="s">
        <v>5295</v>
      </c>
      <c r="C741" s="3" t="s">
        <v>5296</v>
      </c>
      <c r="D741" s="3" t="s">
        <v>358</v>
      </c>
      <c r="E741" s="6">
        <v>45275.0</v>
      </c>
      <c r="F741" s="33">
        <v>1300.0</v>
      </c>
      <c r="G741" s="3" t="s">
        <v>21</v>
      </c>
      <c r="H741" s="3" t="s">
        <v>1946</v>
      </c>
      <c r="K741" s="3" t="s">
        <v>5297</v>
      </c>
      <c r="L741" s="3" t="s">
        <v>5298</v>
      </c>
      <c r="M741" s="3" t="s">
        <v>5299</v>
      </c>
      <c r="N741" s="3" t="s">
        <v>362</v>
      </c>
      <c r="O741" s="3" t="s">
        <v>5300</v>
      </c>
      <c r="Q741" s="3" t="s">
        <v>4891</v>
      </c>
      <c r="S741" s="27" t="s">
        <v>5301</v>
      </c>
      <c r="T741" s="27">
        <f>IFERROR(__xludf.DUMMYFUNCTION("""COMPUTED_VALUE"""),2367.0)</f>
        <v>2367</v>
      </c>
      <c r="U741" s="1" t="s">
        <v>5302</v>
      </c>
    </row>
    <row r="742">
      <c r="A742" s="4">
        <v>45700.44355913195</v>
      </c>
      <c r="B742" s="3" t="s">
        <v>5303</v>
      </c>
      <c r="C742" s="3" t="s">
        <v>5304</v>
      </c>
      <c r="D742" s="3" t="s">
        <v>358</v>
      </c>
      <c r="E742" s="6">
        <v>45259.0</v>
      </c>
      <c r="F742" s="33">
        <v>12080.0</v>
      </c>
      <c r="G742" s="3" t="s">
        <v>21</v>
      </c>
      <c r="H742" s="3" t="s">
        <v>1946</v>
      </c>
      <c r="K742" s="3" t="s">
        <v>5305</v>
      </c>
      <c r="L742" s="3" t="s">
        <v>5306</v>
      </c>
      <c r="M742" s="3" t="s">
        <v>5307</v>
      </c>
      <c r="N742" s="3" t="s">
        <v>362</v>
      </c>
      <c r="O742" s="3" t="s">
        <v>5308</v>
      </c>
      <c r="Q742" s="3" t="s">
        <v>4891</v>
      </c>
      <c r="S742" s="27" t="s">
        <v>5309</v>
      </c>
      <c r="T742" s="27">
        <f>IFERROR(__xludf.DUMMYFUNCTION("""COMPUTED_VALUE"""),2342.0)</f>
        <v>2342</v>
      </c>
      <c r="U742" s="1" t="s">
        <v>5310</v>
      </c>
    </row>
    <row r="743">
      <c r="A743" s="4">
        <v>45700.45896412037</v>
      </c>
      <c r="B743" s="3" t="s">
        <v>2799</v>
      </c>
      <c r="C743" s="3" t="s">
        <v>5311</v>
      </c>
      <c r="D743" s="3" t="s">
        <v>358</v>
      </c>
      <c r="E743" s="6">
        <v>45461.0</v>
      </c>
      <c r="F743" s="33">
        <v>4550.0</v>
      </c>
      <c r="G743" s="3" t="s">
        <v>21</v>
      </c>
      <c r="H743" s="3" t="s">
        <v>1946</v>
      </c>
      <c r="K743" s="3" t="s">
        <v>5312</v>
      </c>
      <c r="L743" s="3" t="s">
        <v>5313</v>
      </c>
      <c r="M743" s="3" t="s">
        <v>5314</v>
      </c>
      <c r="N743" s="3" t="s">
        <v>362</v>
      </c>
      <c r="O743" s="3" t="s">
        <v>2805</v>
      </c>
      <c r="Q743" s="3" t="s">
        <v>4891</v>
      </c>
      <c r="S743" s="27" t="s">
        <v>5315</v>
      </c>
      <c r="T743" s="27">
        <f>IFERROR(__xludf.DUMMYFUNCTION("""COMPUTED_VALUE"""),1994.0)</f>
        <v>1994</v>
      </c>
      <c r="U743" s="1" t="s">
        <v>5316</v>
      </c>
    </row>
    <row r="744">
      <c r="A744" s="4">
        <v>45700.45896412037</v>
      </c>
      <c r="B744" s="3" t="s">
        <v>2799</v>
      </c>
      <c r="C744" s="3" t="s">
        <v>5317</v>
      </c>
      <c r="D744" s="3" t="s">
        <v>230</v>
      </c>
      <c r="E744" s="6">
        <v>45412.0</v>
      </c>
      <c r="F744" s="33">
        <v>500.0</v>
      </c>
      <c r="G744" s="3" t="s">
        <v>136</v>
      </c>
      <c r="H744" s="3" t="s">
        <v>22</v>
      </c>
      <c r="K744" s="3" t="s">
        <v>5318</v>
      </c>
      <c r="L744" s="3" t="s">
        <v>5319</v>
      </c>
      <c r="M744" s="3" t="s">
        <v>5320</v>
      </c>
      <c r="N744" s="3" t="s">
        <v>234</v>
      </c>
      <c r="O744" s="3" t="s">
        <v>2805</v>
      </c>
      <c r="Q744" s="3" t="s">
        <v>4891</v>
      </c>
      <c r="S744" s="27" t="s">
        <v>5321</v>
      </c>
      <c r="T744" s="27">
        <f>IFERROR(__xludf.DUMMYFUNCTION("""COMPUTED_VALUE"""),1994.0)</f>
        <v>1994</v>
      </c>
      <c r="U744" s="1" t="s">
        <v>5322</v>
      </c>
    </row>
    <row r="745">
      <c r="A745" s="4">
        <v>45700.46365697916</v>
      </c>
      <c r="B745" s="3" t="s">
        <v>1802</v>
      </c>
      <c r="C745" s="3" t="s">
        <v>5323</v>
      </c>
      <c r="D745" s="3" t="s">
        <v>358</v>
      </c>
      <c r="E745" s="6">
        <v>45160.0</v>
      </c>
      <c r="F745" s="33">
        <v>3790.0</v>
      </c>
      <c r="G745" s="3" t="s">
        <v>21</v>
      </c>
      <c r="H745" s="3" t="s">
        <v>22</v>
      </c>
      <c r="K745" s="3" t="s">
        <v>5324</v>
      </c>
      <c r="L745" s="3" t="s">
        <v>5325</v>
      </c>
      <c r="M745" s="3" t="s">
        <v>5326</v>
      </c>
      <c r="N745" s="3" t="s">
        <v>362</v>
      </c>
      <c r="O745" s="3" t="s">
        <v>1807</v>
      </c>
      <c r="Q745" s="3" t="s">
        <v>4891</v>
      </c>
      <c r="S745" s="27" t="s">
        <v>5327</v>
      </c>
      <c r="T745" s="27">
        <f>IFERROR(__xludf.DUMMYFUNCTION("""COMPUTED_VALUE"""),1719.0)</f>
        <v>1719</v>
      </c>
      <c r="U745" s="1" t="s">
        <v>5328</v>
      </c>
    </row>
    <row r="746">
      <c r="A746" s="4">
        <v>45700.47097412037</v>
      </c>
      <c r="B746" s="3" t="s">
        <v>250</v>
      </c>
      <c r="C746" s="3" t="s">
        <v>5329</v>
      </c>
      <c r="D746" s="3" t="s">
        <v>756</v>
      </c>
      <c r="E746" s="6">
        <v>45443.0</v>
      </c>
      <c r="F746" s="33">
        <v>1300.0</v>
      </c>
      <c r="G746" s="3" t="s">
        <v>136</v>
      </c>
      <c r="H746" s="3" t="s">
        <v>22</v>
      </c>
      <c r="K746" s="3" t="s">
        <v>5330</v>
      </c>
      <c r="L746" s="3" t="s">
        <v>5331</v>
      </c>
      <c r="M746" s="3" t="s">
        <v>5332</v>
      </c>
      <c r="N746" s="3" t="s">
        <v>760</v>
      </c>
      <c r="O746" s="3" t="s">
        <v>256</v>
      </c>
      <c r="Q746" s="3" t="s">
        <v>4891</v>
      </c>
      <c r="S746" s="27" t="s">
        <v>5333</v>
      </c>
      <c r="T746" s="27">
        <f>IFERROR(__xludf.DUMMYFUNCTION("""COMPUTED_VALUE"""),971.0)</f>
        <v>971</v>
      </c>
      <c r="U746" s="1" t="s">
        <v>5334</v>
      </c>
    </row>
    <row r="747">
      <c r="A747" s="4">
        <v>45700.574459826385</v>
      </c>
      <c r="B747" s="3" t="s">
        <v>322</v>
      </c>
      <c r="C747" s="3" t="s">
        <v>5335</v>
      </c>
      <c r="D747" s="3" t="s">
        <v>20</v>
      </c>
      <c r="E747" s="6">
        <v>45624.0</v>
      </c>
      <c r="F747" s="33">
        <v>343000.0</v>
      </c>
      <c r="G747" s="3" t="s">
        <v>21</v>
      </c>
      <c r="H747" s="3" t="s">
        <v>22</v>
      </c>
      <c r="K747" s="3" t="s">
        <v>5336</v>
      </c>
      <c r="L747" s="3" t="s">
        <v>5337</v>
      </c>
      <c r="M747" s="3" t="s">
        <v>5338</v>
      </c>
      <c r="N747" s="3" t="s">
        <v>27</v>
      </c>
      <c r="O747" s="3" t="s">
        <v>327</v>
      </c>
      <c r="Q747" s="3" t="s">
        <v>4891</v>
      </c>
      <c r="S747" s="27" t="s">
        <v>5339</v>
      </c>
      <c r="T747" s="27">
        <f>IFERROR(__xludf.DUMMYFUNCTION("""COMPUTED_VALUE"""),1132.0)</f>
        <v>1132</v>
      </c>
      <c r="U747" s="1" t="s">
        <v>5340</v>
      </c>
    </row>
    <row r="748">
      <c r="A748" s="4">
        <v>45700.62481666666</v>
      </c>
      <c r="B748" s="3" t="s">
        <v>393</v>
      </c>
      <c r="C748" s="3" t="s">
        <v>5341</v>
      </c>
      <c r="D748" s="3" t="s">
        <v>20</v>
      </c>
      <c r="E748" s="6">
        <v>45658.0</v>
      </c>
      <c r="F748" s="33">
        <v>10000.0</v>
      </c>
      <c r="G748" s="3" t="s">
        <v>21</v>
      </c>
      <c r="H748" s="3" t="s">
        <v>22</v>
      </c>
      <c r="K748" s="3" t="s">
        <v>5342</v>
      </c>
      <c r="L748" s="3" t="s">
        <v>5343</v>
      </c>
      <c r="M748" s="3" t="s">
        <v>5344</v>
      </c>
      <c r="N748" s="3" t="s">
        <v>27</v>
      </c>
      <c r="O748" s="3" t="s">
        <v>398</v>
      </c>
      <c r="Q748" s="3" t="s">
        <v>4891</v>
      </c>
      <c r="S748" s="27" t="s">
        <v>5345</v>
      </c>
      <c r="T748" s="27">
        <f>IFERROR(__xludf.DUMMYFUNCTION("""COMPUTED_VALUE"""),1148.0)</f>
        <v>1148</v>
      </c>
      <c r="U748" s="1" t="s">
        <v>5346</v>
      </c>
    </row>
    <row r="749">
      <c r="A749" s="4">
        <v>45700.62481666666</v>
      </c>
      <c r="B749" s="3" t="s">
        <v>393</v>
      </c>
      <c r="C749" s="3" t="s">
        <v>5347</v>
      </c>
      <c r="D749" s="3" t="s">
        <v>20</v>
      </c>
      <c r="E749" s="6">
        <v>45658.0</v>
      </c>
      <c r="F749" s="33">
        <v>10000.0</v>
      </c>
      <c r="G749" s="3" t="s">
        <v>21</v>
      </c>
      <c r="H749" s="3" t="s">
        <v>22</v>
      </c>
      <c r="K749" s="3" t="s">
        <v>5348</v>
      </c>
      <c r="L749" s="3" t="s">
        <v>5349</v>
      </c>
      <c r="M749" s="3" t="s">
        <v>5350</v>
      </c>
      <c r="N749" s="3" t="s">
        <v>27</v>
      </c>
      <c r="O749" s="3" t="s">
        <v>398</v>
      </c>
      <c r="Q749" s="3" t="s">
        <v>4891</v>
      </c>
      <c r="S749" s="27" t="s">
        <v>5351</v>
      </c>
      <c r="T749" s="27">
        <f>IFERROR(__xludf.DUMMYFUNCTION("""COMPUTED_VALUE"""),1148.0)</f>
        <v>1148</v>
      </c>
      <c r="U749" s="1" t="s">
        <v>5352</v>
      </c>
    </row>
    <row r="750">
      <c r="A750" s="4">
        <v>45700.62481666666</v>
      </c>
      <c r="B750" s="3" t="s">
        <v>393</v>
      </c>
      <c r="C750" s="3" t="s">
        <v>5353</v>
      </c>
      <c r="D750" s="3" t="s">
        <v>20</v>
      </c>
      <c r="E750" s="6">
        <v>45658.0</v>
      </c>
      <c r="F750" s="33">
        <v>10000.0</v>
      </c>
      <c r="G750" s="3" t="s">
        <v>21</v>
      </c>
      <c r="H750" s="3" t="s">
        <v>22</v>
      </c>
      <c r="K750" s="3" t="s">
        <v>5354</v>
      </c>
      <c r="L750" s="3" t="s">
        <v>5355</v>
      </c>
      <c r="M750" s="3" t="s">
        <v>5356</v>
      </c>
      <c r="N750" s="3" t="s">
        <v>27</v>
      </c>
      <c r="O750" s="3" t="s">
        <v>398</v>
      </c>
      <c r="Q750" s="3" t="s">
        <v>4891</v>
      </c>
      <c r="S750" s="27" t="s">
        <v>5357</v>
      </c>
      <c r="T750" s="27">
        <f>IFERROR(__xludf.DUMMYFUNCTION("""COMPUTED_VALUE"""),1148.0)</f>
        <v>1148</v>
      </c>
      <c r="U750" s="1" t="s">
        <v>5358</v>
      </c>
    </row>
    <row r="751">
      <c r="A751" s="4">
        <v>45700.62481666666</v>
      </c>
      <c r="B751" s="3" t="s">
        <v>393</v>
      </c>
      <c r="C751" s="3" t="s">
        <v>5359</v>
      </c>
      <c r="D751" s="3" t="s">
        <v>20</v>
      </c>
      <c r="E751" s="6">
        <v>45658.0</v>
      </c>
      <c r="F751" s="33">
        <v>10000.0</v>
      </c>
      <c r="G751" s="3" t="s">
        <v>21</v>
      </c>
      <c r="H751" s="3" t="s">
        <v>22</v>
      </c>
      <c r="K751" s="3" t="s">
        <v>5360</v>
      </c>
      <c r="L751" s="3" t="s">
        <v>5361</v>
      </c>
      <c r="M751" s="3" t="s">
        <v>5362</v>
      </c>
      <c r="N751" s="3" t="s">
        <v>27</v>
      </c>
      <c r="O751" s="3" t="s">
        <v>398</v>
      </c>
      <c r="Q751" s="3" t="s">
        <v>4891</v>
      </c>
      <c r="S751" s="27" t="s">
        <v>5363</v>
      </c>
      <c r="T751" s="27">
        <f>IFERROR(__xludf.DUMMYFUNCTION("""COMPUTED_VALUE"""),1148.0)</f>
        <v>1148</v>
      </c>
      <c r="U751" s="1" t="s">
        <v>5364</v>
      </c>
    </row>
    <row r="752">
      <c r="A752" s="4">
        <v>45700.62481666666</v>
      </c>
      <c r="B752" s="3" t="s">
        <v>393</v>
      </c>
      <c r="C752" s="3" t="s">
        <v>5365</v>
      </c>
      <c r="D752" s="3" t="s">
        <v>20</v>
      </c>
      <c r="E752" s="6">
        <v>45658.0</v>
      </c>
      <c r="F752" s="33">
        <v>10000.0</v>
      </c>
      <c r="G752" s="3" t="s">
        <v>21</v>
      </c>
      <c r="H752" s="3" t="s">
        <v>22</v>
      </c>
      <c r="K752" s="3" t="s">
        <v>5366</v>
      </c>
      <c r="L752" s="3" t="s">
        <v>5367</v>
      </c>
      <c r="M752" s="3" t="s">
        <v>5368</v>
      </c>
      <c r="N752" s="3" t="s">
        <v>27</v>
      </c>
      <c r="O752" s="3" t="s">
        <v>398</v>
      </c>
      <c r="Q752" s="3" t="s">
        <v>4891</v>
      </c>
      <c r="S752" s="27" t="s">
        <v>5369</v>
      </c>
      <c r="T752" s="27">
        <f>IFERROR(__xludf.DUMMYFUNCTION("""COMPUTED_VALUE"""),1148.0)</f>
        <v>1148</v>
      </c>
      <c r="U752" s="1" t="s">
        <v>5370</v>
      </c>
    </row>
    <row r="753">
      <c r="A753" s="4">
        <v>45700.62481666666</v>
      </c>
      <c r="B753" s="3" t="s">
        <v>393</v>
      </c>
      <c r="C753" s="3" t="s">
        <v>5371</v>
      </c>
      <c r="D753" s="3" t="s">
        <v>20</v>
      </c>
      <c r="E753" s="6">
        <v>45658.0</v>
      </c>
      <c r="F753" s="33">
        <v>10000.0</v>
      </c>
      <c r="G753" s="3" t="s">
        <v>21</v>
      </c>
      <c r="H753" s="3" t="s">
        <v>22</v>
      </c>
      <c r="K753" s="3" t="s">
        <v>5372</v>
      </c>
      <c r="L753" s="3" t="s">
        <v>5373</v>
      </c>
      <c r="M753" s="3" t="s">
        <v>5374</v>
      </c>
      <c r="N753" s="3" t="s">
        <v>27</v>
      </c>
      <c r="O753" s="3" t="s">
        <v>398</v>
      </c>
      <c r="Q753" s="3" t="s">
        <v>4891</v>
      </c>
      <c r="S753" s="27" t="s">
        <v>5375</v>
      </c>
      <c r="T753" s="27">
        <f>IFERROR(__xludf.DUMMYFUNCTION("""COMPUTED_VALUE"""),1148.0)</f>
        <v>1148</v>
      </c>
      <c r="U753" s="1" t="s">
        <v>5376</v>
      </c>
    </row>
    <row r="754">
      <c r="A754" s="4">
        <v>45700.62481666666</v>
      </c>
      <c r="B754" s="3" t="s">
        <v>393</v>
      </c>
      <c r="C754" s="3" t="s">
        <v>5377</v>
      </c>
      <c r="D754" s="3" t="s">
        <v>20</v>
      </c>
      <c r="E754" s="6">
        <v>45658.0</v>
      </c>
      <c r="F754" s="33">
        <v>10000.0</v>
      </c>
      <c r="G754" s="3" t="s">
        <v>21</v>
      </c>
      <c r="H754" s="3" t="s">
        <v>22</v>
      </c>
      <c r="K754" s="3" t="s">
        <v>5378</v>
      </c>
      <c r="L754" s="3" t="s">
        <v>5379</v>
      </c>
      <c r="M754" s="3" t="s">
        <v>5380</v>
      </c>
      <c r="N754" s="3" t="s">
        <v>27</v>
      </c>
      <c r="O754" s="3" t="s">
        <v>398</v>
      </c>
      <c r="Q754" s="3" t="s">
        <v>4891</v>
      </c>
      <c r="S754" s="27" t="s">
        <v>5381</v>
      </c>
      <c r="T754" s="27">
        <f>IFERROR(__xludf.DUMMYFUNCTION("""COMPUTED_VALUE"""),1148.0)</f>
        <v>1148</v>
      </c>
      <c r="U754" s="1" t="s">
        <v>5382</v>
      </c>
    </row>
    <row r="755">
      <c r="A755" s="4">
        <v>45700.62481666666</v>
      </c>
      <c r="B755" s="3" t="s">
        <v>393</v>
      </c>
      <c r="C755" s="3" t="s">
        <v>5383</v>
      </c>
      <c r="D755" s="3" t="s">
        <v>20</v>
      </c>
      <c r="E755" s="6">
        <v>45658.0</v>
      </c>
      <c r="F755" s="33">
        <v>10000.0</v>
      </c>
      <c r="G755" s="3" t="s">
        <v>21</v>
      </c>
      <c r="H755" s="3" t="s">
        <v>22</v>
      </c>
      <c r="K755" s="3" t="s">
        <v>5384</v>
      </c>
      <c r="L755" s="3" t="s">
        <v>5385</v>
      </c>
      <c r="M755" s="3" t="s">
        <v>5386</v>
      </c>
      <c r="N755" s="3" t="s">
        <v>27</v>
      </c>
      <c r="O755" s="3" t="s">
        <v>398</v>
      </c>
      <c r="Q755" s="3" t="s">
        <v>4891</v>
      </c>
      <c r="S755" s="27" t="s">
        <v>5387</v>
      </c>
      <c r="T755" s="27">
        <f>IFERROR(__xludf.DUMMYFUNCTION("""COMPUTED_VALUE"""),1148.0)</f>
        <v>1148</v>
      </c>
      <c r="U755" s="1" t="s">
        <v>5388</v>
      </c>
    </row>
    <row r="756">
      <c r="A756" s="4">
        <v>45700.62481666666</v>
      </c>
      <c r="B756" s="3" t="s">
        <v>393</v>
      </c>
      <c r="C756" s="3" t="s">
        <v>5389</v>
      </c>
      <c r="D756" s="3" t="s">
        <v>20</v>
      </c>
      <c r="E756" s="6">
        <v>45658.0</v>
      </c>
      <c r="F756" s="33">
        <v>10000.0</v>
      </c>
      <c r="G756" s="3" t="s">
        <v>21</v>
      </c>
      <c r="H756" s="3" t="s">
        <v>22</v>
      </c>
      <c r="K756" s="3" t="s">
        <v>5390</v>
      </c>
      <c r="L756" s="3" t="s">
        <v>5391</v>
      </c>
      <c r="M756" s="3" t="s">
        <v>5392</v>
      </c>
      <c r="N756" s="3" t="s">
        <v>27</v>
      </c>
      <c r="O756" s="3" t="s">
        <v>398</v>
      </c>
      <c r="Q756" s="3" t="s">
        <v>4891</v>
      </c>
      <c r="S756" s="27" t="s">
        <v>5393</v>
      </c>
      <c r="T756" s="27">
        <f>IFERROR(__xludf.DUMMYFUNCTION("""COMPUTED_VALUE"""),1148.0)</f>
        <v>1148</v>
      </c>
      <c r="U756" s="1" t="s">
        <v>5394</v>
      </c>
    </row>
    <row r="757">
      <c r="A757" s="4">
        <v>45700.62481666666</v>
      </c>
      <c r="B757" s="3" t="s">
        <v>393</v>
      </c>
      <c r="C757" s="3" t="s">
        <v>5395</v>
      </c>
      <c r="D757" s="3" t="s">
        <v>20</v>
      </c>
      <c r="E757" s="6">
        <v>45658.0</v>
      </c>
      <c r="F757" s="33">
        <v>10000.0</v>
      </c>
      <c r="G757" s="3" t="s">
        <v>21</v>
      </c>
      <c r="H757" s="3" t="s">
        <v>22</v>
      </c>
      <c r="K757" s="3" t="s">
        <v>5396</v>
      </c>
      <c r="L757" s="3" t="s">
        <v>5397</v>
      </c>
      <c r="M757" s="3" t="s">
        <v>5398</v>
      </c>
      <c r="N757" s="3" t="s">
        <v>27</v>
      </c>
      <c r="O757" s="3" t="s">
        <v>398</v>
      </c>
      <c r="Q757" s="3" t="s">
        <v>4891</v>
      </c>
      <c r="S757" s="27" t="s">
        <v>5399</v>
      </c>
      <c r="T757" s="27">
        <f>IFERROR(__xludf.DUMMYFUNCTION("""COMPUTED_VALUE"""),1148.0)</f>
        <v>1148</v>
      </c>
      <c r="U757" s="1" t="s">
        <v>5400</v>
      </c>
    </row>
    <row r="758">
      <c r="A758" s="4">
        <v>45700.62481666666</v>
      </c>
      <c r="B758" s="3" t="s">
        <v>393</v>
      </c>
      <c r="C758" s="3" t="s">
        <v>5401</v>
      </c>
      <c r="D758" s="3" t="s">
        <v>20</v>
      </c>
      <c r="E758" s="6">
        <v>45658.0</v>
      </c>
      <c r="F758" s="33">
        <v>10000.0</v>
      </c>
      <c r="G758" s="3" t="s">
        <v>21</v>
      </c>
      <c r="H758" s="3" t="s">
        <v>22</v>
      </c>
      <c r="K758" s="3" t="s">
        <v>5402</v>
      </c>
      <c r="L758" s="3" t="s">
        <v>5403</v>
      </c>
      <c r="M758" s="3" t="s">
        <v>5404</v>
      </c>
      <c r="N758" s="3" t="s">
        <v>27</v>
      </c>
      <c r="O758" s="3" t="s">
        <v>398</v>
      </c>
      <c r="Q758" s="3" t="s">
        <v>4891</v>
      </c>
      <c r="S758" s="27" t="s">
        <v>5405</v>
      </c>
      <c r="T758" s="27">
        <f>IFERROR(__xludf.DUMMYFUNCTION("""COMPUTED_VALUE"""),1148.0)</f>
        <v>1148</v>
      </c>
      <c r="U758" s="1" t="s">
        <v>5406</v>
      </c>
    </row>
    <row r="759">
      <c r="A759" s="4">
        <v>45700.62481666666</v>
      </c>
      <c r="B759" s="3" t="s">
        <v>393</v>
      </c>
      <c r="C759" s="3" t="s">
        <v>5407</v>
      </c>
      <c r="D759" s="3" t="s">
        <v>20</v>
      </c>
      <c r="E759" s="6">
        <v>45658.0</v>
      </c>
      <c r="F759" s="33">
        <v>10000.0</v>
      </c>
      <c r="G759" s="3" t="s">
        <v>21</v>
      </c>
      <c r="H759" s="3" t="s">
        <v>22</v>
      </c>
      <c r="K759" s="3" t="s">
        <v>5408</v>
      </c>
      <c r="L759" s="3" t="s">
        <v>5409</v>
      </c>
      <c r="M759" s="3" t="s">
        <v>5410</v>
      </c>
      <c r="N759" s="3" t="s">
        <v>27</v>
      </c>
      <c r="O759" s="3" t="s">
        <v>398</v>
      </c>
      <c r="Q759" s="3" t="s">
        <v>4891</v>
      </c>
      <c r="S759" s="27" t="s">
        <v>5411</v>
      </c>
      <c r="T759" s="27">
        <f>IFERROR(__xludf.DUMMYFUNCTION("""COMPUTED_VALUE"""),1148.0)</f>
        <v>1148</v>
      </c>
      <c r="U759" s="1" t="s">
        <v>5412</v>
      </c>
    </row>
    <row r="760">
      <c r="A760" s="4">
        <v>45700.62481666666</v>
      </c>
      <c r="B760" s="3" t="s">
        <v>393</v>
      </c>
      <c r="C760" s="3" t="s">
        <v>5413</v>
      </c>
      <c r="D760" s="3" t="s">
        <v>20</v>
      </c>
      <c r="E760" s="6">
        <v>45658.0</v>
      </c>
      <c r="F760" s="33">
        <v>10000.0</v>
      </c>
      <c r="G760" s="3" t="s">
        <v>21</v>
      </c>
      <c r="H760" s="3" t="s">
        <v>22</v>
      </c>
      <c r="K760" s="3" t="s">
        <v>5414</v>
      </c>
      <c r="L760" s="3" t="s">
        <v>5415</v>
      </c>
      <c r="M760" s="3" t="s">
        <v>5416</v>
      </c>
      <c r="N760" s="3" t="s">
        <v>27</v>
      </c>
      <c r="O760" s="3" t="s">
        <v>398</v>
      </c>
      <c r="Q760" s="3" t="s">
        <v>4891</v>
      </c>
      <c r="S760" s="27" t="s">
        <v>5417</v>
      </c>
      <c r="T760" s="27">
        <f>IFERROR(__xludf.DUMMYFUNCTION("""COMPUTED_VALUE"""),1148.0)</f>
        <v>1148</v>
      </c>
      <c r="U760" s="1" t="s">
        <v>5418</v>
      </c>
    </row>
    <row r="761">
      <c r="A761" s="4">
        <v>45700.62481666666</v>
      </c>
      <c r="B761" s="3" t="s">
        <v>393</v>
      </c>
      <c r="C761" s="3" t="s">
        <v>5419</v>
      </c>
      <c r="D761" s="3" t="s">
        <v>20</v>
      </c>
      <c r="E761" s="6">
        <v>45658.0</v>
      </c>
      <c r="F761" s="33">
        <v>10000.0</v>
      </c>
      <c r="G761" s="3" t="s">
        <v>21</v>
      </c>
      <c r="H761" s="3" t="s">
        <v>22</v>
      </c>
      <c r="K761" s="3" t="s">
        <v>5420</v>
      </c>
      <c r="L761" s="3" t="s">
        <v>5421</v>
      </c>
      <c r="M761" s="3" t="s">
        <v>5422</v>
      </c>
      <c r="N761" s="3" t="s">
        <v>27</v>
      </c>
      <c r="O761" s="3" t="s">
        <v>398</v>
      </c>
      <c r="Q761" s="3" t="s">
        <v>4891</v>
      </c>
      <c r="S761" s="27" t="s">
        <v>5423</v>
      </c>
      <c r="T761" s="27">
        <f>IFERROR(__xludf.DUMMYFUNCTION("""COMPUTED_VALUE"""),1148.0)</f>
        <v>1148</v>
      </c>
      <c r="U761" s="1" t="s">
        <v>5424</v>
      </c>
    </row>
    <row r="762">
      <c r="A762" s="4">
        <v>45700.62481666666</v>
      </c>
      <c r="B762" s="3" t="s">
        <v>393</v>
      </c>
      <c r="C762" s="3" t="s">
        <v>5425</v>
      </c>
      <c r="D762" s="3" t="s">
        <v>20</v>
      </c>
      <c r="E762" s="6">
        <v>45658.0</v>
      </c>
      <c r="F762" s="33">
        <v>10000.0</v>
      </c>
      <c r="G762" s="3" t="s">
        <v>21</v>
      </c>
      <c r="H762" s="3" t="s">
        <v>22</v>
      </c>
      <c r="K762" s="3" t="s">
        <v>5426</v>
      </c>
      <c r="L762" s="3" t="s">
        <v>5427</v>
      </c>
      <c r="M762" s="3" t="s">
        <v>5428</v>
      </c>
      <c r="N762" s="3" t="s">
        <v>27</v>
      </c>
      <c r="O762" s="3" t="s">
        <v>398</v>
      </c>
      <c r="Q762" s="3" t="s">
        <v>4891</v>
      </c>
      <c r="S762" s="27" t="s">
        <v>5429</v>
      </c>
      <c r="T762" s="27">
        <f>IFERROR(__xludf.DUMMYFUNCTION("""COMPUTED_VALUE"""),1148.0)</f>
        <v>1148</v>
      </c>
      <c r="U762" s="1" t="s">
        <v>5430</v>
      </c>
    </row>
    <row r="763">
      <c r="A763" s="4">
        <v>45700.73997040509</v>
      </c>
      <c r="B763" s="3" t="s">
        <v>5431</v>
      </c>
      <c r="C763" s="3" t="s">
        <v>5432</v>
      </c>
      <c r="D763" s="3" t="s">
        <v>358</v>
      </c>
      <c r="E763" s="6">
        <v>45485.0</v>
      </c>
      <c r="F763" s="33">
        <v>12000.0</v>
      </c>
      <c r="G763" s="3" t="s">
        <v>21</v>
      </c>
      <c r="H763" s="3" t="s">
        <v>1946</v>
      </c>
      <c r="K763" s="3" t="s">
        <v>5433</v>
      </c>
      <c r="L763" s="3" t="s">
        <v>5434</v>
      </c>
      <c r="M763" s="3" t="s">
        <v>5435</v>
      </c>
      <c r="N763" s="3" t="s">
        <v>362</v>
      </c>
      <c r="O763" s="3" t="s">
        <v>5436</v>
      </c>
      <c r="Q763" s="3" t="s">
        <v>4891</v>
      </c>
      <c r="S763" s="27" t="s">
        <v>5437</v>
      </c>
      <c r="T763" s="27">
        <f>IFERROR(__xludf.DUMMYFUNCTION("""COMPUTED_VALUE"""),2533.0)</f>
        <v>2533</v>
      </c>
      <c r="U763" s="1" t="s">
        <v>5438</v>
      </c>
    </row>
    <row r="764">
      <c r="A764" s="4">
        <v>45700.83275785879</v>
      </c>
      <c r="B764" s="3" t="s">
        <v>5252</v>
      </c>
      <c r="C764" s="3" t="s">
        <v>5439</v>
      </c>
      <c r="D764" s="3" t="s">
        <v>1049</v>
      </c>
      <c r="E764" s="6">
        <v>45691.0</v>
      </c>
      <c r="F764" s="33">
        <v>6000.0</v>
      </c>
      <c r="G764" s="3" t="s">
        <v>136</v>
      </c>
      <c r="H764" s="3" t="s">
        <v>22</v>
      </c>
      <c r="I764" s="3" t="s">
        <v>5440</v>
      </c>
      <c r="K764" s="3" t="s">
        <v>5441</v>
      </c>
      <c r="L764" s="3" t="s">
        <v>5442</v>
      </c>
      <c r="M764" s="3" t="s">
        <v>5443</v>
      </c>
      <c r="N764" s="3" t="s">
        <v>1054</v>
      </c>
      <c r="O764" s="3" t="s">
        <v>5257</v>
      </c>
      <c r="P764" s="3" t="s">
        <v>5444</v>
      </c>
      <c r="Q764" s="3" t="s">
        <v>29</v>
      </c>
      <c r="S764" s="27" t="s">
        <v>5445</v>
      </c>
      <c r="T764" s="27">
        <f>IFERROR(__xludf.DUMMYFUNCTION("""COMPUTED_VALUE"""),2370.0)</f>
        <v>2370</v>
      </c>
      <c r="U764" s="1" t="s">
        <v>5446</v>
      </c>
    </row>
    <row r="765">
      <c r="A765" s="4">
        <v>45701.43433618055</v>
      </c>
      <c r="B765" s="3" t="s">
        <v>461</v>
      </c>
      <c r="C765" s="3" t="s">
        <v>5447</v>
      </c>
      <c r="D765" s="3" t="s">
        <v>756</v>
      </c>
      <c r="E765" s="6">
        <v>45336.0</v>
      </c>
      <c r="F765" s="33">
        <v>2100.0</v>
      </c>
      <c r="G765" s="3" t="s">
        <v>136</v>
      </c>
      <c r="H765" s="3" t="s">
        <v>22</v>
      </c>
      <c r="K765" s="3" t="s">
        <v>5448</v>
      </c>
      <c r="L765" s="3" t="s">
        <v>5449</v>
      </c>
      <c r="M765" s="3" t="s">
        <v>5450</v>
      </c>
      <c r="N765" s="3" t="s">
        <v>760</v>
      </c>
      <c r="O765" s="3" t="s">
        <v>466</v>
      </c>
      <c r="Q765" s="3" t="s">
        <v>4891</v>
      </c>
      <c r="S765" s="27" t="s">
        <v>5451</v>
      </c>
      <c r="T765" s="27">
        <f>IFERROR(__xludf.DUMMYFUNCTION("""COMPUTED_VALUE"""),666.0)</f>
        <v>666</v>
      </c>
      <c r="U765" s="1" t="s">
        <v>5452</v>
      </c>
    </row>
    <row r="766">
      <c r="A766" s="4">
        <v>45701.449270324076</v>
      </c>
      <c r="B766" s="3" t="s">
        <v>697</v>
      </c>
      <c r="C766" s="3" t="s">
        <v>5453</v>
      </c>
      <c r="D766" s="3" t="s">
        <v>756</v>
      </c>
      <c r="E766" s="6">
        <v>45583.0</v>
      </c>
      <c r="F766" s="33">
        <v>1400.0</v>
      </c>
      <c r="G766" s="3" t="s">
        <v>136</v>
      </c>
      <c r="H766" s="3" t="s">
        <v>22</v>
      </c>
      <c r="K766" s="3" t="s">
        <v>5454</v>
      </c>
      <c r="L766" s="3" t="s">
        <v>5455</v>
      </c>
      <c r="M766" s="3" t="s">
        <v>5456</v>
      </c>
      <c r="N766" s="3" t="s">
        <v>760</v>
      </c>
      <c r="O766" s="3" t="s">
        <v>701</v>
      </c>
      <c r="Q766" s="3" t="s">
        <v>4891</v>
      </c>
      <c r="S766" s="27" t="s">
        <v>5457</v>
      </c>
      <c r="T766" s="27">
        <f>IFERROR(__xludf.DUMMYFUNCTION("""COMPUTED_VALUE"""),848.0)</f>
        <v>848</v>
      </c>
      <c r="U766" s="1" t="s">
        <v>5458</v>
      </c>
    </row>
    <row r="767">
      <c r="A767" s="4">
        <v>45701.46357771991</v>
      </c>
      <c r="B767" s="3" t="s">
        <v>5459</v>
      </c>
      <c r="C767" s="3" t="s">
        <v>5460</v>
      </c>
      <c r="D767" s="3" t="s">
        <v>756</v>
      </c>
      <c r="E767" s="6">
        <v>45698.0</v>
      </c>
      <c r="F767" s="33">
        <v>3500.0</v>
      </c>
      <c r="G767" s="3" t="s">
        <v>136</v>
      </c>
      <c r="H767" s="3" t="s">
        <v>22</v>
      </c>
      <c r="K767" s="3" t="s">
        <v>5461</v>
      </c>
      <c r="L767" s="3" t="s">
        <v>5462</v>
      </c>
      <c r="M767" s="3" t="s">
        <v>5463</v>
      </c>
      <c r="N767" s="3" t="s">
        <v>760</v>
      </c>
      <c r="O767" s="3" t="s">
        <v>5464</v>
      </c>
      <c r="Q767" s="3" t="s">
        <v>29</v>
      </c>
      <c r="S767" s="27" t="s">
        <v>5465</v>
      </c>
      <c r="T767" s="27">
        <f>IFERROR(__xludf.DUMMYFUNCTION("""COMPUTED_VALUE"""),2691.0)</f>
        <v>2691</v>
      </c>
      <c r="U767" s="1" t="s">
        <v>5466</v>
      </c>
    </row>
    <row r="768">
      <c r="A768" s="4">
        <v>45701.46460548611</v>
      </c>
      <c r="B768" s="3" t="s">
        <v>4211</v>
      </c>
      <c r="C768" s="3" t="s">
        <v>5467</v>
      </c>
      <c r="D768" s="3" t="s">
        <v>756</v>
      </c>
      <c r="E768" s="6">
        <v>45672.0</v>
      </c>
      <c r="F768" s="33">
        <v>400.0</v>
      </c>
      <c r="G768" s="3" t="s">
        <v>136</v>
      </c>
      <c r="H768" s="3" t="s">
        <v>22</v>
      </c>
      <c r="K768" s="3" t="s">
        <v>5468</v>
      </c>
      <c r="L768" s="3" t="s">
        <v>5469</v>
      </c>
      <c r="M768" s="3" t="s">
        <v>5470</v>
      </c>
      <c r="N768" s="3" t="s">
        <v>760</v>
      </c>
      <c r="O768" s="3" t="s">
        <v>4216</v>
      </c>
      <c r="Q768" s="3" t="s">
        <v>4891</v>
      </c>
      <c r="S768" s="27" t="s">
        <v>5471</v>
      </c>
      <c r="T768" s="27">
        <f>IFERROR(__xludf.DUMMYFUNCTION("""COMPUTED_VALUE"""),2407.0)</f>
        <v>2407</v>
      </c>
      <c r="U768" s="1" t="s">
        <v>5472</v>
      </c>
    </row>
    <row r="769">
      <c r="A769" s="4">
        <v>45701.46645252315</v>
      </c>
      <c r="B769" s="3" t="s">
        <v>3886</v>
      </c>
      <c r="C769" s="3" t="s">
        <v>5473</v>
      </c>
      <c r="D769" s="3" t="s">
        <v>756</v>
      </c>
      <c r="E769" s="6">
        <v>45344.0</v>
      </c>
      <c r="F769" s="33">
        <v>500.0</v>
      </c>
      <c r="G769" s="3" t="s">
        <v>21</v>
      </c>
      <c r="H769" s="3" t="s">
        <v>22</v>
      </c>
      <c r="K769" s="3" t="s">
        <v>5474</v>
      </c>
      <c r="L769" s="3" t="s">
        <v>5475</v>
      </c>
      <c r="M769" s="3" t="s">
        <v>5476</v>
      </c>
      <c r="N769" s="3" t="s">
        <v>760</v>
      </c>
      <c r="O769" s="3" t="s">
        <v>3891</v>
      </c>
      <c r="Q769" s="3" t="s">
        <v>4891</v>
      </c>
      <c r="S769" s="27" t="s">
        <v>5477</v>
      </c>
      <c r="T769" s="27">
        <f>IFERROR(__xludf.DUMMYFUNCTION("""COMPUTED_VALUE"""),1522.0)</f>
        <v>1522</v>
      </c>
      <c r="U769" s="1" t="s">
        <v>5478</v>
      </c>
    </row>
    <row r="770">
      <c r="A770" s="4">
        <v>45701.48729587963</v>
      </c>
      <c r="B770" s="3" t="s">
        <v>4252</v>
      </c>
      <c r="C770" s="3" t="s">
        <v>5479</v>
      </c>
      <c r="D770" s="3" t="s">
        <v>756</v>
      </c>
      <c r="E770" s="6">
        <v>45290.0</v>
      </c>
      <c r="F770" s="33">
        <v>3888.0</v>
      </c>
      <c r="G770" s="3" t="s">
        <v>21</v>
      </c>
      <c r="H770" s="3" t="s">
        <v>22</v>
      </c>
      <c r="K770" s="3" t="s">
        <v>5480</v>
      </c>
      <c r="L770" s="3" t="s">
        <v>5481</v>
      </c>
      <c r="M770" s="3" t="s">
        <v>5482</v>
      </c>
      <c r="N770" s="3" t="s">
        <v>760</v>
      </c>
      <c r="O770" s="3" t="s">
        <v>3942</v>
      </c>
      <c r="Q770" s="3" t="s">
        <v>4891</v>
      </c>
      <c r="S770" s="27" t="s">
        <v>5483</v>
      </c>
      <c r="T770" s="27">
        <f>IFERROR(__xludf.DUMMYFUNCTION("""COMPUTED_VALUE"""),2007.0)</f>
        <v>2007</v>
      </c>
      <c r="U770" s="1" t="s">
        <v>5484</v>
      </c>
    </row>
    <row r="771">
      <c r="A771" s="4">
        <v>45701.48988541667</v>
      </c>
      <c r="B771" s="3" t="s">
        <v>67</v>
      </c>
      <c r="C771" s="3" t="s">
        <v>5485</v>
      </c>
      <c r="D771" s="3" t="s">
        <v>756</v>
      </c>
      <c r="E771" s="6">
        <v>45170.0</v>
      </c>
      <c r="F771" s="33">
        <v>260.0</v>
      </c>
      <c r="G771" s="3" t="s">
        <v>21</v>
      </c>
      <c r="H771" s="3" t="s">
        <v>22</v>
      </c>
      <c r="K771" s="3" t="s">
        <v>5486</v>
      </c>
      <c r="L771" s="3" t="s">
        <v>5487</v>
      </c>
      <c r="M771" s="3" t="s">
        <v>5488</v>
      </c>
      <c r="N771" s="3" t="s">
        <v>760</v>
      </c>
      <c r="O771" s="3" t="s">
        <v>72</v>
      </c>
      <c r="Q771" s="3" t="s">
        <v>4891</v>
      </c>
      <c r="S771" s="27" t="s">
        <v>5489</v>
      </c>
      <c r="T771" s="27">
        <f>IFERROR(__xludf.DUMMYFUNCTION("""COMPUTED_VALUE"""),642.0)</f>
        <v>642</v>
      </c>
      <c r="U771" s="1" t="s">
        <v>5490</v>
      </c>
    </row>
    <row r="772">
      <c r="A772" s="4">
        <v>45701.49211695602</v>
      </c>
      <c r="B772" s="3" t="s">
        <v>3709</v>
      </c>
      <c r="C772" s="3" t="s">
        <v>5491</v>
      </c>
      <c r="D772" s="3" t="s">
        <v>756</v>
      </c>
      <c r="E772" s="6">
        <v>45404.0</v>
      </c>
      <c r="F772" s="33">
        <v>1300.0</v>
      </c>
      <c r="G772" s="3" t="s">
        <v>136</v>
      </c>
      <c r="H772" s="3" t="s">
        <v>22</v>
      </c>
      <c r="K772" s="3" t="s">
        <v>5492</v>
      </c>
      <c r="L772" s="3" t="s">
        <v>5493</v>
      </c>
      <c r="M772" s="3" t="s">
        <v>5494</v>
      </c>
      <c r="N772" s="3" t="s">
        <v>760</v>
      </c>
      <c r="O772" s="3" t="s">
        <v>3715</v>
      </c>
      <c r="Q772" s="3" t="s">
        <v>4891</v>
      </c>
      <c r="S772" s="27" t="s">
        <v>5495</v>
      </c>
      <c r="T772" s="27">
        <f>IFERROR(__xludf.DUMMYFUNCTION("""COMPUTED_VALUE"""),2303.0)</f>
        <v>2303</v>
      </c>
      <c r="U772" s="1" t="s">
        <v>5496</v>
      </c>
    </row>
    <row r="773">
      <c r="A773" s="4">
        <v>45701.495083229165</v>
      </c>
      <c r="B773" s="3" t="s">
        <v>1114</v>
      </c>
      <c r="C773" s="3" t="s">
        <v>5497</v>
      </c>
      <c r="D773" s="3" t="s">
        <v>756</v>
      </c>
      <c r="E773" s="6">
        <v>45619.0</v>
      </c>
      <c r="F773" s="33">
        <v>1237.0</v>
      </c>
      <c r="G773" s="3" t="s">
        <v>21</v>
      </c>
      <c r="H773" s="3" t="s">
        <v>22</v>
      </c>
      <c r="K773" s="3" t="s">
        <v>5498</v>
      </c>
      <c r="L773" s="3" t="s">
        <v>5499</v>
      </c>
      <c r="M773" s="3" t="s">
        <v>5500</v>
      </c>
      <c r="N773" s="3" t="s">
        <v>760</v>
      </c>
      <c r="O773" s="3" t="s">
        <v>1121</v>
      </c>
      <c r="Q773" s="3" t="s">
        <v>4891</v>
      </c>
      <c r="S773" s="27" t="s">
        <v>5501</v>
      </c>
      <c r="T773" s="27">
        <f>IFERROR(__xludf.DUMMYFUNCTION("""COMPUTED_VALUE"""),1514.0)</f>
        <v>1514</v>
      </c>
      <c r="U773" s="1" t="s">
        <v>5502</v>
      </c>
    </row>
    <row r="774">
      <c r="A774" s="4">
        <v>45701.50958438657</v>
      </c>
      <c r="B774" s="3" t="s">
        <v>4188</v>
      </c>
      <c r="C774" s="3" t="s">
        <v>5503</v>
      </c>
      <c r="D774" s="3" t="s">
        <v>756</v>
      </c>
      <c r="E774" s="6">
        <v>45623.0</v>
      </c>
      <c r="F774" s="33">
        <v>750.0</v>
      </c>
      <c r="G774" s="3" t="s">
        <v>136</v>
      </c>
      <c r="H774" s="3" t="s">
        <v>22</v>
      </c>
      <c r="K774" s="3" t="s">
        <v>5504</v>
      </c>
      <c r="L774" s="3" t="s">
        <v>5505</v>
      </c>
      <c r="M774" s="3" t="s">
        <v>5506</v>
      </c>
      <c r="N774" s="3" t="s">
        <v>760</v>
      </c>
      <c r="O774" s="3" t="s">
        <v>4194</v>
      </c>
      <c r="Q774" s="3" t="s">
        <v>4891</v>
      </c>
      <c r="S774" s="27" t="s">
        <v>5507</v>
      </c>
      <c r="T774" s="27">
        <f>IFERROR(__xludf.DUMMYFUNCTION("""COMPUTED_VALUE"""),2515.0)</f>
        <v>2515</v>
      </c>
      <c r="U774" s="1" t="s">
        <v>5508</v>
      </c>
    </row>
    <row r="775">
      <c r="A775" s="4">
        <v>45701.67626446759</v>
      </c>
      <c r="B775" s="3" t="s">
        <v>5509</v>
      </c>
      <c r="C775" s="3" t="s">
        <v>5510</v>
      </c>
      <c r="D775" s="3" t="s">
        <v>20</v>
      </c>
      <c r="E775" s="6">
        <v>45632.0</v>
      </c>
      <c r="F775" s="33">
        <v>36500.0</v>
      </c>
      <c r="G775" s="3" t="s">
        <v>21</v>
      </c>
      <c r="H775" s="3" t="s">
        <v>22</v>
      </c>
      <c r="J775" s="3" t="s">
        <v>5511</v>
      </c>
      <c r="K775" s="3" t="s">
        <v>5512</v>
      </c>
      <c r="L775" s="3" t="s">
        <v>5513</v>
      </c>
      <c r="M775" s="3" t="s">
        <v>5514</v>
      </c>
      <c r="N775" s="3" t="s">
        <v>27</v>
      </c>
      <c r="O775" s="3" t="s">
        <v>5515</v>
      </c>
      <c r="Q775" s="3" t="s">
        <v>4891</v>
      </c>
      <c r="S775" s="27" t="s">
        <v>5516</v>
      </c>
      <c r="T775" s="27">
        <f>IFERROR(__xludf.DUMMYFUNCTION("""COMPUTED_VALUE"""),2647.0)</f>
        <v>2647</v>
      </c>
      <c r="U775" s="1" t="s">
        <v>5517</v>
      </c>
    </row>
    <row r="776">
      <c r="A776" s="4">
        <v>45701.70087528935</v>
      </c>
      <c r="B776" s="3" t="s">
        <v>5518</v>
      </c>
      <c r="C776" s="3" t="s">
        <v>5519</v>
      </c>
      <c r="D776" s="3" t="s">
        <v>20</v>
      </c>
      <c r="E776" s="6">
        <v>45468.0</v>
      </c>
      <c r="F776" s="33">
        <v>66200.0</v>
      </c>
      <c r="G776" s="3" t="s">
        <v>21</v>
      </c>
      <c r="H776" s="3" t="s">
        <v>22</v>
      </c>
      <c r="J776" s="1" t="s">
        <v>5520</v>
      </c>
      <c r="K776" s="3" t="s">
        <v>5521</v>
      </c>
      <c r="L776" s="3" t="s">
        <v>5522</v>
      </c>
      <c r="M776" s="3" t="s">
        <v>5523</v>
      </c>
      <c r="N776" s="3" t="s">
        <v>27</v>
      </c>
      <c r="O776" s="3" t="s">
        <v>5524</v>
      </c>
      <c r="Q776" s="3" t="s">
        <v>4891</v>
      </c>
      <c r="S776" s="27" t="s">
        <v>5525</v>
      </c>
      <c r="T776" s="27">
        <f>IFERROR(__xludf.DUMMYFUNCTION("""COMPUTED_VALUE"""),2026.0)</f>
        <v>2026</v>
      </c>
      <c r="U776" s="1" t="s">
        <v>5526</v>
      </c>
    </row>
    <row r="777">
      <c r="A777" s="4">
        <v>45702.81222674769</v>
      </c>
      <c r="B777" s="3" t="s">
        <v>5527</v>
      </c>
      <c r="C777" s="3" t="s">
        <v>5528</v>
      </c>
      <c r="D777" s="3" t="s">
        <v>20</v>
      </c>
      <c r="E777" s="6">
        <v>45699.0</v>
      </c>
      <c r="F777" s="33">
        <v>90500.0</v>
      </c>
      <c r="G777" s="3" t="s">
        <v>21</v>
      </c>
      <c r="H777" s="3" t="s">
        <v>22</v>
      </c>
      <c r="I777" s="3" t="s">
        <v>3781</v>
      </c>
      <c r="K777" s="3" t="s">
        <v>5529</v>
      </c>
      <c r="L777" s="3" t="s">
        <v>5530</v>
      </c>
      <c r="M777" s="3" t="s">
        <v>5531</v>
      </c>
      <c r="N777" s="3" t="s">
        <v>27</v>
      </c>
      <c r="O777" s="3" t="s">
        <v>5532</v>
      </c>
      <c r="P777" s="3" t="s">
        <v>3787</v>
      </c>
      <c r="Q777" s="3" t="s">
        <v>29</v>
      </c>
      <c r="S777" s="27" t="s">
        <v>5533</v>
      </c>
      <c r="T777" s="27">
        <f>IFERROR(__xludf.DUMMYFUNCTION("""COMPUTED_VALUE"""),2697.0)</f>
        <v>2697</v>
      </c>
      <c r="U777" s="1" t="s">
        <v>5534</v>
      </c>
    </row>
    <row r="778">
      <c r="A778" s="4">
        <v>45707.4798577662</v>
      </c>
      <c r="B778" s="3" t="s">
        <v>5535</v>
      </c>
      <c r="C778" s="3" t="s">
        <v>5536</v>
      </c>
      <c r="D778" s="3" t="s">
        <v>20</v>
      </c>
      <c r="E778" s="6">
        <v>45625.0</v>
      </c>
      <c r="F778" s="33">
        <v>48530.0</v>
      </c>
      <c r="G778" s="3" t="s">
        <v>21</v>
      </c>
      <c r="H778" s="3" t="s">
        <v>22</v>
      </c>
      <c r="J778" s="1" t="s">
        <v>5537</v>
      </c>
      <c r="K778" s="3" t="s">
        <v>5538</v>
      </c>
      <c r="L778" s="3" t="s">
        <v>5539</v>
      </c>
      <c r="M778" s="3" t="s">
        <v>5540</v>
      </c>
      <c r="N778" s="3" t="s">
        <v>27</v>
      </c>
      <c r="O778" s="3" t="s">
        <v>5541</v>
      </c>
      <c r="Q778" s="3" t="s">
        <v>4891</v>
      </c>
      <c r="S778" s="27" t="s">
        <v>5542</v>
      </c>
      <c r="T778" s="27">
        <f>IFERROR(__xludf.DUMMYFUNCTION("""COMPUTED_VALUE"""),2623.0)</f>
        <v>2623</v>
      </c>
      <c r="U778" s="1" t="s">
        <v>5543</v>
      </c>
    </row>
    <row r="779">
      <c r="A779" s="4">
        <v>45708.73412354167</v>
      </c>
      <c r="B779" s="3" t="s">
        <v>5544</v>
      </c>
      <c r="C779" s="3" t="s">
        <v>4978</v>
      </c>
      <c r="D779" s="3" t="s">
        <v>358</v>
      </c>
      <c r="E779" s="6">
        <v>45075.0</v>
      </c>
      <c r="F779" s="33">
        <v>109684.0</v>
      </c>
      <c r="G779" s="3" t="s">
        <v>21</v>
      </c>
      <c r="H779" s="3" t="s">
        <v>1946</v>
      </c>
      <c r="K779" s="3" t="s">
        <v>5545</v>
      </c>
      <c r="L779" s="3" t="s">
        <v>5546</v>
      </c>
      <c r="M779" s="3" t="s">
        <v>5547</v>
      </c>
      <c r="N779" s="3" t="s">
        <v>362</v>
      </c>
      <c r="O779" s="3" t="s">
        <v>5548</v>
      </c>
      <c r="Q779" s="3" t="s">
        <v>4891</v>
      </c>
      <c r="S779" s="27" t="s">
        <v>5549</v>
      </c>
      <c r="T779" s="27"/>
      <c r="U779" s="1" t="s">
        <v>5550</v>
      </c>
    </row>
    <row r="780">
      <c r="A780" s="4">
        <v>45709.51957412037</v>
      </c>
      <c r="B780" s="3" t="s">
        <v>1165</v>
      </c>
      <c r="C780" s="3" t="s">
        <v>5551</v>
      </c>
      <c r="D780" s="3" t="s">
        <v>230</v>
      </c>
      <c r="E780" s="6">
        <v>45626.0</v>
      </c>
      <c r="F780" s="33">
        <v>300.0</v>
      </c>
      <c r="G780" s="3" t="s">
        <v>21</v>
      </c>
      <c r="H780" s="3" t="s">
        <v>22</v>
      </c>
      <c r="J780" s="1" t="s">
        <v>5552</v>
      </c>
      <c r="K780" s="3" t="s">
        <v>5553</v>
      </c>
      <c r="L780" s="3" t="s">
        <v>5554</v>
      </c>
      <c r="M780" s="3" t="s">
        <v>5555</v>
      </c>
      <c r="N780" s="3" t="s">
        <v>234</v>
      </c>
      <c r="O780" s="3" t="s">
        <v>1171</v>
      </c>
      <c r="Q780" s="3" t="s">
        <v>4891</v>
      </c>
      <c r="S780" s="27" t="s">
        <v>5556</v>
      </c>
      <c r="T780" s="27">
        <f>IFERROR(__xludf.DUMMYFUNCTION("""COMPUTED_VALUE"""),1167.0)</f>
        <v>1167</v>
      </c>
      <c r="U780" s="1" t="s">
        <v>5557</v>
      </c>
    </row>
    <row r="781">
      <c r="A781" s="4">
        <v>45709.70158883102</v>
      </c>
      <c r="B781" s="3" t="s">
        <v>110</v>
      </c>
      <c r="C781" s="3" t="s">
        <v>5558</v>
      </c>
      <c r="D781" s="3" t="s">
        <v>756</v>
      </c>
      <c r="E781" s="6">
        <v>45365.0</v>
      </c>
      <c r="F781" s="33">
        <v>400.0</v>
      </c>
      <c r="G781" s="3" t="s">
        <v>136</v>
      </c>
      <c r="H781" s="3" t="s">
        <v>22</v>
      </c>
      <c r="K781" s="3" t="s">
        <v>5559</v>
      </c>
      <c r="L781" s="3" t="s">
        <v>5560</v>
      </c>
      <c r="M781" s="3" t="s">
        <v>5561</v>
      </c>
      <c r="N781" s="3" t="s">
        <v>760</v>
      </c>
      <c r="O781" s="3" t="s">
        <v>116</v>
      </c>
      <c r="Q781" s="3" t="s">
        <v>4891</v>
      </c>
      <c r="S781" s="27" t="s">
        <v>5562</v>
      </c>
      <c r="T781" s="27">
        <f>IFERROR(__xludf.DUMMYFUNCTION("""COMPUTED_VALUE"""),853.0)</f>
        <v>853</v>
      </c>
      <c r="U781" s="1" t="s">
        <v>5563</v>
      </c>
    </row>
    <row r="782">
      <c r="A782" s="4">
        <v>45709.72186704861</v>
      </c>
      <c r="B782" s="3" t="s">
        <v>5564</v>
      </c>
      <c r="C782" s="3" t="s">
        <v>5565</v>
      </c>
      <c r="D782" s="3" t="s">
        <v>20</v>
      </c>
      <c r="E782" s="6">
        <v>45545.0</v>
      </c>
      <c r="F782" s="33">
        <v>87050.0</v>
      </c>
      <c r="G782" s="3" t="s">
        <v>21</v>
      </c>
      <c r="H782" s="3" t="s">
        <v>22</v>
      </c>
      <c r="J782" s="1" t="s">
        <v>5566</v>
      </c>
      <c r="K782" s="3" t="s">
        <v>5567</v>
      </c>
      <c r="L782" s="3" t="s">
        <v>5568</v>
      </c>
      <c r="M782" s="3" t="s">
        <v>5569</v>
      </c>
      <c r="N782" s="3" t="s">
        <v>27</v>
      </c>
      <c r="O782" s="3" t="s">
        <v>5570</v>
      </c>
      <c r="Q782" s="3" t="s">
        <v>4891</v>
      </c>
      <c r="S782" s="27" t="s">
        <v>5571</v>
      </c>
      <c r="T782" s="27">
        <f>IFERROR(__xludf.DUMMYFUNCTION("""COMPUTED_VALUE"""),2626.0)</f>
        <v>2626</v>
      </c>
      <c r="U782" s="1" t="s">
        <v>5572</v>
      </c>
    </row>
    <row r="783">
      <c r="A783" s="4">
        <v>45710.48794061343</v>
      </c>
      <c r="B783" s="3" t="s">
        <v>2907</v>
      </c>
      <c r="C783" s="3" t="s">
        <v>5573</v>
      </c>
      <c r="D783" s="3" t="s">
        <v>358</v>
      </c>
      <c r="E783" s="6">
        <v>45383.0</v>
      </c>
      <c r="F783" s="33">
        <v>178165.0</v>
      </c>
      <c r="G783" s="3" t="s">
        <v>350</v>
      </c>
      <c r="H783" s="3" t="s">
        <v>22</v>
      </c>
      <c r="K783" s="3" t="s">
        <v>5574</v>
      </c>
      <c r="L783" s="3" t="s">
        <v>5575</v>
      </c>
      <c r="M783" s="3" t="s">
        <v>5576</v>
      </c>
      <c r="N783" s="3" t="s">
        <v>362</v>
      </c>
      <c r="O783" s="3" t="s">
        <v>2912</v>
      </c>
      <c r="Q783" s="3" t="s">
        <v>4891</v>
      </c>
      <c r="S783" s="27" t="s">
        <v>5577</v>
      </c>
      <c r="T783" s="27">
        <f>IFERROR(__xludf.DUMMYFUNCTION("""COMPUTED_VALUE"""),2061.0)</f>
        <v>2061</v>
      </c>
      <c r="U783" s="1" t="s">
        <v>5578</v>
      </c>
    </row>
    <row r="784">
      <c r="A784" s="4">
        <v>45710.536706307874</v>
      </c>
      <c r="B784" s="3" t="s">
        <v>5579</v>
      </c>
      <c r="C784" s="3" t="s">
        <v>5580</v>
      </c>
      <c r="D784" s="3" t="s">
        <v>20</v>
      </c>
      <c r="E784" s="6">
        <v>45558.0</v>
      </c>
      <c r="F784" s="33">
        <v>34650.0</v>
      </c>
      <c r="G784" s="3" t="s">
        <v>21</v>
      </c>
      <c r="H784" s="3" t="s">
        <v>22</v>
      </c>
      <c r="K784" s="3" t="s">
        <v>5581</v>
      </c>
      <c r="L784" s="3" t="s">
        <v>5582</v>
      </c>
      <c r="M784" s="3" t="s">
        <v>5583</v>
      </c>
      <c r="N784" s="3" t="s">
        <v>27</v>
      </c>
      <c r="O784" s="3" t="s">
        <v>5584</v>
      </c>
      <c r="Q784" s="3" t="s">
        <v>4891</v>
      </c>
      <c r="S784" s="27" t="s">
        <v>5585</v>
      </c>
      <c r="T784" s="27">
        <f>IFERROR(__xludf.DUMMYFUNCTION("""COMPUTED_VALUE"""),2594.0)</f>
        <v>2594</v>
      </c>
      <c r="U784" s="1" t="s">
        <v>5586</v>
      </c>
    </row>
    <row r="785">
      <c r="A785" s="4">
        <v>45710.697446527774</v>
      </c>
      <c r="B785" s="3" t="s">
        <v>5587</v>
      </c>
      <c r="C785" s="3" t="s">
        <v>5588</v>
      </c>
      <c r="D785" s="3" t="s">
        <v>358</v>
      </c>
      <c r="E785" s="6">
        <v>45413.0</v>
      </c>
      <c r="F785" s="33">
        <v>2300.0</v>
      </c>
      <c r="G785" s="3" t="s">
        <v>21</v>
      </c>
      <c r="H785" s="3" t="s">
        <v>22</v>
      </c>
      <c r="K785" s="3" t="s">
        <v>5589</v>
      </c>
      <c r="L785" s="3" t="s">
        <v>5590</v>
      </c>
      <c r="M785" s="3" t="s">
        <v>5591</v>
      </c>
      <c r="N785" s="3" t="s">
        <v>362</v>
      </c>
      <c r="O785" s="3" t="s">
        <v>5592</v>
      </c>
      <c r="Q785" s="3" t="s">
        <v>4891</v>
      </c>
      <c r="S785" s="27" t="s">
        <v>5593</v>
      </c>
      <c r="T785" s="27">
        <f>IFERROR(__xludf.DUMMYFUNCTION("""COMPUTED_VALUE"""),2560.0)</f>
        <v>2560</v>
      </c>
      <c r="U785" s="1" t="s">
        <v>5594</v>
      </c>
    </row>
    <row r="786">
      <c r="A786" s="4">
        <v>45712.550872418986</v>
      </c>
      <c r="B786" s="3" t="s">
        <v>5595</v>
      </c>
      <c r="C786" s="3" t="s">
        <v>5596</v>
      </c>
      <c r="D786" s="3" t="s">
        <v>230</v>
      </c>
      <c r="E786" s="6">
        <v>45566.0</v>
      </c>
      <c r="F786" s="33">
        <v>708.0</v>
      </c>
      <c r="G786" s="3" t="s">
        <v>21</v>
      </c>
      <c r="H786" s="3" t="s">
        <v>22</v>
      </c>
      <c r="K786" s="3" t="s">
        <v>5597</v>
      </c>
      <c r="L786" s="3" t="s">
        <v>5598</v>
      </c>
      <c r="M786" s="3" t="s">
        <v>5599</v>
      </c>
      <c r="N786" s="3" t="s">
        <v>234</v>
      </c>
      <c r="O786" s="3" t="s">
        <v>5600</v>
      </c>
      <c r="Q786" s="3" t="s">
        <v>4891</v>
      </c>
      <c r="S786" s="27" t="s">
        <v>5601</v>
      </c>
      <c r="T786" s="27">
        <f>IFERROR(__xludf.DUMMYFUNCTION("""COMPUTED_VALUE"""),2612.0)</f>
        <v>2612</v>
      </c>
      <c r="U786" s="1" t="s">
        <v>5602</v>
      </c>
    </row>
    <row r="787">
      <c r="A787" s="4">
        <v>45712.576290185185</v>
      </c>
      <c r="B787" s="3" t="s">
        <v>5603</v>
      </c>
      <c r="C787" s="3" t="s">
        <v>4978</v>
      </c>
      <c r="D787" s="3" t="s">
        <v>358</v>
      </c>
      <c r="E787" s="6">
        <v>45581.0</v>
      </c>
      <c r="F787" s="33">
        <v>600.0</v>
      </c>
      <c r="G787" s="3" t="s">
        <v>21</v>
      </c>
      <c r="H787" s="3" t="s">
        <v>1946</v>
      </c>
      <c r="K787" s="3" t="s">
        <v>5604</v>
      </c>
      <c r="L787" s="3" t="s">
        <v>5605</v>
      </c>
      <c r="M787" s="3" t="s">
        <v>5606</v>
      </c>
      <c r="N787" s="3" t="s">
        <v>362</v>
      </c>
      <c r="O787" s="3" t="s">
        <v>5607</v>
      </c>
      <c r="Q787" s="3" t="s">
        <v>4891</v>
      </c>
      <c r="S787" s="27" t="s">
        <v>5608</v>
      </c>
      <c r="T787" s="27">
        <f>IFERROR(__xludf.DUMMYFUNCTION("""COMPUTED_VALUE"""),2283.0)</f>
        <v>2283</v>
      </c>
      <c r="U787" s="1" t="s">
        <v>5609</v>
      </c>
    </row>
    <row r="788">
      <c r="A788" s="4">
        <v>45712.64360252315</v>
      </c>
      <c r="B788" s="3" t="s">
        <v>5610</v>
      </c>
      <c r="C788" s="3" t="s">
        <v>5611</v>
      </c>
      <c r="D788" s="3" t="s">
        <v>20</v>
      </c>
      <c r="E788" s="6">
        <v>45698.0</v>
      </c>
      <c r="F788" s="33">
        <v>20000.0</v>
      </c>
      <c r="G788" s="3" t="s">
        <v>21</v>
      </c>
      <c r="H788" s="3" t="s">
        <v>22</v>
      </c>
      <c r="K788" s="3" t="s">
        <v>5612</v>
      </c>
      <c r="L788" s="3" t="s">
        <v>5613</v>
      </c>
      <c r="M788" s="3" t="s">
        <v>5614</v>
      </c>
      <c r="N788" s="3" t="s">
        <v>27</v>
      </c>
      <c r="O788" s="3" t="s">
        <v>5615</v>
      </c>
      <c r="Q788" s="3" t="s">
        <v>4891</v>
      </c>
      <c r="S788" s="27" t="s">
        <v>5616</v>
      </c>
      <c r="T788" s="27">
        <f>IFERROR(__xludf.DUMMYFUNCTION("""COMPUTED_VALUE"""),2699.0)</f>
        <v>2699</v>
      </c>
      <c r="U788" s="1" t="s">
        <v>5617</v>
      </c>
    </row>
    <row r="789">
      <c r="A789" s="4">
        <v>45712.67714825232</v>
      </c>
      <c r="B789" s="3" t="s">
        <v>5618</v>
      </c>
      <c r="C789" s="3" t="s">
        <v>4978</v>
      </c>
      <c r="D789" s="3" t="s">
        <v>358</v>
      </c>
      <c r="E789" s="6">
        <v>45635.0</v>
      </c>
      <c r="F789" s="33">
        <v>950.0</v>
      </c>
      <c r="G789" s="3" t="s">
        <v>136</v>
      </c>
      <c r="H789" s="3" t="s">
        <v>1946</v>
      </c>
      <c r="K789" s="3" t="s">
        <v>5619</v>
      </c>
      <c r="L789" s="3" t="s">
        <v>5620</v>
      </c>
      <c r="M789" s="3" t="s">
        <v>5621</v>
      </c>
      <c r="N789" s="3" t="s">
        <v>362</v>
      </c>
      <c r="O789" s="3" t="s">
        <v>5622</v>
      </c>
      <c r="Q789" s="3" t="s">
        <v>4891</v>
      </c>
      <c r="S789" s="27" t="s">
        <v>5623</v>
      </c>
      <c r="T789" s="27"/>
      <c r="U789" s="1" t="s">
        <v>5624</v>
      </c>
    </row>
    <row r="790">
      <c r="A790" s="4">
        <v>45712.67714825232</v>
      </c>
      <c r="B790" s="3" t="s">
        <v>5625</v>
      </c>
      <c r="C790" s="3" t="s">
        <v>4978</v>
      </c>
      <c r="D790" s="3" t="s">
        <v>358</v>
      </c>
      <c r="E790" s="6">
        <v>45491.0</v>
      </c>
      <c r="F790" s="33">
        <v>950.0</v>
      </c>
      <c r="G790" s="3" t="s">
        <v>136</v>
      </c>
      <c r="H790" s="3" t="s">
        <v>1946</v>
      </c>
      <c r="K790" s="3" t="s">
        <v>5626</v>
      </c>
      <c r="L790" s="3" t="s">
        <v>5627</v>
      </c>
      <c r="M790" s="3" t="s">
        <v>5628</v>
      </c>
      <c r="N790" s="3" t="s">
        <v>362</v>
      </c>
      <c r="O790" s="3" t="s">
        <v>5629</v>
      </c>
      <c r="Q790" s="3" t="s">
        <v>4891</v>
      </c>
      <c r="S790" s="27" t="s">
        <v>5630</v>
      </c>
      <c r="T790" s="27">
        <f>IFERROR(__xludf.DUMMYFUNCTION("""COMPUTED_VALUE"""),2537.0)</f>
        <v>2537</v>
      </c>
      <c r="U790" s="1" t="s">
        <v>5631</v>
      </c>
    </row>
    <row r="791">
      <c r="A791" s="4">
        <v>45712.67714825232</v>
      </c>
      <c r="B791" s="3" t="s">
        <v>5632</v>
      </c>
      <c r="C791" s="3" t="s">
        <v>4978</v>
      </c>
      <c r="D791" s="3" t="s">
        <v>358</v>
      </c>
      <c r="E791" s="6">
        <v>45457.0</v>
      </c>
      <c r="F791" s="33">
        <v>5000.0</v>
      </c>
      <c r="G791" s="3" t="s">
        <v>136</v>
      </c>
      <c r="H791" s="3" t="s">
        <v>1946</v>
      </c>
      <c r="K791" s="3" t="s">
        <v>5633</v>
      </c>
      <c r="L791" s="3" t="s">
        <v>5634</v>
      </c>
      <c r="M791" s="3" t="s">
        <v>5635</v>
      </c>
      <c r="N791" s="3" t="s">
        <v>362</v>
      </c>
      <c r="O791" s="3" t="s">
        <v>5636</v>
      </c>
      <c r="Q791" s="3" t="s">
        <v>4891</v>
      </c>
      <c r="S791" s="27" t="s">
        <v>5637</v>
      </c>
      <c r="T791" s="27">
        <f>IFERROR(__xludf.DUMMYFUNCTION("""COMPUTED_VALUE"""),2027.0)</f>
        <v>2027</v>
      </c>
      <c r="U791" s="1" t="s">
        <v>5638</v>
      </c>
    </row>
    <row r="792">
      <c r="A792" s="4">
        <v>45712.67714825232</v>
      </c>
      <c r="B792" s="3" t="s">
        <v>5639</v>
      </c>
      <c r="C792" s="3" t="s">
        <v>4978</v>
      </c>
      <c r="D792" s="3" t="s">
        <v>358</v>
      </c>
      <c r="E792" s="6">
        <v>45457.0</v>
      </c>
      <c r="F792" s="33">
        <v>6450.0</v>
      </c>
      <c r="G792" s="3" t="s">
        <v>136</v>
      </c>
      <c r="H792" s="3" t="s">
        <v>1946</v>
      </c>
      <c r="K792" s="3" t="s">
        <v>5640</v>
      </c>
      <c r="L792" s="3" t="s">
        <v>5641</v>
      </c>
      <c r="M792" s="3" t="s">
        <v>5642</v>
      </c>
      <c r="N792" s="3" t="s">
        <v>362</v>
      </c>
      <c r="O792" s="3" t="s">
        <v>5643</v>
      </c>
      <c r="Q792" s="3" t="s">
        <v>4891</v>
      </c>
      <c r="S792" s="27" t="s">
        <v>5644</v>
      </c>
      <c r="T792" s="27">
        <f>IFERROR(__xludf.DUMMYFUNCTION("""COMPUTED_VALUE"""),2028.0)</f>
        <v>2028</v>
      </c>
      <c r="U792" s="1" t="s">
        <v>5645</v>
      </c>
    </row>
    <row r="793">
      <c r="A793" s="4">
        <v>45712.67714825232</v>
      </c>
      <c r="B793" s="3" t="s">
        <v>5646</v>
      </c>
      <c r="C793" s="3" t="s">
        <v>4978</v>
      </c>
      <c r="D793" s="3" t="s">
        <v>358</v>
      </c>
      <c r="E793" s="6">
        <v>45324.0</v>
      </c>
      <c r="F793" s="33">
        <v>2855.0</v>
      </c>
      <c r="G793" s="3" t="s">
        <v>21</v>
      </c>
      <c r="H793" s="3" t="s">
        <v>1946</v>
      </c>
      <c r="K793" s="3" t="s">
        <v>5647</v>
      </c>
      <c r="L793" s="3" t="s">
        <v>5648</v>
      </c>
      <c r="M793" s="3" t="s">
        <v>5649</v>
      </c>
      <c r="N793" s="3" t="s">
        <v>362</v>
      </c>
      <c r="O793" s="3" t="s">
        <v>5650</v>
      </c>
      <c r="Q793" s="3" t="s">
        <v>4891</v>
      </c>
      <c r="S793" s="27" t="s">
        <v>5651</v>
      </c>
      <c r="T793" s="27">
        <f>IFERROR(__xludf.DUMMYFUNCTION("""COMPUTED_VALUE"""),2404.0)</f>
        <v>2404</v>
      </c>
      <c r="U793" s="1" t="s">
        <v>5652</v>
      </c>
    </row>
    <row r="794">
      <c r="A794" s="4">
        <v>45712.67714825232</v>
      </c>
      <c r="B794" s="3" t="s">
        <v>5653</v>
      </c>
      <c r="C794" s="3" t="s">
        <v>4978</v>
      </c>
      <c r="D794" s="3" t="s">
        <v>358</v>
      </c>
      <c r="E794" s="6">
        <v>45679.0</v>
      </c>
      <c r="F794" s="33">
        <v>950.0</v>
      </c>
      <c r="G794" s="3" t="s">
        <v>136</v>
      </c>
      <c r="H794" s="3" t="s">
        <v>1946</v>
      </c>
      <c r="K794" s="3" t="s">
        <v>5654</v>
      </c>
      <c r="L794" s="3" t="s">
        <v>5655</v>
      </c>
      <c r="M794" s="3" t="s">
        <v>5656</v>
      </c>
      <c r="N794" s="3" t="s">
        <v>362</v>
      </c>
      <c r="O794" s="3" t="s">
        <v>5657</v>
      </c>
      <c r="Q794" s="3" t="s">
        <v>4891</v>
      </c>
      <c r="S794" s="27" t="s">
        <v>5658</v>
      </c>
      <c r="T794" s="27">
        <f>IFERROR(__xludf.DUMMYFUNCTION("""COMPUTED_VALUE"""),2682.0)</f>
        <v>2682</v>
      </c>
      <c r="U794" s="1" t="s">
        <v>5659</v>
      </c>
    </row>
    <row r="795">
      <c r="A795" s="4">
        <v>45712.67714825232</v>
      </c>
      <c r="B795" s="3" t="s">
        <v>5660</v>
      </c>
      <c r="C795" s="3" t="s">
        <v>4978</v>
      </c>
      <c r="D795" s="3" t="s">
        <v>358</v>
      </c>
      <c r="E795" s="6">
        <v>45616.0</v>
      </c>
      <c r="F795" s="33">
        <v>2850.0</v>
      </c>
      <c r="G795" s="3" t="s">
        <v>136</v>
      </c>
      <c r="H795" s="3" t="s">
        <v>1946</v>
      </c>
      <c r="K795" s="3" t="s">
        <v>5661</v>
      </c>
      <c r="L795" s="3" t="s">
        <v>5662</v>
      </c>
      <c r="M795" s="3" t="s">
        <v>5663</v>
      </c>
      <c r="N795" s="3" t="s">
        <v>362</v>
      </c>
      <c r="O795" s="3" t="s">
        <v>5664</v>
      </c>
      <c r="Q795" s="3" t="s">
        <v>4891</v>
      </c>
      <c r="S795" s="27" t="s">
        <v>5665</v>
      </c>
      <c r="T795" s="27">
        <f>IFERROR(__xludf.DUMMYFUNCTION("""COMPUTED_VALUE"""),2620.0)</f>
        <v>2620</v>
      </c>
      <c r="U795" s="1" t="s">
        <v>5666</v>
      </c>
    </row>
    <row r="796">
      <c r="A796" s="4">
        <v>45712.67714825232</v>
      </c>
      <c r="B796" s="3" t="s">
        <v>5667</v>
      </c>
      <c r="C796" s="3" t="s">
        <v>4978</v>
      </c>
      <c r="D796" s="3" t="s">
        <v>358</v>
      </c>
      <c r="E796" s="6">
        <v>45568.0</v>
      </c>
      <c r="F796" s="33">
        <v>950.0</v>
      </c>
      <c r="G796" s="3" t="s">
        <v>136</v>
      </c>
      <c r="H796" s="3" t="s">
        <v>1946</v>
      </c>
      <c r="K796" s="3" t="s">
        <v>5668</v>
      </c>
      <c r="L796" s="3" t="s">
        <v>5669</v>
      </c>
      <c r="M796" s="3" t="s">
        <v>5670</v>
      </c>
      <c r="N796" s="3" t="s">
        <v>362</v>
      </c>
      <c r="O796" s="3" t="s">
        <v>5671</v>
      </c>
      <c r="Q796" s="3" t="s">
        <v>4891</v>
      </c>
      <c r="S796" s="27" t="s">
        <v>5672</v>
      </c>
      <c r="T796" s="27">
        <f>IFERROR(__xludf.DUMMYFUNCTION("""COMPUTED_VALUE"""),2610.0)</f>
        <v>2610</v>
      </c>
      <c r="U796" s="1" t="s">
        <v>5673</v>
      </c>
    </row>
    <row r="797">
      <c r="A797" s="4">
        <v>45712.69064983796</v>
      </c>
      <c r="B797" s="3" t="s">
        <v>5674</v>
      </c>
      <c r="C797" s="3" t="s">
        <v>4978</v>
      </c>
      <c r="D797" s="3" t="s">
        <v>358</v>
      </c>
      <c r="E797" s="6">
        <v>45422.0</v>
      </c>
      <c r="F797" s="33">
        <v>1800.0</v>
      </c>
      <c r="G797" s="3" t="s">
        <v>136</v>
      </c>
      <c r="H797" s="3" t="s">
        <v>1946</v>
      </c>
      <c r="K797" s="3" t="s">
        <v>5675</v>
      </c>
      <c r="L797" s="3" t="s">
        <v>5676</v>
      </c>
      <c r="M797" s="3" t="s">
        <v>5677</v>
      </c>
      <c r="N797" s="3" t="s">
        <v>362</v>
      </c>
      <c r="O797" s="3" t="s">
        <v>5678</v>
      </c>
      <c r="Q797" s="3" t="s">
        <v>4891</v>
      </c>
      <c r="S797" s="27" t="s">
        <v>5679</v>
      </c>
      <c r="T797" s="27">
        <f>IFERROR(__xludf.DUMMYFUNCTION("""COMPUTED_VALUE"""),2498.0)</f>
        <v>2498</v>
      </c>
      <c r="U797" s="1" t="s">
        <v>5680</v>
      </c>
    </row>
    <row r="798">
      <c r="A798" s="4">
        <v>45715.511905590276</v>
      </c>
      <c r="B798" s="3" t="s">
        <v>5681</v>
      </c>
      <c r="C798" s="3" t="s">
        <v>5682</v>
      </c>
      <c r="D798" s="3" t="s">
        <v>20</v>
      </c>
      <c r="E798" s="6">
        <v>45714.0</v>
      </c>
      <c r="F798" s="33">
        <v>233110.0</v>
      </c>
      <c r="G798" s="3" t="s">
        <v>21</v>
      </c>
      <c r="H798" s="3" t="s">
        <v>22</v>
      </c>
      <c r="K798" s="3" t="s">
        <v>5683</v>
      </c>
      <c r="L798" s="3" t="s">
        <v>5684</v>
      </c>
      <c r="M798" s="3" t="s">
        <v>5685</v>
      </c>
      <c r="N798" s="3" t="s">
        <v>27</v>
      </c>
      <c r="O798" s="3" t="s">
        <v>5686</v>
      </c>
      <c r="Q798" s="3" t="s">
        <v>4891</v>
      </c>
      <c r="S798" s="27" t="s">
        <v>5687</v>
      </c>
      <c r="T798" s="27">
        <f>IFERROR(__xludf.DUMMYFUNCTION("""COMPUTED_VALUE"""),2708.0)</f>
        <v>2708</v>
      </c>
      <c r="U798" s="1" t="s">
        <v>5688</v>
      </c>
    </row>
    <row r="799">
      <c r="A799" s="4">
        <v>45716.45903465278</v>
      </c>
      <c r="B799" s="3" t="s">
        <v>5689</v>
      </c>
      <c r="C799" s="3" t="s">
        <v>4978</v>
      </c>
      <c r="D799" s="3" t="s">
        <v>358</v>
      </c>
      <c r="E799" s="6">
        <v>45707.0</v>
      </c>
      <c r="F799" s="33">
        <v>4545.0</v>
      </c>
      <c r="G799" s="3" t="s">
        <v>21</v>
      </c>
      <c r="H799" s="3" t="s">
        <v>22</v>
      </c>
      <c r="K799" s="3" t="s">
        <v>5690</v>
      </c>
      <c r="L799" s="3" t="s">
        <v>5691</v>
      </c>
      <c r="M799" s="3" t="s">
        <v>5692</v>
      </c>
      <c r="N799" s="3" t="s">
        <v>362</v>
      </c>
      <c r="O799" s="3" t="s">
        <v>5693</v>
      </c>
      <c r="Q799" s="3" t="s">
        <v>4891</v>
      </c>
      <c r="S799" s="27" t="s">
        <v>5694</v>
      </c>
      <c r="T799" s="27">
        <f>IFERROR(__xludf.DUMMYFUNCTION("""COMPUTED_VALUE"""),2702.0)</f>
        <v>2702</v>
      </c>
      <c r="U799" s="1" t="s">
        <v>5695</v>
      </c>
    </row>
    <row r="800">
      <c r="A800" s="4">
        <v>45716.45903465278</v>
      </c>
      <c r="B800" s="3" t="s">
        <v>5696</v>
      </c>
      <c r="C800" s="3" t="s">
        <v>4978</v>
      </c>
      <c r="D800" s="3" t="s">
        <v>358</v>
      </c>
      <c r="E800" s="6">
        <v>45699.0</v>
      </c>
      <c r="F800" s="33">
        <v>850.0</v>
      </c>
      <c r="G800" s="3" t="s">
        <v>136</v>
      </c>
      <c r="H800" s="3" t="s">
        <v>22</v>
      </c>
      <c r="K800" s="3" t="s">
        <v>5697</v>
      </c>
      <c r="L800" s="3" t="s">
        <v>5698</v>
      </c>
      <c r="M800" s="3" t="s">
        <v>5699</v>
      </c>
      <c r="N800" s="3" t="s">
        <v>362</v>
      </c>
      <c r="O800" s="3" t="s">
        <v>5700</v>
      </c>
      <c r="Q800" s="3" t="s">
        <v>4891</v>
      </c>
      <c r="S800" s="27" t="s">
        <v>5701</v>
      </c>
      <c r="T800" s="27">
        <f>IFERROR(__xludf.DUMMYFUNCTION("""COMPUTED_VALUE"""),2692.0)</f>
        <v>2692</v>
      </c>
      <c r="U800" s="1" t="s">
        <v>5702</v>
      </c>
    </row>
    <row r="801">
      <c r="A801" s="4">
        <v>45716.45903465278</v>
      </c>
      <c r="B801" s="3" t="s">
        <v>5703</v>
      </c>
      <c r="C801" s="3" t="s">
        <v>5704</v>
      </c>
      <c r="D801" s="3" t="s">
        <v>230</v>
      </c>
      <c r="E801" s="6">
        <v>45689.0</v>
      </c>
      <c r="F801" s="33">
        <v>350.0</v>
      </c>
      <c r="G801" s="3" t="s">
        <v>136</v>
      </c>
      <c r="H801" s="3" t="s">
        <v>22</v>
      </c>
      <c r="K801" s="3" t="s">
        <v>5705</v>
      </c>
      <c r="L801" s="3" t="s">
        <v>5706</v>
      </c>
      <c r="M801" s="3" t="s">
        <v>5707</v>
      </c>
      <c r="N801" s="3" t="s">
        <v>234</v>
      </c>
      <c r="O801" s="3" t="s">
        <v>5708</v>
      </c>
      <c r="Q801" s="3" t="s">
        <v>4891</v>
      </c>
      <c r="S801" s="27" t="s">
        <v>5709</v>
      </c>
      <c r="T801" s="27">
        <f>IFERROR(__xludf.DUMMYFUNCTION("""COMPUTED_VALUE"""),2687.0)</f>
        <v>2687</v>
      </c>
      <c r="U801" s="1" t="s">
        <v>5710</v>
      </c>
    </row>
    <row r="802">
      <c r="A802" s="4">
        <v>45721.441652187495</v>
      </c>
      <c r="B802" s="3" t="s">
        <v>3278</v>
      </c>
      <c r="C802" s="3" t="s">
        <v>5711</v>
      </c>
      <c r="D802" s="3" t="s">
        <v>756</v>
      </c>
      <c r="E802" s="6">
        <v>45717.0</v>
      </c>
      <c r="F802" s="33">
        <v>500.0</v>
      </c>
      <c r="G802" s="3" t="s">
        <v>21</v>
      </c>
      <c r="H802" s="3" t="s">
        <v>22</v>
      </c>
      <c r="I802" s="3" t="s">
        <v>1434</v>
      </c>
      <c r="K802" s="3" t="s">
        <v>5712</v>
      </c>
      <c r="L802" s="3" t="s">
        <v>5713</v>
      </c>
      <c r="M802" s="3" t="s">
        <v>5714</v>
      </c>
      <c r="N802" s="3" t="s">
        <v>760</v>
      </c>
      <c r="O802" s="3" t="s">
        <v>3284</v>
      </c>
      <c r="P802" s="3" t="s">
        <v>1439</v>
      </c>
      <c r="Q802" s="3" t="s">
        <v>29</v>
      </c>
      <c r="S802" s="27" t="s">
        <v>5715</v>
      </c>
      <c r="T802" s="27">
        <f>IFERROR(__xludf.DUMMYFUNCTION("""COMPUTED_VALUE"""),2176.0)</f>
        <v>2176</v>
      </c>
      <c r="U802" s="1" t="s">
        <v>5716</v>
      </c>
    </row>
    <row r="803">
      <c r="A803" s="4">
        <v>45722.72603012732</v>
      </c>
      <c r="B803" s="3" t="s">
        <v>30</v>
      </c>
      <c r="C803" s="3" t="s">
        <v>5717</v>
      </c>
      <c r="D803" s="3" t="s">
        <v>358</v>
      </c>
      <c r="E803" s="6">
        <v>45689.0</v>
      </c>
      <c r="F803" s="28">
        <v>15000.0</v>
      </c>
      <c r="G803" s="3" t="s">
        <v>21</v>
      </c>
      <c r="H803" s="3" t="s">
        <v>22</v>
      </c>
      <c r="I803" s="3" t="s">
        <v>1145</v>
      </c>
      <c r="K803" s="3" t="s">
        <v>5718</v>
      </c>
      <c r="L803" s="3" t="s">
        <v>5719</v>
      </c>
      <c r="M803" s="3" t="s">
        <v>5720</v>
      </c>
      <c r="N803" s="3" t="s">
        <v>362</v>
      </c>
      <c r="O803" s="3" t="s">
        <v>36</v>
      </c>
      <c r="P803" s="3" t="s">
        <v>1150</v>
      </c>
      <c r="Q803" s="3" t="s">
        <v>29</v>
      </c>
      <c r="S803" s="27" t="s">
        <v>5721</v>
      </c>
      <c r="T803" s="27">
        <f>IFERROR(__xludf.DUMMYFUNCTION("""COMPUTED_VALUE"""),541.0)</f>
        <v>541</v>
      </c>
      <c r="U803" s="1" t="s">
        <v>5722</v>
      </c>
    </row>
    <row r="804">
      <c r="A804" s="4">
        <v>45726.51279444444</v>
      </c>
      <c r="B804" s="3" t="s">
        <v>5723</v>
      </c>
      <c r="C804" s="3" t="s">
        <v>4978</v>
      </c>
      <c r="D804" s="3" t="s">
        <v>358</v>
      </c>
      <c r="E804" s="6">
        <v>45716.0</v>
      </c>
      <c r="F804" s="33">
        <v>850.0</v>
      </c>
      <c r="G804" s="3" t="s">
        <v>136</v>
      </c>
      <c r="H804" s="3" t="s">
        <v>22</v>
      </c>
      <c r="K804" s="3" t="s">
        <v>5724</v>
      </c>
      <c r="L804" s="3" t="s">
        <v>5725</v>
      </c>
      <c r="M804" s="3" t="s">
        <v>5726</v>
      </c>
      <c r="N804" s="3" t="s">
        <v>362</v>
      </c>
      <c r="O804" s="3" t="s">
        <v>5727</v>
      </c>
      <c r="Q804" s="3" t="s">
        <v>4891</v>
      </c>
      <c r="S804" s="27" t="s">
        <v>5728</v>
      </c>
      <c r="T804" s="27">
        <f>IFERROR(__xludf.DUMMYFUNCTION("""COMPUTED_VALUE"""),2707.0)</f>
        <v>2707</v>
      </c>
      <c r="U804" s="1" t="s">
        <v>5729</v>
      </c>
    </row>
    <row r="805">
      <c r="A805" s="4">
        <v>45726.71893130787</v>
      </c>
      <c r="B805" s="3" t="s">
        <v>5703</v>
      </c>
      <c r="C805" s="3" t="s">
        <v>2064</v>
      </c>
      <c r="D805" s="3" t="s">
        <v>230</v>
      </c>
      <c r="E805" s="6">
        <v>45689.0</v>
      </c>
      <c r="F805" s="33">
        <v>400.0</v>
      </c>
      <c r="G805" s="3" t="s">
        <v>21</v>
      </c>
      <c r="H805" s="3" t="s">
        <v>22</v>
      </c>
      <c r="K805" s="3" t="s">
        <v>5730</v>
      </c>
      <c r="L805" s="3" t="s">
        <v>5731</v>
      </c>
      <c r="M805" s="3" t="s">
        <v>5732</v>
      </c>
      <c r="N805" s="3" t="s">
        <v>234</v>
      </c>
      <c r="O805" s="3" t="s">
        <v>5708</v>
      </c>
      <c r="Q805" s="3" t="s">
        <v>4891</v>
      </c>
      <c r="S805" s="27" t="s">
        <v>5733</v>
      </c>
      <c r="T805" s="27">
        <f>IFERROR(__xludf.DUMMYFUNCTION("""COMPUTED_VALUE"""),2687.0)</f>
        <v>2687</v>
      </c>
      <c r="U805" s="1" t="s">
        <v>5734</v>
      </c>
    </row>
    <row r="806">
      <c r="A806" s="4">
        <v>45726.71893130787</v>
      </c>
      <c r="B806" s="3" t="s">
        <v>5703</v>
      </c>
      <c r="C806" s="3" t="s">
        <v>5735</v>
      </c>
      <c r="D806" s="3" t="s">
        <v>230</v>
      </c>
      <c r="E806" s="6">
        <v>45689.0</v>
      </c>
      <c r="F806" s="33">
        <v>200.0</v>
      </c>
      <c r="G806" s="3" t="s">
        <v>21</v>
      </c>
      <c r="H806" s="3" t="s">
        <v>22</v>
      </c>
      <c r="K806" s="3" t="s">
        <v>5736</v>
      </c>
      <c r="L806" s="3" t="s">
        <v>5737</v>
      </c>
      <c r="M806" s="3" t="s">
        <v>5738</v>
      </c>
      <c r="N806" s="3" t="s">
        <v>234</v>
      </c>
      <c r="O806" s="3" t="s">
        <v>5708</v>
      </c>
      <c r="Q806" s="3" t="s">
        <v>4891</v>
      </c>
      <c r="S806" s="27" t="s">
        <v>5739</v>
      </c>
      <c r="T806" s="27">
        <f>IFERROR(__xludf.DUMMYFUNCTION("""COMPUTED_VALUE"""),2687.0)</f>
        <v>2687</v>
      </c>
      <c r="U806" s="1" t="s">
        <v>5740</v>
      </c>
    </row>
    <row r="807">
      <c r="A807" s="4">
        <v>45726.71893130787</v>
      </c>
      <c r="B807" s="3" t="s">
        <v>5703</v>
      </c>
      <c r="C807" s="3" t="s">
        <v>5741</v>
      </c>
      <c r="D807" s="3" t="s">
        <v>230</v>
      </c>
      <c r="E807" s="6">
        <v>45689.0</v>
      </c>
      <c r="F807" s="33">
        <v>200.0</v>
      </c>
      <c r="G807" s="3" t="s">
        <v>21</v>
      </c>
      <c r="H807" s="3" t="s">
        <v>22</v>
      </c>
      <c r="J807" s="1" t="s">
        <v>5742</v>
      </c>
      <c r="K807" s="3" t="s">
        <v>5743</v>
      </c>
      <c r="L807" s="3" t="s">
        <v>5744</v>
      </c>
      <c r="M807" s="3" t="s">
        <v>5745</v>
      </c>
      <c r="N807" s="3" t="s">
        <v>234</v>
      </c>
      <c r="O807" s="3" t="s">
        <v>5708</v>
      </c>
      <c r="Q807" s="3" t="s">
        <v>4891</v>
      </c>
      <c r="S807" s="27" t="s">
        <v>5746</v>
      </c>
      <c r="T807" s="27">
        <f>IFERROR(__xludf.DUMMYFUNCTION("""COMPUTED_VALUE"""),2687.0)</f>
        <v>2687</v>
      </c>
      <c r="U807" s="1" t="s">
        <v>5747</v>
      </c>
    </row>
    <row r="808">
      <c r="A808" s="4">
        <v>45726.737916886574</v>
      </c>
      <c r="B808" s="3" t="s">
        <v>5748</v>
      </c>
      <c r="C808" s="3" t="s">
        <v>5749</v>
      </c>
      <c r="D808" s="3" t="s">
        <v>230</v>
      </c>
      <c r="E808" s="6">
        <v>45658.0</v>
      </c>
      <c r="F808" s="33">
        <v>205.0</v>
      </c>
      <c r="G808" s="3" t="s">
        <v>21</v>
      </c>
      <c r="H808" s="3" t="s">
        <v>22</v>
      </c>
      <c r="K808" s="3" t="s">
        <v>5750</v>
      </c>
      <c r="L808" s="3" t="s">
        <v>5751</v>
      </c>
      <c r="M808" s="3" t="s">
        <v>5752</v>
      </c>
      <c r="N808" s="3" t="s">
        <v>234</v>
      </c>
      <c r="O808" s="3" t="s">
        <v>5753</v>
      </c>
      <c r="Q808" s="3" t="s">
        <v>4891</v>
      </c>
      <c r="S808" s="27" t="s">
        <v>5754</v>
      </c>
      <c r="T808" s="27">
        <f>IFERROR(__xludf.DUMMYFUNCTION("""COMPUTED_VALUE"""),2709.0)</f>
        <v>2709</v>
      </c>
      <c r="U808" s="1" t="s">
        <v>5755</v>
      </c>
    </row>
    <row r="809">
      <c r="A809" s="4">
        <v>45726.737916886574</v>
      </c>
      <c r="B809" s="3" t="s">
        <v>5756</v>
      </c>
      <c r="C809" s="3" t="s">
        <v>5757</v>
      </c>
      <c r="D809" s="3" t="s">
        <v>230</v>
      </c>
      <c r="E809" s="6">
        <v>45658.0</v>
      </c>
      <c r="F809" s="33">
        <v>450.0</v>
      </c>
      <c r="G809" s="3" t="s">
        <v>21</v>
      </c>
      <c r="H809" s="3" t="s">
        <v>22</v>
      </c>
      <c r="K809" s="3" t="s">
        <v>5758</v>
      </c>
      <c r="L809" s="3" t="s">
        <v>5759</v>
      </c>
      <c r="M809" s="3" t="s">
        <v>5760</v>
      </c>
      <c r="N809" s="3" t="s">
        <v>234</v>
      </c>
      <c r="O809" s="3" t="s">
        <v>5761</v>
      </c>
      <c r="Q809" s="3" t="s">
        <v>4891</v>
      </c>
      <c r="S809" s="27" t="s">
        <v>5762</v>
      </c>
      <c r="T809" s="27">
        <f>IFERROR(__xludf.DUMMYFUNCTION("""COMPUTED_VALUE"""),2607.0)</f>
        <v>2607</v>
      </c>
      <c r="U809" s="1" t="s">
        <v>5763</v>
      </c>
    </row>
    <row r="810">
      <c r="A810" s="4">
        <v>45728.61703172454</v>
      </c>
      <c r="B810" s="3" t="s">
        <v>5764</v>
      </c>
      <c r="C810" s="3" t="s">
        <v>5765</v>
      </c>
      <c r="D810" s="3" t="s">
        <v>358</v>
      </c>
      <c r="E810" s="6">
        <v>45699.0</v>
      </c>
      <c r="F810" s="33">
        <v>350.0</v>
      </c>
      <c r="G810" s="3" t="s">
        <v>136</v>
      </c>
      <c r="H810" s="3" t="s">
        <v>22</v>
      </c>
      <c r="K810" s="3" t="s">
        <v>5766</v>
      </c>
      <c r="L810" s="3" t="s">
        <v>5767</v>
      </c>
      <c r="M810" s="3" t="s">
        <v>5768</v>
      </c>
      <c r="N810" s="3" t="s">
        <v>362</v>
      </c>
      <c r="O810" s="3" t="s">
        <v>5769</v>
      </c>
      <c r="Q810" s="3" t="s">
        <v>4891</v>
      </c>
      <c r="S810" s="27" t="s">
        <v>5770</v>
      </c>
      <c r="T810" s="27">
        <f>IFERROR(__xludf.DUMMYFUNCTION("""COMPUTED_VALUE"""),2693.0)</f>
        <v>2693</v>
      </c>
      <c r="U810" s="1" t="s">
        <v>5771</v>
      </c>
    </row>
    <row r="811">
      <c r="A811" s="4">
        <v>45728.62130971065</v>
      </c>
      <c r="B811" s="3" t="s">
        <v>1845</v>
      </c>
      <c r="C811" s="3" t="s">
        <v>4978</v>
      </c>
      <c r="D811" s="3" t="s">
        <v>358</v>
      </c>
      <c r="E811" s="6">
        <v>45716.0</v>
      </c>
      <c r="F811" s="33">
        <v>700.0</v>
      </c>
      <c r="G811" s="3" t="s">
        <v>21</v>
      </c>
      <c r="H811" s="3" t="s">
        <v>22</v>
      </c>
      <c r="K811" s="3" t="s">
        <v>5772</v>
      </c>
      <c r="L811" s="3" t="s">
        <v>5773</v>
      </c>
      <c r="M811" s="3" t="s">
        <v>5774</v>
      </c>
      <c r="N811" s="3" t="s">
        <v>362</v>
      </c>
      <c r="O811" s="3" t="s">
        <v>1850</v>
      </c>
      <c r="Q811" s="3" t="s">
        <v>4891</v>
      </c>
      <c r="S811" s="27" t="s">
        <v>5775</v>
      </c>
      <c r="T811" s="27"/>
      <c r="U811" s="1" t="s">
        <v>5776</v>
      </c>
    </row>
    <row r="812">
      <c r="A812" s="4">
        <v>45729.51763818287</v>
      </c>
      <c r="B812" s="3" t="s">
        <v>2583</v>
      </c>
      <c r="C812" s="3" t="s">
        <v>5777</v>
      </c>
      <c r="D812" s="3" t="s">
        <v>20</v>
      </c>
      <c r="E812" s="6">
        <v>45688.0</v>
      </c>
      <c r="F812" s="33">
        <v>47000.0</v>
      </c>
      <c r="G812" s="3" t="s">
        <v>21</v>
      </c>
      <c r="H812" s="3" t="s">
        <v>22</v>
      </c>
      <c r="K812" s="3" t="s">
        <v>5778</v>
      </c>
      <c r="L812" s="3" t="s">
        <v>5779</v>
      </c>
      <c r="M812" s="3" t="s">
        <v>5780</v>
      </c>
      <c r="N812" s="3" t="s">
        <v>27</v>
      </c>
      <c r="O812" s="3" t="s">
        <v>2587</v>
      </c>
      <c r="Q812" s="3" t="s">
        <v>4891</v>
      </c>
      <c r="S812" s="27" t="s">
        <v>5781</v>
      </c>
      <c r="T812" s="27">
        <f>IFERROR(__xludf.DUMMYFUNCTION("""COMPUTED_VALUE"""),810.0)</f>
        <v>810</v>
      </c>
      <c r="U812" s="1" t="s">
        <v>5782</v>
      </c>
    </row>
    <row r="813">
      <c r="A813" s="4">
        <v>45729.693365416664</v>
      </c>
      <c r="B813" s="3" t="s">
        <v>181</v>
      </c>
      <c r="C813" s="3" t="s">
        <v>5783</v>
      </c>
      <c r="D813" s="3" t="s">
        <v>756</v>
      </c>
      <c r="E813" s="6">
        <v>45705.0</v>
      </c>
      <c r="F813" s="33">
        <v>375.0</v>
      </c>
      <c r="G813" s="3" t="s">
        <v>136</v>
      </c>
      <c r="H813" s="3" t="s">
        <v>22</v>
      </c>
      <c r="K813" s="3" t="s">
        <v>5784</v>
      </c>
      <c r="L813" s="3" t="s">
        <v>5785</v>
      </c>
      <c r="M813" s="3" t="s">
        <v>5786</v>
      </c>
      <c r="N813" s="3" t="s">
        <v>760</v>
      </c>
      <c r="O813" s="3" t="s">
        <v>186</v>
      </c>
      <c r="Q813" s="3" t="s">
        <v>4891</v>
      </c>
      <c r="S813" s="27" t="s">
        <v>5787</v>
      </c>
      <c r="T813" s="27">
        <f>IFERROR(__xludf.DUMMYFUNCTION("""COMPUTED_VALUE"""),620.0)</f>
        <v>620</v>
      </c>
      <c r="U813" s="1" t="s">
        <v>5788</v>
      </c>
    </row>
    <row r="814">
      <c r="A814" s="4">
        <v>45737.64409340278</v>
      </c>
      <c r="B814" s="3" t="s">
        <v>2899</v>
      </c>
      <c r="C814" s="3" t="s">
        <v>5789</v>
      </c>
      <c r="D814" s="3" t="s">
        <v>358</v>
      </c>
      <c r="E814" s="6">
        <v>45191.0</v>
      </c>
      <c r="F814" s="33">
        <v>175247.0</v>
      </c>
      <c r="G814" s="3" t="s">
        <v>350</v>
      </c>
      <c r="H814" s="3" t="s">
        <v>1946</v>
      </c>
      <c r="K814" s="3" t="s">
        <v>5790</v>
      </c>
      <c r="L814" s="3" t="s">
        <v>5791</v>
      </c>
      <c r="M814" s="3" t="s">
        <v>5792</v>
      </c>
      <c r="N814" s="3" t="s">
        <v>362</v>
      </c>
      <c r="O814" s="3" t="s">
        <v>2904</v>
      </c>
      <c r="Q814" s="3" t="s">
        <v>4891</v>
      </c>
      <c r="S814" s="27" t="s">
        <v>5793</v>
      </c>
      <c r="T814" s="27"/>
      <c r="U814" s="1" t="s">
        <v>5794</v>
      </c>
    </row>
    <row r="815">
      <c r="A815" s="4">
        <v>45737.64409340278</v>
      </c>
      <c r="B815" s="3" t="s">
        <v>2899</v>
      </c>
      <c r="C815" s="3" t="s">
        <v>5795</v>
      </c>
      <c r="D815" s="3" t="s">
        <v>358</v>
      </c>
      <c r="E815" s="6">
        <v>45378.0</v>
      </c>
      <c r="F815" s="33">
        <v>311588.0</v>
      </c>
      <c r="G815" s="3" t="s">
        <v>350</v>
      </c>
      <c r="H815" s="3" t="s">
        <v>1946</v>
      </c>
      <c r="K815" s="3" t="s">
        <v>5796</v>
      </c>
      <c r="L815" s="3" t="s">
        <v>5797</v>
      </c>
      <c r="M815" s="3" t="s">
        <v>5798</v>
      </c>
      <c r="N815" s="3" t="s">
        <v>362</v>
      </c>
      <c r="O815" s="3" t="s">
        <v>2904</v>
      </c>
      <c r="Q815" s="3" t="s">
        <v>4891</v>
      </c>
      <c r="S815" s="27" t="s">
        <v>5799</v>
      </c>
      <c r="T815" s="27"/>
      <c r="U815" s="1" t="s">
        <v>5800</v>
      </c>
    </row>
    <row r="816">
      <c r="A816" s="4">
        <v>45743.58172901621</v>
      </c>
      <c r="B816" s="3" t="s">
        <v>322</v>
      </c>
      <c r="C816" s="3" t="s">
        <v>5801</v>
      </c>
      <c r="D816" s="3" t="s">
        <v>20</v>
      </c>
      <c r="E816" s="6">
        <v>45716.0</v>
      </c>
      <c r="F816" s="33">
        <v>201200.0</v>
      </c>
      <c r="G816" s="3" t="s">
        <v>21</v>
      </c>
      <c r="H816" s="3" t="s">
        <v>22</v>
      </c>
      <c r="K816" s="3" t="s">
        <v>5802</v>
      </c>
      <c r="L816" s="3" t="s">
        <v>5803</v>
      </c>
      <c r="M816" s="3" t="s">
        <v>5804</v>
      </c>
      <c r="N816" s="3" t="s">
        <v>27</v>
      </c>
      <c r="O816" s="3" t="s">
        <v>327</v>
      </c>
      <c r="Q816" s="3" t="s">
        <v>4891</v>
      </c>
      <c r="S816" s="27" t="s">
        <v>5805</v>
      </c>
      <c r="T816" s="27">
        <f>IFERROR(__xludf.DUMMYFUNCTION("""COMPUTED_VALUE"""),1132.0)</f>
        <v>1132</v>
      </c>
      <c r="U816" s="1" t="s">
        <v>5806</v>
      </c>
    </row>
    <row r="817">
      <c r="A817" s="4">
        <v>45743.66678450232</v>
      </c>
      <c r="B817" s="3" t="s">
        <v>3953</v>
      </c>
      <c r="C817" s="3" t="s">
        <v>5807</v>
      </c>
      <c r="D817" s="3" t="s">
        <v>756</v>
      </c>
      <c r="E817" s="6">
        <v>45737.0</v>
      </c>
      <c r="F817" s="33">
        <v>1500.0</v>
      </c>
      <c r="G817" s="3" t="s">
        <v>136</v>
      </c>
      <c r="H817" s="3" t="s">
        <v>22</v>
      </c>
      <c r="J817" s="1" t="s">
        <v>5808</v>
      </c>
      <c r="K817" s="3" t="s">
        <v>5809</v>
      </c>
      <c r="L817" s="3" t="s">
        <v>5810</v>
      </c>
      <c r="M817" s="3" t="s">
        <v>5811</v>
      </c>
      <c r="N817" s="3" t="s">
        <v>760</v>
      </c>
      <c r="O817" s="3" t="s">
        <v>3959</v>
      </c>
      <c r="Q817" s="3" t="s">
        <v>4891</v>
      </c>
      <c r="S817" s="27" t="s">
        <v>5812</v>
      </c>
      <c r="T817" s="27">
        <f>IFERROR(__xludf.DUMMYFUNCTION("""COMPUTED_VALUE"""),2200.0)</f>
        <v>2200</v>
      </c>
      <c r="U817" s="1" t="s">
        <v>5813</v>
      </c>
    </row>
    <row r="818">
      <c r="A818" s="4">
        <v>45744.59954229167</v>
      </c>
      <c r="B818" s="3" t="s">
        <v>5814</v>
      </c>
      <c r="C818" s="3" t="s">
        <v>5815</v>
      </c>
      <c r="D818" s="3" t="s">
        <v>20</v>
      </c>
      <c r="E818" s="6">
        <v>45726.0</v>
      </c>
      <c r="F818" s="33">
        <v>524300.0</v>
      </c>
      <c r="G818" s="3" t="s">
        <v>21</v>
      </c>
      <c r="H818" s="3" t="s">
        <v>22</v>
      </c>
      <c r="K818" s="3" t="s">
        <v>5816</v>
      </c>
      <c r="L818" s="3" t="s">
        <v>5817</v>
      </c>
      <c r="M818" s="3" t="s">
        <v>5818</v>
      </c>
      <c r="N818" s="3" t="s">
        <v>27</v>
      </c>
      <c r="O818" s="3" t="s">
        <v>5819</v>
      </c>
      <c r="Q818" s="3" t="s">
        <v>4891</v>
      </c>
      <c r="S818" s="27" t="s">
        <v>5820</v>
      </c>
      <c r="T818" s="27">
        <f>IFERROR(__xludf.DUMMYFUNCTION("""COMPUTED_VALUE"""),2724.0)</f>
        <v>2724</v>
      </c>
      <c r="U818" s="1" t="s">
        <v>5821</v>
      </c>
    </row>
    <row r="819">
      <c r="A819" s="4">
        <v>45744.69401277778</v>
      </c>
      <c r="B819" s="3" t="s">
        <v>5260</v>
      </c>
      <c r="C819" s="3" t="s">
        <v>5822</v>
      </c>
      <c r="D819" s="3" t="s">
        <v>20</v>
      </c>
      <c r="E819" s="6">
        <v>45461.0</v>
      </c>
      <c r="F819" s="33">
        <v>9132.0</v>
      </c>
      <c r="G819" s="3" t="s">
        <v>21</v>
      </c>
      <c r="H819" s="3" t="s">
        <v>22</v>
      </c>
      <c r="K819" s="3" t="s">
        <v>5823</v>
      </c>
      <c r="L819" s="3" t="s">
        <v>5824</v>
      </c>
      <c r="M819" s="3" t="s">
        <v>5825</v>
      </c>
      <c r="N819" s="3" t="s">
        <v>27</v>
      </c>
      <c r="O819" s="3" t="s">
        <v>5266</v>
      </c>
      <c r="Q819" s="3" t="s">
        <v>4891</v>
      </c>
      <c r="S819" s="27" t="s">
        <v>5826</v>
      </c>
      <c r="T819" s="27">
        <f>IFERROR(__xludf.DUMMYFUNCTION("""COMPUTED_VALUE"""),2553.0)</f>
        <v>2553</v>
      </c>
      <c r="U819" s="1" t="s">
        <v>5827</v>
      </c>
    </row>
    <row r="820">
      <c r="A820" s="4">
        <v>45748.600179560184</v>
      </c>
      <c r="B820" s="3" t="s">
        <v>2095</v>
      </c>
      <c r="C820" s="3" t="s">
        <v>5828</v>
      </c>
      <c r="D820" s="3" t="s">
        <v>756</v>
      </c>
      <c r="E820" s="6">
        <v>45738.0</v>
      </c>
      <c r="F820" s="33">
        <v>500.0</v>
      </c>
      <c r="G820" s="3" t="s">
        <v>136</v>
      </c>
      <c r="H820" s="3" t="s">
        <v>22</v>
      </c>
      <c r="K820" s="3" t="s">
        <v>5829</v>
      </c>
      <c r="L820" s="3" t="s">
        <v>5830</v>
      </c>
      <c r="M820" s="3" t="s">
        <v>5831</v>
      </c>
      <c r="N820" s="3" t="s">
        <v>760</v>
      </c>
      <c r="O820" s="3" t="s">
        <v>2100</v>
      </c>
      <c r="Q820" s="3" t="s">
        <v>4891</v>
      </c>
      <c r="S820" s="27" t="s">
        <v>5832</v>
      </c>
      <c r="T820" s="27">
        <f>IFERROR(__xludf.DUMMYFUNCTION("""COMPUTED_VALUE"""),1747.0)</f>
        <v>1747</v>
      </c>
      <c r="U820" s="1" t="s">
        <v>5833</v>
      </c>
    </row>
    <row r="821">
      <c r="A821" s="4">
        <v>45749.51349056713</v>
      </c>
      <c r="B821" s="3" t="s">
        <v>4047</v>
      </c>
      <c r="C821" s="3" t="s">
        <v>5834</v>
      </c>
      <c r="D821" s="3" t="s">
        <v>230</v>
      </c>
      <c r="E821" s="6">
        <v>45689.0</v>
      </c>
      <c r="F821" s="33">
        <v>600.0</v>
      </c>
      <c r="G821" s="3" t="s">
        <v>21</v>
      </c>
      <c r="H821" s="3" t="s">
        <v>22</v>
      </c>
      <c r="J821" s="1" t="s">
        <v>5835</v>
      </c>
      <c r="K821" s="3" t="s">
        <v>5836</v>
      </c>
      <c r="L821" s="3" t="s">
        <v>5837</v>
      </c>
      <c r="M821" s="3" t="s">
        <v>5838</v>
      </c>
      <c r="N821" s="3" t="s">
        <v>234</v>
      </c>
      <c r="O821" s="3" t="s">
        <v>4053</v>
      </c>
      <c r="Q821" s="3" t="s">
        <v>4891</v>
      </c>
      <c r="S821" s="27" t="s">
        <v>5839</v>
      </c>
      <c r="T821" s="27">
        <f>IFERROR(__xludf.DUMMYFUNCTION("""COMPUTED_VALUE"""),2487.0)</f>
        <v>2487</v>
      </c>
      <c r="U821" s="1" t="s">
        <v>5840</v>
      </c>
    </row>
    <row r="822">
      <c r="A822" s="4">
        <v>45763.5482181713</v>
      </c>
      <c r="B822" s="3" t="s">
        <v>5703</v>
      </c>
      <c r="C822" s="3" t="s">
        <v>5841</v>
      </c>
      <c r="D822" s="3" t="s">
        <v>230</v>
      </c>
      <c r="E822" s="6">
        <v>45689.0</v>
      </c>
      <c r="F822" s="33">
        <v>300.0</v>
      </c>
      <c r="G822" s="3" t="s">
        <v>21</v>
      </c>
      <c r="H822" s="3" t="s">
        <v>22</v>
      </c>
      <c r="K822" s="3" t="s">
        <v>5842</v>
      </c>
      <c r="L822" s="3" t="s">
        <v>5843</v>
      </c>
      <c r="M822" s="3" t="s">
        <v>5844</v>
      </c>
      <c r="N822" s="3" t="s">
        <v>234</v>
      </c>
      <c r="O822" s="3" t="s">
        <v>5708</v>
      </c>
      <c r="Q822" s="3" t="s">
        <v>4891</v>
      </c>
      <c r="S822" s="27" t="s">
        <v>5845</v>
      </c>
      <c r="T822" s="27">
        <f>IFERROR(__xludf.DUMMYFUNCTION("""COMPUTED_VALUE"""),2687.0)</f>
        <v>2687</v>
      </c>
      <c r="U822" s="1" t="s">
        <v>5846</v>
      </c>
    </row>
    <row r="823">
      <c r="A823" s="4">
        <v>45763.5482181713</v>
      </c>
      <c r="B823" s="3" t="s">
        <v>5703</v>
      </c>
      <c r="C823" s="3" t="s">
        <v>5847</v>
      </c>
      <c r="D823" s="3" t="s">
        <v>230</v>
      </c>
      <c r="E823" s="6">
        <v>45689.0</v>
      </c>
      <c r="F823" s="33">
        <v>300.0</v>
      </c>
      <c r="G823" s="3" t="s">
        <v>21</v>
      </c>
      <c r="H823" s="3" t="s">
        <v>22</v>
      </c>
      <c r="K823" s="3" t="s">
        <v>5848</v>
      </c>
      <c r="L823" s="3" t="s">
        <v>5849</v>
      </c>
      <c r="M823" s="3" t="s">
        <v>5850</v>
      </c>
      <c r="N823" s="3" t="s">
        <v>234</v>
      </c>
      <c r="O823" s="3" t="s">
        <v>5708</v>
      </c>
      <c r="Q823" s="3" t="s">
        <v>4891</v>
      </c>
      <c r="S823" s="27" t="s">
        <v>5851</v>
      </c>
      <c r="T823" s="27">
        <f>IFERROR(__xludf.DUMMYFUNCTION("""COMPUTED_VALUE"""),2687.0)</f>
        <v>2687</v>
      </c>
      <c r="U823" s="1" t="s">
        <v>5852</v>
      </c>
    </row>
    <row r="824">
      <c r="A824" s="4">
        <v>45763.5482181713</v>
      </c>
      <c r="B824" s="3" t="s">
        <v>5703</v>
      </c>
      <c r="C824" s="3" t="s">
        <v>5853</v>
      </c>
      <c r="D824" s="3" t="s">
        <v>230</v>
      </c>
      <c r="E824" s="6">
        <v>45689.0</v>
      </c>
      <c r="F824" s="33">
        <v>300.0</v>
      </c>
      <c r="G824" s="3" t="s">
        <v>21</v>
      </c>
      <c r="H824" s="3" t="s">
        <v>22</v>
      </c>
      <c r="K824" s="3" t="s">
        <v>5854</v>
      </c>
      <c r="L824" s="3" t="s">
        <v>5855</v>
      </c>
      <c r="M824" s="3" t="s">
        <v>5856</v>
      </c>
      <c r="N824" s="3" t="s">
        <v>234</v>
      </c>
      <c r="O824" s="3" t="s">
        <v>5708</v>
      </c>
      <c r="Q824" s="3" t="s">
        <v>4891</v>
      </c>
      <c r="S824" s="27" t="s">
        <v>5857</v>
      </c>
      <c r="T824" s="27">
        <f>IFERROR(__xludf.DUMMYFUNCTION("""COMPUTED_VALUE"""),2687.0)</f>
        <v>2687</v>
      </c>
      <c r="U824" s="1" t="s">
        <v>5858</v>
      </c>
    </row>
    <row r="825">
      <c r="A825" s="4">
        <v>45763.57860018518</v>
      </c>
      <c r="B825" s="3" t="s">
        <v>516</v>
      </c>
      <c r="C825" s="3" t="s">
        <v>5859</v>
      </c>
      <c r="D825" s="3" t="s">
        <v>358</v>
      </c>
      <c r="E825" s="6">
        <v>45751.0</v>
      </c>
      <c r="F825" s="33">
        <v>582553.5</v>
      </c>
      <c r="G825" s="3" t="s">
        <v>21</v>
      </c>
      <c r="H825" s="3" t="s">
        <v>22</v>
      </c>
      <c r="J825" s="1" t="s">
        <v>1706</v>
      </c>
      <c r="K825" s="3" t="s">
        <v>5860</v>
      </c>
      <c r="L825" s="3" t="s">
        <v>5861</v>
      </c>
      <c r="M825" s="3" t="s">
        <v>5862</v>
      </c>
      <c r="N825" s="3" t="s">
        <v>362</v>
      </c>
      <c r="O825" s="3" t="s">
        <v>524</v>
      </c>
      <c r="Q825" s="3" t="s">
        <v>4891</v>
      </c>
      <c r="S825" s="27" t="s">
        <v>5863</v>
      </c>
      <c r="T825" s="27">
        <f>IFERROR(__xludf.DUMMYFUNCTION("""COMPUTED_VALUE"""),1371.0)</f>
        <v>1371</v>
      </c>
      <c r="U825" s="1" t="s">
        <v>5864</v>
      </c>
    </row>
    <row r="826">
      <c r="A826" s="4">
        <v>45763.57860018518</v>
      </c>
      <c r="B826" s="3" t="s">
        <v>4680</v>
      </c>
      <c r="C826" s="3" t="s">
        <v>5865</v>
      </c>
      <c r="D826" s="3" t="s">
        <v>20</v>
      </c>
      <c r="E826" s="6">
        <v>45750.0</v>
      </c>
      <c r="F826" s="33">
        <v>3500.0</v>
      </c>
      <c r="G826" s="3" t="s">
        <v>136</v>
      </c>
      <c r="H826" s="3" t="s">
        <v>22</v>
      </c>
      <c r="K826" s="3" t="s">
        <v>5866</v>
      </c>
      <c r="L826" s="3" t="s">
        <v>5867</v>
      </c>
      <c r="M826" s="3" t="s">
        <v>5868</v>
      </c>
      <c r="N826" s="3" t="s">
        <v>27</v>
      </c>
      <c r="O826" s="3" t="s">
        <v>4685</v>
      </c>
      <c r="Q826" s="3" t="s">
        <v>4891</v>
      </c>
      <c r="S826" s="27" t="s">
        <v>5869</v>
      </c>
      <c r="T826" s="27">
        <f>IFERROR(__xludf.DUMMYFUNCTION("""COMPUTED_VALUE"""),2592.0)</f>
        <v>2592</v>
      </c>
      <c r="U826" s="1" t="s">
        <v>5870</v>
      </c>
    </row>
    <row r="827">
      <c r="A827" s="4">
        <v>45763.62260289352</v>
      </c>
      <c r="B827" s="3" t="s">
        <v>5871</v>
      </c>
      <c r="C827" s="3" t="s">
        <v>4978</v>
      </c>
      <c r="D827" s="3" t="s">
        <v>358</v>
      </c>
      <c r="E827" s="6">
        <v>45748.0</v>
      </c>
      <c r="F827" s="33">
        <v>1480.0</v>
      </c>
      <c r="G827" s="3" t="s">
        <v>136</v>
      </c>
      <c r="H827" s="3" t="s">
        <v>22</v>
      </c>
      <c r="K827" s="3" t="s">
        <v>5872</v>
      </c>
      <c r="L827" s="3" t="s">
        <v>5873</v>
      </c>
      <c r="M827" s="3" t="s">
        <v>5874</v>
      </c>
      <c r="N827" s="3" t="s">
        <v>362</v>
      </c>
      <c r="O827" s="3" t="s">
        <v>5875</v>
      </c>
      <c r="Q827" s="3" t="s">
        <v>4891</v>
      </c>
      <c r="S827" s="27" t="s">
        <v>5876</v>
      </c>
      <c r="T827" s="27">
        <f>IFERROR(__xludf.DUMMYFUNCTION("""COMPUTED_VALUE"""),2689.0)</f>
        <v>2689</v>
      </c>
      <c r="U827" s="1" t="s">
        <v>5877</v>
      </c>
    </row>
    <row r="828">
      <c r="A828" s="4">
        <v>45763.62260289352</v>
      </c>
      <c r="B828" s="3" t="s">
        <v>5878</v>
      </c>
      <c r="C828" s="3" t="s">
        <v>4978</v>
      </c>
      <c r="D828" s="3" t="s">
        <v>358</v>
      </c>
      <c r="E828" s="6">
        <v>45748.0</v>
      </c>
      <c r="F828" s="33">
        <v>1900.0</v>
      </c>
      <c r="G828" s="3" t="s">
        <v>136</v>
      </c>
      <c r="H828" s="3" t="s">
        <v>22</v>
      </c>
      <c r="K828" s="3" t="s">
        <v>5879</v>
      </c>
      <c r="L828" s="3" t="s">
        <v>5880</v>
      </c>
      <c r="M828" s="3" t="s">
        <v>5881</v>
      </c>
      <c r="N828" s="3" t="s">
        <v>362</v>
      </c>
      <c r="O828" s="3" t="s">
        <v>5882</v>
      </c>
      <c r="Q828" s="3" t="s">
        <v>4891</v>
      </c>
      <c r="S828" s="27" t="s">
        <v>5883</v>
      </c>
      <c r="T828" s="27"/>
      <c r="U828" s="1" t="s">
        <v>5884</v>
      </c>
    </row>
    <row r="829">
      <c r="A829" s="4">
        <v>45763.62260289352</v>
      </c>
      <c r="B829" s="3" t="s">
        <v>5885</v>
      </c>
      <c r="C829" s="3" t="s">
        <v>4978</v>
      </c>
      <c r="D829" s="3" t="s">
        <v>358</v>
      </c>
      <c r="E829" s="6">
        <v>45748.0</v>
      </c>
      <c r="F829" s="33">
        <v>1900.0</v>
      </c>
      <c r="G829" s="3" t="s">
        <v>136</v>
      </c>
      <c r="H829" s="3" t="s">
        <v>22</v>
      </c>
      <c r="K829" s="3" t="s">
        <v>5886</v>
      </c>
      <c r="L829" s="3" t="s">
        <v>5887</v>
      </c>
      <c r="M829" s="3" t="s">
        <v>5888</v>
      </c>
      <c r="N829" s="3" t="s">
        <v>362</v>
      </c>
      <c r="O829" s="3" t="s">
        <v>5889</v>
      </c>
      <c r="Q829" s="3" t="s">
        <v>4891</v>
      </c>
      <c r="S829" s="27" t="s">
        <v>5890</v>
      </c>
      <c r="T829" s="27">
        <f>IFERROR(__xludf.DUMMYFUNCTION("""COMPUTED_VALUE"""),2731.0)</f>
        <v>2731</v>
      </c>
      <c r="U829" s="1" t="s">
        <v>5891</v>
      </c>
    </row>
    <row r="830">
      <c r="A830" s="4">
        <v>45763.63369983796</v>
      </c>
      <c r="B830" s="3" t="s">
        <v>5892</v>
      </c>
      <c r="C830" s="3" t="s">
        <v>5893</v>
      </c>
      <c r="D830" s="3" t="s">
        <v>20</v>
      </c>
      <c r="E830" s="6">
        <v>45743.0</v>
      </c>
      <c r="F830" s="33">
        <v>397794.0</v>
      </c>
      <c r="G830" s="3" t="s">
        <v>21</v>
      </c>
      <c r="H830" s="3" t="s">
        <v>22</v>
      </c>
      <c r="K830" s="3" t="s">
        <v>5894</v>
      </c>
      <c r="L830" s="3" t="s">
        <v>5895</v>
      </c>
      <c r="M830" s="3" t="s">
        <v>5896</v>
      </c>
      <c r="N830" s="3" t="s">
        <v>27</v>
      </c>
      <c r="O830" s="3" t="s">
        <v>5897</v>
      </c>
      <c r="Q830" s="3" t="s">
        <v>4891</v>
      </c>
      <c r="S830" s="27" t="s">
        <v>5898</v>
      </c>
      <c r="T830" s="27">
        <f>IFERROR(__xludf.DUMMYFUNCTION("""COMPUTED_VALUE"""),2730.0)</f>
        <v>2730</v>
      </c>
      <c r="U830" s="1" t="s">
        <v>5899</v>
      </c>
    </row>
    <row r="831">
      <c r="A831" s="4">
        <v>45763.683355393514</v>
      </c>
      <c r="B831" s="3" t="s">
        <v>5900</v>
      </c>
      <c r="C831" s="3" t="s">
        <v>5901</v>
      </c>
      <c r="D831" s="3" t="s">
        <v>20</v>
      </c>
      <c r="E831" s="6">
        <v>45763.0</v>
      </c>
      <c r="F831" s="33">
        <v>66150.0</v>
      </c>
      <c r="G831" s="3" t="s">
        <v>21</v>
      </c>
      <c r="H831" s="3" t="s">
        <v>22</v>
      </c>
      <c r="K831" s="3" t="s">
        <v>5902</v>
      </c>
      <c r="L831" s="3" t="s">
        <v>5903</v>
      </c>
      <c r="M831" s="3" t="s">
        <v>5904</v>
      </c>
      <c r="N831" s="3" t="s">
        <v>27</v>
      </c>
      <c r="O831" s="3" t="s">
        <v>5905</v>
      </c>
      <c r="Q831" s="3" t="s">
        <v>4891</v>
      </c>
      <c r="S831" s="27" t="s">
        <v>5906</v>
      </c>
      <c r="T831" s="27">
        <f>IFERROR(__xludf.DUMMYFUNCTION("""COMPUTED_VALUE"""),2747.0)</f>
        <v>2747</v>
      </c>
      <c r="U831" s="1" t="s">
        <v>5907</v>
      </c>
    </row>
    <row r="832">
      <c r="A832" s="4">
        <v>45765.53798739583</v>
      </c>
      <c r="B832" s="3" t="s">
        <v>3800</v>
      </c>
      <c r="C832" s="3" t="s">
        <v>5908</v>
      </c>
      <c r="D832" s="3" t="s">
        <v>518</v>
      </c>
      <c r="E832" s="6">
        <v>45441.0</v>
      </c>
      <c r="F832" s="33">
        <v>6930.0</v>
      </c>
      <c r="G832" s="3" t="s">
        <v>136</v>
      </c>
      <c r="H832" s="3" t="s">
        <v>22</v>
      </c>
      <c r="I832" s="3" t="s">
        <v>1145</v>
      </c>
      <c r="K832" s="3" t="s">
        <v>5909</v>
      </c>
      <c r="L832" s="3" t="s">
        <v>5910</v>
      </c>
      <c r="M832" s="3" t="s">
        <v>5911</v>
      </c>
      <c r="N832" s="3" t="s">
        <v>523</v>
      </c>
      <c r="O832" s="3" t="s">
        <v>3805</v>
      </c>
      <c r="P832" s="3" t="s">
        <v>1150</v>
      </c>
      <c r="Q832" s="3" t="s">
        <v>29</v>
      </c>
      <c r="S832" s="27" t="s">
        <v>5912</v>
      </c>
      <c r="T832" s="27">
        <f>IFERROR(__xludf.DUMMYFUNCTION("""COMPUTED_VALUE"""),2310.0)</f>
        <v>2310</v>
      </c>
      <c r="U832" s="1" t="s">
        <v>5913</v>
      </c>
    </row>
    <row r="833">
      <c r="A833" s="4">
        <v>45770.70165263889</v>
      </c>
      <c r="B833" s="3" t="s">
        <v>2155</v>
      </c>
      <c r="C833" s="3" t="s">
        <v>5914</v>
      </c>
      <c r="D833" s="3" t="s">
        <v>756</v>
      </c>
      <c r="E833" s="6">
        <v>45748.0</v>
      </c>
      <c r="F833" s="33">
        <v>8150.0</v>
      </c>
      <c r="G833" s="3" t="s">
        <v>21</v>
      </c>
      <c r="H833" s="3" t="s">
        <v>22</v>
      </c>
      <c r="K833" s="3" t="s">
        <v>5915</v>
      </c>
      <c r="L833" s="3" t="s">
        <v>5916</v>
      </c>
      <c r="M833" s="3" t="s">
        <v>5917</v>
      </c>
      <c r="N833" s="3" t="s">
        <v>760</v>
      </c>
      <c r="O833" s="3" t="s">
        <v>2160</v>
      </c>
      <c r="Q833" s="3" t="s">
        <v>4891</v>
      </c>
      <c r="S833" s="27" t="s">
        <v>5918</v>
      </c>
      <c r="T833" s="27">
        <f>IFERROR(__xludf.DUMMYFUNCTION("""COMPUTED_VALUE"""),2142.0)</f>
        <v>2142</v>
      </c>
      <c r="U833" s="1" t="s">
        <v>5919</v>
      </c>
    </row>
    <row r="834">
      <c r="A834" s="4">
        <v>45770.70165263889</v>
      </c>
      <c r="B834" s="3" t="s">
        <v>5564</v>
      </c>
      <c r="C834" s="3" t="s">
        <v>5920</v>
      </c>
      <c r="D834" s="3" t="s">
        <v>20</v>
      </c>
      <c r="E834" s="6">
        <v>45748.0</v>
      </c>
      <c r="F834" s="33">
        <v>1590.45</v>
      </c>
      <c r="G834" s="3" t="s">
        <v>136</v>
      </c>
      <c r="H834" s="3" t="s">
        <v>22</v>
      </c>
      <c r="K834" s="3" t="s">
        <v>5921</v>
      </c>
      <c r="L834" s="3" t="s">
        <v>5922</v>
      </c>
      <c r="M834" s="3" t="s">
        <v>5923</v>
      </c>
      <c r="N834" s="3" t="s">
        <v>27</v>
      </c>
      <c r="O834" s="3" t="s">
        <v>5570</v>
      </c>
      <c r="Q834" s="3" t="s">
        <v>4891</v>
      </c>
      <c r="S834" s="27" t="s">
        <v>5924</v>
      </c>
      <c r="T834" s="27">
        <f>IFERROR(__xludf.DUMMYFUNCTION("""COMPUTED_VALUE"""),2626.0)</f>
        <v>2626</v>
      </c>
      <c r="U834" s="1" t="s">
        <v>5925</v>
      </c>
    </row>
    <row r="835">
      <c r="A835" s="4">
        <v>45770.70165263889</v>
      </c>
      <c r="B835" s="3" t="s">
        <v>5926</v>
      </c>
      <c r="C835" s="3" t="s">
        <v>5927</v>
      </c>
      <c r="D835" s="3" t="s">
        <v>230</v>
      </c>
      <c r="E835" s="6">
        <v>45689.0</v>
      </c>
      <c r="F835" s="33">
        <v>1400.0</v>
      </c>
      <c r="G835" s="3" t="s">
        <v>21</v>
      </c>
      <c r="H835" s="3" t="s">
        <v>22</v>
      </c>
      <c r="J835" s="1" t="s">
        <v>5928</v>
      </c>
      <c r="K835" s="3" t="s">
        <v>5929</v>
      </c>
      <c r="L835" s="3" t="s">
        <v>5930</v>
      </c>
      <c r="M835" s="3" t="s">
        <v>5931</v>
      </c>
      <c r="N835" s="3" t="s">
        <v>234</v>
      </c>
      <c r="O835" s="3" t="s">
        <v>5932</v>
      </c>
      <c r="Q835" s="3" t="s">
        <v>4891</v>
      </c>
      <c r="S835" s="27" t="s">
        <v>5933</v>
      </c>
      <c r="T835" s="27"/>
      <c r="U835" s="1" t="s">
        <v>5934</v>
      </c>
    </row>
    <row r="836">
      <c r="A836" s="4">
        <v>45778.82676891204</v>
      </c>
      <c r="B836" s="3" t="s">
        <v>4573</v>
      </c>
      <c r="C836" s="3" t="s">
        <v>5935</v>
      </c>
      <c r="D836" s="3" t="s">
        <v>358</v>
      </c>
      <c r="E836" s="6">
        <v>45748.0</v>
      </c>
      <c r="F836" s="33">
        <v>160000.0</v>
      </c>
      <c r="G836" s="3" t="s">
        <v>136</v>
      </c>
      <c r="H836" s="3" t="s">
        <v>22</v>
      </c>
      <c r="I836" s="3" t="s">
        <v>1145</v>
      </c>
      <c r="J836" s="1" t="s">
        <v>4582</v>
      </c>
      <c r="K836" s="3" t="s">
        <v>5936</v>
      </c>
      <c r="L836" s="3" t="s">
        <v>5937</v>
      </c>
      <c r="M836" s="3" t="s">
        <v>5938</v>
      </c>
      <c r="N836" s="3" t="s">
        <v>362</v>
      </c>
      <c r="O836" s="3" t="s">
        <v>4578</v>
      </c>
      <c r="P836" s="3" t="s">
        <v>1150</v>
      </c>
      <c r="Q836" s="3" t="s">
        <v>29</v>
      </c>
      <c r="S836" s="27" t="s">
        <v>5939</v>
      </c>
      <c r="T836" s="27">
        <f>IFERROR(__xludf.DUMMYFUNCTION("""COMPUTED_VALUE"""),2492.0)</f>
        <v>2492</v>
      </c>
      <c r="U836" s="1" t="s">
        <v>5940</v>
      </c>
    </row>
    <row r="837">
      <c r="A837" s="4">
        <v>45783.50953898148</v>
      </c>
      <c r="B837" s="3" t="s">
        <v>103</v>
      </c>
      <c r="C837" s="3" t="s">
        <v>5941</v>
      </c>
      <c r="D837" s="3" t="s">
        <v>1049</v>
      </c>
      <c r="E837" s="6">
        <v>45769.0</v>
      </c>
      <c r="F837" s="33">
        <v>3160.0</v>
      </c>
      <c r="G837" s="3" t="s">
        <v>136</v>
      </c>
      <c r="H837" s="3" t="s">
        <v>22</v>
      </c>
      <c r="K837" s="3" t="s">
        <v>5942</v>
      </c>
      <c r="L837" s="3" t="s">
        <v>5943</v>
      </c>
      <c r="M837" s="3" t="s">
        <v>5944</v>
      </c>
      <c r="N837" s="3" t="s">
        <v>1054</v>
      </c>
      <c r="O837" s="3" t="s">
        <v>108</v>
      </c>
      <c r="Q837" s="3" t="s">
        <v>4891</v>
      </c>
      <c r="S837" s="27" t="s">
        <v>5945</v>
      </c>
      <c r="T837" s="27">
        <f>IFERROR(__xludf.DUMMYFUNCTION("""COMPUTED_VALUE"""),93.0)</f>
        <v>93</v>
      </c>
      <c r="U837" s="1" t="s">
        <v>5946</v>
      </c>
    </row>
    <row r="838">
      <c r="A838" s="4">
        <v>45783.50953898148</v>
      </c>
      <c r="B838" s="3" t="s">
        <v>516</v>
      </c>
      <c r="C838" s="3" t="s">
        <v>5947</v>
      </c>
      <c r="D838" s="3" t="s">
        <v>1049</v>
      </c>
      <c r="E838" s="6">
        <v>45771.0</v>
      </c>
      <c r="F838" s="33">
        <v>1600.0</v>
      </c>
      <c r="G838" s="3" t="s">
        <v>21</v>
      </c>
      <c r="H838" s="3" t="s">
        <v>22</v>
      </c>
      <c r="K838" s="3" t="s">
        <v>5948</v>
      </c>
      <c r="L838" s="3" t="s">
        <v>5949</v>
      </c>
      <c r="M838" s="3" t="s">
        <v>5950</v>
      </c>
      <c r="N838" s="3" t="s">
        <v>1054</v>
      </c>
      <c r="O838" s="3" t="s">
        <v>524</v>
      </c>
      <c r="Q838" s="3" t="s">
        <v>4891</v>
      </c>
      <c r="S838" s="27" t="s">
        <v>5951</v>
      </c>
      <c r="T838" s="27">
        <f>IFERROR(__xludf.DUMMYFUNCTION("""COMPUTED_VALUE"""),1371.0)</f>
        <v>1371</v>
      </c>
      <c r="U838" s="1" t="s">
        <v>5952</v>
      </c>
    </row>
    <row r="839">
      <c r="A839" s="4">
        <v>45784.575150439814</v>
      </c>
      <c r="B839" s="3" t="s">
        <v>393</v>
      </c>
      <c r="C839" s="3" t="s">
        <v>5953</v>
      </c>
      <c r="D839" s="3" t="s">
        <v>20</v>
      </c>
      <c r="E839" s="6">
        <v>45748.0</v>
      </c>
      <c r="F839" s="33">
        <v>15000.0</v>
      </c>
      <c r="G839" s="3" t="s">
        <v>21</v>
      </c>
      <c r="H839" s="3" t="s">
        <v>22</v>
      </c>
      <c r="K839" s="3" t="s">
        <v>5954</v>
      </c>
      <c r="L839" s="3" t="s">
        <v>5955</v>
      </c>
      <c r="M839" s="3" t="s">
        <v>5956</v>
      </c>
      <c r="N839" s="3" t="s">
        <v>27</v>
      </c>
      <c r="O839" s="3" t="s">
        <v>398</v>
      </c>
      <c r="Q839" s="3" t="s">
        <v>29</v>
      </c>
      <c r="S839" s="27" t="s">
        <v>5957</v>
      </c>
      <c r="T839" s="27">
        <f>IFERROR(__xludf.DUMMYFUNCTION("""COMPUTED_VALUE"""),1148.0)</f>
        <v>1148</v>
      </c>
      <c r="U839" s="1" t="s">
        <v>5958</v>
      </c>
    </row>
    <row r="840">
      <c r="A840" s="4">
        <v>45785.6523346412</v>
      </c>
      <c r="B840" s="3" t="s">
        <v>4252</v>
      </c>
      <c r="C840" s="3" t="s">
        <v>5959</v>
      </c>
      <c r="D840" s="3" t="s">
        <v>756</v>
      </c>
      <c r="E840" s="6">
        <v>45778.0</v>
      </c>
      <c r="F840" s="33">
        <v>500.0</v>
      </c>
      <c r="G840" s="3" t="s">
        <v>136</v>
      </c>
      <c r="H840" s="3" t="s">
        <v>22</v>
      </c>
      <c r="K840" s="3" t="s">
        <v>5960</v>
      </c>
      <c r="L840" s="3" t="s">
        <v>5961</v>
      </c>
      <c r="M840" s="3" t="s">
        <v>5962</v>
      </c>
      <c r="N840" s="3" t="s">
        <v>760</v>
      </c>
      <c r="O840" s="3" t="s">
        <v>3942</v>
      </c>
      <c r="Q840" s="3" t="s">
        <v>4891</v>
      </c>
      <c r="S840" s="27" t="s">
        <v>5963</v>
      </c>
      <c r="T840" s="27">
        <f>IFERROR(__xludf.DUMMYFUNCTION("""COMPUTED_VALUE"""),2007.0)</f>
        <v>2007</v>
      </c>
      <c r="U840" s="1" t="s">
        <v>5964</v>
      </c>
    </row>
    <row r="841">
      <c r="A841" s="4">
        <v>45791.591861064815</v>
      </c>
      <c r="B841" s="3" t="s">
        <v>2934</v>
      </c>
      <c r="C841" s="3" t="s">
        <v>5965</v>
      </c>
      <c r="D841" s="3" t="s">
        <v>358</v>
      </c>
      <c r="E841" s="6">
        <v>45778.0</v>
      </c>
      <c r="F841" s="28">
        <v>36547.7</v>
      </c>
      <c r="G841" s="3" t="s">
        <v>21</v>
      </c>
      <c r="H841" s="3" t="s">
        <v>22</v>
      </c>
      <c r="K841" s="3" t="s">
        <v>5966</v>
      </c>
      <c r="L841" s="3" t="s">
        <v>5967</v>
      </c>
      <c r="M841" s="3" t="s">
        <v>5968</v>
      </c>
      <c r="N841" s="3" t="s">
        <v>362</v>
      </c>
      <c r="O841" s="3" t="s">
        <v>2939</v>
      </c>
      <c r="Q841" s="3" t="s">
        <v>4891</v>
      </c>
      <c r="S841" s="27" t="s">
        <v>5969</v>
      </c>
      <c r="T841" s="27">
        <f>IFERROR(__xludf.DUMMYFUNCTION("""COMPUTED_VALUE"""),2011.0)</f>
        <v>2011</v>
      </c>
      <c r="U841" s="1" t="s">
        <v>5970</v>
      </c>
    </row>
    <row r="842">
      <c r="A842" s="4">
        <v>45791.62267153936</v>
      </c>
      <c r="B842" s="3" t="s">
        <v>482</v>
      </c>
      <c r="C842" s="3" t="s">
        <v>5971</v>
      </c>
      <c r="D842" s="3" t="s">
        <v>358</v>
      </c>
      <c r="E842" s="6">
        <v>45715.0</v>
      </c>
      <c r="F842" s="33">
        <v>94315.0</v>
      </c>
      <c r="G842" s="3" t="s">
        <v>350</v>
      </c>
      <c r="H842" s="3" t="s">
        <v>22</v>
      </c>
      <c r="K842" s="3" t="s">
        <v>5972</v>
      </c>
      <c r="L842" s="3" t="s">
        <v>5973</v>
      </c>
      <c r="M842" s="3" t="s">
        <v>5974</v>
      </c>
      <c r="N842" s="3" t="s">
        <v>362</v>
      </c>
      <c r="O842" s="3" t="s">
        <v>487</v>
      </c>
      <c r="Q842" s="3" t="s">
        <v>4891</v>
      </c>
      <c r="S842" s="27" t="s">
        <v>5975</v>
      </c>
      <c r="T842" s="27">
        <f>IFERROR(__xludf.DUMMYFUNCTION("""COMPUTED_VALUE"""),4.0)</f>
        <v>4</v>
      </c>
      <c r="U842" s="1" t="s">
        <v>5976</v>
      </c>
    </row>
    <row r="843">
      <c r="A843" s="4">
        <v>45791.805944837964</v>
      </c>
      <c r="B843" s="3" t="s">
        <v>2155</v>
      </c>
      <c r="C843" s="3" t="s">
        <v>5977</v>
      </c>
      <c r="D843" s="3" t="s">
        <v>20</v>
      </c>
      <c r="E843" s="6">
        <v>45778.0</v>
      </c>
      <c r="F843" s="33">
        <v>10318.0</v>
      </c>
      <c r="G843" s="3" t="s">
        <v>21</v>
      </c>
      <c r="H843" s="3" t="s">
        <v>22</v>
      </c>
      <c r="I843" s="3" t="s">
        <v>3792</v>
      </c>
      <c r="K843" s="3" t="s">
        <v>5978</v>
      </c>
      <c r="L843" s="3" t="s">
        <v>5979</v>
      </c>
      <c r="M843" s="3" t="s">
        <v>5980</v>
      </c>
      <c r="N843" s="3" t="s">
        <v>27</v>
      </c>
      <c r="O843" s="3" t="s">
        <v>2160</v>
      </c>
      <c r="P843" s="3" t="s">
        <v>3797</v>
      </c>
      <c r="Q843" s="3" t="s">
        <v>29</v>
      </c>
      <c r="S843" s="27" t="s">
        <v>5981</v>
      </c>
      <c r="T843" s="27">
        <f>IFERROR(__xludf.DUMMYFUNCTION("""COMPUTED_VALUE"""),2142.0)</f>
        <v>2142</v>
      </c>
      <c r="U843" s="1" t="s">
        <v>5982</v>
      </c>
    </row>
    <row r="844">
      <c r="A844" s="4">
        <v>45792.647234108794</v>
      </c>
      <c r="B844" s="3" t="s">
        <v>4150</v>
      </c>
      <c r="C844" s="3" t="s">
        <v>5983</v>
      </c>
      <c r="D844" s="3" t="s">
        <v>20</v>
      </c>
      <c r="E844" s="6">
        <v>45790.0</v>
      </c>
      <c r="F844" s="33">
        <v>235060.0</v>
      </c>
      <c r="G844" s="3" t="s">
        <v>21</v>
      </c>
      <c r="H844" s="3" t="s">
        <v>22</v>
      </c>
      <c r="K844" s="3" t="s">
        <v>5984</v>
      </c>
      <c r="L844" s="3" t="s">
        <v>5985</v>
      </c>
      <c r="M844" s="3" t="s">
        <v>5986</v>
      </c>
      <c r="N844" s="3" t="s">
        <v>27</v>
      </c>
      <c r="O844" s="3" t="s">
        <v>4156</v>
      </c>
      <c r="Q844" s="3" t="s">
        <v>4891</v>
      </c>
      <c r="S844" s="27" t="s">
        <v>5987</v>
      </c>
      <c r="T844" s="27">
        <f>IFERROR(__xludf.DUMMYFUNCTION("""COMPUTED_VALUE"""),2479.0)</f>
        <v>2479</v>
      </c>
      <c r="U844" s="1" t="s">
        <v>5988</v>
      </c>
    </row>
    <row r="845">
      <c r="A845" s="4">
        <v>45799.75661996528</v>
      </c>
      <c r="B845" s="3" t="s">
        <v>5989</v>
      </c>
      <c r="C845" s="3" t="s">
        <v>5990</v>
      </c>
      <c r="D845" s="3" t="s">
        <v>20</v>
      </c>
      <c r="E845" s="6">
        <v>45799.0</v>
      </c>
      <c r="F845" s="33">
        <v>50000.0</v>
      </c>
      <c r="G845" s="3" t="s">
        <v>21</v>
      </c>
      <c r="H845" s="3" t="s">
        <v>22</v>
      </c>
      <c r="K845" s="3" t="s">
        <v>5991</v>
      </c>
      <c r="L845" s="3" t="s">
        <v>5992</v>
      </c>
      <c r="M845" s="3" t="s">
        <v>5993</v>
      </c>
      <c r="N845" s="3" t="s">
        <v>27</v>
      </c>
      <c r="O845" s="3" t="s">
        <v>5994</v>
      </c>
      <c r="Q845" s="3" t="s">
        <v>4891</v>
      </c>
      <c r="S845" s="27" t="s">
        <v>5995</v>
      </c>
      <c r="T845" s="27">
        <f>IFERROR(__xludf.DUMMYFUNCTION("""COMPUTED_VALUE"""),2760.0)</f>
        <v>2760</v>
      </c>
      <c r="U845" s="1" t="s">
        <v>5996</v>
      </c>
    </row>
    <row r="846">
      <c r="A846" s="4">
        <v>45804.60171210648</v>
      </c>
      <c r="B846" s="3" t="s">
        <v>2907</v>
      </c>
      <c r="C846" s="3" t="s">
        <v>5997</v>
      </c>
      <c r="D846" s="3" t="s">
        <v>358</v>
      </c>
      <c r="E846" s="6">
        <v>45791.0</v>
      </c>
      <c r="F846" s="33">
        <v>28000.0</v>
      </c>
      <c r="G846" s="3" t="s">
        <v>350</v>
      </c>
      <c r="H846" s="3" t="s">
        <v>22</v>
      </c>
      <c r="K846" s="3" t="s">
        <v>5998</v>
      </c>
      <c r="L846" s="3" t="s">
        <v>5999</v>
      </c>
      <c r="M846" s="3" t="s">
        <v>6000</v>
      </c>
      <c r="N846" s="3" t="s">
        <v>362</v>
      </c>
      <c r="O846" s="3" t="s">
        <v>2912</v>
      </c>
      <c r="Q846" s="3" t="s">
        <v>4891</v>
      </c>
      <c r="S846" s="27" t="s">
        <v>6001</v>
      </c>
      <c r="T846" s="27">
        <f>IFERROR(__xludf.DUMMYFUNCTION("""COMPUTED_VALUE"""),2061.0)</f>
        <v>2061</v>
      </c>
      <c r="U846" s="1" t="s">
        <v>6002</v>
      </c>
    </row>
    <row r="847">
      <c r="A847" s="4">
        <v>45804.69102034722</v>
      </c>
      <c r="B847" s="3" t="s">
        <v>30</v>
      </c>
      <c r="C847" s="3" t="s">
        <v>6003</v>
      </c>
      <c r="D847" s="3" t="s">
        <v>358</v>
      </c>
      <c r="E847" s="6">
        <v>45798.0</v>
      </c>
      <c r="F847" s="28">
        <v>5806.0</v>
      </c>
      <c r="G847" s="3" t="s">
        <v>350</v>
      </c>
      <c r="H847" s="3" t="s">
        <v>22</v>
      </c>
      <c r="K847" s="3" t="s">
        <v>6004</v>
      </c>
      <c r="L847" s="3" t="s">
        <v>6005</v>
      </c>
      <c r="M847" s="3" t="s">
        <v>6006</v>
      </c>
      <c r="N847" s="3" t="s">
        <v>362</v>
      </c>
      <c r="O847" s="3" t="s">
        <v>36</v>
      </c>
      <c r="Q847" s="3" t="s">
        <v>4891</v>
      </c>
      <c r="S847" s="27" t="s">
        <v>6007</v>
      </c>
      <c r="T847" s="27">
        <f>IFERROR(__xludf.DUMMYFUNCTION("""COMPUTED_VALUE"""),541.0)</f>
        <v>541</v>
      </c>
      <c r="U847" s="1" t="s">
        <v>6008</v>
      </c>
    </row>
    <row r="848">
      <c r="A848" s="4">
        <v>45805.48642284722</v>
      </c>
      <c r="B848" s="3" t="s">
        <v>6009</v>
      </c>
      <c r="C848" s="3" t="s">
        <v>6010</v>
      </c>
      <c r="D848" s="3" t="s">
        <v>756</v>
      </c>
      <c r="E848" s="6">
        <v>45727.0</v>
      </c>
      <c r="F848" s="33">
        <v>500.0</v>
      </c>
      <c r="G848" s="3" t="s">
        <v>21</v>
      </c>
      <c r="H848" s="3" t="s">
        <v>22</v>
      </c>
      <c r="K848" s="3" t="s">
        <v>6011</v>
      </c>
      <c r="L848" s="3" t="s">
        <v>6012</v>
      </c>
      <c r="M848" s="3" t="s">
        <v>6013</v>
      </c>
      <c r="N848" s="3" t="s">
        <v>760</v>
      </c>
      <c r="O848" s="3" t="s">
        <v>6014</v>
      </c>
      <c r="Q848" s="3" t="s">
        <v>4891</v>
      </c>
      <c r="S848" s="27" t="s">
        <v>6015</v>
      </c>
      <c r="T848" s="27">
        <f>IFERROR(__xludf.DUMMYFUNCTION("""COMPUTED_VALUE"""),2768.0)</f>
        <v>2768</v>
      </c>
      <c r="U848" s="1" t="s">
        <v>6016</v>
      </c>
    </row>
    <row r="849">
      <c r="A849" s="4">
        <v>45805.48642284722</v>
      </c>
      <c r="B849" s="3" t="s">
        <v>482</v>
      </c>
      <c r="C849" s="3" t="s">
        <v>6017</v>
      </c>
      <c r="D849" s="3" t="s">
        <v>1049</v>
      </c>
      <c r="E849" s="6">
        <v>45778.0</v>
      </c>
      <c r="F849" s="33">
        <v>5500.0</v>
      </c>
      <c r="G849" s="3" t="s">
        <v>136</v>
      </c>
      <c r="H849" s="3" t="s">
        <v>22</v>
      </c>
      <c r="K849" s="3" t="s">
        <v>6018</v>
      </c>
      <c r="L849" s="3" t="s">
        <v>6019</v>
      </c>
      <c r="M849" s="3" t="s">
        <v>6020</v>
      </c>
      <c r="N849" s="3" t="s">
        <v>1054</v>
      </c>
      <c r="O849" s="3" t="s">
        <v>487</v>
      </c>
      <c r="Q849" s="3" t="s">
        <v>4891</v>
      </c>
      <c r="S849" s="27" t="s">
        <v>6021</v>
      </c>
      <c r="T849" s="27">
        <f>IFERROR(__xludf.DUMMYFUNCTION("""COMPUTED_VALUE"""),4.0)</f>
        <v>4</v>
      </c>
      <c r="U849" s="1" t="s">
        <v>6022</v>
      </c>
    </row>
    <row r="850">
      <c r="A850" s="4">
        <v>45806.51716287037</v>
      </c>
      <c r="B850" s="3" t="s">
        <v>6023</v>
      </c>
      <c r="C850" s="3" t="s">
        <v>6024</v>
      </c>
      <c r="D850" s="3" t="s">
        <v>20</v>
      </c>
      <c r="E850" s="6">
        <v>45806.0</v>
      </c>
      <c r="F850" s="33">
        <v>339800.0</v>
      </c>
      <c r="G850" s="3" t="s">
        <v>21</v>
      </c>
      <c r="H850" s="3" t="s">
        <v>22</v>
      </c>
      <c r="K850" s="3" t="s">
        <v>6025</v>
      </c>
      <c r="L850" s="3" t="s">
        <v>6026</v>
      </c>
      <c r="M850" s="3" t="s">
        <v>6027</v>
      </c>
      <c r="N850" s="3" t="s">
        <v>27</v>
      </c>
      <c r="O850" s="3" t="s">
        <v>6028</v>
      </c>
      <c r="Q850" s="3" t="s">
        <v>4891</v>
      </c>
      <c r="S850" s="27" t="s">
        <v>6029</v>
      </c>
      <c r="T850" s="27">
        <f>IFERROR(__xludf.DUMMYFUNCTION("""COMPUTED_VALUE"""),2771.0)</f>
        <v>2771</v>
      </c>
      <c r="U850" s="1" t="s">
        <v>6030</v>
      </c>
    </row>
    <row r="851">
      <c r="A851" s="4">
        <v>45806.9741458912</v>
      </c>
      <c r="B851" s="3" t="s">
        <v>6031</v>
      </c>
      <c r="C851" s="3" t="s">
        <v>6032</v>
      </c>
      <c r="D851" s="3" t="s">
        <v>20</v>
      </c>
      <c r="E851" s="6">
        <v>45778.0</v>
      </c>
      <c r="F851" s="33">
        <v>94000.0</v>
      </c>
      <c r="G851" s="3" t="s">
        <v>21</v>
      </c>
      <c r="H851" s="3" t="s">
        <v>22</v>
      </c>
      <c r="I851" s="3" t="s">
        <v>3781</v>
      </c>
      <c r="K851" s="3" t="s">
        <v>6033</v>
      </c>
      <c r="L851" s="3" t="s">
        <v>6034</v>
      </c>
      <c r="M851" s="3" t="s">
        <v>6035</v>
      </c>
      <c r="N851" s="3" t="s">
        <v>27</v>
      </c>
      <c r="O851" s="3" t="s">
        <v>6036</v>
      </c>
      <c r="P851" s="3" t="s">
        <v>3787</v>
      </c>
      <c r="Q851" s="3" t="s">
        <v>29</v>
      </c>
      <c r="S851" s="27" t="s">
        <v>6037</v>
      </c>
      <c r="T851" s="27">
        <f>IFERROR(__xludf.DUMMYFUNCTION("""COMPUTED_VALUE"""),2764.0)</f>
        <v>2764</v>
      </c>
      <c r="U851" s="1" t="s">
        <v>6038</v>
      </c>
    </row>
    <row r="852">
      <c r="A852" s="4">
        <v>45807.52539435185</v>
      </c>
      <c r="B852" s="3" t="s">
        <v>5703</v>
      </c>
      <c r="C852" s="3" t="s">
        <v>6039</v>
      </c>
      <c r="D852" s="3" t="s">
        <v>756</v>
      </c>
      <c r="E852" s="6">
        <v>45784.0</v>
      </c>
      <c r="F852" s="33">
        <v>1400.0</v>
      </c>
      <c r="G852" s="3" t="s">
        <v>136</v>
      </c>
      <c r="H852" s="3" t="s">
        <v>1946</v>
      </c>
      <c r="K852" s="3" t="s">
        <v>6040</v>
      </c>
      <c r="L852" s="3" t="s">
        <v>6041</v>
      </c>
      <c r="M852" s="3" t="s">
        <v>6042</v>
      </c>
      <c r="N852" s="3" t="s">
        <v>760</v>
      </c>
      <c r="O852" s="3" t="s">
        <v>5708</v>
      </c>
      <c r="Q852" s="3" t="s">
        <v>4891</v>
      </c>
      <c r="S852" s="27" t="s">
        <v>6043</v>
      </c>
      <c r="T852" s="27">
        <f>IFERROR(__xludf.DUMMYFUNCTION("""COMPUTED_VALUE"""),2687.0)</f>
        <v>2687</v>
      </c>
      <c r="U852" s="1" t="s">
        <v>6044</v>
      </c>
    </row>
    <row r="853">
      <c r="A853" s="4">
        <v>45807.527821724536</v>
      </c>
      <c r="B853" s="3" t="s">
        <v>1165</v>
      </c>
      <c r="C853" s="3" t="s">
        <v>6045</v>
      </c>
      <c r="D853" s="3" t="s">
        <v>756</v>
      </c>
      <c r="E853" s="6">
        <v>45757.0</v>
      </c>
      <c r="F853" s="33">
        <v>400.0</v>
      </c>
      <c r="G853" s="3" t="s">
        <v>136</v>
      </c>
      <c r="H853" s="3" t="s">
        <v>22</v>
      </c>
      <c r="K853" s="3" t="s">
        <v>6046</v>
      </c>
      <c r="L853" s="3" t="s">
        <v>6047</v>
      </c>
      <c r="M853" s="3" t="s">
        <v>6048</v>
      </c>
      <c r="N853" s="3" t="s">
        <v>760</v>
      </c>
      <c r="O853" s="3" t="s">
        <v>1171</v>
      </c>
      <c r="Q853" s="3" t="s">
        <v>4891</v>
      </c>
      <c r="S853" s="27" t="s">
        <v>6049</v>
      </c>
      <c r="T853" s="27">
        <f>IFERROR(__xludf.DUMMYFUNCTION("""COMPUTED_VALUE"""),1167.0)</f>
        <v>1167</v>
      </c>
      <c r="U853" s="1" t="s">
        <v>6050</v>
      </c>
    </row>
    <row r="854">
      <c r="A854" s="4">
        <v>45807.55790472223</v>
      </c>
      <c r="B854" s="3" t="s">
        <v>6051</v>
      </c>
      <c r="C854" s="3" t="s">
        <v>6052</v>
      </c>
      <c r="D854" s="3" t="s">
        <v>20</v>
      </c>
      <c r="E854" s="6">
        <v>45798.0</v>
      </c>
      <c r="F854" s="33">
        <v>26680.0</v>
      </c>
      <c r="G854" s="3" t="s">
        <v>21</v>
      </c>
      <c r="H854" s="3" t="s">
        <v>22</v>
      </c>
      <c r="K854" s="3" t="s">
        <v>6053</v>
      </c>
      <c r="L854" s="3" t="s">
        <v>6054</v>
      </c>
      <c r="M854" s="3" t="s">
        <v>6055</v>
      </c>
      <c r="N854" s="3" t="s">
        <v>27</v>
      </c>
      <c r="O854" s="3" t="s">
        <v>6056</v>
      </c>
      <c r="Q854" s="3" t="s">
        <v>4891</v>
      </c>
      <c r="S854" s="27" t="s">
        <v>6057</v>
      </c>
      <c r="T854" s="27">
        <f>IFERROR(__xludf.DUMMYFUNCTION("""COMPUTED_VALUE"""),2774.0)</f>
        <v>2774</v>
      </c>
      <c r="U854" s="1" t="s">
        <v>6058</v>
      </c>
    </row>
    <row r="855">
      <c r="A855" s="4">
        <v>45807.64972756944</v>
      </c>
      <c r="B855" s="3" t="s">
        <v>365</v>
      </c>
      <c r="C855" s="3" t="s">
        <v>6059</v>
      </c>
      <c r="D855" s="3" t="s">
        <v>358</v>
      </c>
      <c r="E855" s="6">
        <v>43634.0</v>
      </c>
      <c r="F855" s="33">
        <v>3835.0</v>
      </c>
      <c r="G855" s="3" t="s">
        <v>21</v>
      </c>
      <c r="H855" s="3" t="s">
        <v>1946</v>
      </c>
      <c r="K855" s="3" t="s">
        <v>6060</v>
      </c>
      <c r="L855" s="3" t="s">
        <v>6061</v>
      </c>
      <c r="M855" s="3" t="s">
        <v>6062</v>
      </c>
      <c r="N855" s="3" t="s">
        <v>362</v>
      </c>
      <c r="O855" s="3" t="s">
        <v>370</v>
      </c>
      <c r="Q855" s="3" t="s">
        <v>4891</v>
      </c>
      <c r="S855" s="27" t="s">
        <v>6063</v>
      </c>
      <c r="T855" s="27">
        <f>IFERROR(__xludf.DUMMYFUNCTION("""COMPUTED_VALUE"""),1108.0)</f>
        <v>1108</v>
      </c>
      <c r="U855" s="1" t="s">
        <v>6064</v>
      </c>
    </row>
    <row r="856">
      <c r="A856" s="4">
        <v>45810.52665071759</v>
      </c>
      <c r="B856" s="3" t="s">
        <v>393</v>
      </c>
      <c r="C856" s="3" t="s">
        <v>6065</v>
      </c>
      <c r="D856" s="3" t="s">
        <v>20</v>
      </c>
      <c r="E856" s="6">
        <v>45809.0</v>
      </c>
      <c r="F856" s="33">
        <v>30000.0</v>
      </c>
      <c r="G856" s="3" t="s">
        <v>21</v>
      </c>
      <c r="H856" s="3" t="s">
        <v>22</v>
      </c>
      <c r="I856" s="3" t="s">
        <v>1434</v>
      </c>
      <c r="K856" s="3" t="s">
        <v>6066</v>
      </c>
      <c r="L856" s="3" t="s">
        <v>6067</v>
      </c>
      <c r="M856" s="3" t="s">
        <v>6068</v>
      </c>
      <c r="N856" s="3" t="s">
        <v>27</v>
      </c>
      <c r="O856" s="3" t="s">
        <v>398</v>
      </c>
      <c r="P856" s="3" t="s">
        <v>1439</v>
      </c>
      <c r="Q856" s="3" t="s">
        <v>29</v>
      </c>
      <c r="S856" s="27" t="s">
        <v>6069</v>
      </c>
      <c r="T856" s="27">
        <f>IFERROR(__xludf.DUMMYFUNCTION("""COMPUTED_VALUE"""),1148.0)</f>
        <v>1148</v>
      </c>
      <c r="U856" s="1" t="s">
        <v>6070</v>
      </c>
    </row>
    <row r="857">
      <c r="A857" s="4">
        <v>45810.754254768515</v>
      </c>
      <c r="B857" s="3" t="s">
        <v>393</v>
      </c>
      <c r="C857" s="3" t="s">
        <v>6071</v>
      </c>
      <c r="D857" s="3" t="s">
        <v>20</v>
      </c>
      <c r="E857" s="6">
        <v>45292.0</v>
      </c>
      <c r="F857" s="33">
        <v>10000.0</v>
      </c>
      <c r="G857" s="3" t="s">
        <v>21</v>
      </c>
      <c r="H857" s="3" t="s">
        <v>22</v>
      </c>
      <c r="I857" s="3" t="s">
        <v>1434</v>
      </c>
      <c r="K857" s="3" t="s">
        <v>6072</v>
      </c>
      <c r="L857" s="3" t="s">
        <v>6073</v>
      </c>
      <c r="M857" s="3" t="s">
        <v>6074</v>
      </c>
      <c r="N857" s="3" t="s">
        <v>27</v>
      </c>
      <c r="O857" s="3" t="s">
        <v>398</v>
      </c>
      <c r="P857" s="3" t="s">
        <v>1439</v>
      </c>
      <c r="Q857" s="3" t="s">
        <v>29</v>
      </c>
      <c r="S857" s="27" t="s">
        <v>6075</v>
      </c>
      <c r="T857" s="27">
        <f>IFERROR(__xludf.DUMMYFUNCTION("""COMPUTED_VALUE"""),1148.0)</f>
        <v>1148</v>
      </c>
      <c r="U857" s="1" t="s">
        <v>6076</v>
      </c>
    </row>
    <row r="858">
      <c r="A858" s="4">
        <v>45811.48765486111</v>
      </c>
      <c r="B858" s="3" t="s">
        <v>3800</v>
      </c>
      <c r="C858" s="3" t="s">
        <v>6077</v>
      </c>
      <c r="D858" s="3" t="s">
        <v>358</v>
      </c>
      <c r="E858" s="6">
        <v>45804.0</v>
      </c>
      <c r="F858" s="33">
        <v>4040.0</v>
      </c>
      <c r="G858" s="3" t="s">
        <v>21</v>
      </c>
      <c r="H858" s="3" t="s">
        <v>22</v>
      </c>
      <c r="K858" s="3" t="s">
        <v>6078</v>
      </c>
      <c r="L858" s="3" t="s">
        <v>6079</v>
      </c>
      <c r="M858" s="3" t="s">
        <v>6080</v>
      </c>
      <c r="N858" s="3" t="s">
        <v>362</v>
      </c>
      <c r="O858" s="3" t="s">
        <v>3805</v>
      </c>
      <c r="Q858" s="3" t="s">
        <v>4891</v>
      </c>
      <c r="S858" s="27" t="s">
        <v>6081</v>
      </c>
      <c r="T858" s="27">
        <f>IFERROR(__xludf.DUMMYFUNCTION("""COMPUTED_VALUE"""),2310.0)</f>
        <v>2310</v>
      </c>
      <c r="U858" s="1" t="s">
        <v>6082</v>
      </c>
    </row>
    <row r="859">
      <c r="A859" s="4">
        <v>45811.74080341435</v>
      </c>
      <c r="B859" s="3" t="s">
        <v>6083</v>
      </c>
      <c r="C859" s="3" t="s">
        <v>6084</v>
      </c>
      <c r="D859" s="3" t="s">
        <v>358</v>
      </c>
      <c r="E859" s="6">
        <v>45804.0</v>
      </c>
      <c r="F859" s="33">
        <v>8720.0</v>
      </c>
      <c r="G859" s="3" t="s">
        <v>21</v>
      </c>
      <c r="H859" s="3" t="s">
        <v>22</v>
      </c>
      <c r="K859" s="3" t="s">
        <v>6085</v>
      </c>
      <c r="L859" s="3" t="s">
        <v>6086</v>
      </c>
      <c r="M859" s="3" t="s">
        <v>6087</v>
      </c>
      <c r="N859" s="3" t="s">
        <v>362</v>
      </c>
      <c r="O859" s="3" t="s">
        <v>6088</v>
      </c>
      <c r="Q859" s="3" t="s">
        <v>4891</v>
      </c>
      <c r="S859" s="27" t="s">
        <v>6089</v>
      </c>
      <c r="T859" s="27">
        <f>IFERROR(__xludf.DUMMYFUNCTION("""COMPUTED_VALUE"""),2755.0)</f>
        <v>2755</v>
      </c>
      <c r="U859" s="1" t="s">
        <v>6090</v>
      </c>
    </row>
    <row r="860">
      <c r="A860" s="4">
        <v>45811.74080341435</v>
      </c>
      <c r="B860" s="3" t="s">
        <v>5926</v>
      </c>
      <c r="C860" s="3" t="s">
        <v>6091</v>
      </c>
      <c r="D860" s="3" t="s">
        <v>756</v>
      </c>
      <c r="E860" s="6">
        <v>45807.0</v>
      </c>
      <c r="F860" s="33">
        <v>1000.0</v>
      </c>
      <c r="G860" s="3" t="s">
        <v>136</v>
      </c>
      <c r="H860" s="3" t="s">
        <v>22</v>
      </c>
      <c r="K860" s="3" t="s">
        <v>6092</v>
      </c>
      <c r="L860" s="3" t="s">
        <v>6093</v>
      </c>
      <c r="M860" s="3" t="s">
        <v>6094</v>
      </c>
      <c r="N860" s="3" t="s">
        <v>760</v>
      </c>
      <c r="O860" s="3" t="s">
        <v>5932</v>
      </c>
      <c r="Q860" s="3" t="s">
        <v>4891</v>
      </c>
      <c r="S860" s="27" t="s">
        <v>6095</v>
      </c>
      <c r="T860" s="27"/>
      <c r="U860" s="1" t="s">
        <v>6096</v>
      </c>
    </row>
    <row r="861">
      <c r="A861" s="4">
        <v>45817.509531828706</v>
      </c>
      <c r="B861" s="3" t="s">
        <v>110</v>
      </c>
      <c r="C861" s="3" t="s">
        <v>6097</v>
      </c>
      <c r="D861" s="3" t="s">
        <v>756</v>
      </c>
      <c r="E861" s="6">
        <v>45096.0</v>
      </c>
      <c r="F861" s="33">
        <v>3000.0</v>
      </c>
      <c r="G861" s="3" t="s">
        <v>136</v>
      </c>
      <c r="H861" s="3" t="s">
        <v>1946</v>
      </c>
      <c r="K861" s="3" t="s">
        <v>6098</v>
      </c>
      <c r="L861" s="3" t="s">
        <v>6099</v>
      </c>
      <c r="M861" s="3" t="s">
        <v>6100</v>
      </c>
      <c r="N861" s="3" t="s">
        <v>760</v>
      </c>
      <c r="O861" s="3" t="s">
        <v>116</v>
      </c>
      <c r="Q861" s="3" t="s">
        <v>4891</v>
      </c>
      <c r="S861" s="27" t="s">
        <v>6101</v>
      </c>
      <c r="T861" s="27">
        <f>IFERROR(__xludf.DUMMYFUNCTION("""COMPUTED_VALUE"""),853.0)</f>
        <v>853</v>
      </c>
      <c r="U861" s="1" t="s">
        <v>6102</v>
      </c>
    </row>
    <row r="862">
      <c r="A862" s="4">
        <v>45818.58874652778</v>
      </c>
      <c r="B862" s="3" t="s">
        <v>1375</v>
      </c>
      <c r="C862" s="3" t="s">
        <v>6103</v>
      </c>
      <c r="D862" s="3" t="s">
        <v>20</v>
      </c>
      <c r="E862" s="6">
        <v>45809.0</v>
      </c>
      <c r="F862" s="33">
        <v>1187000.0</v>
      </c>
      <c r="G862" s="3" t="s">
        <v>21</v>
      </c>
      <c r="H862" s="3" t="s">
        <v>22</v>
      </c>
      <c r="I862" s="3" t="s">
        <v>1434</v>
      </c>
      <c r="K862" s="3" t="s">
        <v>6104</v>
      </c>
      <c r="L862" s="3" t="s">
        <v>6105</v>
      </c>
      <c r="M862" s="3" t="s">
        <v>6106</v>
      </c>
      <c r="N862" s="3" t="s">
        <v>27</v>
      </c>
      <c r="O862" s="3" t="s">
        <v>1380</v>
      </c>
      <c r="P862" s="3" t="s">
        <v>1439</v>
      </c>
      <c r="Q862" s="3" t="s">
        <v>29</v>
      </c>
      <c r="S862" s="27" t="s">
        <v>6107</v>
      </c>
      <c r="T862" s="27"/>
      <c r="U862" s="1" t="s">
        <v>6108</v>
      </c>
    </row>
    <row r="863">
      <c r="A863" s="4">
        <v>45819.81494964121</v>
      </c>
      <c r="B863" s="3" t="s">
        <v>3800</v>
      </c>
      <c r="C863" s="3" t="s">
        <v>6077</v>
      </c>
      <c r="D863" s="3" t="s">
        <v>358</v>
      </c>
      <c r="E863" s="6">
        <v>45809.0</v>
      </c>
      <c r="F863" s="33">
        <v>4040.0</v>
      </c>
      <c r="G863" s="3" t="s">
        <v>21</v>
      </c>
      <c r="H863" s="3" t="s">
        <v>22</v>
      </c>
      <c r="I863" s="3" t="s">
        <v>1145</v>
      </c>
      <c r="K863" s="3" t="s">
        <v>6109</v>
      </c>
      <c r="L863" s="3" t="s">
        <v>6110</v>
      </c>
      <c r="M863" s="3" t="s">
        <v>6080</v>
      </c>
      <c r="N863" s="3" t="s">
        <v>362</v>
      </c>
      <c r="O863" s="3" t="s">
        <v>3805</v>
      </c>
      <c r="P863" s="3" t="s">
        <v>1150</v>
      </c>
      <c r="Q863" s="3" t="s">
        <v>29</v>
      </c>
      <c r="S863" s="27" t="s">
        <v>6111</v>
      </c>
      <c r="T863" s="27">
        <f>IFERROR(__xludf.DUMMYFUNCTION("""COMPUTED_VALUE"""),2310.0)</f>
        <v>2310</v>
      </c>
      <c r="U863" s="1" t="s">
        <v>6112</v>
      </c>
    </row>
    <row r="864">
      <c r="A864" s="4">
        <v>45820.598705358796</v>
      </c>
      <c r="B864" s="3" t="s">
        <v>4597</v>
      </c>
      <c r="C864" s="3" t="s">
        <v>6113</v>
      </c>
      <c r="D864" s="3" t="s">
        <v>20</v>
      </c>
      <c r="E864" s="6">
        <v>45620.0</v>
      </c>
      <c r="F864" s="33">
        <v>900.0</v>
      </c>
      <c r="G864" s="3" t="s">
        <v>21</v>
      </c>
      <c r="H864" s="3" t="s">
        <v>22</v>
      </c>
      <c r="K864" s="3" t="s">
        <v>6114</v>
      </c>
      <c r="L864" s="3" t="s">
        <v>6115</v>
      </c>
      <c r="M864" s="3" t="s">
        <v>6116</v>
      </c>
      <c r="N864" s="3" t="s">
        <v>27</v>
      </c>
      <c r="O864" s="3" t="s">
        <v>4603</v>
      </c>
      <c r="Q864" s="3" t="s">
        <v>4891</v>
      </c>
      <c r="S864" s="27" t="s">
        <v>6117</v>
      </c>
      <c r="T864" s="27">
        <f>IFERROR(__xludf.DUMMYFUNCTION("""COMPUTED_VALUE"""),2556.0)</f>
        <v>2556</v>
      </c>
      <c r="U864" s="1" t="s">
        <v>6118</v>
      </c>
    </row>
    <row r="865">
      <c r="A865" s="4">
        <v>45820.63667673611</v>
      </c>
      <c r="B865" s="3" t="s">
        <v>482</v>
      </c>
      <c r="C865" s="3" t="s">
        <v>6119</v>
      </c>
      <c r="D865" s="3" t="s">
        <v>358</v>
      </c>
      <c r="E865" s="6">
        <v>45671.0</v>
      </c>
      <c r="F865" s="33">
        <v>84565.0</v>
      </c>
      <c r="G865" s="3" t="s">
        <v>21</v>
      </c>
      <c r="H865" s="3" t="s">
        <v>22</v>
      </c>
      <c r="I865" s="3" t="s">
        <v>1137</v>
      </c>
      <c r="K865" s="3" t="s">
        <v>6120</v>
      </c>
      <c r="L865" s="3" t="s">
        <v>6121</v>
      </c>
      <c r="M865" s="3" t="s">
        <v>6122</v>
      </c>
      <c r="N865" s="3" t="s">
        <v>362</v>
      </c>
      <c r="O865" s="3" t="s">
        <v>487</v>
      </c>
      <c r="P865" s="3" t="s">
        <v>1141</v>
      </c>
      <c r="Q865" s="3" t="s">
        <v>29</v>
      </c>
      <c r="S865" s="27" t="s">
        <v>6123</v>
      </c>
      <c r="T865" s="27">
        <f>IFERROR(__xludf.DUMMYFUNCTION("""COMPUTED_VALUE"""),4.0)</f>
        <v>4</v>
      </c>
      <c r="U865" s="1" t="s">
        <v>6124</v>
      </c>
    </row>
    <row r="866">
      <c r="A866" s="4">
        <v>45824.96181920139</v>
      </c>
      <c r="B866" s="3" t="s">
        <v>4573</v>
      </c>
      <c r="C866" s="3" t="s">
        <v>6125</v>
      </c>
      <c r="D866" s="3" t="s">
        <v>358</v>
      </c>
      <c r="E866" s="6">
        <v>45813.0</v>
      </c>
      <c r="F866" s="33">
        <v>16491.0</v>
      </c>
      <c r="G866" s="3" t="s">
        <v>136</v>
      </c>
      <c r="H866" s="3" t="s">
        <v>22</v>
      </c>
      <c r="I866" s="3" t="s">
        <v>1145</v>
      </c>
      <c r="K866" s="3" t="s">
        <v>6126</v>
      </c>
      <c r="L866" s="3" t="s">
        <v>6127</v>
      </c>
      <c r="M866" s="3" t="s">
        <v>6128</v>
      </c>
      <c r="N866" s="3" t="s">
        <v>362</v>
      </c>
      <c r="O866" s="3" t="s">
        <v>4578</v>
      </c>
      <c r="P866" s="3" t="s">
        <v>1150</v>
      </c>
      <c r="Q866" s="3" t="s">
        <v>29</v>
      </c>
      <c r="S866" s="27" t="s">
        <v>6129</v>
      </c>
      <c r="T866" s="27">
        <f>IFERROR(__xludf.DUMMYFUNCTION("""COMPUTED_VALUE"""),2492.0)</f>
        <v>2492</v>
      </c>
      <c r="U866" s="1" t="s">
        <v>6130</v>
      </c>
    </row>
    <row r="867">
      <c r="A867" s="4">
        <v>45825.448754467594</v>
      </c>
      <c r="B867" s="3" t="s">
        <v>1737</v>
      </c>
      <c r="C867" s="3" t="s">
        <v>6131</v>
      </c>
      <c r="D867" s="3" t="s">
        <v>756</v>
      </c>
      <c r="E867" s="6">
        <v>45806.0</v>
      </c>
      <c r="F867" s="33">
        <v>770.0</v>
      </c>
      <c r="G867" s="3" t="s">
        <v>136</v>
      </c>
      <c r="H867" s="3" t="s">
        <v>22</v>
      </c>
      <c r="K867" s="3" t="s">
        <v>6132</v>
      </c>
      <c r="L867" s="3" t="s">
        <v>6133</v>
      </c>
      <c r="M867" s="3" t="s">
        <v>6134</v>
      </c>
      <c r="N867" s="3" t="s">
        <v>760</v>
      </c>
      <c r="O867" s="3" t="s">
        <v>1743</v>
      </c>
      <c r="Q867" s="3" t="s">
        <v>4891</v>
      </c>
      <c r="S867" s="27" t="s">
        <v>6135</v>
      </c>
      <c r="T867" s="27">
        <f>IFERROR(__xludf.DUMMYFUNCTION("""COMPUTED_VALUE"""),1703.0)</f>
        <v>1703</v>
      </c>
      <c r="U867" s="1" t="s">
        <v>6136</v>
      </c>
    </row>
    <row r="868">
      <c r="A868" s="4">
        <v>45825.448754467594</v>
      </c>
      <c r="B868" s="3" t="s">
        <v>461</v>
      </c>
      <c r="C868" s="3" t="s">
        <v>6137</v>
      </c>
      <c r="D868" s="3" t="s">
        <v>756</v>
      </c>
      <c r="E868" s="6">
        <v>45809.0</v>
      </c>
      <c r="F868" s="33">
        <v>4600.0</v>
      </c>
      <c r="G868" s="3" t="s">
        <v>136</v>
      </c>
      <c r="H868" s="3" t="s">
        <v>22</v>
      </c>
      <c r="K868" s="3" t="s">
        <v>6138</v>
      </c>
      <c r="L868" s="3" t="s">
        <v>6139</v>
      </c>
      <c r="M868" s="3" t="s">
        <v>6140</v>
      </c>
      <c r="N868" s="3" t="s">
        <v>760</v>
      </c>
      <c r="O868" s="3" t="s">
        <v>466</v>
      </c>
      <c r="Q868" s="3" t="s">
        <v>4891</v>
      </c>
      <c r="S868" s="27" t="s">
        <v>6141</v>
      </c>
      <c r="T868" s="27">
        <f>IFERROR(__xludf.DUMMYFUNCTION("""COMPUTED_VALUE"""),666.0)</f>
        <v>666</v>
      </c>
      <c r="U868" s="1" t="s">
        <v>6142</v>
      </c>
    </row>
    <row r="869">
      <c r="A869" s="4">
        <v>45825.698270162036</v>
      </c>
      <c r="B869" s="3" t="s">
        <v>242</v>
      </c>
      <c r="C869" s="3" t="s">
        <v>6143</v>
      </c>
      <c r="D869" s="3" t="s">
        <v>756</v>
      </c>
      <c r="E869" s="6">
        <v>45824.0</v>
      </c>
      <c r="F869" s="33">
        <v>99619.5</v>
      </c>
      <c r="G869" s="3" t="s">
        <v>21</v>
      </c>
      <c r="H869" s="3" t="s">
        <v>22</v>
      </c>
      <c r="K869" s="3" t="s">
        <v>6144</v>
      </c>
      <c r="L869" s="3" t="s">
        <v>6145</v>
      </c>
      <c r="M869" s="3" t="s">
        <v>6146</v>
      </c>
      <c r="N869" s="3" t="s">
        <v>760</v>
      </c>
      <c r="O869" s="3" t="s">
        <v>248</v>
      </c>
      <c r="Q869" s="3" t="s">
        <v>4891</v>
      </c>
      <c r="S869" s="27" t="s">
        <v>6147</v>
      </c>
      <c r="T869" s="27">
        <f>IFERROR(__xludf.DUMMYFUNCTION("""COMPUTED_VALUE"""),773.0)</f>
        <v>773</v>
      </c>
      <c r="U869" s="1" t="s">
        <v>6148</v>
      </c>
    </row>
    <row r="870">
      <c r="A870" s="4">
        <v>45827.52914056713</v>
      </c>
      <c r="B870" s="3" t="s">
        <v>4109</v>
      </c>
      <c r="C870" s="3" t="s">
        <v>6149</v>
      </c>
      <c r="D870" s="3" t="s">
        <v>20</v>
      </c>
      <c r="E870" s="6">
        <v>45505.0</v>
      </c>
      <c r="F870" s="33">
        <v>3100.0</v>
      </c>
      <c r="G870" s="3" t="s">
        <v>136</v>
      </c>
      <c r="H870" s="3" t="s">
        <v>22</v>
      </c>
      <c r="K870" s="3" t="s">
        <v>6150</v>
      </c>
      <c r="L870" s="3" t="s">
        <v>6151</v>
      </c>
      <c r="M870" s="3" t="s">
        <v>6152</v>
      </c>
      <c r="N870" s="3" t="s">
        <v>27</v>
      </c>
      <c r="O870" s="3" t="s">
        <v>4115</v>
      </c>
      <c r="Q870" s="3" t="s">
        <v>4891</v>
      </c>
      <c r="S870" s="27" t="s">
        <v>6153</v>
      </c>
      <c r="T870" s="27">
        <f>IFERROR(__xludf.DUMMYFUNCTION("""COMPUTED_VALUE"""),2433.0)</f>
        <v>2433</v>
      </c>
      <c r="U870" s="1" t="s">
        <v>6154</v>
      </c>
    </row>
    <row r="871">
      <c r="A871" s="4">
        <v>45832.50695298611</v>
      </c>
      <c r="B871" s="3" t="s">
        <v>5162</v>
      </c>
      <c r="C871" s="3" t="s">
        <v>5163</v>
      </c>
      <c r="D871" s="3" t="s">
        <v>230</v>
      </c>
      <c r="E871" s="6">
        <v>45627.0</v>
      </c>
      <c r="F871" s="33">
        <v>300.0</v>
      </c>
      <c r="G871" s="3" t="s">
        <v>136</v>
      </c>
      <c r="H871" s="3" t="s">
        <v>22</v>
      </c>
      <c r="K871" s="3" t="s">
        <v>6155</v>
      </c>
      <c r="L871" s="3" t="s">
        <v>6156</v>
      </c>
      <c r="M871" s="3" t="s">
        <v>6157</v>
      </c>
      <c r="N871" s="3" t="s">
        <v>234</v>
      </c>
      <c r="O871" s="3" t="s">
        <v>5167</v>
      </c>
      <c r="Q871" s="3" t="s">
        <v>4891</v>
      </c>
      <c r="S871" s="27" t="s">
        <v>6158</v>
      </c>
      <c r="T871" s="27"/>
      <c r="U871" s="1" t="s">
        <v>6159</v>
      </c>
    </row>
    <row r="872">
      <c r="A872" s="4">
        <v>45832.50695298611</v>
      </c>
      <c r="B872" s="3" t="s">
        <v>6009</v>
      </c>
      <c r="C872" s="3" t="s">
        <v>6160</v>
      </c>
      <c r="D872" s="3" t="s">
        <v>230</v>
      </c>
      <c r="E872" s="6">
        <v>45790.0</v>
      </c>
      <c r="F872" s="33">
        <v>100.0</v>
      </c>
      <c r="G872" s="3" t="s">
        <v>21</v>
      </c>
      <c r="H872" s="3" t="s">
        <v>22</v>
      </c>
      <c r="K872" s="3" t="s">
        <v>6161</v>
      </c>
      <c r="L872" s="3" t="s">
        <v>6162</v>
      </c>
      <c r="M872" s="3" t="s">
        <v>6163</v>
      </c>
      <c r="N872" s="3" t="s">
        <v>234</v>
      </c>
      <c r="O872" s="3" t="s">
        <v>6014</v>
      </c>
      <c r="Q872" s="3" t="s">
        <v>4891</v>
      </c>
      <c r="S872" s="27" t="s">
        <v>6164</v>
      </c>
      <c r="T872" s="27">
        <f>IFERROR(__xludf.DUMMYFUNCTION("""COMPUTED_VALUE"""),2768.0)</f>
        <v>2768</v>
      </c>
      <c r="U872" s="1" t="s">
        <v>6165</v>
      </c>
    </row>
    <row r="873">
      <c r="A873" s="4">
        <v>45833.71717777778</v>
      </c>
      <c r="B873" s="3" t="s">
        <v>6166</v>
      </c>
      <c r="C873" s="3" t="s">
        <v>6167</v>
      </c>
      <c r="D873" s="3" t="s">
        <v>358</v>
      </c>
      <c r="E873" s="6">
        <v>45906.0</v>
      </c>
      <c r="F873" s="33">
        <v>4400.0</v>
      </c>
      <c r="G873" s="3" t="s">
        <v>21</v>
      </c>
      <c r="H873" s="3" t="s">
        <v>22</v>
      </c>
      <c r="K873" s="3" t="s">
        <v>6168</v>
      </c>
      <c r="L873" s="3" t="s">
        <v>6169</v>
      </c>
      <c r="M873" s="3" t="s">
        <v>6170</v>
      </c>
      <c r="N873" s="3" t="s">
        <v>362</v>
      </c>
      <c r="O873" s="3" t="s">
        <v>6171</v>
      </c>
      <c r="Q873" s="3" t="s">
        <v>4891</v>
      </c>
      <c r="S873" s="27" t="s">
        <v>6172</v>
      </c>
      <c r="T873" s="27"/>
      <c r="U873" s="1" t="s">
        <v>6173</v>
      </c>
    </row>
    <row r="874">
      <c r="A874" s="4">
        <v>45838.83292331018</v>
      </c>
      <c r="B874" s="3" t="s">
        <v>2934</v>
      </c>
      <c r="C874" s="3" t="s">
        <v>6174</v>
      </c>
      <c r="D874" s="3" t="s">
        <v>358</v>
      </c>
      <c r="E874" s="6">
        <v>45597.0</v>
      </c>
      <c r="F874" s="28">
        <v>1000.0</v>
      </c>
      <c r="G874" s="3" t="s">
        <v>136</v>
      </c>
      <c r="H874" s="3" t="s">
        <v>22</v>
      </c>
      <c r="I874" s="3" t="s">
        <v>1145</v>
      </c>
      <c r="K874" s="3" t="s">
        <v>6175</v>
      </c>
      <c r="L874" s="3" t="s">
        <v>6176</v>
      </c>
      <c r="M874" s="3" t="s">
        <v>6177</v>
      </c>
      <c r="N874" s="3" t="s">
        <v>362</v>
      </c>
      <c r="O874" s="3" t="s">
        <v>2939</v>
      </c>
      <c r="P874" s="3" t="s">
        <v>1150</v>
      </c>
      <c r="Q874" s="3" t="s">
        <v>29</v>
      </c>
      <c r="S874" s="27" t="s">
        <v>6178</v>
      </c>
      <c r="T874" s="27">
        <f>IFERROR(__xludf.DUMMYFUNCTION("""COMPUTED_VALUE"""),2011.0)</f>
        <v>2011</v>
      </c>
      <c r="U874" s="1" t="s">
        <v>6179</v>
      </c>
    </row>
    <row r="875">
      <c r="A875" s="4">
        <v>45838.847702349536</v>
      </c>
      <c r="B875" s="3" t="s">
        <v>2934</v>
      </c>
      <c r="C875" s="3" t="s">
        <v>6180</v>
      </c>
      <c r="D875" s="3" t="s">
        <v>358</v>
      </c>
      <c r="E875" s="6">
        <v>45566.0</v>
      </c>
      <c r="F875" s="28">
        <v>6100.0</v>
      </c>
      <c r="G875" s="3" t="s">
        <v>136</v>
      </c>
      <c r="H875" s="3" t="s">
        <v>22</v>
      </c>
      <c r="I875" s="3" t="s">
        <v>1145</v>
      </c>
      <c r="K875" s="3" t="s">
        <v>6181</v>
      </c>
      <c r="L875" s="3" t="s">
        <v>6182</v>
      </c>
      <c r="M875" s="3" t="s">
        <v>6183</v>
      </c>
      <c r="N875" s="3" t="s">
        <v>362</v>
      </c>
      <c r="O875" s="3" t="s">
        <v>2939</v>
      </c>
      <c r="P875" s="3" t="s">
        <v>1150</v>
      </c>
      <c r="Q875" s="3" t="s">
        <v>29</v>
      </c>
      <c r="S875" s="27" t="s">
        <v>6184</v>
      </c>
      <c r="T875" s="27">
        <f>IFERROR(__xludf.DUMMYFUNCTION("""COMPUTED_VALUE"""),2011.0)</f>
        <v>2011</v>
      </c>
      <c r="U875" s="1" t="s">
        <v>6185</v>
      </c>
    </row>
    <row r="876">
      <c r="A876" s="4">
        <v>45838.84942399306</v>
      </c>
      <c r="B876" s="3" t="s">
        <v>2934</v>
      </c>
      <c r="C876" s="3" t="s">
        <v>6186</v>
      </c>
      <c r="D876" s="3" t="s">
        <v>20</v>
      </c>
      <c r="E876" s="6">
        <v>45778.0</v>
      </c>
      <c r="F876" s="28">
        <v>24300.0</v>
      </c>
      <c r="G876" s="3" t="s">
        <v>21</v>
      </c>
      <c r="H876" s="3" t="s">
        <v>22</v>
      </c>
      <c r="K876" s="3" t="s">
        <v>6187</v>
      </c>
      <c r="L876" s="3" t="s">
        <v>6188</v>
      </c>
      <c r="M876" s="3" t="s">
        <v>6189</v>
      </c>
      <c r="N876" s="3" t="s">
        <v>27</v>
      </c>
      <c r="O876" s="3" t="s">
        <v>2939</v>
      </c>
      <c r="Q876" s="3" t="s">
        <v>29</v>
      </c>
      <c r="S876" s="27" t="s">
        <v>6190</v>
      </c>
      <c r="T876" s="27">
        <f>IFERROR(__xludf.DUMMYFUNCTION("""COMPUTED_VALUE"""),2011.0)</f>
        <v>2011</v>
      </c>
      <c r="U876" s="1" t="s">
        <v>6191</v>
      </c>
    </row>
    <row r="877">
      <c r="A877" s="4">
        <v>45849.603582118056</v>
      </c>
      <c r="B877" s="3" t="s">
        <v>1375</v>
      </c>
      <c r="C877" s="3" t="s">
        <v>6192</v>
      </c>
      <c r="D877" s="3" t="s">
        <v>20</v>
      </c>
      <c r="E877" s="6">
        <v>45846.0</v>
      </c>
      <c r="F877" s="33">
        <v>1087440.0</v>
      </c>
      <c r="G877" s="3" t="s">
        <v>21</v>
      </c>
      <c r="H877" s="3" t="s">
        <v>22</v>
      </c>
      <c r="K877" s="3" t="s">
        <v>6193</v>
      </c>
      <c r="L877" s="3" t="s">
        <v>6194</v>
      </c>
      <c r="M877" s="3" t="s">
        <v>6195</v>
      </c>
      <c r="N877" s="3" t="s">
        <v>27</v>
      </c>
      <c r="O877" s="3" t="s">
        <v>1380</v>
      </c>
      <c r="Q877" s="3" t="s">
        <v>4891</v>
      </c>
      <c r="S877" s="27" t="s">
        <v>6196</v>
      </c>
      <c r="T877" s="27"/>
      <c r="U877" s="1" t="s">
        <v>6197</v>
      </c>
    </row>
    <row r="878">
      <c r="A878" s="4">
        <v>45849.603582118056</v>
      </c>
      <c r="B878" s="3" t="s">
        <v>1375</v>
      </c>
      <c r="C878" s="3" t="s">
        <v>6198</v>
      </c>
      <c r="D878" s="3" t="s">
        <v>20</v>
      </c>
      <c r="E878" s="6">
        <v>45846.0</v>
      </c>
      <c r="F878" s="33">
        <v>123120.0</v>
      </c>
      <c r="G878" s="3" t="s">
        <v>350</v>
      </c>
      <c r="H878" s="3" t="s">
        <v>22</v>
      </c>
      <c r="K878" s="3" t="s">
        <v>6199</v>
      </c>
      <c r="L878" s="3" t="s">
        <v>6200</v>
      </c>
      <c r="M878" s="3" t="s">
        <v>6201</v>
      </c>
      <c r="N878" s="3" t="s">
        <v>27</v>
      </c>
      <c r="O878" s="3" t="s">
        <v>1380</v>
      </c>
      <c r="Q878" s="3" t="s">
        <v>4891</v>
      </c>
      <c r="S878" s="27" t="s">
        <v>6202</v>
      </c>
      <c r="T878" s="27"/>
      <c r="U878" s="1" t="s">
        <v>6203</v>
      </c>
    </row>
    <row r="879">
      <c r="A879" s="4">
        <v>45853.54477403935</v>
      </c>
      <c r="B879" s="3" t="s">
        <v>6204</v>
      </c>
      <c r="C879" s="3" t="s">
        <v>6205</v>
      </c>
      <c r="D879" s="3" t="s">
        <v>518</v>
      </c>
      <c r="E879" s="6">
        <v>45787.0</v>
      </c>
      <c r="F879" s="33">
        <v>200.0</v>
      </c>
      <c r="G879" s="3" t="s">
        <v>21</v>
      </c>
      <c r="H879" s="3" t="s">
        <v>22</v>
      </c>
      <c r="K879" s="3" t="s">
        <v>6206</v>
      </c>
      <c r="L879" s="3" t="s">
        <v>6207</v>
      </c>
      <c r="M879" s="3" t="s">
        <v>6208</v>
      </c>
      <c r="N879" s="3" t="s">
        <v>523</v>
      </c>
      <c r="O879" s="3" t="s">
        <v>6209</v>
      </c>
      <c r="Q879" s="3" t="s">
        <v>4891</v>
      </c>
      <c r="S879" s="27" t="s">
        <v>6210</v>
      </c>
      <c r="T879" s="27"/>
      <c r="U879" s="1" t="s">
        <v>6211</v>
      </c>
    </row>
    <row r="880">
      <c r="A880" s="4">
        <v>45853.548677743056</v>
      </c>
      <c r="B880" s="3" t="s">
        <v>482</v>
      </c>
      <c r="C880" s="3" t="s">
        <v>6212</v>
      </c>
      <c r="D880" s="3" t="s">
        <v>358</v>
      </c>
      <c r="E880" s="6">
        <v>45792.0</v>
      </c>
      <c r="F880" s="33">
        <v>1200.0</v>
      </c>
      <c r="G880" s="3" t="s">
        <v>21</v>
      </c>
      <c r="H880" s="3" t="s">
        <v>22</v>
      </c>
      <c r="K880" s="3" t="s">
        <v>6213</v>
      </c>
      <c r="L880" s="3" t="s">
        <v>6214</v>
      </c>
      <c r="M880" s="3" t="s">
        <v>6215</v>
      </c>
      <c r="N880" s="3" t="s">
        <v>362</v>
      </c>
      <c r="O880" s="3" t="s">
        <v>487</v>
      </c>
      <c r="Q880" s="3" t="s">
        <v>4891</v>
      </c>
      <c r="S880" s="27" t="s">
        <v>6216</v>
      </c>
      <c r="T880" s="27">
        <f>IFERROR(__xludf.DUMMYFUNCTION("""COMPUTED_VALUE"""),4.0)</f>
        <v>4</v>
      </c>
      <c r="U880" s="1" t="s">
        <v>6217</v>
      </c>
    </row>
    <row r="881">
      <c r="A881" s="4">
        <v>45853.686290115744</v>
      </c>
      <c r="B881" s="3" t="s">
        <v>3771</v>
      </c>
      <c r="C881" s="3" t="s">
        <v>6218</v>
      </c>
      <c r="D881" s="3" t="s">
        <v>20</v>
      </c>
      <c r="E881" s="6">
        <v>45840.0</v>
      </c>
      <c r="F881" s="33">
        <v>50480.0</v>
      </c>
      <c r="G881" s="3" t="s">
        <v>21</v>
      </c>
      <c r="H881" s="3" t="s">
        <v>22</v>
      </c>
      <c r="K881" s="3" t="s">
        <v>6219</v>
      </c>
      <c r="L881" s="3" t="s">
        <v>6220</v>
      </c>
      <c r="M881" s="3" t="s">
        <v>6221</v>
      </c>
      <c r="N881" s="3" t="s">
        <v>27</v>
      </c>
      <c r="O881" s="3" t="s">
        <v>3776</v>
      </c>
      <c r="Q881" s="3" t="s">
        <v>4891</v>
      </c>
      <c r="S881" s="27" t="s">
        <v>6222</v>
      </c>
      <c r="T881" s="27">
        <f>IFERROR(__xludf.DUMMYFUNCTION("""COMPUTED_VALUE"""),2381.0)</f>
        <v>2381</v>
      </c>
      <c r="U881" s="1" t="s">
        <v>6223</v>
      </c>
    </row>
    <row r="882">
      <c r="A882" s="4">
        <v>45853.686290115744</v>
      </c>
      <c r="B882" s="3" t="s">
        <v>4573</v>
      </c>
      <c r="C882" s="3" t="s">
        <v>6224</v>
      </c>
      <c r="D882" s="3" t="s">
        <v>1049</v>
      </c>
      <c r="E882" s="6">
        <v>45806.0</v>
      </c>
      <c r="F882" s="33">
        <v>2800.0</v>
      </c>
      <c r="G882" s="3" t="s">
        <v>21</v>
      </c>
      <c r="H882" s="3" t="s">
        <v>22</v>
      </c>
      <c r="K882" s="3" t="s">
        <v>6225</v>
      </c>
      <c r="L882" s="3" t="s">
        <v>6226</v>
      </c>
      <c r="M882" s="3" t="s">
        <v>6227</v>
      </c>
      <c r="N882" s="3" t="s">
        <v>1054</v>
      </c>
      <c r="O882" s="3" t="s">
        <v>4578</v>
      </c>
      <c r="Q882" s="3" t="s">
        <v>4891</v>
      </c>
      <c r="S882" s="27" t="s">
        <v>6228</v>
      </c>
      <c r="T882" s="27">
        <f>IFERROR(__xludf.DUMMYFUNCTION("""COMPUTED_VALUE"""),2492.0)</f>
        <v>2492</v>
      </c>
      <c r="U882" s="1" t="s">
        <v>6229</v>
      </c>
    </row>
    <row r="883">
      <c r="A883" s="4">
        <v>45853.89582266204</v>
      </c>
      <c r="B883" s="3" t="s">
        <v>322</v>
      </c>
      <c r="C883" s="3" t="s">
        <v>6230</v>
      </c>
      <c r="D883" s="3" t="s">
        <v>20</v>
      </c>
      <c r="E883" s="6">
        <v>45852.0</v>
      </c>
      <c r="F883" s="33">
        <v>51000.0</v>
      </c>
      <c r="G883" s="3" t="s">
        <v>136</v>
      </c>
      <c r="H883" s="3" t="s">
        <v>22</v>
      </c>
      <c r="K883" s="3" t="s">
        <v>6231</v>
      </c>
      <c r="L883" s="3" t="s">
        <v>6232</v>
      </c>
      <c r="M883" s="3" t="s">
        <v>6233</v>
      </c>
      <c r="N883" s="3" t="s">
        <v>27</v>
      </c>
      <c r="O883" s="3" t="s">
        <v>327</v>
      </c>
      <c r="Q883" s="3" t="s">
        <v>29</v>
      </c>
      <c r="S883" s="27" t="s">
        <v>6234</v>
      </c>
      <c r="T883" s="27">
        <f>IFERROR(__xludf.DUMMYFUNCTION("""COMPUTED_VALUE"""),1132.0)</f>
        <v>1132</v>
      </c>
      <c r="U883" s="1" t="s">
        <v>6235</v>
      </c>
    </row>
    <row r="884">
      <c r="A884" s="4">
        <v>45855.58002542824</v>
      </c>
      <c r="B884" s="3" t="s">
        <v>6236</v>
      </c>
      <c r="C884" s="3" t="s">
        <v>6237</v>
      </c>
      <c r="D884" s="3" t="s">
        <v>358</v>
      </c>
      <c r="E884" s="6">
        <v>45853.0</v>
      </c>
      <c r="F884" s="33">
        <v>12585.0</v>
      </c>
      <c r="G884" s="3" t="s">
        <v>21</v>
      </c>
      <c r="H884" s="3" t="s">
        <v>22</v>
      </c>
      <c r="K884" s="3" t="s">
        <v>6238</v>
      </c>
      <c r="L884" s="3" t="s">
        <v>6239</v>
      </c>
      <c r="M884" s="3" t="s">
        <v>6240</v>
      </c>
      <c r="N884" s="3" t="s">
        <v>362</v>
      </c>
      <c r="O884" s="3" t="s">
        <v>6241</v>
      </c>
      <c r="Q884" s="3" t="s">
        <v>4891</v>
      </c>
      <c r="S884" s="27" t="s">
        <v>6242</v>
      </c>
      <c r="T884" s="27"/>
      <c r="U884" s="1" t="s">
        <v>6243</v>
      </c>
    </row>
    <row r="885">
      <c r="A885" s="4">
        <v>45856.937781886576</v>
      </c>
      <c r="B885" s="3" t="s">
        <v>461</v>
      </c>
      <c r="C885" s="3" t="s">
        <v>6137</v>
      </c>
      <c r="D885" s="3" t="s">
        <v>756</v>
      </c>
      <c r="E885" s="6">
        <v>45846.0</v>
      </c>
      <c r="F885" s="33">
        <v>4600.0</v>
      </c>
      <c r="G885" s="3" t="s">
        <v>136</v>
      </c>
      <c r="H885" s="3" t="s">
        <v>22</v>
      </c>
      <c r="K885" s="3" t="s">
        <v>6244</v>
      </c>
      <c r="L885" s="3" t="s">
        <v>6245</v>
      </c>
      <c r="M885" s="3" t="s">
        <v>6140</v>
      </c>
      <c r="N885" s="3" t="s">
        <v>760</v>
      </c>
      <c r="O885" s="3" t="s">
        <v>466</v>
      </c>
      <c r="Q885" s="3" t="s">
        <v>29</v>
      </c>
      <c r="S885" s="27" t="s">
        <v>6246</v>
      </c>
      <c r="T885" s="27">
        <f>IFERROR(__xludf.DUMMYFUNCTION("""COMPUTED_VALUE"""),666.0)</f>
        <v>666</v>
      </c>
      <c r="U885" s="1" t="s">
        <v>6247</v>
      </c>
    </row>
    <row r="886">
      <c r="A886" s="4">
        <v>45860.73203546296</v>
      </c>
      <c r="B886" s="3" t="s">
        <v>6248</v>
      </c>
      <c r="C886" s="3" t="s">
        <v>6249</v>
      </c>
      <c r="D886" s="3" t="s">
        <v>230</v>
      </c>
      <c r="E886" s="6">
        <v>44316.0</v>
      </c>
      <c r="F886" s="33">
        <v>600.0</v>
      </c>
      <c r="G886" s="3" t="s">
        <v>136</v>
      </c>
      <c r="H886" s="3" t="s">
        <v>22</v>
      </c>
      <c r="K886" s="3" t="s">
        <v>6250</v>
      </c>
      <c r="L886" s="3" t="s">
        <v>6251</v>
      </c>
      <c r="M886" s="3" t="s">
        <v>6252</v>
      </c>
      <c r="N886" s="3" t="s">
        <v>234</v>
      </c>
      <c r="O886" s="3" t="s">
        <v>6253</v>
      </c>
      <c r="Q886" s="3" t="s">
        <v>4891</v>
      </c>
      <c r="S886" s="27" t="s">
        <v>6254</v>
      </c>
      <c r="T886" s="27"/>
      <c r="U886" s="1" t="s">
        <v>6255</v>
      </c>
    </row>
    <row r="887">
      <c r="A887" s="4">
        <v>45860.82778085648</v>
      </c>
      <c r="B887" s="3" t="s">
        <v>67</v>
      </c>
      <c r="C887" s="3" t="s">
        <v>6256</v>
      </c>
      <c r="D887" s="3" t="s">
        <v>20</v>
      </c>
      <c r="E887" s="6">
        <v>45831.0</v>
      </c>
      <c r="F887" s="33">
        <v>9300.0</v>
      </c>
      <c r="G887" s="3" t="s">
        <v>21</v>
      </c>
      <c r="H887" s="3" t="s">
        <v>22</v>
      </c>
      <c r="I887" s="3" t="s">
        <v>1441</v>
      </c>
      <c r="K887" s="3" t="s">
        <v>6257</v>
      </c>
      <c r="L887" s="3" t="s">
        <v>6258</v>
      </c>
      <c r="M887" s="3" t="s">
        <v>6259</v>
      </c>
      <c r="N887" s="3" t="s">
        <v>27</v>
      </c>
      <c r="O887" s="3" t="s">
        <v>72</v>
      </c>
      <c r="P887" s="3" t="s">
        <v>1445</v>
      </c>
      <c r="Q887" s="3" t="s">
        <v>29</v>
      </c>
      <c r="S887" s="27" t="s">
        <v>6260</v>
      </c>
      <c r="T887" s="27">
        <f>IFERROR(__xludf.DUMMYFUNCTION("""COMPUTED_VALUE"""),642.0)</f>
        <v>642</v>
      </c>
      <c r="U887" s="1" t="s">
        <v>6261</v>
      </c>
    </row>
    <row r="888">
      <c r="A888" s="4">
        <v>45863.73738027777</v>
      </c>
      <c r="B888" s="3" t="s">
        <v>3196</v>
      </c>
      <c r="C888" s="3" t="s">
        <v>6262</v>
      </c>
      <c r="D888" s="3" t="s">
        <v>230</v>
      </c>
      <c r="E888" s="6">
        <v>45809.0</v>
      </c>
      <c r="F888" s="33">
        <v>500.0</v>
      </c>
      <c r="G888" s="3" t="s">
        <v>21</v>
      </c>
      <c r="H888" s="3" t="s">
        <v>22</v>
      </c>
      <c r="K888" s="3" t="s">
        <v>6263</v>
      </c>
      <c r="L888" s="3" t="s">
        <v>6264</v>
      </c>
      <c r="M888" s="3" t="s">
        <v>6265</v>
      </c>
      <c r="N888" s="3" t="s">
        <v>234</v>
      </c>
      <c r="O888" s="3" t="s">
        <v>1284</v>
      </c>
      <c r="Q888" s="3" t="s">
        <v>4891</v>
      </c>
      <c r="S888" s="27" t="s">
        <v>6266</v>
      </c>
      <c r="T888" s="27">
        <f>IFERROR(__xludf.DUMMYFUNCTION("""COMPUTED_VALUE"""),1559.0)</f>
        <v>1559</v>
      </c>
      <c r="U888" s="1" t="s">
        <v>6267</v>
      </c>
    </row>
    <row r="889">
      <c r="A889" s="4">
        <v>45863.74653127315</v>
      </c>
      <c r="B889" s="3" t="s">
        <v>6268</v>
      </c>
      <c r="C889" s="3" t="s">
        <v>6269</v>
      </c>
      <c r="D889" s="3" t="s">
        <v>20</v>
      </c>
      <c r="E889" s="6">
        <v>45863.0</v>
      </c>
      <c r="F889" s="33">
        <v>106000.0</v>
      </c>
      <c r="G889" s="3" t="s">
        <v>21</v>
      </c>
      <c r="H889" s="3" t="s">
        <v>22</v>
      </c>
      <c r="K889" s="3" t="s">
        <v>6270</v>
      </c>
      <c r="L889" s="3" t="s">
        <v>6271</v>
      </c>
      <c r="M889" s="3" t="s">
        <v>6272</v>
      </c>
      <c r="N889" s="3" t="s">
        <v>27</v>
      </c>
      <c r="O889" s="3" t="s">
        <v>6273</v>
      </c>
      <c r="Q889" s="3" t="s">
        <v>4891</v>
      </c>
      <c r="S889" s="27" t="s">
        <v>6274</v>
      </c>
      <c r="T889" s="27"/>
      <c r="U889" s="1" t="s">
        <v>6275</v>
      </c>
    </row>
    <row r="890">
      <c r="A890" s="4">
        <v>45863.851205196755</v>
      </c>
      <c r="B890" s="3" t="s">
        <v>6276</v>
      </c>
      <c r="C890" s="3" t="s">
        <v>6277</v>
      </c>
      <c r="D890" s="3" t="s">
        <v>358</v>
      </c>
      <c r="E890" s="6">
        <v>45860.0</v>
      </c>
      <c r="F890" s="33">
        <v>2500.0</v>
      </c>
      <c r="G890" s="3" t="s">
        <v>136</v>
      </c>
      <c r="H890" s="3" t="s">
        <v>22</v>
      </c>
      <c r="I890" s="3" t="s">
        <v>1145</v>
      </c>
      <c r="K890" s="3" t="s">
        <v>6278</v>
      </c>
      <c r="L890" s="3" t="s">
        <v>6279</v>
      </c>
      <c r="M890" s="3" t="s">
        <v>6280</v>
      </c>
      <c r="N890" s="3" t="s">
        <v>362</v>
      </c>
      <c r="O890" s="3" t="s">
        <v>6281</v>
      </c>
      <c r="P890" s="3" t="s">
        <v>1150</v>
      </c>
      <c r="Q890" s="3" t="s">
        <v>29</v>
      </c>
      <c r="S890" s="27" t="s">
        <v>6282</v>
      </c>
      <c r="T890" s="27">
        <f>IFERROR(__xludf.DUMMYFUNCTION("""COMPUTED_VALUE"""),2378.0)</f>
        <v>2378</v>
      </c>
      <c r="U890" s="1" t="s">
        <v>6283</v>
      </c>
    </row>
    <row r="891">
      <c r="A891" s="4">
        <v>45869.579004872685</v>
      </c>
      <c r="B891" s="3" t="s">
        <v>6284</v>
      </c>
      <c r="C891" s="3" t="s">
        <v>6285</v>
      </c>
      <c r="D891" s="3" t="s">
        <v>20</v>
      </c>
      <c r="E891" s="6">
        <v>45866.0</v>
      </c>
      <c r="F891" s="33">
        <v>104480.0</v>
      </c>
      <c r="G891" s="3" t="s">
        <v>350</v>
      </c>
      <c r="H891" s="3" t="s">
        <v>22</v>
      </c>
      <c r="K891" s="3" t="s">
        <v>6286</v>
      </c>
      <c r="L891" s="3" t="s">
        <v>6287</v>
      </c>
      <c r="M891" s="3" t="s">
        <v>6288</v>
      </c>
      <c r="N891" s="3" t="s">
        <v>27</v>
      </c>
      <c r="O891" s="3" t="s">
        <v>6289</v>
      </c>
      <c r="Q891" s="3" t="s">
        <v>4891</v>
      </c>
      <c r="S891" s="27" t="s">
        <v>6290</v>
      </c>
      <c r="T891" s="27">
        <f>IFERROR(__xludf.DUMMYFUNCTION("""COMPUTED_VALUE"""),434.0)</f>
        <v>434</v>
      </c>
      <c r="U891" s="1" t="s">
        <v>6291</v>
      </c>
    </row>
    <row r="892">
      <c r="A892" s="4">
        <v>45869.58576498843</v>
      </c>
      <c r="B892" s="3" t="s">
        <v>6284</v>
      </c>
      <c r="C892" s="3" t="s">
        <v>6292</v>
      </c>
      <c r="D892" s="3" t="s">
        <v>20</v>
      </c>
      <c r="E892" s="6">
        <v>45866.0</v>
      </c>
      <c r="F892" s="33">
        <v>417080.0</v>
      </c>
      <c r="G892" s="3" t="s">
        <v>350</v>
      </c>
      <c r="H892" s="3" t="s">
        <v>22</v>
      </c>
      <c r="K892" s="3" t="s">
        <v>6293</v>
      </c>
      <c r="L892" s="3" t="s">
        <v>6294</v>
      </c>
      <c r="M892" s="3" t="s">
        <v>6295</v>
      </c>
      <c r="N892" s="3" t="s">
        <v>27</v>
      </c>
      <c r="O892" s="3" t="s">
        <v>6289</v>
      </c>
      <c r="Q892" s="3" t="s">
        <v>4891</v>
      </c>
      <c r="S892" s="27" t="s">
        <v>6296</v>
      </c>
      <c r="T892" s="27">
        <f>IFERROR(__xludf.DUMMYFUNCTION("""COMPUTED_VALUE"""),434.0)</f>
        <v>434</v>
      </c>
      <c r="U892" s="1" t="s">
        <v>6297</v>
      </c>
    </row>
    <row r="893">
      <c r="A893" s="4">
        <v>45869.58576498843</v>
      </c>
      <c r="B893" s="3" t="s">
        <v>6284</v>
      </c>
      <c r="C893" s="3" t="s">
        <v>6298</v>
      </c>
      <c r="D893" s="3" t="s">
        <v>20</v>
      </c>
      <c r="E893" s="6">
        <v>45866.0</v>
      </c>
      <c r="F893" s="33">
        <v>11340.0</v>
      </c>
      <c r="G893" s="3" t="s">
        <v>350</v>
      </c>
      <c r="H893" s="3" t="s">
        <v>22</v>
      </c>
      <c r="K893" s="3" t="s">
        <v>6299</v>
      </c>
      <c r="L893" s="3" t="s">
        <v>6300</v>
      </c>
      <c r="M893" s="3" t="s">
        <v>6301</v>
      </c>
      <c r="N893" s="3" t="s">
        <v>27</v>
      </c>
      <c r="O893" s="3" t="s">
        <v>6289</v>
      </c>
      <c r="Q893" s="3" t="s">
        <v>4891</v>
      </c>
      <c r="S893" s="27" t="s">
        <v>6302</v>
      </c>
      <c r="T893" s="27">
        <f>IFERROR(__xludf.DUMMYFUNCTION("""COMPUTED_VALUE"""),434.0)</f>
        <v>434</v>
      </c>
      <c r="U893" s="1" t="s">
        <v>6303</v>
      </c>
    </row>
    <row r="894">
      <c r="A894" s="4">
        <v>45870.788246944445</v>
      </c>
      <c r="B894" s="3" t="s">
        <v>2734</v>
      </c>
      <c r="C894" s="3" t="s">
        <v>6304</v>
      </c>
      <c r="D894" s="3" t="s">
        <v>1049</v>
      </c>
      <c r="E894" s="6">
        <v>45868.0</v>
      </c>
      <c r="F894" s="28">
        <v>1050.0</v>
      </c>
      <c r="G894" s="3" t="s">
        <v>136</v>
      </c>
      <c r="H894" s="3" t="s">
        <v>22</v>
      </c>
      <c r="K894" s="3" t="s">
        <v>6305</v>
      </c>
      <c r="L894" s="3" t="s">
        <v>6306</v>
      </c>
      <c r="M894" s="3" t="s">
        <v>6307</v>
      </c>
      <c r="N894" s="3" t="s">
        <v>1054</v>
      </c>
      <c r="O894" s="3" t="s">
        <v>2739</v>
      </c>
      <c r="Q894" s="3" t="s">
        <v>4891</v>
      </c>
      <c r="S894" s="27" t="s">
        <v>6308</v>
      </c>
      <c r="T894" s="27">
        <f>IFERROR(__xludf.DUMMYFUNCTION("""COMPUTED_VALUE"""),1960.0)</f>
        <v>1960</v>
      </c>
      <c r="U894" s="1" t="s">
        <v>6309</v>
      </c>
    </row>
    <row r="895">
      <c r="A895" s="4">
        <v>45874.715700706016</v>
      </c>
      <c r="B895" s="3" t="s">
        <v>393</v>
      </c>
      <c r="C895" s="3" t="s">
        <v>6310</v>
      </c>
      <c r="D895" s="3" t="s">
        <v>358</v>
      </c>
      <c r="E895" s="6">
        <v>44482.0</v>
      </c>
      <c r="F895" s="33">
        <v>10807.36</v>
      </c>
      <c r="G895" s="3" t="s">
        <v>21</v>
      </c>
      <c r="H895" s="3" t="s">
        <v>1946</v>
      </c>
      <c r="K895" s="3" t="s">
        <v>6311</v>
      </c>
      <c r="L895" s="3" t="s">
        <v>6312</v>
      </c>
      <c r="M895" s="3" t="s">
        <v>6313</v>
      </c>
      <c r="N895" s="3" t="s">
        <v>362</v>
      </c>
      <c r="O895" s="3" t="s">
        <v>398</v>
      </c>
      <c r="Q895" s="3" t="s">
        <v>4891</v>
      </c>
      <c r="S895" s="27" t="s">
        <v>6314</v>
      </c>
      <c r="T895" s="27">
        <f>IFERROR(__xludf.DUMMYFUNCTION("""COMPUTED_VALUE"""),1148.0)</f>
        <v>1148</v>
      </c>
      <c r="U895" s="1" t="s">
        <v>6315</v>
      </c>
    </row>
    <row r="896">
      <c r="A896" s="4">
        <v>45874.72047104167</v>
      </c>
      <c r="B896" s="3" t="s">
        <v>393</v>
      </c>
      <c r="C896" s="3" t="s">
        <v>6316</v>
      </c>
      <c r="D896" s="3" t="s">
        <v>358</v>
      </c>
      <c r="E896" s="6">
        <v>44725.0</v>
      </c>
      <c r="F896" s="33">
        <v>1124.53</v>
      </c>
      <c r="G896" s="3" t="s">
        <v>21</v>
      </c>
      <c r="H896" s="3" t="s">
        <v>22</v>
      </c>
      <c r="K896" s="3" t="s">
        <v>6317</v>
      </c>
      <c r="L896" s="3" t="s">
        <v>6318</v>
      </c>
      <c r="M896" s="3" t="s">
        <v>6319</v>
      </c>
      <c r="N896" s="3" t="s">
        <v>362</v>
      </c>
      <c r="O896" s="3" t="s">
        <v>398</v>
      </c>
      <c r="Q896" s="3" t="s">
        <v>4891</v>
      </c>
      <c r="S896" s="27" t="s">
        <v>6320</v>
      </c>
      <c r="T896" s="27">
        <f>IFERROR(__xludf.DUMMYFUNCTION("""COMPUTED_VALUE"""),1148.0)</f>
        <v>1148</v>
      </c>
      <c r="U896" s="1" t="s">
        <v>6321</v>
      </c>
    </row>
    <row r="897">
      <c r="A897" s="4">
        <v>45874.72916833333</v>
      </c>
      <c r="B897" s="3" t="s">
        <v>393</v>
      </c>
      <c r="C897" s="3" t="s">
        <v>6322</v>
      </c>
      <c r="D897" s="3" t="s">
        <v>358</v>
      </c>
      <c r="E897" s="6">
        <v>44256.0</v>
      </c>
      <c r="F897" s="33">
        <v>34167.15</v>
      </c>
      <c r="G897" s="3" t="s">
        <v>350</v>
      </c>
      <c r="H897" s="3" t="s">
        <v>22</v>
      </c>
      <c r="K897" s="3" t="s">
        <v>6323</v>
      </c>
      <c r="L897" s="3" t="s">
        <v>6324</v>
      </c>
      <c r="M897" s="3" t="s">
        <v>6325</v>
      </c>
      <c r="N897" s="3" t="s">
        <v>362</v>
      </c>
      <c r="O897" s="3" t="s">
        <v>398</v>
      </c>
      <c r="Q897" s="3" t="s">
        <v>4891</v>
      </c>
      <c r="S897" s="27" t="s">
        <v>6326</v>
      </c>
      <c r="T897" s="27">
        <f>IFERROR(__xludf.DUMMYFUNCTION("""COMPUTED_VALUE"""),1148.0)</f>
        <v>1148</v>
      </c>
      <c r="U897" s="1" t="s">
        <v>6327</v>
      </c>
    </row>
    <row r="898">
      <c r="A898" s="4">
        <v>45874.76467251158</v>
      </c>
      <c r="B898" s="3" t="s">
        <v>393</v>
      </c>
      <c r="C898" s="3" t="s">
        <v>6328</v>
      </c>
      <c r="D898" s="3" t="s">
        <v>358</v>
      </c>
      <c r="E898" s="6">
        <v>45422.0</v>
      </c>
      <c r="F898" s="33">
        <v>11189.02</v>
      </c>
      <c r="G898" s="3" t="s">
        <v>350</v>
      </c>
      <c r="H898" s="3" t="s">
        <v>22</v>
      </c>
      <c r="K898" s="3" t="s">
        <v>6329</v>
      </c>
      <c r="L898" s="3" t="s">
        <v>6330</v>
      </c>
      <c r="M898" s="3" t="s">
        <v>6331</v>
      </c>
      <c r="N898" s="3" t="s">
        <v>362</v>
      </c>
      <c r="O898" s="3" t="s">
        <v>398</v>
      </c>
      <c r="Q898" s="3" t="s">
        <v>4891</v>
      </c>
      <c r="S898" s="27" t="s">
        <v>6332</v>
      </c>
      <c r="T898" s="27">
        <f>IFERROR(__xludf.DUMMYFUNCTION("""COMPUTED_VALUE"""),1148.0)</f>
        <v>1148</v>
      </c>
      <c r="U898" s="1" t="s">
        <v>6333</v>
      </c>
    </row>
    <row r="899">
      <c r="A899" s="4">
        <v>45874.77988179398</v>
      </c>
      <c r="B899" s="3" t="s">
        <v>393</v>
      </c>
      <c r="C899" s="3" t="s">
        <v>6334</v>
      </c>
      <c r="D899" s="3" t="s">
        <v>1469</v>
      </c>
      <c r="E899" s="6">
        <v>45679.0</v>
      </c>
      <c r="F899" s="33">
        <v>1800.0</v>
      </c>
      <c r="G899" s="3" t="s">
        <v>136</v>
      </c>
      <c r="H899" s="3" t="s">
        <v>22</v>
      </c>
      <c r="K899" s="3" t="s">
        <v>6335</v>
      </c>
      <c r="L899" s="3" t="s">
        <v>6336</v>
      </c>
      <c r="M899" s="3" t="s">
        <v>6337</v>
      </c>
      <c r="N899" s="3" t="s">
        <v>1473</v>
      </c>
      <c r="O899" s="3" t="s">
        <v>398</v>
      </c>
      <c r="Q899" s="3" t="s">
        <v>4891</v>
      </c>
      <c r="S899" s="27" t="s">
        <v>6338</v>
      </c>
      <c r="T899" s="27">
        <f>IFERROR(__xludf.DUMMYFUNCTION("""COMPUTED_VALUE"""),1148.0)</f>
        <v>1148</v>
      </c>
      <c r="U899" s="1" t="s">
        <v>6339</v>
      </c>
    </row>
    <row r="900">
      <c r="A900" s="4">
        <v>45875.53935158565</v>
      </c>
      <c r="B900" s="3" t="s">
        <v>2583</v>
      </c>
      <c r="C900" s="3" t="s">
        <v>6340</v>
      </c>
      <c r="D900" s="3" t="s">
        <v>1049</v>
      </c>
      <c r="E900" s="6">
        <v>45839.0</v>
      </c>
      <c r="F900" s="33">
        <v>960.0</v>
      </c>
      <c r="G900" s="3" t="s">
        <v>136</v>
      </c>
      <c r="H900" s="3" t="s">
        <v>22</v>
      </c>
      <c r="K900" s="3" t="s">
        <v>6341</v>
      </c>
      <c r="L900" s="3" t="s">
        <v>6342</v>
      </c>
      <c r="M900" s="3" t="s">
        <v>6343</v>
      </c>
      <c r="N900" s="3" t="s">
        <v>1054</v>
      </c>
      <c r="O900" s="3" t="s">
        <v>2587</v>
      </c>
      <c r="Q900" s="3" t="s">
        <v>29</v>
      </c>
      <c r="S900" s="27" t="s">
        <v>6344</v>
      </c>
      <c r="T900" s="27">
        <f>IFERROR(__xludf.DUMMYFUNCTION("""COMPUTED_VALUE"""),810.0)</f>
        <v>810</v>
      </c>
      <c r="U900" s="1" t="s">
        <v>6345</v>
      </c>
    </row>
    <row r="901">
      <c r="A901" s="4">
        <v>45875.746743125</v>
      </c>
      <c r="B901" s="3" t="s">
        <v>393</v>
      </c>
      <c r="C901" s="3" t="s">
        <v>6346</v>
      </c>
      <c r="D901" s="3" t="s">
        <v>358</v>
      </c>
      <c r="E901" s="6">
        <v>45386.0</v>
      </c>
      <c r="F901" s="33">
        <v>595.84</v>
      </c>
      <c r="G901" s="3" t="s">
        <v>136</v>
      </c>
      <c r="H901" s="3" t="s">
        <v>22</v>
      </c>
      <c r="K901" s="3" t="s">
        <v>6347</v>
      </c>
      <c r="L901" s="3" t="s">
        <v>6348</v>
      </c>
      <c r="M901" s="3" t="s">
        <v>6349</v>
      </c>
      <c r="N901" s="3" t="s">
        <v>362</v>
      </c>
      <c r="O901" s="3" t="s">
        <v>398</v>
      </c>
      <c r="Q901" s="3" t="s">
        <v>4891</v>
      </c>
      <c r="S901" s="27" t="s">
        <v>6350</v>
      </c>
      <c r="T901" s="27">
        <f>IFERROR(__xludf.DUMMYFUNCTION("""COMPUTED_VALUE"""),1148.0)</f>
        <v>1148</v>
      </c>
      <c r="U901" s="1" t="s">
        <v>6351</v>
      </c>
    </row>
    <row r="902">
      <c r="A902" s="4">
        <v>45876.55510702546</v>
      </c>
      <c r="B902" s="3" t="s">
        <v>393</v>
      </c>
      <c r="C902" s="3" t="s">
        <v>6352</v>
      </c>
      <c r="D902" s="3" t="s">
        <v>358</v>
      </c>
      <c r="E902" s="6">
        <v>44166.0</v>
      </c>
      <c r="F902" s="33">
        <v>3849.0</v>
      </c>
      <c r="G902" s="3" t="s">
        <v>136</v>
      </c>
      <c r="H902" s="3" t="s">
        <v>22</v>
      </c>
      <c r="K902" s="3" t="s">
        <v>6353</v>
      </c>
      <c r="L902" s="3" t="s">
        <v>6354</v>
      </c>
      <c r="M902" s="3" t="s">
        <v>6355</v>
      </c>
      <c r="N902" s="3" t="s">
        <v>362</v>
      </c>
      <c r="O902" s="3" t="s">
        <v>398</v>
      </c>
      <c r="Q902" s="3" t="s">
        <v>4891</v>
      </c>
      <c r="S902" s="27" t="s">
        <v>6356</v>
      </c>
      <c r="T902" s="27">
        <f>IFERROR(__xludf.DUMMYFUNCTION("""COMPUTED_VALUE"""),1148.0)</f>
        <v>1148</v>
      </c>
      <c r="U902" s="1" t="s">
        <v>6357</v>
      </c>
    </row>
    <row r="903">
      <c r="A903" s="4">
        <v>45877.81968017361</v>
      </c>
      <c r="B903" s="3" t="s">
        <v>2734</v>
      </c>
      <c r="C903" s="3" t="s">
        <v>6358</v>
      </c>
      <c r="D903" s="3" t="s">
        <v>1049</v>
      </c>
      <c r="E903" s="6">
        <v>45798.0</v>
      </c>
      <c r="F903" s="28">
        <v>2000.0</v>
      </c>
      <c r="G903" s="3" t="s">
        <v>136</v>
      </c>
      <c r="H903" s="3" t="s">
        <v>22</v>
      </c>
      <c r="I903" s="3" t="s">
        <v>1145</v>
      </c>
      <c r="K903" s="3" t="s">
        <v>6359</v>
      </c>
      <c r="L903" s="3" t="s">
        <v>6360</v>
      </c>
      <c r="M903" s="3" t="s">
        <v>6361</v>
      </c>
      <c r="N903" s="3" t="s">
        <v>1054</v>
      </c>
      <c r="O903" s="3" t="s">
        <v>2739</v>
      </c>
      <c r="P903" s="3" t="s">
        <v>1150</v>
      </c>
      <c r="Q903" s="3" t="s">
        <v>29</v>
      </c>
      <c r="S903" s="27" t="s">
        <v>6362</v>
      </c>
      <c r="T903" s="27">
        <f>IFERROR(__xludf.DUMMYFUNCTION("""COMPUTED_VALUE"""),1960.0)</f>
        <v>1960</v>
      </c>
      <c r="U903" s="1" t="s">
        <v>6363</v>
      </c>
    </row>
    <row r="904">
      <c r="A904" s="4">
        <v>45881.57660719907</v>
      </c>
      <c r="B904" s="3" t="s">
        <v>6364</v>
      </c>
      <c r="C904" s="3" t="s">
        <v>6365</v>
      </c>
      <c r="D904" s="3" t="s">
        <v>20</v>
      </c>
      <c r="E904" s="6">
        <v>45880.0</v>
      </c>
      <c r="F904" s="33">
        <v>200340.0</v>
      </c>
      <c r="G904" s="3" t="s">
        <v>21</v>
      </c>
      <c r="H904" s="3" t="s">
        <v>22</v>
      </c>
      <c r="I904" s="3" t="s">
        <v>3781</v>
      </c>
      <c r="K904" s="3" t="s">
        <v>6366</v>
      </c>
      <c r="L904" s="3" t="s">
        <v>6367</v>
      </c>
      <c r="M904" s="3" t="s">
        <v>6368</v>
      </c>
      <c r="N904" s="3" t="s">
        <v>27</v>
      </c>
      <c r="O904" s="3" t="s">
        <v>6369</v>
      </c>
      <c r="P904" s="3" t="s">
        <v>3787</v>
      </c>
      <c r="Q904" s="3" t="s">
        <v>29</v>
      </c>
      <c r="S904" s="27" t="s">
        <v>6370</v>
      </c>
      <c r="T904" s="27"/>
      <c r="U904" s="1" t="s">
        <v>6371</v>
      </c>
    </row>
    <row r="905">
      <c r="A905" s="4">
        <v>45881.710606967594</v>
      </c>
      <c r="B905" s="3" t="s">
        <v>4573</v>
      </c>
      <c r="C905" s="3" t="s">
        <v>6372</v>
      </c>
      <c r="D905" s="3" t="s">
        <v>358</v>
      </c>
      <c r="E905" s="6">
        <v>45881.0</v>
      </c>
      <c r="F905" s="33">
        <v>2914.0</v>
      </c>
      <c r="G905" s="3" t="s">
        <v>136</v>
      </c>
      <c r="H905" s="3" t="s">
        <v>22</v>
      </c>
      <c r="I905" s="3" t="s">
        <v>1145</v>
      </c>
      <c r="K905" s="3" t="s">
        <v>6373</v>
      </c>
      <c r="L905" s="3" t="s">
        <v>6374</v>
      </c>
      <c r="M905" s="3" t="s">
        <v>6375</v>
      </c>
      <c r="N905" s="3" t="s">
        <v>362</v>
      </c>
      <c r="O905" s="3" t="s">
        <v>4578</v>
      </c>
      <c r="P905" s="3" t="s">
        <v>1150</v>
      </c>
      <c r="Q905" s="3" t="s">
        <v>29</v>
      </c>
      <c r="S905" s="27" t="s">
        <v>6376</v>
      </c>
      <c r="T905" s="27">
        <f>IFERROR(__xludf.DUMMYFUNCTION("""COMPUTED_VALUE"""),2492.0)</f>
        <v>2492</v>
      </c>
      <c r="U905" s="1" t="s">
        <v>6377</v>
      </c>
    </row>
    <row r="906">
      <c r="A906" s="4">
        <v>45882.472210023145</v>
      </c>
      <c r="B906" s="3" t="s">
        <v>2907</v>
      </c>
      <c r="C906" s="3" t="s">
        <v>6378</v>
      </c>
      <c r="D906" s="3" t="s">
        <v>358</v>
      </c>
      <c r="E906" s="6">
        <v>45839.0</v>
      </c>
      <c r="F906" s="33">
        <v>2040.0</v>
      </c>
      <c r="G906" s="3" t="s">
        <v>21</v>
      </c>
      <c r="H906" s="3" t="s">
        <v>22</v>
      </c>
      <c r="K906" s="3" t="s">
        <v>6379</v>
      </c>
      <c r="L906" s="3" t="s">
        <v>6380</v>
      </c>
      <c r="M906" s="3" t="s">
        <v>6381</v>
      </c>
      <c r="N906" s="3" t="s">
        <v>362</v>
      </c>
      <c r="O906" s="3" t="s">
        <v>2912</v>
      </c>
      <c r="Q906" s="3" t="s">
        <v>4891</v>
      </c>
      <c r="S906" s="27" t="s">
        <v>6382</v>
      </c>
      <c r="T906" s="27">
        <f>IFERROR(__xludf.DUMMYFUNCTION("""COMPUTED_VALUE"""),2061.0)</f>
        <v>2061</v>
      </c>
      <c r="U906" s="1" t="s">
        <v>6383</v>
      </c>
    </row>
    <row r="907">
      <c r="A907" s="4">
        <v>45882.509885775464</v>
      </c>
      <c r="B907" s="3" t="s">
        <v>3256</v>
      </c>
      <c r="C907" s="3" t="s">
        <v>6384</v>
      </c>
      <c r="D907" s="3" t="s">
        <v>230</v>
      </c>
      <c r="E907" s="6">
        <v>45839.0</v>
      </c>
      <c r="F907" s="33">
        <v>100.0</v>
      </c>
      <c r="G907" s="3" t="s">
        <v>21</v>
      </c>
      <c r="H907" s="3" t="s">
        <v>22</v>
      </c>
      <c r="K907" s="3" t="s">
        <v>6385</v>
      </c>
      <c r="L907" s="3" t="s">
        <v>6386</v>
      </c>
      <c r="M907" s="3" t="s">
        <v>6387</v>
      </c>
      <c r="N907" s="3" t="s">
        <v>234</v>
      </c>
      <c r="O907" s="3" t="s">
        <v>3262</v>
      </c>
      <c r="Q907" s="3" t="s">
        <v>4891</v>
      </c>
      <c r="S907" s="27" t="s">
        <v>6388</v>
      </c>
      <c r="T907" s="27">
        <f>IFERROR(__xludf.DUMMYFUNCTION("""COMPUTED_VALUE"""),2169.0)</f>
        <v>2169</v>
      </c>
      <c r="U907" s="1" t="s">
        <v>6389</v>
      </c>
    </row>
    <row r="908">
      <c r="A908" s="4">
        <v>45883.505528194444</v>
      </c>
      <c r="B908" s="3" t="s">
        <v>823</v>
      </c>
      <c r="C908" s="3" t="s">
        <v>6390</v>
      </c>
      <c r="D908" s="3" t="s">
        <v>756</v>
      </c>
      <c r="E908" s="6">
        <v>45883.0</v>
      </c>
      <c r="F908" s="33">
        <v>300.0</v>
      </c>
      <c r="G908" s="3" t="s">
        <v>136</v>
      </c>
      <c r="H908" s="3" t="s">
        <v>22</v>
      </c>
      <c r="K908" s="3" t="s">
        <v>6391</v>
      </c>
      <c r="L908" s="3" t="s">
        <v>6392</v>
      </c>
      <c r="M908" s="3" t="s">
        <v>6393</v>
      </c>
      <c r="N908" s="3" t="s">
        <v>760</v>
      </c>
      <c r="O908" s="3" t="s">
        <v>828</v>
      </c>
      <c r="Q908" s="3" t="s">
        <v>4891</v>
      </c>
      <c r="S908" s="27" t="s">
        <v>6394</v>
      </c>
      <c r="T908" s="27">
        <f>IFERROR(__xludf.DUMMYFUNCTION("""COMPUTED_VALUE"""),1337.0)</f>
        <v>1337</v>
      </c>
      <c r="U908" s="1" t="s">
        <v>6395</v>
      </c>
    </row>
    <row r="909">
      <c r="A909" s="4">
        <v>45887.53549181713</v>
      </c>
      <c r="B909" s="3" t="s">
        <v>6396</v>
      </c>
      <c r="C909" s="3" t="s">
        <v>6397</v>
      </c>
      <c r="D909" s="3" t="s">
        <v>20</v>
      </c>
      <c r="E909" s="6">
        <v>45870.0</v>
      </c>
      <c r="F909" s="33">
        <v>152170.0</v>
      </c>
      <c r="G909" s="3" t="s">
        <v>21</v>
      </c>
      <c r="H909" s="3" t="s">
        <v>22</v>
      </c>
      <c r="K909" s="3" t="s">
        <v>6398</v>
      </c>
      <c r="L909" s="3" t="s">
        <v>6399</v>
      </c>
      <c r="M909" s="3" t="s">
        <v>6400</v>
      </c>
      <c r="N909" s="3" t="s">
        <v>27</v>
      </c>
      <c r="O909" s="3" t="s">
        <v>6401</v>
      </c>
      <c r="Q909" s="3" t="s">
        <v>4891</v>
      </c>
      <c r="S909" s="27" t="s">
        <v>6402</v>
      </c>
      <c r="T909" s="27"/>
      <c r="U909" s="1" t="s">
        <v>6403</v>
      </c>
    </row>
    <row r="910">
      <c r="A910" s="4">
        <v>45887.53549181713</v>
      </c>
      <c r="B910" s="3" t="s">
        <v>2934</v>
      </c>
      <c r="C910" s="3" t="s">
        <v>6404</v>
      </c>
      <c r="D910" s="3" t="s">
        <v>358</v>
      </c>
      <c r="E910" s="6">
        <v>45875.0</v>
      </c>
      <c r="F910" s="33">
        <v>92605.45</v>
      </c>
      <c r="G910" s="3" t="s">
        <v>21</v>
      </c>
      <c r="H910" s="3" t="s">
        <v>22</v>
      </c>
      <c r="K910" s="3" t="s">
        <v>6405</v>
      </c>
      <c r="L910" s="3" t="s">
        <v>6406</v>
      </c>
      <c r="M910" s="3" t="s">
        <v>6407</v>
      </c>
      <c r="N910" s="3" t="s">
        <v>362</v>
      </c>
      <c r="O910" s="3" t="s">
        <v>2939</v>
      </c>
      <c r="Q910" s="3" t="s">
        <v>4891</v>
      </c>
      <c r="S910" s="27" t="s">
        <v>6408</v>
      </c>
      <c r="T910" s="27">
        <f>IFERROR(__xludf.DUMMYFUNCTION("""COMPUTED_VALUE"""),2011.0)</f>
        <v>2011</v>
      </c>
      <c r="U910" s="1" t="s">
        <v>6409</v>
      </c>
    </row>
    <row r="911">
      <c r="A911" s="4">
        <v>45891.5579408912</v>
      </c>
      <c r="B911" s="3" t="s">
        <v>5703</v>
      </c>
      <c r="C911" s="3" t="s">
        <v>6410</v>
      </c>
      <c r="D911" s="3" t="s">
        <v>756</v>
      </c>
      <c r="E911" s="6">
        <v>45736.0</v>
      </c>
      <c r="F911" s="33">
        <v>800.0</v>
      </c>
      <c r="G911" s="3" t="s">
        <v>21</v>
      </c>
      <c r="H911" s="3" t="s">
        <v>22</v>
      </c>
      <c r="K911" s="3" t="s">
        <v>6411</v>
      </c>
      <c r="L911" s="3" t="s">
        <v>6412</v>
      </c>
      <c r="M911" s="3" t="s">
        <v>6413</v>
      </c>
      <c r="N911" s="3" t="s">
        <v>760</v>
      </c>
      <c r="O911" s="3" t="s">
        <v>5708</v>
      </c>
      <c r="Q911" s="3" t="s">
        <v>4891</v>
      </c>
      <c r="S911" s="27" t="s">
        <v>6414</v>
      </c>
      <c r="T911" s="27">
        <f>IFERROR(__xludf.DUMMYFUNCTION("""COMPUTED_VALUE"""),2687.0)</f>
        <v>2687</v>
      </c>
      <c r="U911" s="1" t="s">
        <v>6415</v>
      </c>
    </row>
    <row r="912">
      <c r="A912" s="4">
        <v>45896.72149997685</v>
      </c>
      <c r="B912" s="3" t="s">
        <v>6416</v>
      </c>
      <c r="C912" s="3" t="s">
        <v>6417</v>
      </c>
      <c r="D912" s="3" t="s">
        <v>358</v>
      </c>
      <c r="E912" s="6">
        <v>45896.0</v>
      </c>
      <c r="F912" s="33">
        <v>20234.84</v>
      </c>
      <c r="G912" s="3" t="s">
        <v>136</v>
      </c>
      <c r="H912" s="3" t="s">
        <v>22</v>
      </c>
      <c r="K912" s="3" t="s">
        <v>6418</v>
      </c>
      <c r="L912" s="3" t="s">
        <v>6419</v>
      </c>
      <c r="M912" s="3" t="s">
        <v>6420</v>
      </c>
      <c r="N912" s="3" t="s">
        <v>362</v>
      </c>
      <c r="O912" s="3" t="s">
        <v>6421</v>
      </c>
      <c r="Q912" s="3" t="s">
        <v>4891</v>
      </c>
      <c r="S912" s="27" t="s">
        <v>6422</v>
      </c>
      <c r="T912" s="27"/>
      <c r="U912" s="1" t="s">
        <v>6423</v>
      </c>
    </row>
    <row r="913">
      <c r="A913" s="4">
        <v>45896.80932231482</v>
      </c>
      <c r="B913" s="3" t="s">
        <v>6083</v>
      </c>
      <c r="C913" s="3" t="s">
        <v>6424</v>
      </c>
      <c r="D913" s="3" t="s">
        <v>358</v>
      </c>
      <c r="E913" s="6">
        <v>45804.0</v>
      </c>
      <c r="F913" s="33">
        <v>8720.0</v>
      </c>
      <c r="G913" s="3" t="s">
        <v>21</v>
      </c>
      <c r="H913" s="3" t="s">
        <v>22</v>
      </c>
      <c r="I913" s="3" t="s">
        <v>1145</v>
      </c>
      <c r="K913" s="3" t="s">
        <v>6425</v>
      </c>
      <c r="L913" s="3" t="s">
        <v>6426</v>
      </c>
      <c r="M913" s="3" t="s">
        <v>6427</v>
      </c>
      <c r="N913" s="3" t="s">
        <v>362</v>
      </c>
      <c r="O913" s="3" t="s">
        <v>6088</v>
      </c>
      <c r="P913" s="3" t="s">
        <v>1150</v>
      </c>
      <c r="Q913" s="3" t="s">
        <v>29</v>
      </c>
      <c r="S913" s="27" t="s">
        <v>6428</v>
      </c>
      <c r="T913" s="27">
        <f>IFERROR(__xludf.DUMMYFUNCTION("""COMPUTED_VALUE"""),2755.0)</f>
        <v>2755</v>
      </c>
      <c r="U913" s="1" t="s">
        <v>6429</v>
      </c>
    </row>
    <row r="914">
      <c r="A914" s="4">
        <v>45896.84125424769</v>
      </c>
      <c r="B914" s="3" t="s">
        <v>2725</v>
      </c>
      <c r="C914" s="3" t="s">
        <v>6430</v>
      </c>
      <c r="D914" s="3" t="s">
        <v>756</v>
      </c>
      <c r="E914" s="6">
        <v>45895.0</v>
      </c>
      <c r="F914" s="33">
        <v>1350.0</v>
      </c>
      <c r="G914" s="3" t="s">
        <v>136</v>
      </c>
      <c r="H914" s="3" t="s">
        <v>22</v>
      </c>
      <c r="I914" s="3" t="s">
        <v>3792</v>
      </c>
      <c r="K914" s="3" t="s">
        <v>6431</v>
      </c>
      <c r="L914" s="3" t="s">
        <v>6432</v>
      </c>
      <c r="M914" s="3" t="s">
        <v>6433</v>
      </c>
      <c r="N914" s="3" t="s">
        <v>760</v>
      </c>
      <c r="O914" s="3" t="s">
        <v>2731</v>
      </c>
      <c r="P914" s="3" t="s">
        <v>3797</v>
      </c>
      <c r="Q914" s="3" t="s">
        <v>29</v>
      </c>
      <c r="S914" s="27" t="s">
        <v>6434</v>
      </c>
      <c r="T914" s="27">
        <f>IFERROR(__xludf.DUMMYFUNCTION("""COMPUTED_VALUE"""),1959.0)</f>
        <v>1959</v>
      </c>
      <c r="U914" s="1" t="s">
        <v>6435</v>
      </c>
    </row>
    <row r="915">
      <c r="A915" s="4">
        <v>45898.56378173611</v>
      </c>
      <c r="B915" s="3" t="s">
        <v>2155</v>
      </c>
      <c r="C915" s="3" t="s">
        <v>6436</v>
      </c>
      <c r="D915" s="3" t="s">
        <v>756</v>
      </c>
      <c r="E915" s="6">
        <v>45831.0</v>
      </c>
      <c r="F915" s="33">
        <v>3960.0</v>
      </c>
      <c r="G915" s="3" t="s">
        <v>21</v>
      </c>
      <c r="H915" s="3" t="s">
        <v>22</v>
      </c>
      <c r="K915" s="3" t="s">
        <v>6437</v>
      </c>
      <c r="L915" s="3" t="s">
        <v>6438</v>
      </c>
      <c r="M915" s="3" t="s">
        <v>6439</v>
      </c>
      <c r="N915" s="3" t="s">
        <v>760</v>
      </c>
      <c r="O915" s="3" t="s">
        <v>2160</v>
      </c>
      <c r="Q915" s="3" t="s">
        <v>4891</v>
      </c>
      <c r="S915" s="27" t="s">
        <v>6440</v>
      </c>
      <c r="T915" s="27">
        <f>IFERROR(__xludf.DUMMYFUNCTION("""COMPUTED_VALUE"""),2142.0)</f>
        <v>2142</v>
      </c>
      <c r="U915" s="1" t="s">
        <v>6441</v>
      </c>
    </row>
    <row r="916">
      <c r="A916" s="4">
        <v>45902.617563541666</v>
      </c>
      <c r="B916" s="3" t="s">
        <v>6442</v>
      </c>
      <c r="C916" s="3" t="s">
        <v>6443</v>
      </c>
      <c r="D916" s="3" t="s">
        <v>20</v>
      </c>
      <c r="E916" s="6">
        <v>45882.0</v>
      </c>
      <c r="F916" s="33">
        <v>140500.0</v>
      </c>
      <c r="G916" s="3" t="s">
        <v>21</v>
      </c>
      <c r="H916" s="3" t="s">
        <v>22</v>
      </c>
      <c r="K916" s="3" t="s">
        <v>6444</v>
      </c>
      <c r="L916" s="3" t="s">
        <v>6445</v>
      </c>
      <c r="M916" s="3" t="s">
        <v>6446</v>
      </c>
      <c r="N916" s="3" t="s">
        <v>27</v>
      </c>
      <c r="O916" s="3" t="s">
        <v>6447</v>
      </c>
      <c r="Q916" s="3" t="s">
        <v>4891</v>
      </c>
      <c r="S916" s="27" t="s">
        <v>6448</v>
      </c>
      <c r="T916" s="27"/>
      <c r="U916" s="1" t="s">
        <v>6449</v>
      </c>
    </row>
    <row r="917">
      <c r="A917" s="4">
        <v>45902.66437888889</v>
      </c>
      <c r="B917" s="3" t="s">
        <v>6450</v>
      </c>
      <c r="C917" s="3" t="s">
        <v>6451</v>
      </c>
      <c r="D917" s="3" t="s">
        <v>230</v>
      </c>
      <c r="E917" s="6">
        <v>45818.0</v>
      </c>
      <c r="F917" s="33">
        <v>200.0</v>
      </c>
      <c r="G917" s="3" t="s">
        <v>21</v>
      </c>
      <c r="H917" s="3" t="s">
        <v>22</v>
      </c>
      <c r="K917" s="3" t="s">
        <v>6452</v>
      </c>
      <c r="L917" s="3" t="s">
        <v>6453</v>
      </c>
      <c r="M917" s="3" t="s">
        <v>6454</v>
      </c>
      <c r="N917" s="3" t="s">
        <v>234</v>
      </c>
      <c r="O917" s="3" t="s">
        <v>6455</v>
      </c>
      <c r="Q917" s="3" t="s">
        <v>4891</v>
      </c>
      <c r="S917" s="27" t="s">
        <v>6456</v>
      </c>
      <c r="T917" s="27"/>
      <c r="U917" s="1" t="s">
        <v>6457</v>
      </c>
    </row>
    <row r="918">
      <c r="A918" s="4">
        <v>45902.68367579861</v>
      </c>
      <c r="B918" s="3" t="s">
        <v>393</v>
      </c>
      <c r="C918" s="3" t="s">
        <v>6458</v>
      </c>
      <c r="D918" s="3" t="s">
        <v>1049</v>
      </c>
      <c r="E918" s="6">
        <v>45870.0</v>
      </c>
      <c r="F918" s="33">
        <v>920.0</v>
      </c>
      <c r="G918" s="3" t="s">
        <v>21</v>
      </c>
      <c r="H918" s="3" t="s">
        <v>22</v>
      </c>
      <c r="K918" s="3" t="s">
        <v>6459</v>
      </c>
      <c r="L918" s="3" t="s">
        <v>6460</v>
      </c>
      <c r="M918" s="3" t="s">
        <v>6461</v>
      </c>
      <c r="N918" s="3" t="s">
        <v>1054</v>
      </c>
      <c r="O918" s="3" t="s">
        <v>398</v>
      </c>
      <c r="Q918" s="3" t="s">
        <v>4891</v>
      </c>
      <c r="S918" s="27" t="s">
        <v>6462</v>
      </c>
      <c r="T918" s="27">
        <f>IFERROR(__xludf.DUMMYFUNCTION("""COMPUTED_VALUE"""),1148.0)</f>
        <v>1148</v>
      </c>
      <c r="U918" s="1" t="s">
        <v>6463</v>
      </c>
    </row>
    <row r="919">
      <c r="A919" s="4">
        <v>45905.58191340278</v>
      </c>
      <c r="B919" s="3" t="s">
        <v>3771</v>
      </c>
      <c r="C919" s="3" t="s">
        <v>6464</v>
      </c>
      <c r="D919" s="3" t="s">
        <v>20</v>
      </c>
      <c r="E919" s="6">
        <v>45901.0</v>
      </c>
      <c r="F919" s="33">
        <v>30000.0</v>
      </c>
      <c r="G919" s="3" t="s">
        <v>21</v>
      </c>
      <c r="H919" s="3" t="s">
        <v>22</v>
      </c>
      <c r="K919" s="3" t="s">
        <v>6465</v>
      </c>
      <c r="L919" s="3" t="s">
        <v>6466</v>
      </c>
      <c r="M919" s="3" t="s">
        <v>6467</v>
      </c>
      <c r="N919" s="3" t="s">
        <v>27</v>
      </c>
      <c r="O919" s="3" t="s">
        <v>3776</v>
      </c>
      <c r="Q919" s="3" t="s">
        <v>4891</v>
      </c>
      <c r="S919" s="27" t="s">
        <v>6468</v>
      </c>
      <c r="T919" s="27">
        <f>IFERROR(__xludf.DUMMYFUNCTION("""COMPUTED_VALUE"""),2381.0)</f>
        <v>2381</v>
      </c>
      <c r="U919" s="1" t="s">
        <v>6469</v>
      </c>
    </row>
    <row r="920">
      <c r="A920" s="4">
        <v>45911.66507488426</v>
      </c>
      <c r="B920" s="3" t="s">
        <v>6023</v>
      </c>
      <c r="C920" s="3" t="s">
        <v>6470</v>
      </c>
      <c r="D920" s="3" t="s">
        <v>358</v>
      </c>
      <c r="E920" s="6">
        <v>45901.0</v>
      </c>
      <c r="F920" s="33">
        <v>6011672.5</v>
      </c>
      <c r="G920" s="3" t="s">
        <v>21</v>
      </c>
      <c r="H920" s="3" t="s">
        <v>22</v>
      </c>
      <c r="I920" s="3" t="s">
        <v>930</v>
      </c>
      <c r="K920" s="3" t="s">
        <v>6471</v>
      </c>
      <c r="L920" s="3" t="s">
        <v>6472</v>
      </c>
      <c r="M920" s="3" t="s">
        <v>6473</v>
      </c>
      <c r="N920" s="3" t="s">
        <v>362</v>
      </c>
      <c r="O920" s="3" t="s">
        <v>6028</v>
      </c>
      <c r="P920" s="3" t="s">
        <v>935</v>
      </c>
      <c r="Q920" s="3" t="s">
        <v>29</v>
      </c>
      <c r="S920" s="27" t="s">
        <v>6474</v>
      </c>
      <c r="T920" s="27">
        <f>IFERROR(__xludf.DUMMYFUNCTION("""COMPUTED_VALUE"""),2771.0)</f>
        <v>2771</v>
      </c>
      <c r="U920" s="1" t="s">
        <v>6475</v>
      </c>
    </row>
    <row r="921">
      <c r="A921" s="4">
        <v>45917.689264664354</v>
      </c>
      <c r="B921" s="3" t="s">
        <v>5518</v>
      </c>
      <c r="C921" s="3" t="s">
        <v>6476</v>
      </c>
      <c r="D921" s="3" t="s">
        <v>230</v>
      </c>
      <c r="E921" s="6">
        <v>45870.0</v>
      </c>
      <c r="F921" s="33">
        <v>200.0</v>
      </c>
      <c r="G921" s="3" t="s">
        <v>21</v>
      </c>
      <c r="H921" s="3" t="s">
        <v>22</v>
      </c>
      <c r="K921" s="3" t="s">
        <v>6477</v>
      </c>
      <c r="L921" s="3" t="s">
        <v>6478</v>
      </c>
      <c r="M921" s="3" t="s">
        <v>6479</v>
      </c>
      <c r="N921" s="3" t="s">
        <v>234</v>
      </c>
      <c r="O921" s="3" t="s">
        <v>5524</v>
      </c>
      <c r="Q921" s="3" t="s">
        <v>4891</v>
      </c>
      <c r="S921" s="27" t="s">
        <v>6480</v>
      </c>
      <c r="T921" s="27">
        <f>IFERROR(__xludf.DUMMYFUNCTION("""COMPUTED_VALUE"""),2026.0)</f>
        <v>2026</v>
      </c>
      <c r="U921" s="1" t="s">
        <v>6481</v>
      </c>
    </row>
    <row r="922">
      <c r="A922" s="4">
        <v>45918.55735491899</v>
      </c>
      <c r="B922" s="3" t="s">
        <v>6482</v>
      </c>
      <c r="C922" s="3" t="s">
        <v>6483</v>
      </c>
      <c r="D922" s="3" t="s">
        <v>230</v>
      </c>
      <c r="E922" s="6">
        <v>45870.0</v>
      </c>
      <c r="F922" s="33">
        <v>300.0</v>
      </c>
      <c r="G922" s="3" t="s">
        <v>21</v>
      </c>
      <c r="H922" s="3" t="s">
        <v>22</v>
      </c>
      <c r="K922" s="3" t="s">
        <v>6484</v>
      </c>
      <c r="L922" s="3" t="s">
        <v>6485</v>
      </c>
      <c r="M922" s="3" t="s">
        <v>6486</v>
      </c>
      <c r="N922" s="3" t="s">
        <v>234</v>
      </c>
      <c r="O922" s="3" t="s">
        <v>6487</v>
      </c>
      <c r="Q922" s="3" t="s">
        <v>4891</v>
      </c>
      <c r="S922" s="27" t="s">
        <v>6488</v>
      </c>
      <c r="T922" s="27"/>
      <c r="U922" s="1" t="s">
        <v>6489</v>
      </c>
    </row>
    <row r="923">
      <c r="A923" s="4">
        <v>45923.67359003473</v>
      </c>
      <c r="B923" s="3" t="s">
        <v>393</v>
      </c>
      <c r="C923" s="3" t="s">
        <v>6490</v>
      </c>
      <c r="D923" s="3" t="s">
        <v>20</v>
      </c>
      <c r="E923" s="6">
        <v>45920.0</v>
      </c>
      <c r="F923" s="33">
        <v>10000.0</v>
      </c>
      <c r="G923" s="3" t="s">
        <v>21</v>
      </c>
      <c r="H923" s="3" t="s">
        <v>22</v>
      </c>
      <c r="K923" s="3" t="s">
        <v>6491</v>
      </c>
      <c r="L923" s="3" t="s">
        <v>6492</v>
      </c>
      <c r="M923" s="3" t="s">
        <v>6493</v>
      </c>
      <c r="N923" s="3" t="s">
        <v>27</v>
      </c>
      <c r="O923" s="3" t="s">
        <v>398</v>
      </c>
      <c r="Q923" s="3" t="s">
        <v>4891</v>
      </c>
      <c r="S923" s="27" t="s">
        <v>6494</v>
      </c>
      <c r="T923" s="27">
        <f>IFERROR(__xludf.DUMMYFUNCTION("""COMPUTED_VALUE"""),1148.0)</f>
        <v>1148</v>
      </c>
      <c r="U923" s="1" t="s">
        <v>6495</v>
      </c>
    </row>
    <row r="924">
      <c r="A924" s="4">
        <v>45924.55950765046</v>
      </c>
      <c r="B924" s="3" t="s">
        <v>6276</v>
      </c>
      <c r="C924" s="3" t="s">
        <v>6496</v>
      </c>
      <c r="D924" s="3" t="s">
        <v>358</v>
      </c>
      <c r="E924" s="6">
        <v>45910.0</v>
      </c>
      <c r="F924" s="33">
        <v>117350.0</v>
      </c>
      <c r="G924" s="3" t="s">
        <v>21</v>
      </c>
      <c r="H924" s="3" t="s">
        <v>22</v>
      </c>
      <c r="K924" s="3" t="s">
        <v>6497</v>
      </c>
      <c r="L924" s="3" t="s">
        <v>6498</v>
      </c>
      <c r="M924" s="3" t="s">
        <v>6499</v>
      </c>
      <c r="N924" s="3" t="s">
        <v>362</v>
      </c>
      <c r="O924" s="3" t="s">
        <v>6281</v>
      </c>
      <c r="Q924" s="3" t="s">
        <v>4891</v>
      </c>
      <c r="S924" s="27" t="s">
        <v>6500</v>
      </c>
      <c r="T924" s="27">
        <f>IFERROR(__xludf.DUMMYFUNCTION("""COMPUTED_VALUE"""),2378.0)</f>
        <v>2378</v>
      </c>
      <c r="U924" s="1" t="s">
        <v>6501</v>
      </c>
    </row>
    <row r="925">
      <c r="A925" s="4">
        <v>45924.55950765046</v>
      </c>
      <c r="B925" s="3" t="s">
        <v>1165</v>
      </c>
      <c r="C925" s="3" t="s">
        <v>6502</v>
      </c>
      <c r="D925" s="3" t="s">
        <v>756</v>
      </c>
      <c r="E925" s="6">
        <v>45910.0</v>
      </c>
      <c r="F925" s="33">
        <v>5025.0</v>
      </c>
      <c r="G925" s="3" t="s">
        <v>21</v>
      </c>
      <c r="H925" s="3" t="s">
        <v>22</v>
      </c>
      <c r="K925" s="3" t="s">
        <v>6503</v>
      </c>
      <c r="L925" s="3" t="s">
        <v>6504</v>
      </c>
      <c r="M925" s="3" t="s">
        <v>6505</v>
      </c>
      <c r="N925" s="3" t="s">
        <v>760</v>
      </c>
      <c r="O925" s="3" t="s">
        <v>1171</v>
      </c>
      <c r="Q925" s="3" t="s">
        <v>4891</v>
      </c>
      <c r="S925" s="27" t="s">
        <v>6506</v>
      </c>
      <c r="T925" s="27">
        <f>IFERROR(__xludf.DUMMYFUNCTION("""COMPUTED_VALUE"""),1167.0)</f>
        <v>1167</v>
      </c>
      <c r="U925" s="1" t="s">
        <v>6507</v>
      </c>
    </row>
    <row r="926">
      <c r="A926" s="4">
        <v>45924.55950765046</v>
      </c>
      <c r="B926" s="3" t="s">
        <v>6508</v>
      </c>
      <c r="C926" s="3" t="s">
        <v>6509</v>
      </c>
      <c r="D926" s="3" t="s">
        <v>20</v>
      </c>
      <c r="E926" s="6">
        <v>45901.0</v>
      </c>
      <c r="F926" s="33">
        <v>25850.0</v>
      </c>
      <c r="G926" s="3" t="s">
        <v>21</v>
      </c>
      <c r="H926" s="3" t="s">
        <v>22</v>
      </c>
      <c r="K926" s="3" t="s">
        <v>6510</v>
      </c>
      <c r="L926" s="3" t="s">
        <v>6511</v>
      </c>
      <c r="M926" s="3" t="s">
        <v>6512</v>
      </c>
      <c r="N926" s="3" t="s">
        <v>27</v>
      </c>
      <c r="O926" s="3" t="s">
        <v>6513</v>
      </c>
      <c r="Q926" s="3" t="s">
        <v>4891</v>
      </c>
      <c r="S926" s="27" t="s">
        <v>6514</v>
      </c>
      <c r="T926" s="27"/>
      <c r="U926" s="1" t="s">
        <v>6515</v>
      </c>
    </row>
    <row r="927">
      <c r="A927" s="4">
        <v>45924.55950765046</v>
      </c>
      <c r="B927" s="3" t="s">
        <v>6516</v>
      </c>
      <c r="C927" s="3" t="s">
        <v>6517</v>
      </c>
      <c r="D927" s="3" t="s">
        <v>1049</v>
      </c>
      <c r="E927" s="6">
        <v>45902.0</v>
      </c>
      <c r="F927" s="33">
        <v>3800.0</v>
      </c>
      <c r="G927" s="3" t="s">
        <v>136</v>
      </c>
      <c r="H927" s="3" t="s">
        <v>22</v>
      </c>
      <c r="K927" s="3" t="s">
        <v>6518</v>
      </c>
      <c r="L927" s="3" t="s">
        <v>6519</v>
      </c>
      <c r="M927" s="3" t="s">
        <v>6520</v>
      </c>
      <c r="N927" s="3" t="s">
        <v>1054</v>
      </c>
      <c r="O927" s="3" t="s">
        <v>6521</v>
      </c>
      <c r="Q927" s="3" t="s">
        <v>4891</v>
      </c>
      <c r="S927" s="27" t="s">
        <v>6522</v>
      </c>
      <c r="T927" s="27"/>
      <c r="U927" s="1" t="s">
        <v>6523</v>
      </c>
    </row>
    <row r="928">
      <c r="A928" s="4">
        <v>45924.88786699074</v>
      </c>
      <c r="B928" s="3" t="s">
        <v>2934</v>
      </c>
      <c r="C928" s="3" t="s">
        <v>6524</v>
      </c>
      <c r="D928" s="3" t="s">
        <v>358</v>
      </c>
      <c r="E928" s="6">
        <v>45901.0</v>
      </c>
      <c r="F928" s="33">
        <v>50000.0</v>
      </c>
      <c r="G928" s="3" t="s">
        <v>21</v>
      </c>
      <c r="H928" s="3" t="s">
        <v>22</v>
      </c>
      <c r="I928" s="3" t="s">
        <v>1145</v>
      </c>
      <c r="K928" s="3" t="s">
        <v>6525</v>
      </c>
      <c r="L928" s="3" t="s">
        <v>6526</v>
      </c>
      <c r="M928" s="3" t="s">
        <v>6527</v>
      </c>
      <c r="N928" s="3" t="s">
        <v>362</v>
      </c>
      <c r="O928" s="3" t="s">
        <v>2939</v>
      </c>
      <c r="P928" s="3" t="s">
        <v>1150</v>
      </c>
      <c r="Q928" s="3" t="s">
        <v>29</v>
      </c>
      <c r="S928" s="27" t="s">
        <v>6528</v>
      </c>
      <c r="T928" s="27">
        <f>IFERROR(__xludf.DUMMYFUNCTION("""COMPUTED_VALUE"""),2011.0)</f>
        <v>2011</v>
      </c>
      <c r="U928" s="1" t="s">
        <v>6529</v>
      </c>
    </row>
    <row r="929">
      <c r="A929" s="4">
        <v>45925.51710652778</v>
      </c>
      <c r="B929" s="3" t="s">
        <v>2907</v>
      </c>
      <c r="C929" s="3" t="s">
        <v>6530</v>
      </c>
      <c r="D929" s="3" t="s">
        <v>358</v>
      </c>
      <c r="E929" s="6">
        <v>45834.0</v>
      </c>
      <c r="F929" s="33">
        <v>6750.0</v>
      </c>
      <c r="G929" s="3" t="s">
        <v>21</v>
      </c>
      <c r="H929" s="3" t="s">
        <v>22</v>
      </c>
      <c r="K929" s="3" t="s">
        <v>6531</v>
      </c>
      <c r="L929" s="3" t="s">
        <v>6532</v>
      </c>
      <c r="M929" s="3" t="s">
        <v>6533</v>
      </c>
      <c r="N929" s="3" t="s">
        <v>362</v>
      </c>
      <c r="O929" s="3" t="s">
        <v>2912</v>
      </c>
      <c r="Q929" s="3" t="s">
        <v>4891</v>
      </c>
      <c r="S929" s="27" t="s">
        <v>6534</v>
      </c>
      <c r="T929" s="27">
        <f>IFERROR(__xludf.DUMMYFUNCTION("""COMPUTED_VALUE"""),2061.0)</f>
        <v>2061</v>
      </c>
      <c r="U929" s="1" t="s">
        <v>6535</v>
      </c>
    </row>
    <row r="930">
      <c r="A930" s="4">
        <v>45925.5284656713</v>
      </c>
      <c r="B930" s="3" t="s">
        <v>6536</v>
      </c>
      <c r="C930" s="3" t="s">
        <v>6537</v>
      </c>
      <c r="D930" s="3" t="s">
        <v>358</v>
      </c>
      <c r="E930" s="6">
        <v>45909.0</v>
      </c>
      <c r="F930" s="33">
        <v>23520.0</v>
      </c>
      <c r="G930" s="3" t="s">
        <v>21</v>
      </c>
      <c r="H930" s="3" t="s">
        <v>22</v>
      </c>
      <c r="K930" s="3" t="s">
        <v>6538</v>
      </c>
      <c r="L930" s="3" t="s">
        <v>6539</v>
      </c>
      <c r="M930" s="3" t="s">
        <v>6540</v>
      </c>
      <c r="N930" s="3" t="s">
        <v>362</v>
      </c>
      <c r="O930" s="3" t="s">
        <v>6541</v>
      </c>
      <c r="Q930" s="3" t="s">
        <v>4891</v>
      </c>
      <c r="S930" s="27" t="s">
        <v>6542</v>
      </c>
      <c r="T930" s="27"/>
      <c r="U930" s="1" t="s">
        <v>6543</v>
      </c>
    </row>
    <row r="931">
      <c r="A931" s="4">
        <v>45925.78430519676</v>
      </c>
      <c r="B931" s="3" t="s">
        <v>2934</v>
      </c>
      <c r="C931" s="3" t="s">
        <v>6544</v>
      </c>
      <c r="D931" s="3" t="s">
        <v>358</v>
      </c>
      <c r="E931" s="6">
        <v>45901.0</v>
      </c>
      <c r="F931" s="33">
        <v>795000.0</v>
      </c>
      <c r="G931" s="3" t="s">
        <v>21</v>
      </c>
      <c r="H931" s="3" t="s">
        <v>22</v>
      </c>
      <c r="I931" s="3" t="s">
        <v>1145</v>
      </c>
      <c r="K931" s="3" t="s">
        <v>6545</v>
      </c>
      <c r="L931" s="3" t="s">
        <v>6546</v>
      </c>
      <c r="M931" s="3" t="s">
        <v>6547</v>
      </c>
      <c r="N931" s="3" t="s">
        <v>362</v>
      </c>
      <c r="O931" s="3" t="s">
        <v>2939</v>
      </c>
      <c r="P931" s="3" t="s">
        <v>1150</v>
      </c>
      <c r="Q931" s="3" t="s">
        <v>29</v>
      </c>
      <c r="S931" s="27" t="s">
        <v>6548</v>
      </c>
      <c r="T931" s="27">
        <f>IFERROR(__xludf.DUMMYFUNCTION("""COMPUTED_VALUE"""),2011.0)</f>
        <v>2011</v>
      </c>
      <c r="U931" s="1" t="s">
        <v>6549</v>
      </c>
    </row>
    <row r="932">
      <c r="A932" s="4">
        <v>45931.85522979166</v>
      </c>
      <c r="B932" s="3" t="s">
        <v>6550</v>
      </c>
      <c r="C932" s="3" t="s">
        <v>6551</v>
      </c>
      <c r="D932" s="3" t="s">
        <v>20</v>
      </c>
      <c r="E932" s="6">
        <v>45901.0</v>
      </c>
      <c r="F932" s="33">
        <v>50000.0</v>
      </c>
      <c r="G932" s="3" t="s">
        <v>21</v>
      </c>
      <c r="H932" s="3" t="s">
        <v>22</v>
      </c>
      <c r="K932" s="3" t="s">
        <v>6552</v>
      </c>
      <c r="L932" s="3" t="s">
        <v>6553</v>
      </c>
      <c r="M932" s="3" t="s">
        <v>6554</v>
      </c>
      <c r="N932" s="3" t="s">
        <v>27</v>
      </c>
      <c r="O932" s="3" t="s">
        <v>6555</v>
      </c>
      <c r="Q932" s="3" t="s">
        <v>29</v>
      </c>
      <c r="S932" s="27" t="s">
        <v>6556</v>
      </c>
      <c r="T932" s="27"/>
      <c r="U932" s="1" t="s">
        <v>6557</v>
      </c>
    </row>
    <row r="933">
      <c r="A933" s="4">
        <v>45937.516324861106</v>
      </c>
      <c r="B933" s="3" t="s">
        <v>6558</v>
      </c>
      <c r="C933" s="3" t="s">
        <v>6559</v>
      </c>
      <c r="D933" s="3" t="s">
        <v>20</v>
      </c>
      <c r="E933" s="6">
        <v>45935.0</v>
      </c>
      <c r="F933" s="33">
        <v>155000.0</v>
      </c>
      <c r="G933" s="3" t="s">
        <v>21</v>
      </c>
      <c r="H933" s="3" t="s">
        <v>22</v>
      </c>
      <c r="K933" s="3" t="s">
        <v>6560</v>
      </c>
      <c r="L933" s="3" t="s">
        <v>6561</v>
      </c>
      <c r="M933" s="3" t="s">
        <v>6562</v>
      </c>
      <c r="N933" s="3" t="s">
        <v>27</v>
      </c>
      <c r="O933" s="3" t="s">
        <v>6563</v>
      </c>
      <c r="Q933" s="3" t="s">
        <v>4891</v>
      </c>
      <c r="S933" s="27" t="s">
        <v>6564</v>
      </c>
      <c r="T933" s="27"/>
      <c r="U933" s="1" t="s">
        <v>6565</v>
      </c>
    </row>
    <row r="934">
      <c r="A934" s="4">
        <v>45938.610832488426</v>
      </c>
      <c r="B934" s="3" t="s">
        <v>5184</v>
      </c>
      <c r="C934" s="3" t="s">
        <v>6566</v>
      </c>
      <c r="D934" s="3" t="s">
        <v>756</v>
      </c>
      <c r="E934" s="6">
        <v>45905.0</v>
      </c>
      <c r="F934" s="33">
        <v>300.0</v>
      </c>
      <c r="G934" s="3" t="s">
        <v>136</v>
      </c>
      <c r="H934" s="3" t="s">
        <v>22</v>
      </c>
      <c r="K934" s="3" t="s">
        <v>6567</v>
      </c>
      <c r="L934" s="3" t="s">
        <v>6568</v>
      </c>
      <c r="M934" s="3" t="s">
        <v>6569</v>
      </c>
      <c r="N934" s="3" t="s">
        <v>760</v>
      </c>
      <c r="O934" s="3" t="s">
        <v>5189</v>
      </c>
      <c r="Q934" s="3" t="s">
        <v>4891</v>
      </c>
      <c r="S934" s="27" t="s">
        <v>6570</v>
      </c>
      <c r="T934" s="27">
        <f>IFERROR(__xludf.DUMMYFUNCTION("""COMPUTED_VALUE"""),2813.0)</f>
        <v>2813</v>
      </c>
      <c r="U934" s="1" t="s">
        <v>6571</v>
      </c>
    </row>
    <row r="935">
      <c r="A935" s="4">
        <v>45938.63618035879</v>
      </c>
      <c r="B935" s="3" t="s">
        <v>2907</v>
      </c>
      <c r="C935" s="3" t="s">
        <v>6572</v>
      </c>
      <c r="D935" s="3" t="s">
        <v>1049</v>
      </c>
      <c r="E935" s="6">
        <v>45917.0</v>
      </c>
      <c r="F935" s="33">
        <v>941.0</v>
      </c>
      <c r="G935" s="3" t="s">
        <v>21</v>
      </c>
      <c r="H935" s="3" t="s">
        <v>22</v>
      </c>
      <c r="K935" s="3" t="s">
        <v>6573</v>
      </c>
      <c r="L935" s="3" t="s">
        <v>6574</v>
      </c>
      <c r="M935" s="3" t="s">
        <v>6575</v>
      </c>
      <c r="N935" s="3" t="s">
        <v>1054</v>
      </c>
      <c r="O935" s="3" t="s">
        <v>2912</v>
      </c>
      <c r="Q935" s="3" t="s">
        <v>4891</v>
      </c>
      <c r="S935" s="27" t="s">
        <v>6576</v>
      </c>
      <c r="T935" s="27">
        <f>IFERROR(__xludf.DUMMYFUNCTION("""COMPUTED_VALUE"""),2061.0)</f>
        <v>2061</v>
      </c>
      <c r="U935" s="1" t="s">
        <v>6577</v>
      </c>
    </row>
    <row r="936">
      <c r="A936" s="4">
        <v>45945.82807662037</v>
      </c>
      <c r="B936" s="3" t="s">
        <v>2162</v>
      </c>
      <c r="C936" s="3" t="s">
        <v>6578</v>
      </c>
      <c r="D936" s="3" t="s">
        <v>756</v>
      </c>
      <c r="E936" s="6">
        <v>45931.0</v>
      </c>
      <c r="F936" s="33">
        <v>1700.0</v>
      </c>
      <c r="G936" s="3" t="s">
        <v>21</v>
      </c>
      <c r="H936" s="3" t="s">
        <v>22</v>
      </c>
      <c r="I936" s="3" t="s">
        <v>1434</v>
      </c>
      <c r="K936" s="3" t="s">
        <v>6579</v>
      </c>
      <c r="L936" s="3" t="s">
        <v>6580</v>
      </c>
      <c r="M936" s="3" t="s">
        <v>6581</v>
      </c>
      <c r="N936" s="3" t="s">
        <v>760</v>
      </c>
      <c r="O936" s="3" t="s">
        <v>2167</v>
      </c>
      <c r="P936" s="3" t="s">
        <v>1439</v>
      </c>
      <c r="Q936" s="3" t="s">
        <v>29</v>
      </c>
      <c r="S936" s="27" t="s">
        <v>6582</v>
      </c>
      <c r="T936" s="27">
        <f>IFERROR(__xludf.DUMMYFUNCTION("""COMPUTED_VALUE"""),1911.0)</f>
        <v>1911</v>
      </c>
      <c r="U936" s="1" t="s">
        <v>6583</v>
      </c>
    </row>
    <row r="937">
      <c r="A937" s="4">
        <v>45946.523745162034</v>
      </c>
      <c r="B937" s="3" t="s">
        <v>1990</v>
      </c>
      <c r="C937" s="3" t="s">
        <v>6584</v>
      </c>
      <c r="D937" s="3" t="s">
        <v>20</v>
      </c>
      <c r="E937" s="6">
        <v>45933.0</v>
      </c>
      <c r="F937" s="33">
        <v>77000.0</v>
      </c>
      <c r="G937" s="3" t="s">
        <v>21</v>
      </c>
      <c r="H937" s="3" t="s">
        <v>22</v>
      </c>
      <c r="K937" s="3" t="s">
        <v>6585</v>
      </c>
      <c r="L937" s="3" t="s">
        <v>6586</v>
      </c>
      <c r="M937" s="3" t="s">
        <v>6587</v>
      </c>
      <c r="N937" s="3" t="s">
        <v>27</v>
      </c>
      <c r="O937" s="3" t="s">
        <v>1995</v>
      </c>
      <c r="Q937" s="3" t="s">
        <v>4891</v>
      </c>
      <c r="S937" s="27" t="s">
        <v>6588</v>
      </c>
      <c r="T937" s="27">
        <f>IFERROR(__xludf.DUMMYFUNCTION("""COMPUTED_VALUE"""),1791.0)</f>
        <v>1791</v>
      </c>
      <c r="U937" s="1" t="s">
        <v>6589</v>
      </c>
    </row>
    <row r="938">
      <c r="A938" s="4">
        <v>45946.523745162034</v>
      </c>
      <c r="B938" s="3" t="s">
        <v>1750</v>
      </c>
      <c r="C938" s="3" t="s">
        <v>6590</v>
      </c>
      <c r="D938" s="3" t="s">
        <v>20</v>
      </c>
      <c r="E938" s="6">
        <v>45940.0</v>
      </c>
      <c r="F938" s="33">
        <v>60810.0</v>
      </c>
      <c r="G938" s="3" t="s">
        <v>21</v>
      </c>
      <c r="H938" s="3" t="s">
        <v>22</v>
      </c>
      <c r="K938" s="3" t="s">
        <v>6591</v>
      </c>
      <c r="L938" s="3" t="s">
        <v>6592</v>
      </c>
      <c r="M938" s="3" t="s">
        <v>6593</v>
      </c>
      <c r="N938" s="3" t="s">
        <v>27</v>
      </c>
      <c r="O938" s="3" t="s">
        <v>1756</v>
      </c>
      <c r="Q938" s="3" t="s">
        <v>4891</v>
      </c>
      <c r="S938" s="27" t="s">
        <v>6594</v>
      </c>
      <c r="T938" s="27">
        <f>IFERROR(__xludf.DUMMYFUNCTION("""COMPUTED_VALUE"""),1697.0)</f>
        <v>1697</v>
      </c>
      <c r="U938" s="1" t="s">
        <v>6595</v>
      </c>
    </row>
    <row r="939">
      <c r="A939" s="4">
        <v>45946.523745162034</v>
      </c>
      <c r="B939" s="3" t="s">
        <v>6596</v>
      </c>
      <c r="C939" s="3" t="s">
        <v>6597</v>
      </c>
      <c r="D939" s="3" t="s">
        <v>756</v>
      </c>
      <c r="E939" s="6">
        <v>45931.0</v>
      </c>
      <c r="F939" s="33">
        <v>783.0</v>
      </c>
      <c r="G939" s="3" t="s">
        <v>136</v>
      </c>
      <c r="H939" s="3" t="s">
        <v>22</v>
      </c>
      <c r="K939" s="3" t="s">
        <v>6598</v>
      </c>
      <c r="L939" s="3" t="s">
        <v>6599</v>
      </c>
      <c r="M939" s="3" t="s">
        <v>6600</v>
      </c>
      <c r="N939" s="3" t="s">
        <v>760</v>
      </c>
      <c r="O939" s="3" t="s">
        <v>6601</v>
      </c>
      <c r="Q939" s="3" t="s">
        <v>4891</v>
      </c>
      <c r="S939" s="27" t="s">
        <v>6602</v>
      </c>
      <c r="T939" s="27"/>
      <c r="U939" s="1" t="s">
        <v>6603</v>
      </c>
    </row>
    <row r="940">
      <c r="A940" s="4">
        <v>45952.605385902774</v>
      </c>
      <c r="B940" s="3" t="s">
        <v>4894</v>
      </c>
      <c r="C940" s="3" t="s">
        <v>6604</v>
      </c>
      <c r="D940" s="3" t="s">
        <v>20</v>
      </c>
      <c r="E940" s="6">
        <v>45950.0</v>
      </c>
      <c r="F940" s="33">
        <v>11597.0</v>
      </c>
      <c r="G940" s="3" t="s">
        <v>21</v>
      </c>
      <c r="H940" s="3" t="s">
        <v>22</v>
      </c>
      <c r="K940" s="3" t="s">
        <v>6605</v>
      </c>
      <c r="L940" s="3" t="s">
        <v>6606</v>
      </c>
      <c r="M940" s="3" t="s">
        <v>6607</v>
      </c>
      <c r="N940" s="3" t="s">
        <v>27</v>
      </c>
      <c r="O940" s="3" t="s">
        <v>4899</v>
      </c>
      <c r="Q940" s="3" t="s">
        <v>4891</v>
      </c>
      <c r="S940" s="27" t="s">
        <v>6608</v>
      </c>
      <c r="T940" s="27">
        <f>IFERROR(__xludf.DUMMYFUNCTION("""COMPUTED_VALUE"""),2585.0)</f>
        <v>2585</v>
      </c>
      <c r="U940" s="1" t="s">
        <v>6609</v>
      </c>
    </row>
    <row r="941">
      <c r="A941" s="4">
        <v>45953.72678726852</v>
      </c>
      <c r="B941" s="3" t="s">
        <v>393</v>
      </c>
      <c r="C941" s="3" t="s">
        <v>6610</v>
      </c>
      <c r="D941" s="3" t="s">
        <v>358</v>
      </c>
      <c r="E941" s="6">
        <v>45950.0</v>
      </c>
      <c r="F941" s="33">
        <v>67988.32</v>
      </c>
      <c r="G941" s="3" t="s">
        <v>136</v>
      </c>
      <c r="H941" s="3" t="s">
        <v>22</v>
      </c>
      <c r="K941" s="3" t="s">
        <v>6611</v>
      </c>
      <c r="L941" s="3" t="s">
        <v>6612</v>
      </c>
      <c r="M941" s="3" t="s">
        <v>6613</v>
      </c>
      <c r="N941" s="3" t="s">
        <v>362</v>
      </c>
      <c r="O941" s="3" t="s">
        <v>398</v>
      </c>
      <c r="Q941" s="3" t="s">
        <v>4891</v>
      </c>
      <c r="S941" s="27" t="s">
        <v>6614</v>
      </c>
      <c r="T941" s="27">
        <f>IFERROR(__xludf.DUMMYFUNCTION("""COMPUTED_VALUE"""),1148.0)</f>
        <v>1148</v>
      </c>
      <c r="U941" s="1" t="s">
        <v>6615</v>
      </c>
    </row>
    <row r="942">
      <c r="A942" s="4">
        <v>45957.57080908565</v>
      </c>
      <c r="B942" s="3" t="s">
        <v>4658</v>
      </c>
      <c r="C942" s="3" t="s">
        <v>6616</v>
      </c>
      <c r="D942" s="3" t="s">
        <v>358</v>
      </c>
      <c r="E942" s="6">
        <v>45860.0</v>
      </c>
      <c r="F942" s="33">
        <v>59200.0</v>
      </c>
      <c r="G942" s="3" t="s">
        <v>21</v>
      </c>
      <c r="H942" s="3" t="s">
        <v>22</v>
      </c>
      <c r="K942" s="3" t="s">
        <v>6617</v>
      </c>
      <c r="L942" s="3" t="s">
        <v>6618</v>
      </c>
      <c r="M942" s="3" t="s">
        <v>6619</v>
      </c>
      <c r="N942" s="3" t="s">
        <v>362</v>
      </c>
      <c r="O942" s="3" t="s">
        <v>4663</v>
      </c>
      <c r="Q942" s="3" t="s">
        <v>4891</v>
      </c>
      <c r="S942" s="27" t="s">
        <v>6620</v>
      </c>
      <c r="T942" s="27">
        <f>IFERROR(__xludf.DUMMYFUNCTION("""COMPUTED_VALUE"""),2589.0)</f>
        <v>2589</v>
      </c>
      <c r="U942" s="1" t="s">
        <v>6621</v>
      </c>
    </row>
    <row r="943">
      <c r="A943" s="4">
        <v>45966.58896447917</v>
      </c>
      <c r="B943" s="3" t="s">
        <v>6622</v>
      </c>
      <c r="C943" s="3" t="s">
        <v>6623</v>
      </c>
      <c r="D943" s="3" t="s">
        <v>230</v>
      </c>
      <c r="E943" s="6">
        <v>45962.0</v>
      </c>
      <c r="F943" s="33">
        <v>600.0</v>
      </c>
      <c r="G943" s="3" t="s">
        <v>21</v>
      </c>
      <c r="H943" s="3" t="s">
        <v>22</v>
      </c>
      <c r="K943" s="3" t="s">
        <v>6624</v>
      </c>
      <c r="L943" s="3" t="s">
        <v>6625</v>
      </c>
      <c r="M943" s="3" t="s">
        <v>6626</v>
      </c>
      <c r="N943" s="3" t="s">
        <v>234</v>
      </c>
      <c r="O943" s="3" t="s">
        <v>6627</v>
      </c>
      <c r="Q943" s="3" t="s">
        <v>4891</v>
      </c>
      <c r="S943" s="27" t="s">
        <v>6628</v>
      </c>
      <c r="T943" s="27"/>
      <c r="U943" s="1" t="s">
        <v>6629</v>
      </c>
    </row>
    <row r="944">
      <c r="A944" s="4">
        <v>45966.71925087963</v>
      </c>
      <c r="B944" s="3" t="s">
        <v>6630</v>
      </c>
      <c r="C944" s="3" t="s">
        <v>6631</v>
      </c>
      <c r="D944" s="3" t="s">
        <v>20</v>
      </c>
      <c r="E944" s="6">
        <v>45953.0</v>
      </c>
      <c r="F944" s="33">
        <v>300000.0</v>
      </c>
      <c r="G944" s="3" t="s">
        <v>21</v>
      </c>
      <c r="H944" s="3" t="s">
        <v>22</v>
      </c>
      <c r="K944" s="3" t="s">
        <v>6632</v>
      </c>
      <c r="L944" s="3" t="s">
        <v>6633</v>
      </c>
      <c r="M944" s="3" t="s">
        <v>6634</v>
      </c>
      <c r="N944" s="3" t="s">
        <v>27</v>
      </c>
      <c r="O944" s="3" t="s">
        <v>6635</v>
      </c>
      <c r="Q944" s="3" t="s">
        <v>4891</v>
      </c>
      <c r="S944" s="27" t="s">
        <v>6636</v>
      </c>
      <c r="T944" s="27"/>
      <c r="U944" s="1" t="s">
        <v>6637</v>
      </c>
    </row>
    <row r="945">
      <c r="A945" s="4"/>
      <c r="B945" s="3"/>
      <c r="C945" s="3"/>
      <c r="D945" s="3"/>
      <c r="E945" s="6"/>
      <c r="F945" s="33"/>
      <c r="G945" s="3"/>
      <c r="H945" s="3"/>
      <c r="K945" s="3"/>
      <c r="L945" s="3"/>
      <c r="M945" s="3"/>
      <c r="N945" s="3"/>
      <c r="O945" s="3"/>
      <c r="Q945" s="3"/>
      <c r="S945" s="27" t="s">
        <v>1975</v>
      </c>
      <c r="T945" s="27" t="str">
        <f>IFERROR(__xludf.DUMMYFUNCTION("""COMPUTED_VALUE"""),"")</f>
        <v/>
      </c>
      <c r="U945" s="1" t="s">
        <v>1975</v>
      </c>
    </row>
    <row r="946">
      <c r="A946" s="4"/>
      <c r="B946" s="3"/>
      <c r="C946" s="3"/>
      <c r="D946" s="3"/>
      <c r="E946" s="6"/>
      <c r="F946" s="33"/>
      <c r="G946" s="3"/>
      <c r="H946" s="3"/>
      <c r="K946" s="3"/>
      <c r="L946" s="3"/>
      <c r="M946" s="3"/>
      <c r="N946" s="3"/>
      <c r="O946" s="3"/>
      <c r="Q946" s="3"/>
      <c r="S946" s="27" t="s">
        <v>1975</v>
      </c>
      <c r="T946" s="27" t="str">
        <f>IFERROR(__xludf.DUMMYFUNCTION("""COMPUTED_VALUE"""),"")</f>
        <v/>
      </c>
      <c r="U946" s="1" t="s">
        <v>1975</v>
      </c>
    </row>
    <row r="947">
      <c r="A947" s="4"/>
      <c r="B947" s="3"/>
      <c r="C947" s="3"/>
      <c r="D947" s="3"/>
      <c r="E947" s="6"/>
      <c r="F947" s="33"/>
      <c r="G947" s="3"/>
      <c r="H947" s="3"/>
      <c r="K947" s="3"/>
      <c r="L947" s="3"/>
      <c r="M947" s="3"/>
      <c r="N947" s="3"/>
      <c r="O947" s="3"/>
      <c r="Q947" s="3"/>
      <c r="S947" s="27" t="s">
        <v>1975</v>
      </c>
      <c r="T947" s="27" t="str">
        <f>IFERROR(__xludf.DUMMYFUNCTION("""COMPUTED_VALUE"""),"")</f>
        <v/>
      </c>
      <c r="U947" s="1" t="s">
        <v>1975</v>
      </c>
    </row>
    <row r="948">
      <c r="A948" s="4"/>
      <c r="B948" s="3"/>
      <c r="C948" s="3"/>
      <c r="D948" s="3" t="s">
        <v>6638</v>
      </c>
      <c r="E948" s="6"/>
      <c r="F948" s="33"/>
      <c r="G948" s="3"/>
      <c r="H948" s="3"/>
      <c r="K948" s="3"/>
      <c r="L948" s="3"/>
      <c r="M948" s="3"/>
      <c r="N948" s="3"/>
      <c r="O948" s="3"/>
      <c r="Q948" s="3"/>
      <c r="S948" s="27" t="s">
        <v>1975</v>
      </c>
      <c r="T948" s="27" t="str">
        <f>IFERROR(__xludf.DUMMYFUNCTION("""COMPUTED_VALUE"""),"")</f>
        <v/>
      </c>
      <c r="U948" s="1" t="s">
        <v>1975</v>
      </c>
    </row>
    <row r="949">
      <c r="A949" s="4"/>
      <c r="B949" s="3"/>
      <c r="C949" s="3"/>
      <c r="D949" s="3"/>
      <c r="E949" s="6"/>
      <c r="F949" s="33"/>
      <c r="G949" s="3"/>
      <c r="H949" s="3"/>
      <c r="K949" s="3"/>
      <c r="L949" s="3"/>
      <c r="M949" s="3"/>
      <c r="N949" s="3"/>
      <c r="O949" s="3"/>
      <c r="Q949" s="3"/>
      <c r="S949" s="27" t="s">
        <v>1975</v>
      </c>
      <c r="T949" s="27" t="str">
        <f>IFERROR(__xludf.DUMMYFUNCTION("""COMPUTED_VALUE"""),"")</f>
        <v/>
      </c>
      <c r="U949" s="1" t="s">
        <v>1975</v>
      </c>
    </row>
    <row r="950">
      <c r="A950" s="4"/>
      <c r="B950" s="3"/>
      <c r="C950" s="3"/>
      <c r="D950" s="3"/>
      <c r="E950" s="6"/>
      <c r="F950" s="33"/>
      <c r="G950" s="3"/>
      <c r="H950" s="3"/>
      <c r="K950" s="3"/>
      <c r="L950" s="3"/>
      <c r="M950" s="3"/>
      <c r="N950" s="3"/>
      <c r="O950" s="3"/>
      <c r="Q950" s="3"/>
      <c r="S950" s="27" t="s">
        <v>1975</v>
      </c>
      <c r="T950" s="27" t="str">
        <f>IFERROR(__xludf.DUMMYFUNCTION("""COMPUTED_VALUE"""),"")</f>
        <v/>
      </c>
      <c r="U950" s="1" t="s">
        <v>1975</v>
      </c>
    </row>
    <row r="951">
      <c r="A951" s="4"/>
      <c r="B951" s="3"/>
      <c r="C951" s="3"/>
      <c r="D951" s="3"/>
      <c r="E951" s="6"/>
      <c r="F951" s="33"/>
      <c r="G951" s="3"/>
      <c r="H951" s="3"/>
      <c r="K951" s="3"/>
      <c r="L951" s="3"/>
      <c r="M951" s="3"/>
      <c r="N951" s="3"/>
      <c r="O951" s="3"/>
      <c r="Q951" s="3"/>
      <c r="S951" s="27" t="s">
        <v>1975</v>
      </c>
      <c r="T951" s="27" t="str">
        <f>IFERROR(__xludf.DUMMYFUNCTION("""COMPUTED_VALUE"""),"")</f>
        <v/>
      </c>
      <c r="U951" s="1" t="s">
        <v>1975</v>
      </c>
    </row>
    <row r="952">
      <c r="A952" s="4"/>
      <c r="B952" s="3"/>
      <c r="C952" s="3"/>
      <c r="D952" s="3"/>
      <c r="E952" s="6"/>
      <c r="F952" s="33"/>
      <c r="G952" s="3"/>
      <c r="H952" s="3"/>
      <c r="K952" s="3"/>
      <c r="L952" s="3"/>
      <c r="M952" s="3"/>
      <c r="N952" s="3"/>
      <c r="O952" s="3"/>
      <c r="Q952" s="3"/>
      <c r="S952" s="27" t="s">
        <v>1975</v>
      </c>
      <c r="T952" s="27" t="str">
        <f>IFERROR(__xludf.DUMMYFUNCTION("""COMPUTED_VALUE"""),"")</f>
        <v/>
      </c>
      <c r="U952" s="1" t="s">
        <v>1975</v>
      </c>
    </row>
    <row r="953">
      <c r="A953" s="4"/>
      <c r="B953" s="3"/>
      <c r="C953" s="3"/>
      <c r="D953" s="3"/>
      <c r="E953" s="6"/>
      <c r="F953" s="33"/>
      <c r="G953" s="3"/>
      <c r="H953" s="3"/>
      <c r="K953" s="3"/>
      <c r="L953" s="3"/>
      <c r="M953" s="3"/>
      <c r="N953" s="3"/>
      <c r="O953" s="3"/>
      <c r="Q953" s="3"/>
      <c r="S953" s="27" t="s">
        <v>1975</v>
      </c>
      <c r="T953" s="27" t="str">
        <f>IFERROR(__xludf.DUMMYFUNCTION("""COMPUTED_VALUE"""),"")</f>
        <v/>
      </c>
      <c r="U953" s="1" t="s">
        <v>1975</v>
      </c>
    </row>
    <row r="954">
      <c r="A954" s="4"/>
      <c r="B954" s="3"/>
      <c r="C954" s="3"/>
      <c r="D954" s="3"/>
      <c r="E954" s="6"/>
      <c r="F954" s="33"/>
      <c r="G954" s="3"/>
      <c r="H954" s="3"/>
      <c r="K954" s="3"/>
      <c r="L954" s="3"/>
      <c r="M954" s="3"/>
      <c r="N954" s="3"/>
      <c r="O954" s="3"/>
      <c r="Q954" s="3"/>
      <c r="S954" s="27" t="s">
        <v>1975</v>
      </c>
      <c r="T954" s="27" t="str">
        <f>IFERROR(__xludf.DUMMYFUNCTION("""COMPUTED_VALUE"""),"")</f>
        <v/>
      </c>
      <c r="U954" s="1" t="s">
        <v>1975</v>
      </c>
    </row>
    <row r="955">
      <c r="A955" s="4"/>
      <c r="B955" s="3"/>
      <c r="C955" s="3"/>
      <c r="D955" s="3"/>
      <c r="E955" s="6"/>
      <c r="F955" s="33"/>
      <c r="G955" s="3"/>
      <c r="H955" s="3"/>
      <c r="K955" s="3"/>
      <c r="L955" s="3"/>
      <c r="M955" s="3"/>
      <c r="N955" s="3"/>
      <c r="O955" s="3"/>
      <c r="Q955" s="3"/>
      <c r="S955" s="27" t="s">
        <v>1975</v>
      </c>
      <c r="T955" s="27" t="str">
        <f>IFERROR(__xludf.DUMMYFUNCTION("""COMPUTED_VALUE"""),"")</f>
        <v/>
      </c>
      <c r="U955" s="1" t="s">
        <v>1975</v>
      </c>
    </row>
    <row r="956">
      <c r="A956" s="4"/>
      <c r="B956" s="3"/>
      <c r="C956" s="3"/>
      <c r="D956" s="3"/>
      <c r="E956" s="6"/>
      <c r="F956" s="33"/>
      <c r="G956" s="3"/>
      <c r="H956" s="3"/>
      <c r="K956" s="3"/>
      <c r="L956" s="3"/>
      <c r="M956" s="3"/>
      <c r="N956" s="3"/>
      <c r="O956" s="3"/>
      <c r="Q956" s="3"/>
      <c r="S956" s="27" t="s">
        <v>1975</v>
      </c>
      <c r="T956" s="27" t="str">
        <f>IFERROR(__xludf.DUMMYFUNCTION("""COMPUTED_VALUE"""),"")</f>
        <v/>
      </c>
      <c r="U956" s="1" t="s">
        <v>1975</v>
      </c>
    </row>
    <row r="957">
      <c r="A957" s="4"/>
      <c r="B957" s="3"/>
      <c r="C957" s="3"/>
      <c r="D957" s="3"/>
      <c r="E957" s="6"/>
      <c r="F957" s="33"/>
      <c r="G957" s="3"/>
      <c r="H957" s="3"/>
      <c r="K957" s="3"/>
      <c r="L957" s="3"/>
      <c r="M957" s="3"/>
      <c r="N957" s="3"/>
      <c r="O957" s="3"/>
      <c r="Q957" s="3"/>
      <c r="S957" s="27" t="s">
        <v>1975</v>
      </c>
      <c r="T957" s="27" t="str">
        <f>IFERROR(__xludf.DUMMYFUNCTION("""COMPUTED_VALUE"""),"")</f>
        <v/>
      </c>
      <c r="U957" s="1" t="s">
        <v>1975</v>
      </c>
    </row>
    <row r="958">
      <c r="A958" s="4"/>
      <c r="B958" s="3"/>
      <c r="C958" s="3"/>
      <c r="D958" s="3"/>
      <c r="E958" s="6"/>
      <c r="F958" s="33"/>
      <c r="G958" s="3"/>
      <c r="H958" s="3"/>
      <c r="K958" s="3"/>
      <c r="L958" s="3"/>
      <c r="M958" s="3"/>
      <c r="N958" s="3"/>
      <c r="O958" s="3"/>
      <c r="Q958" s="3"/>
      <c r="S958" s="27" t="s">
        <v>1975</v>
      </c>
      <c r="T958" s="27" t="str">
        <f>IFERROR(__xludf.DUMMYFUNCTION("""COMPUTED_VALUE"""),"")</f>
        <v/>
      </c>
      <c r="U958" s="1" t="s">
        <v>1975</v>
      </c>
    </row>
    <row r="959">
      <c r="A959" s="4"/>
      <c r="B959" s="3"/>
      <c r="C959" s="3"/>
      <c r="D959" s="3"/>
      <c r="E959" s="6"/>
      <c r="F959" s="33"/>
      <c r="G959" s="3"/>
      <c r="H959" s="3"/>
      <c r="K959" s="3"/>
      <c r="L959" s="3"/>
      <c r="M959" s="3"/>
      <c r="N959" s="3"/>
      <c r="O959" s="3"/>
      <c r="Q959" s="3"/>
      <c r="S959" s="27" t="s">
        <v>1975</v>
      </c>
      <c r="T959" s="27" t="str">
        <f>IFERROR(__xludf.DUMMYFUNCTION("""COMPUTED_VALUE"""),"")</f>
        <v/>
      </c>
      <c r="U959" s="1" t="s">
        <v>1975</v>
      </c>
    </row>
    <row r="960">
      <c r="A960" s="4"/>
      <c r="B960" s="3"/>
      <c r="C960" s="3"/>
      <c r="D960" s="3"/>
      <c r="E960" s="6"/>
      <c r="F960" s="33"/>
      <c r="G960" s="3"/>
      <c r="H960" s="3"/>
      <c r="K960" s="3"/>
      <c r="L960" s="3"/>
      <c r="M960" s="3"/>
      <c r="N960" s="3"/>
      <c r="O960" s="3"/>
      <c r="Q960" s="3"/>
      <c r="S960" s="27" t="s">
        <v>1975</v>
      </c>
      <c r="T960" s="27" t="str">
        <f>IFERROR(__xludf.DUMMYFUNCTION("""COMPUTED_VALUE"""),"")</f>
        <v/>
      </c>
      <c r="U960" s="1" t="s">
        <v>1975</v>
      </c>
    </row>
    <row r="961">
      <c r="A961" s="4"/>
      <c r="B961" s="3"/>
      <c r="C961" s="3"/>
      <c r="D961" s="3"/>
      <c r="E961" s="6"/>
      <c r="F961" s="33"/>
      <c r="G961" s="3"/>
      <c r="H961" s="3"/>
      <c r="K961" s="3"/>
      <c r="L961" s="3"/>
      <c r="M961" s="3"/>
      <c r="N961" s="3"/>
      <c r="O961" s="3"/>
      <c r="Q961" s="3"/>
      <c r="S961" s="27" t="s">
        <v>1975</v>
      </c>
      <c r="T961" s="27" t="str">
        <f>IFERROR(__xludf.DUMMYFUNCTION("""COMPUTED_VALUE"""),"")</f>
        <v/>
      </c>
      <c r="U961" s="1" t="s">
        <v>1975</v>
      </c>
    </row>
    <row r="962">
      <c r="A962" s="4"/>
      <c r="B962" s="3"/>
      <c r="C962" s="3"/>
      <c r="D962" s="3"/>
      <c r="E962" s="6"/>
      <c r="F962" s="33"/>
      <c r="G962" s="3"/>
      <c r="H962" s="3"/>
      <c r="K962" s="3"/>
      <c r="L962" s="3"/>
      <c r="M962" s="3"/>
      <c r="N962" s="3"/>
      <c r="O962" s="3"/>
      <c r="Q962" s="3"/>
      <c r="S962" s="27" t="s">
        <v>1975</v>
      </c>
      <c r="T962" s="27" t="str">
        <f>IFERROR(__xludf.DUMMYFUNCTION("""COMPUTED_VALUE"""),"")</f>
        <v/>
      </c>
      <c r="U962" s="1" t="s">
        <v>1975</v>
      </c>
    </row>
    <row r="963">
      <c r="A963" s="4"/>
      <c r="B963" s="3"/>
      <c r="C963" s="3"/>
      <c r="D963" s="3"/>
      <c r="E963" s="6"/>
      <c r="F963" s="33"/>
      <c r="G963" s="3"/>
      <c r="H963" s="3"/>
      <c r="K963" s="3"/>
      <c r="L963" s="3"/>
      <c r="M963" s="3"/>
      <c r="N963" s="3"/>
      <c r="O963" s="3"/>
      <c r="Q963" s="3"/>
      <c r="S963" s="27" t="s">
        <v>1975</v>
      </c>
      <c r="T963" s="27" t="str">
        <f>IFERROR(__xludf.DUMMYFUNCTION("""COMPUTED_VALUE"""),"")</f>
        <v/>
      </c>
      <c r="U963" s="1" t="s">
        <v>1975</v>
      </c>
    </row>
    <row r="964">
      <c r="A964" s="4"/>
      <c r="B964" s="3"/>
      <c r="C964" s="3"/>
      <c r="D964" s="3"/>
      <c r="E964" s="6"/>
      <c r="F964" s="33"/>
      <c r="G964" s="3"/>
      <c r="H964" s="3"/>
      <c r="K964" s="3"/>
      <c r="L964" s="3"/>
      <c r="M964" s="3"/>
      <c r="N964" s="3"/>
      <c r="O964" s="3"/>
      <c r="Q964" s="3"/>
      <c r="S964" s="27" t="s">
        <v>1975</v>
      </c>
      <c r="T964" s="27" t="str">
        <f>IFERROR(__xludf.DUMMYFUNCTION("""COMPUTED_VALUE"""),"")</f>
        <v/>
      </c>
      <c r="U964" s="1" t="s">
        <v>1975</v>
      </c>
    </row>
    <row r="965">
      <c r="A965" s="4"/>
      <c r="B965" s="3"/>
      <c r="C965" s="3"/>
      <c r="D965" s="3"/>
      <c r="E965" s="6"/>
      <c r="F965" s="33"/>
      <c r="G965" s="3"/>
      <c r="H965" s="3"/>
      <c r="K965" s="3"/>
      <c r="L965" s="3"/>
      <c r="M965" s="3"/>
      <c r="N965" s="3"/>
      <c r="O965" s="3"/>
      <c r="Q965" s="3"/>
      <c r="S965" s="27" t="s">
        <v>1975</v>
      </c>
      <c r="T965" s="27" t="str">
        <f>IFERROR(__xludf.DUMMYFUNCTION("""COMPUTED_VALUE"""),"")</f>
        <v/>
      </c>
      <c r="U965" s="1" t="s">
        <v>1975</v>
      </c>
    </row>
    <row r="966">
      <c r="A966" s="4"/>
      <c r="B966" s="3"/>
      <c r="C966" s="3"/>
      <c r="D966" s="3"/>
      <c r="E966" s="6"/>
      <c r="F966" s="33"/>
      <c r="G966" s="3"/>
      <c r="H966" s="3"/>
      <c r="K966" s="3"/>
      <c r="L966" s="3"/>
      <c r="M966" s="3"/>
      <c r="N966" s="3"/>
      <c r="O966" s="3"/>
      <c r="Q966" s="3"/>
      <c r="S966" s="27" t="s">
        <v>1975</v>
      </c>
      <c r="T966" s="27" t="str">
        <f>IFERROR(__xludf.DUMMYFUNCTION("""COMPUTED_VALUE"""),"")</f>
        <v/>
      </c>
      <c r="U966" s="1" t="s">
        <v>1975</v>
      </c>
    </row>
    <row r="967">
      <c r="A967" s="4"/>
      <c r="B967" s="3"/>
      <c r="C967" s="3"/>
      <c r="D967" s="3"/>
      <c r="E967" s="6"/>
      <c r="F967" s="33"/>
      <c r="G967" s="3"/>
      <c r="H967" s="3"/>
      <c r="K967" s="3"/>
      <c r="L967" s="3"/>
      <c r="M967" s="3"/>
      <c r="N967" s="3"/>
      <c r="O967" s="3"/>
      <c r="Q967" s="3"/>
      <c r="S967" s="27" t="s">
        <v>1975</v>
      </c>
      <c r="T967" s="27" t="str">
        <f>IFERROR(__xludf.DUMMYFUNCTION("""COMPUTED_VALUE"""),"")</f>
        <v/>
      </c>
      <c r="U967" s="1" t="s">
        <v>1975</v>
      </c>
    </row>
    <row r="968">
      <c r="A968" s="4"/>
      <c r="B968" s="3"/>
      <c r="C968" s="3"/>
      <c r="D968" s="3"/>
      <c r="E968" s="6"/>
      <c r="F968" s="33"/>
      <c r="G968" s="3"/>
      <c r="H968" s="3"/>
      <c r="K968" s="3"/>
      <c r="L968" s="3"/>
      <c r="M968" s="3"/>
      <c r="N968" s="3"/>
      <c r="O968" s="3"/>
      <c r="Q968" s="3"/>
      <c r="S968" s="27" t="s">
        <v>1975</v>
      </c>
      <c r="T968" s="27" t="str">
        <f>IFERROR(__xludf.DUMMYFUNCTION("""COMPUTED_VALUE"""),"")</f>
        <v/>
      </c>
      <c r="U968" s="1" t="s">
        <v>1975</v>
      </c>
    </row>
    <row r="969">
      <c r="A969" s="4"/>
      <c r="B969" s="3"/>
      <c r="C969" s="3"/>
      <c r="D969" s="3"/>
      <c r="E969" s="6"/>
      <c r="F969" s="33"/>
      <c r="G969" s="3"/>
      <c r="H969" s="3"/>
      <c r="K969" s="3"/>
      <c r="L969" s="3"/>
      <c r="M969" s="3"/>
      <c r="N969" s="3"/>
      <c r="O969" s="3"/>
      <c r="Q969" s="3"/>
      <c r="S969" s="27" t="s">
        <v>1975</v>
      </c>
      <c r="T969" s="27" t="str">
        <f>IFERROR(__xludf.DUMMYFUNCTION("""COMPUTED_VALUE"""),"")</f>
        <v/>
      </c>
      <c r="U969" s="1" t="s">
        <v>1975</v>
      </c>
    </row>
    <row r="970">
      <c r="A970" s="4"/>
      <c r="B970" s="3"/>
      <c r="C970" s="3"/>
      <c r="D970" s="3"/>
      <c r="E970" s="6"/>
      <c r="F970" s="33"/>
      <c r="G970" s="3"/>
      <c r="H970" s="3"/>
      <c r="K970" s="3"/>
      <c r="L970" s="3"/>
      <c r="M970" s="3"/>
      <c r="N970" s="3"/>
      <c r="O970" s="3"/>
      <c r="Q970" s="3"/>
      <c r="S970" s="27" t="s">
        <v>1975</v>
      </c>
      <c r="T970" s="27" t="str">
        <f>IFERROR(__xludf.DUMMYFUNCTION("""COMPUTED_VALUE"""),"")</f>
        <v/>
      </c>
      <c r="U970" s="1" t="s">
        <v>1975</v>
      </c>
    </row>
    <row r="971">
      <c r="A971" s="4"/>
      <c r="B971" s="3"/>
      <c r="C971" s="3"/>
      <c r="D971" s="3"/>
      <c r="E971" s="6"/>
      <c r="F971" s="33"/>
      <c r="G971" s="3"/>
      <c r="H971" s="3"/>
      <c r="K971" s="3"/>
      <c r="L971" s="3"/>
      <c r="M971" s="3"/>
      <c r="N971" s="3"/>
      <c r="O971" s="3"/>
      <c r="Q971" s="3"/>
      <c r="S971" s="27" t="s">
        <v>1975</v>
      </c>
      <c r="T971" s="27" t="str">
        <f>IFERROR(__xludf.DUMMYFUNCTION("""COMPUTED_VALUE"""),"")</f>
        <v/>
      </c>
      <c r="U971" s="1" t="s">
        <v>1975</v>
      </c>
    </row>
    <row r="972">
      <c r="A972" s="4"/>
      <c r="B972" s="3"/>
      <c r="C972" s="3"/>
      <c r="D972" s="3"/>
      <c r="E972" s="6"/>
      <c r="F972" s="33"/>
      <c r="G972" s="3"/>
      <c r="H972" s="3"/>
      <c r="K972" s="3"/>
      <c r="L972" s="3"/>
      <c r="M972" s="3"/>
      <c r="N972" s="3"/>
      <c r="O972" s="3"/>
      <c r="Q972" s="3"/>
      <c r="S972" s="27" t="s">
        <v>1975</v>
      </c>
      <c r="T972" s="27" t="str">
        <f>IFERROR(__xludf.DUMMYFUNCTION("""COMPUTED_VALUE"""),"")</f>
        <v/>
      </c>
      <c r="U972" s="1" t="s">
        <v>1975</v>
      </c>
    </row>
    <row r="973">
      <c r="A973" s="4"/>
      <c r="B973" s="3"/>
      <c r="C973" s="3"/>
      <c r="D973" s="3"/>
      <c r="E973" s="6"/>
      <c r="F973" s="33"/>
      <c r="G973" s="3"/>
      <c r="H973" s="3"/>
      <c r="K973" s="3"/>
      <c r="L973" s="3"/>
      <c r="M973" s="3"/>
      <c r="N973" s="3"/>
      <c r="O973" s="3"/>
      <c r="Q973" s="3"/>
      <c r="S973" s="27" t="s">
        <v>1975</v>
      </c>
      <c r="T973" s="27" t="str">
        <f>IFERROR(__xludf.DUMMYFUNCTION("""COMPUTED_VALUE"""),"")</f>
        <v/>
      </c>
      <c r="U973" s="1" t="s">
        <v>1975</v>
      </c>
    </row>
    <row r="974">
      <c r="A974" s="4"/>
      <c r="B974" s="3"/>
      <c r="C974" s="3"/>
      <c r="D974" s="3"/>
      <c r="E974" s="6"/>
      <c r="F974" s="33"/>
      <c r="G974" s="3"/>
      <c r="H974" s="3"/>
      <c r="K974" s="3"/>
      <c r="L974" s="3"/>
      <c r="M974" s="3"/>
      <c r="N974" s="3"/>
      <c r="O974" s="3"/>
      <c r="Q974" s="3"/>
      <c r="S974" s="27" t="s">
        <v>1975</v>
      </c>
      <c r="T974" s="27" t="str">
        <f>IFERROR(__xludf.DUMMYFUNCTION("""COMPUTED_VALUE"""),"")</f>
        <v/>
      </c>
      <c r="U974" s="1" t="s">
        <v>1975</v>
      </c>
    </row>
    <row r="975">
      <c r="A975" s="4"/>
      <c r="B975" s="3"/>
      <c r="C975" s="3"/>
      <c r="D975" s="3"/>
      <c r="E975" s="6"/>
      <c r="F975" s="33"/>
      <c r="G975" s="3"/>
      <c r="H975" s="3"/>
      <c r="K975" s="3"/>
      <c r="L975" s="3"/>
      <c r="M975" s="3"/>
      <c r="N975" s="3"/>
      <c r="O975" s="3"/>
      <c r="Q975" s="3"/>
      <c r="S975" s="27" t="s">
        <v>1975</v>
      </c>
      <c r="T975" s="27" t="str">
        <f>IFERROR(__xludf.DUMMYFUNCTION("""COMPUTED_VALUE"""),"")</f>
        <v/>
      </c>
      <c r="U975" s="1" t="s">
        <v>1975</v>
      </c>
    </row>
    <row r="976">
      <c r="A976" s="4"/>
      <c r="B976" s="3"/>
      <c r="C976" s="3"/>
      <c r="D976" s="3"/>
      <c r="E976" s="6"/>
      <c r="F976" s="33"/>
      <c r="G976" s="3"/>
      <c r="H976" s="3"/>
      <c r="K976" s="3"/>
      <c r="L976" s="3"/>
      <c r="M976" s="3"/>
      <c r="N976" s="3"/>
      <c r="O976" s="3"/>
      <c r="Q976" s="3"/>
      <c r="S976" s="27" t="s">
        <v>1975</v>
      </c>
      <c r="T976" s="27" t="str">
        <f>IFERROR(__xludf.DUMMYFUNCTION("""COMPUTED_VALUE"""),"")</f>
        <v/>
      </c>
      <c r="U976" s="1" t="s">
        <v>1975</v>
      </c>
    </row>
    <row r="977">
      <c r="A977" s="4"/>
      <c r="B977" s="3"/>
      <c r="C977" s="3"/>
      <c r="D977" s="3"/>
      <c r="E977" s="6"/>
      <c r="F977" s="33"/>
      <c r="G977" s="3"/>
      <c r="H977" s="3"/>
      <c r="K977" s="3"/>
      <c r="L977" s="3"/>
      <c r="M977" s="3"/>
      <c r="N977" s="3"/>
      <c r="O977" s="3"/>
      <c r="Q977" s="3"/>
      <c r="S977" s="27" t="s">
        <v>1975</v>
      </c>
      <c r="T977" s="27" t="str">
        <f>IFERROR(__xludf.DUMMYFUNCTION("""COMPUTED_VALUE"""),"")</f>
        <v/>
      </c>
      <c r="U977" s="1" t="s">
        <v>1975</v>
      </c>
    </row>
    <row r="978">
      <c r="A978" s="4"/>
      <c r="B978" s="3"/>
      <c r="C978" s="3"/>
      <c r="D978" s="3"/>
      <c r="E978" s="6"/>
      <c r="F978" s="33"/>
      <c r="G978" s="3"/>
      <c r="H978" s="3"/>
      <c r="K978" s="3"/>
      <c r="L978" s="3"/>
      <c r="M978" s="3"/>
      <c r="N978" s="3"/>
      <c r="O978" s="3"/>
      <c r="Q978" s="3"/>
      <c r="S978" s="27" t="s">
        <v>1975</v>
      </c>
      <c r="T978" s="27" t="str">
        <f>IFERROR(__xludf.DUMMYFUNCTION("""COMPUTED_VALUE"""),"")</f>
        <v/>
      </c>
      <c r="U978" s="1" t="s">
        <v>1975</v>
      </c>
    </row>
    <row r="979">
      <c r="A979" s="4"/>
      <c r="B979" s="3"/>
      <c r="C979" s="3"/>
      <c r="D979" s="3"/>
      <c r="E979" s="6"/>
      <c r="F979" s="33"/>
      <c r="G979" s="3"/>
      <c r="H979" s="3"/>
      <c r="K979" s="3"/>
      <c r="L979" s="3"/>
      <c r="M979" s="3"/>
      <c r="N979" s="3"/>
      <c r="O979" s="3"/>
      <c r="Q979" s="3"/>
      <c r="S979" s="27" t="s">
        <v>1975</v>
      </c>
      <c r="T979" s="27" t="str">
        <f>IFERROR(__xludf.DUMMYFUNCTION("""COMPUTED_VALUE"""),"")</f>
        <v/>
      </c>
      <c r="U979" s="1" t="s">
        <v>1975</v>
      </c>
    </row>
    <row r="980">
      <c r="A980" s="4"/>
      <c r="B980" s="3"/>
      <c r="C980" s="3"/>
      <c r="D980" s="3"/>
      <c r="E980" s="6"/>
      <c r="F980" s="33"/>
      <c r="G980" s="3"/>
      <c r="H980" s="3"/>
      <c r="K980" s="3"/>
      <c r="L980" s="3"/>
      <c r="M980" s="3"/>
      <c r="N980" s="3"/>
      <c r="O980" s="3"/>
      <c r="Q980" s="3"/>
      <c r="S980" s="27" t="s">
        <v>1975</v>
      </c>
      <c r="T980" s="27" t="str">
        <f>IFERROR(__xludf.DUMMYFUNCTION("""COMPUTED_VALUE"""),"")</f>
        <v/>
      </c>
      <c r="U980" s="1" t="s">
        <v>1975</v>
      </c>
    </row>
    <row r="981">
      <c r="A981" s="4"/>
      <c r="B981" s="3"/>
      <c r="C981" s="3"/>
      <c r="D981" s="3"/>
      <c r="E981" s="6"/>
      <c r="F981" s="33"/>
      <c r="G981" s="3"/>
      <c r="H981" s="3"/>
      <c r="K981" s="3"/>
      <c r="L981" s="3"/>
      <c r="M981" s="3"/>
      <c r="N981" s="3"/>
      <c r="O981" s="3"/>
      <c r="Q981" s="3"/>
      <c r="S981" s="27" t="s">
        <v>1975</v>
      </c>
      <c r="T981" s="27" t="str">
        <f>IFERROR(__xludf.DUMMYFUNCTION("""COMPUTED_VALUE"""),"")</f>
        <v/>
      </c>
      <c r="U981" s="1" t="s">
        <v>1975</v>
      </c>
    </row>
    <row r="982">
      <c r="A982" s="4"/>
      <c r="B982" s="3"/>
      <c r="C982" s="3"/>
      <c r="D982" s="3"/>
      <c r="E982" s="6"/>
      <c r="F982" s="33"/>
      <c r="G982" s="3"/>
      <c r="H982" s="3"/>
      <c r="K982" s="3"/>
      <c r="L982" s="3"/>
      <c r="M982" s="3"/>
      <c r="N982" s="3"/>
      <c r="O982" s="3"/>
      <c r="Q982" s="3"/>
      <c r="S982" s="27" t="s">
        <v>1975</v>
      </c>
      <c r="T982" s="27" t="str">
        <f>IFERROR(__xludf.DUMMYFUNCTION("""COMPUTED_VALUE"""),"")</f>
        <v/>
      </c>
      <c r="U982" s="1" t="s">
        <v>1975</v>
      </c>
    </row>
    <row r="983">
      <c r="A983" s="4"/>
      <c r="B983" s="3"/>
      <c r="C983" s="3"/>
      <c r="D983" s="3"/>
      <c r="E983" s="6"/>
      <c r="F983" s="33"/>
      <c r="G983" s="3"/>
      <c r="H983" s="3"/>
      <c r="K983" s="3"/>
      <c r="L983" s="3"/>
      <c r="M983" s="3"/>
      <c r="N983" s="3"/>
      <c r="O983" s="3"/>
      <c r="Q983" s="3"/>
      <c r="S983" s="27" t="s">
        <v>1975</v>
      </c>
      <c r="T983" s="27" t="str">
        <f>IFERROR(__xludf.DUMMYFUNCTION("""COMPUTED_VALUE"""),"")</f>
        <v/>
      </c>
      <c r="U983" s="1" t="s">
        <v>1975</v>
      </c>
    </row>
    <row r="984">
      <c r="A984" s="4"/>
      <c r="B984" s="3"/>
      <c r="C984" s="3"/>
      <c r="D984" s="3"/>
      <c r="E984" s="6"/>
      <c r="F984" s="33"/>
      <c r="G984" s="3"/>
      <c r="H984" s="3"/>
      <c r="K984" s="3"/>
      <c r="L984" s="3"/>
      <c r="M984" s="3"/>
      <c r="N984" s="3"/>
      <c r="O984" s="3"/>
      <c r="Q984" s="3"/>
      <c r="S984" s="27" t="s">
        <v>1975</v>
      </c>
      <c r="T984" s="27" t="str">
        <f>IFERROR(__xludf.DUMMYFUNCTION("""COMPUTED_VALUE"""),"")</f>
        <v/>
      </c>
      <c r="U984" s="1" t="s">
        <v>1975</v>
      </c>
    </row>
    <row r="985">
      <c r="A985" s="4"/>
      <c r="B985" s="3"/>
      <c r="C985" s="3"/>
      <c r="D985" s="3"/>
      <c r="E985" s="6"/>
      <c r="F985" s="33"/>
      <c r="G985" s="3"/>
      <c r="H985" s="3"/>
      <c r="K985" s="3"/>
      <c r="L985" s="3"/>
      <c r="M985" s="3"/>
      <c r="N985" s="3"/>
      <c r="O985" s="3"/>
      <c r="Q985" s="3"/>
      <c r="S985" s="27" t="s">
        <v>1975</v>
      </c>
      <c r="T985" s="27" t="str">
        <f>IFERROR(__xludf.DUMMYFUNCTION("""COMPUTED_VALUE"""),"")</f>
        <v/>
      </c>
      <c r="U985" s="1" t="s">
        <v>1975</v>
      </c>
    </row>
    <row r="986">
      <c r="A986" s="4"/>
      <c r="B986" s="3"/>
      <c r="C986" s="3"/>
      <c r="D986" s="3"/>
      <c r="E986" s="6"/>
      <c r="F986" s="33"/>
      <c r="G986" s="3"/>
      <c r="H986" s="3"/>
      <c r="K986" s="3"/>
      <c r="L986" s="3"/>
      <c r="M986" s="3"/>
      <c r="N986" s="3"/>
      <c r="O986" s="3"/>
      <c r="Q986" s="3"/>
      <c r="S986" s="27" t="s">
        <v>1975</v>
      </c>
      <c r="T986" s="27" t="str">
        <f>IFERROR(__xludf.DUMMYFUNCTION("""COMPUTED_VALUE"""),"")</f>
        <v/>
      </c>
      <c r="U986" s="1" t="s">
        <v>1975</v>
      </c>
    </row>
    <row r="987">
      <c r="A987" s="4"/>
      <c r="B987" s="3"/>
      <c r="C987" s="3"/>
      <c r="D987" s="3"/>
      <c r="E987" s="6"/>
      <c r="F987" s="33"/>
      <c r="G987" s="3"/>
      <c r="H987" s="3"/>
      <c r="K987" s="3"/>
      <c r="L987" s="3"/>
      <c r="M987" s="3"/>
      <c r="N987" s="3"/>
      <c r="O987" s="3"/>
      <c r="Q987" s="3"/>
      <c r="S987" s="27" t="s">
        <v>1975</v>
      </c>
      <c r="T987" s="27" t="str">
        <f>IFERROR(__xludf.DUMMYFUNCTION("""COMPUTED_VALUE"""),"")</f>
        <v/>
      </c>
      <c r="U987" s="1" t="s">
        <v>1975</v>
      </c>
    </row>
    <row r="988">
      <c r="A988" s="4"/>
      <c r="B988" s="3"/>
      <c r="C988" s="3"/>
      <c r="D988" s="3"/>
      <c r="E988" s="6"/>
      <c r="F988" s="33"/>
      <c r="G988" s="3"/>
      <c r="H988" s="3"/>
      <c r="K988" s="3"/>
      <c r="L988" s="3"/>
      <c r="M988" s="3"/>
      <c r="N988" s="3"/>
      <c r="O988" s="3"/>
      <c r="Q988" s="3"/>
      <c r="S988" s="27" t="s">
        <v>1975</v>
      </c>
      <c r="T988" s="27" t="str">
        <f>IFERROR(__xludf.DUMMYFUNCTION("""COMPUTED_VALUE"""),"")</f>
        <v/>
      </c>
      <c r="U988" s="1" t="s">
        <v>1975</v>
      </c>
    </row>
    <row r="989">
      <c r="A989" s="4"/>
      <c r="B989" s="3"/>
      <c r="C989" s="3"/>
      <c r="D989" s="3"/>
      <c r="E989" s="6"/>
      <c r="F989" s="33"/>
      <c r="G989" s="3"/>
      <c r="H989" s="3"/>
      <c r="K989" s="3"/>
      <c r="L989" s="3"/>
      <c r="M989" s="3"/>
      <c r="N989" s="3"/>
      <c r="O989" s="3"/>
      <c r="Q989" s="3"/>
      <c r="S989" s="27" t="s">
        <v>1975</v>
      </c>
      <c r="T989" s="27" t="str">
        <f>IFERROR(__xludf.DUMMYFUNCTION("""COMPUTED_VALUE"""),"")</f>
        <v/>
      </c>
      <c r="U989" s="1" t="s">
        <v>1975</v>
      </c>
    </row>
    <row r="990">
      <c r="A990" s="4"/>
      <c r="B990" s="3"/>
      <c r="C990" s="3"/>
      <c r="D990" s="3"/>
      <c r="E990" s="6"/>
      <c r="F990" s="33"/>
      <c r="G990" s="3"/>
      <c r="H990" s="3"/>
      <c r="K990" s="3"/>
      <c r="L990" s="3"/>
      <c r="M990" s="3"/>
      <c r="N990" s="3"/>
      <c r="O990" s="3"/>
      <c r="Q990" s="3"/>
      <c r="S990" s="27" t="s">
        <v>1975</v>
      </c>
      <c r="T990" s="27" t="str">
        <f>IFERROR(__xludf.DUMMYFUNCTION("""COMPUTED_VALUE"""),"")</f>
        <v/>
      </c>
      <c r="U990" s="1" t="s">
        <v>1975</v>
      </c>
    </row>
    <row r="991">
      <c r="A991" s="4"/>
      <c r="B991" s="3"/>
      <c r="C991" s="3"/>
      <c r="D991" s="3"/>
      <c r="E991" s="6"/>
      <c r="F991" s="33"/>
      <c r="G991" s="3"/>
      <c r="H991" s="3"/>
      <c r="K991" s="3"/>
      <c r="L991" s="3"/>
      <c r="M991" s="3"/>
      <c r="N991" s="3"/>
      <c r="O991" s="3"/>
      <c r="Q991" s="3"/>
      <c r="S991" s="27" t="s">
        <v>1975</v>
      </c>
      <c r="T991" s="27" t="str">
        <f>IFERROR(__xludf.DUMMYFUNCTION("""COMPUTED_VALUE"""),"")</f>
        <v/>
      </c>
      <c r="U991" s="1" t="s">
        <v>1975</v>
      </c>
    </row>
    <row r="992">
      <c r="A992" s="4"/>
      <c r="B992" s="3"/>
      <c r="C992" s="3"/>
      <c r="D992" s="3"/>
      <c r="E992" s="6"/>
      <c r="F992" s="33"/>
      <c r="G992" s="3"/>
      <c r="H992" s="3"/>
      <c r="K992" s="3"/>
      <c r="L992" s="3"/>
      <c r="M992" s="3"/>
      <c r="N992" s="3"/>
      <c r="O992" s="3"/>
      <c r="Q992" s="3"/>
      <c r="S992" s="27" t="s">
        <v>1975</v>
      </c>
      <c r="T992" s="27" t="str">
        <f>IFERROR(__xludf.DUMMYFUNCTION("""COMPUTED_VALUE"""),"")</f>
        <v/>
      </c>
      <c r="U992" s="1" t="s">
        <v>1975</v>
      </c>
    </row>
    <row r="993">
      <c r="A993" s="4"/>
      <c r="B993" s="3"/>
      <c r="C993" s="3"/>
      <c r="D993" s="3"/>
      <c r="E993" s="6"/>
      <c r="F993" s="33"/>
      <c r="G993" s="3"/>
      <c r="H993" s="3"/>
      <c r="K993" s="3"/>
      <c r="L993" s="3"/>
      <c r="M993" s="3"/>
      <c r="N993" s="3"/>
      <c r="O993" s="3"/>
      <c r="Q993" s="3"/>
      <c r="S993" s="27" t="s">
        <v>1975</v>
      </c>
      <c r="T993" s="27" t="str">
        <f>IFERROR(__xludf.DUMMYFUNCTION("""COMPUTED_VALUE"""),"")</f>
        <v/>
      </c>
      <c r="U993" s="1" t="s">
        <v>1975</v>
      </c>
    </row>
    <row r="994">
      <c r="A994" s="4"/>
      <c r="B994" s="3"/>
      <c r="C994" s="3"/>
      <c r="D994" s="3"/>
      <c r="E994" s="6"/>
      <c r="F994" s="33"/>
      <c r="G994" s="3"/>
      <c r="H994" s="3"/>
      <c r="K994" s="3"/>
      <c r="L994" s="3"/>
      <c r="M994" s="3"/>
      <c r="N994" s="3"/>
      <c r="O994" s="3"/>
      <c r="Q994" s="3"/>
      <c r="S994" s="27" t="s">
        <v>1975</v>
      </c>
      <c r="T994" s="27" t="str">
        <f>IFERROR(__xludf.DUMMYFUNCTION("""COMPUTED_VALUE"""),"")</f>
        <v/>
      </c>
      <c r="U994" s="1" t="s">
        <v>1975</v>
      </c>
    </row>
    <row r="995">
      <c r="A995" s="4"/>
      <c r="B995" s="3"/>
      <c r="C995" s="3"/>
      <c r="D995" s="3"/>
      <c r="E995" s="6"/>
      <c r="F995" s="33"/>
      <c r="G995" s="3"/>
      <c r="H995" s="3"/>
      <c r="K995" s="3"/>
      <c r="L995" s="3"/>
      <c r="M995" s="3"/>
      <c r="N995" s="3"/>
      <c r="O995" s="3"/>
      <c r="Q995" s="3"/>
      <c r="S995" s="27" t="s">
        <v>1975</v>
      </c>
      <c r="T995" s="27" t="str">
        <f>IFERROR(__xludf.DUMMYFUNCTION("""COMPUTED_VALUE"""),"")</f>
        <v/>
      </c>
      <c r="U995" s="1" t="s">
        <v>1975</v>
      </c>
    </row>
    <row r="996">
      <c r="A996" s="4"/>
      <c r="B996" s="3"/>
      <c r="C996" s="3"/>
      <c r="D996" s="3"/>
      <c r="E996" s="6"/>
      <c r="F996" s="33"/>
      <c r="G996" s="3"/>
      <c r="H996" s="3"/>
      <c r="K996" s="3"/>
      <c r="L996" s="3"/>
      <c r="M996" s="3"/>
      <c r="N996" s="3"/>
      <c r="O996" s="3"/>
      <c r="Q996" s="3"/>
      <c r="S996" s="27" t="s">
        <v>1975</v>
      </c>
      <c r="T996" s="27" t="str">
        <f>IFERROR(__xludf.DUMMYFUNCTION("""COMPUTED_VALUE"""),"")</f>
        <v/>
      </c>
      <c r="U996" s="1" t="s">
        <v>1975</v>
      </c>
    </row>
    <row r="997">
      <c r="A997" s="4"/>
      <c r="B997" s="3"/>
      <c r="C997" s="3"/>
      <c r="D997" s="3"/>
      <c r="E997" s="6"/>
      <c r="F997" s="33"/>
      <c r="G997" s="3"/>
      <c r="H997" s="3"/>
      <c r="K997" s="3"/>
      <c r="L997" s="3"/>
      <c r="M997" s="3"/>
      <c r="N997" s="3"/>
      <c r="O997" s="3"/>
      <c r="Q997" s="3"/>
      <c r="S997" s="27" t="s">
        <v>1975</v>
      </c>
      <c r="T997" s="27" t="str">
        <f>IFERROR(__xludf.DUMMYFUNCTION("""COMPUTED_VALUE"""),"")</f>
        <v/>
      </c>
      <c r="U997" s="1" t="s">
        <v>1975</v>
      </c>
    </row>
    <row r="998">
      <c r="A998" s="4"/>
      <c r="B998" s="3"/>
      <c r="C998" s="3"/>
      <c r="D998" s="3"/>
      <c r="E998" s="6"/>
      <c r="F998" s="33"/>
      <c r="G998" s="3"/>
      <c r="H998" s="3"/>
      <c r="K998" s="3"/>
      <c r="L998" s="3"/>
      <c r="M998" s="3"/>
      <c r="N998" s="3"/>
      <c r="O998" s="3"/>
      <c r="Q998" s="3"/>
      <c r="S998" s="27" t="s">
        <v>1975</v>
      </c>
      <c r="T998" s="27" t="str">
        <f>IFERROR(__xludf.DUMMYFUNCTION("""COMPUTED_VALUE"""),"")</f>
        <v/>
      </c>
      <c r="U998" s="1" t="s">
        <v>1975</v>
      </c>
    </row>
    <row r="999">
      <c r="A999" s="4"/>
      <c r="B999" s="3"/>
      <c r="C999" s="3"/>
      <c r="D999" s="3"/>
      <c r="E999" s="6"/>
      <c r="F999" s="33"/>
      <c r="G999" s="3"/>
      <c r="H999" s="3"/>
      <c r="K999" s="3"/>
      <c r="L999" s="3"/>
      <c r="M999" s="3"/>
      <c r="N999" s="3"/>
      <c r="O999" s="3"/>
      <c r="Q999" s="3"/>
      <c r="S999" s="27" t="s">
        <v>1975</v>
      </c>
      <c r="T999" s="27" t="str">
        <f>IFERROR(__xludf.DUMMYFUNCTION("""COMPUTED_VALUE"""),"")</f>
        <v/>
      </c>
      <c r="U999" s="1" t="s">
        <v>1975</v>
      </c>
    </row>
    <row r="1000">
      <c r="A1000" s="4"/>
      <c r="B1000" s="3"/>
      <c r="C1000" s="3"/>
      <c r="D1000" s="3"/>
      <c r="E1000" s="6"/>
      <c r="F1000" s="33"/>
      <c r="G1000" s="3"/>
      <c r="H1000" s="3"/>
      <c r="K1000" s="3"/>
      <c r="L1000" s="3"/>
      <c r="M1000" s="3"/>
      <c r="N1000" s="3"/>
      <c r="O1000" s="3"/>
      <c r="Q1000" s="3"/>
      <c r="S1000" s="27" t="s">
        <v>1975</v>
      </c>
      <c r="T1000" s="27" t="str">
        <f>IFERROR(__xludf.DUMMYFUNCTION("""COMPUTED_VALUE"""),"")</f>
        <v/>
      </c>
      <c r="U1000" s="1" t="s">
        <v>1975</v>
      </c>
    </row>
    <row r="1001">
      <c r="A1001" s="4"/>
      <c r="B1001" s="3"/>
      <c r="C1001" s="3"/>
      <c r="D1001" s="3"/>
      <c r="E1001" s="6"/>
      <c r="F1001" s="33"/>
      <c r="G1001" s="3"/>
      <c r="H1001" s="3"/>
      <c r="K1001" s="3"/>
      <c r="L1001" s="3"/>
      <c r="M1001" s="3"/>
      <c r="N1001" s="3"/>
      <c r="O1001" s="3"/>
      <c r="Q1001" s="3"/>
      <c r="S1001" s="27" t="s">
        <v>1975</v>
      </c>
      <c r="T1001" s="27" t="str">
        <f>IFERROR(__xludf.DUMMYFUNCTION("""COMPUTED_VALUE"""),"")</f>
        <v/>
      </c>
      <c r="U1001" s="1" t="s">
        <v>1975</v>
      </c>
    </row>
    <row r="1002">
      <c r="A1002" s="4"/>
      <c r="B1002" s="3"/>
      <c r="C1002" s="3"/>
      <c r="D1002" s="3"/>
      <c r="E1002" s="6"/>
      <c r="F1002" s="33"/>
      <c r="G1002" s="3"/>
      <c r="H1002" s="3"/>
      <c r="K1002" s="3"/>
      <c r="L1002" s="3"/>
      <c r="M1002" s="3"/>
      <c r="N1002" s="3"/>
      <c r="O1002" s="3"/>
      <c r="Q1002" s="3"/>
      <c r="S1002" s="27" t="s">
        <v>1975</v>
      </c>
      <c r="T1002" s="27" t="str">
        <f>IFERROR(__xludf.DUMMYFUNCTION("""COMPUTED_VALUE"""),"")</f>
        <v/>
      </c>
      <c r="U1002" s="1" t="s">
        <v>1975</v>
      </c>
    </row>
    <row r="1003">
      <c r="A1003" s="4"/>
      <c r="B1003" s="3"/>
      <c r="C1003" s="3"/>
      <c r="D1003" s="3"/>
      <c r="E1003" s="6"/>
      <c r="F1003" s="33"/>
      <c r="G1003" s="3"/>
      <c r="H1003" s="3"/>
      <c r="K1003" s="3"/>
      <c r="L1003" s="3"/>
      <c r="M1003" s="3"/>
      <c r="N1003" s="3"/>
      <c r="O1003" s="3"/>
      <c r="Q1003" s="3"/>
      <c r="S1003" s="27" t="s">
        <v>1975</v>
      </c>
      <c r="T1003" s="27" t="str">
        <f>IFERROR(__xludf.DUMMYFUNCTION("""COMPUTED_VALUE"""),"")</f>
        <v/>
      </c>
      <c r="U1003" s="1" t="s">
        <v>1975</v>
      </c>
    </row>
    <row r="1004">
      <c r="A1004" s="4"/>
      <c r="B1004" s="3"/>
      <c r="C1004" s="3"/>
      <c r="D1004" s="3"/>
      <c r="E1004" s="6"/>
      <c r="F1004" s="33"/>
      <c r="G1004" s="3"/>
      <c r="H1004" s="3"/>
      <c r="K1004" s="3"/>
      <c r="L1004" s="3"/>
      <c r="M1004" s="3"/>
      <c r="N1004" s="3"/>
      <c r="O1004" s="3"/>
      <c r="Q1004" s="3"/>
      <c r="S1004" s="27" t="s">
        <v>1975</v>
      </c>
      <c r="T1004" s="27" t="str">
        <f>IFERROR(__xludf.DUMMYFUNCTION("""COMPUTED_VALUE"""),"")</f>
        <v/>
      </c>
      <c r="U1004" s="1" t="s">
        <v>1975</v>
      </c>
    </row>
    <row r="1005">
      <c r="A1005" s="4"/>
      <c r="B1005" s="3"/>
      <c r="C1005" s="3"/>
      <c r="D1005" s="3"/>
      <c r="E1005" s="6"/>
      <c r="F1005" s="33"/>
      <c r="G1005" s="3"/>
      <c r="H1005" s="3"/>
      <c r="K1005" s="3"/>
      <c r="L1005" s="3"/>
      <c r="M1005" s="3"/>
      <c r="N1005" s="3"/>
      <c r="O1005" s="3"/>
      <c r="Q1005" s="3"/>
      <c r="S1005" s="27" t="s">
        <v>1975</v>
      </c>
      <c r="T1005" s="27" t="str">
        <f>IFERROR(__xludf.DUMMYFUNCTION("""COMPUTED_VALUE"""),"")</f>
        <v/>
      </c>
      <c r="U1005" s="1" t="s">
        <v>1975</v>
      </c>
    </row>
    <row r="1006">
      <c r="A1006" s="4"/>
      <c r="B1006" s="3"/>
      <c r="C1006" s="3"/>
      <c r="D1006" s="3"/>
      <c r="E1006" s="6"/>
      <c r="F1006" s="33"/>
      <c r="G1006" s="3"/>
      <c r="H1006" s="3"/>
      <c r="K1006" s="3"/>
      <c r="L1006" s="3"/>
      <c r="M1006" s="3"/>
      <c r="N1006" s="3"/>
      <c r="O1006" s="3"/>
      <c r="Q1006" s="3"/>
      <c r="S1006" s="27" t="s">
        <v>1975</v>
      </c>
      <c r="T1006" s="27" t="str">
        <f>IFERROR(__xludf.DUMMYFUNCTION("""COMPUTED_VALUE"""),"")</f>
        <v/>
      </c>
      <c r="U1006" s="1" t="s">
        <v>1975</v>
      </c>
    </row>
    <row r="1007">
      <c r="A1007" s="4"/>
      <c r="B1007" s="3"/>
      <c r="C1007" s="3"/>
      <c r="D1007" s="3"/>
      <c r="E1007" s="6"/>
      <c r="F1007" s="33"/>
      <c r="G1007" s="3"/>
      <c r="H1007" s="3"/>
      <c r="K1007" s="3"/>
      <c r="L1007" s="3"/>
      <c r="M1007" s="3"/>
      <c r="N1007" s="3"/>
      <c r="O1007" s="3"/>
      <c r="Q1007" s="3"/>
      <c r="S1007" s="27" t="s">
        <v>1975</v>
      </c>
      <c r="T1007" s="27" t="str">
        <f>IFERROR(__xludf.DUMMYFUNCTION("""COMPUTED_VALUE"""),"")</f>
        <v/>
      </c>
      <c r="U1007" s="1" t="s">
        <v>1975</v>
      </c>
    </row>
    <row r="1008">
      <c r="A1008" s="4"/>
      <c r="B1008" s="3"/>
      <c r="C1008" s="3"/>
      <c r="D1008" s="3"/>
      <c r="E1008" s="6"/>
      <c r="F1008" s="33"/>
      <c r="G1008" s="3"/>
      <c r="H1008" s="3"/>
      <c r="K1008" s="3"/>
      <c r="L1008" s="3"/>
      <c r="M1008" s="3"/>
      <c r="N1008" s="3"/>
      <c r="O1008" s="3"/>
      <c r="Q1008" s="3"/>
      <c r="S1008" s="27" t="s">
        <v>1975</v>
      </c>
      <c r="T1008" s="27" t="str">
        <f>IFERROR(__xludf.DUMMYFUNCTION("""COMPUTED_VALUE"""),"")</f>
        <v/>
      </c>
      <c r="U1008" s="1" t="s">
        <v>1975</v>
      </c>
    </row>
    <row r="1009">
      <c r="A1009" s="4"/>
      <c r="B1009" s="3"/>
      <c r="C1009" s="3"/>
      <c r="D1009" s="3"/>
      <c r="E1009" s="6"/>
      <c r="F1009" s="33"/>
      <c r="G1009" s="3"/>
      <c r="H1009" s="3"/>
      <c r="K1009" s="3"/>
      <c r="L1009" s="3"/>
      <c r="M1009" s="3"/>
      <c r="N1009" s="3"/>
      <c r="O1009" s="3"/>
      <c r="Q1009" s="3"/>
      <c r="S1009" s="27" t="s">
        <v>1975</v>
      </c>
      <c r="T1009" s="27" t="str">
        <f>IFERROR(__xludf.DUMMYFUNCTION("""COMPUTED_VALUE"""),"")</f>
        <v/>
      </c>
      <c r="U1009" s="1" t="s">
        <v>1975</v>
      </c>
    </row>
    <row r="1010">
      <c r="A1010" s="4"/>
      <c r="B1010" s="3"/>
      <c r="C1010" s="3"/>
      <c r="D1010" s="3"/>
      <c r="E1010" s="6"/>
      <c r="F1010" s="33"/>
      <c r="G1010" s="3"/>
      <c r="H1010" s="3"/>
      <c r="K1010" s="3"/>
      <c r="L1010" s="3"/>
      <c r="M1010" s="3"/>
      <c r="N1010" s="3"/>
      <c r="O1010" s="3"/>
      <c r="Q1010" s="3"/>
      <c r="S1010" s="27" t="s">
        <v>1975</v>
      </c>
      <c r="T1010" s="27" t="str">
        <f>IFERROR(__xludf.DUMMYFUNCTION("""COMPUTED_VALUE"""),"")</f>
        <v/>
      </c>
      <c r="U1010" s="1" t="s">
        <v>1975</v>
      </c>
    </row>
    <row r="1011">
      <c r="A1011" s="4"/>
      <c r="B1011" s="3"/>
      <c r="C1011" s="3"/>
      <c r="D1011" s="3"/>
      <c r="E1011" s="6"/>
      <c r="F1011" s="33"/>
      <c r="G1011" s="3"/>
      <c r="H1011" s="3"/>
      <c r="K1011" s="3"/>
      <c r="L1011" s="3"/>
      <c r="M1011" s="3"/>
      <c r="N1011" s="3"/>
      <c r="O1011" s="3"/>
      <c r="Q1011" s="3"/>
      <c r="S1011" s="27" t="s">
        <v>1975</v>
      </c>
      <c r="T1011" s="27" t="str">
        <f>IFERROR(__xludf.DUMMYFUNCTION("""COMPUTED_VALUE"""),"")</f>
        <v/>
      </c>
      <c r="U1011" s="1" t="s">
        <v>1975</v>
      </c>
    </row>
    <row r="1012">
      <c r="A1012" s="4"/>
      <c r="B1012" s="3"/>
      <c r="C1012" s="3"/>
      <c r="D1012" s="3"/>
      <c r="E1012" s="6"/>
      <c r="F1012" s="33"/>
      <c r="G1012" s="3"/>
      <c r="H1012" s="3"/>
      <c r="K1012" s="3"/>
      <c r="L1012" s="3"/>
      <c r="M1012" s="3"/>
      <c r="N1012" s="3"/>
      <c r="O1012" s="3"/>
      <c r="Q1012" s="3"/>
      <c r="S1012" s="27" t="s">
        <v>1975</v>
      </c>
      <c r="T1012" s="27" t="str">
        <f>IFERROR(__xludf.DUMMYFUNCTION("""COMPUTED_VALUE"""),"")</f>
        <v/>
      </c>
      <c r="U1012" s="1" t="s">
        <v>1975</v>
      </c>
    </row>
    <row r="1013">
      <c r="A1013" s="4"/>
      <c r="B1013" s="3"/>
      <c r="C1013" s="3"/>
      <c r="D1013" s="3"/>
      <c r="E1013" s="6"/>
      <c r="F1013" s="33"/>
      <c r="G1013" s="3"/>
      <c r="H1013" s="3"/>
      <c r="K1013" s="3"/>
      <c r="L1013" s="3"/>
      <c r="M1013" s="3"/>
      <c r="N1013" s="3"/>
      <c r="O1013" s="3"/>
      <c r="Q1013" s="3"/>
      <c r="S1013" s="27" t="s">
        <v>1975</v>
      </c>
      <c r="T1013" s="27" t="str">
        <f>IFERROR(__xludf.DUMMYFUNCTION("""COMPUTED_VALUE"""),"")</f>
        <v/>
      </c>
      <c r="U1013" s="1" t="s">
        <v>1975</v>
      </c>
    </row>
    <row r="1014">
      <c r="A1014" s="4"/>
      <c r="B1014" s="3"/>
      <c r="C1014" s="3"/>
      <c r="D1014" s="3"/>
      <c r="E1014" s="6"/>
      <c r="F1014" s="33"/>
      <c r="G1014" s="3"/>
      <c r="H1014" s="3"/>
      <c r="K1014" s="3"/>
      <c r="L1014" s="3"/>
      <c r="M1014" s="3"/>
      <c r="N1014" s="3"/>
      <c r="O1014" s="3"/>
      <c r="Q1014" s="3"/>
      <c r="S1014" s="27" t="s">
        <v>1975</v>
      </c>
      <c r="T1014" s="27" t="str">
        <f>IFERROR(__xludf.DUMMYFUNCTION("""COMPUTED_VALUE"""),"")</f>
        <v/>
      </c>
      <c r="U1014" s="1" t="s">
        <v>1975</v>
      </c>
    </row>
    <row r="1015">
      <c r="A1015" s="4"/>
      <c r="B1015" s="3"/>
      <c r="C1015" s="3"/>
      <c r="D1015" s="3"/>
      <c r="E1015" s="6"/>
      <c r="F1015" s="33"/>
      <c r="G1015" s="3"/>
      <c r="H1015" s="3"/>
      <c r="K1015" s="3"/>
      <c r="L1015" s="3"/>
      <c r="M1015" s="3"/>
      <c r="N1015" s="3"/>
      <c r="O1015" s="3"/>
      <c r="Q1015" s="3"/>
      <c r="S1015" s="27" t="s">
        <v>1975</v>
      </c>
      <c r="T1015" s="27" t="str">
        <f>IFERROR(__xludf.DUMMYFUNCTION("""COMPUTED_VALUE"""),"")</f>
        <v/>
      </c>
      <c r="U1015" s="1" t="s">
        <v>1975</v>
      </c>
    </row>
    <row r="1016">
      <c r="A1016" s="4"/>
      <c r="B1016" s="3"/>
      <c r="C1016" s="3"/>
      <c r="D1016" s="3"/>
      <c r="E1016" s="6"/>
      <c r="F1016" s="33"/>
      <c r="G1016" s="3"/>
      <c r="H1016" s="3"/>
      <c r="K1016" s="3"/>
      <c r="L1016" s="3"/>
      <c r="M1016" s="3"/>
      <c r="N1016" s="3"/>
      <c r="O1016" s="3"/>
      <c r="Q1016" s="3"/>
      <c r="S1016" s="27" t="s">
        <v>1975</v>
      </c>
      <c r="T1016" s="27" t="str">
        <f>IFERROR(__xludf.DUMMYFUNCTION("""COMPUTED_VALUE"""),"")</f>
        <v/>
      </c>
      <c r="U1016" s="1" t="s">
        <v>1975</v>
      </c>
    </row>
    <row r="1017">
      <c r="A1017" s="4"/>
      <c r="B1017" s="3"/>
      <c r="C1017" s="3"/>
      <c r="D1017" s="3"/>
      <c r="E1017" s="6"/>
      <c r="F1017" s="33"/>
      <c r="G1017" s="3"/>
      <c r="H1017" s="3"/>
      <c r="K1017" s="3"/>
      <c r="L1017" s="3"/>
      <c r="M1017" s="3"/>
      <c r="N1017" s="3"/>
      <c r="O1017" s="3"/>
      <c r="Q1017" s="3"/>
      <c r="S1017" s="27" t="s">
        <v>1975</v>
      </c>
      <c r="T1017" s="27" t="str">
        <f>IFERROR(__xludf.DUMMYFUNCTION("""COMPUTED_VALUE"""),"")</f>
        <v/>
      </c>
      <c r="U1017" s="1" t="s">
        <v>1975</v>
      </c>
    </row>
    <row r="1018">
      <c r="A1018" s="4"/>
      <c r="B1018" s="3"/>
      <c r="C1018" s="3"/>
      <c r="D1018" s="3"/>
      <c r="E1018" s="6"/>
      <c r="F1018" s="33"/>
      <c r="G1018" s="3"/>
      <c r="H1018" s="3"/>
      <c r="K1018" s="3"/>
      <c r="L1018" s="3"/>
      <c r="M1018" s="3"/>
      <c r="N1018" s="3"/>
      <c r="O1018" s="3"/>
      <c r="Q1018" s="3"/>
      <c r="S1018" s="27" t="s">
        <v>1975</v>
      </c>
      <c r="T1018" s="27" t="str">
        <f>IFERROR(__xludf.DUMMYFUNCTION("""COMPUTED_VALUE"""),"")</f>
        <v/>
      </c>
      <c r="U1018" s="1" t="s">
        <v>1975</v>
      </c>
    </row>
    <row r="1019">
      <c r="A1019" s="4"/>
      <c r="B1019" s="3"/>
      <c r="C1019" s="3"/>
      <c r="D1019" s="3"/>
      <c r="E1019" s="6"/>
      <c r="F1019" s="33"/>
      <c r="G1019" s="3"/>
      <c r="H1019" s="3"/>
      <c r="K1019" s="3"/>
      <c r="L1019" s="3"/>
      <c r="M1019" s="3"/>
      <c r="N1019" s="3"/>
      <c r="O1019" s="3"/>
      <c r="Q1019" s="3"/>
      <c r="S1019" s="27" t="s">
        <v>1975</v>
      </c>
      <c r="T1019" s="27" t="str">
        <f>IFERROR(__xludf.DUMMYFUNCTION("""COMPUTED_VALUE"""),"")</f>
        <v/>
      </c>
      <c r="U1019" s="1" t="s">
        <v>1975</v>
      </c>
    </row>
    <row r="1020">
      <c r="A1020" s="4"/>
      <c r="B1020" s="3"/>
      <c r="C1020" s="3"/>
      <c r="D1020" s="3"/>
      <c r="E1020" s="6"/>
      <c r="F1020" s="33"/>
      <c r="G1020" s="3"/>
      <c r="H1020" s="3"/>
      <c r="K1020" s="3"/>
      <c r="L1020" s="3"/>
      <c r="M1020" s="3"/>
      <c r="N1020" s="3"/>
      <c r="O1020" s="3"/>
      <c r="Q1020" s="3"/>
      <c r="S1020" s="27" t="s">
        <v>1975</v>
      </c>
      <c r="T1020" s="27" t="str">
        <f>IFERROR(__xludf.DUMMYFUNCTION("""COMPUTED_VALUE"""),"")</f>
        <v/>
      </c>
      <c r="U1020" s="1" t="s">
        <v>1975</v>
      </c>
    </row>
    <row r="1021">
      <c r="A1021" s="4"/>
      <c r="B1021" s="3"/>
      <c r="C1021" s="3"/>
      <c r="D1021" s="3"/>
      <c r="E1021" s="6"/>
      <c r="F1021" s="33"/>
      <c r="G1021" s="3"/>
      <c r="H1021" s="3"/>
      <c r="K1021" s="3"/>
      <c r="L1021" s="3"/>
      <c r="M1021" s="3"/>
      <c r="N1021" s="3"/>
      <c r="O1021" s="3"/>
      <c r="Q1021" s="3"/>
      <c r="S1021" s="27" t="s">
        <v>1975</v>
      </c>
      <c r="T1021" s="27" t="str">
        <f>IFERROR(__xludf.DUMMYFUNCTION("""COMPUTED_VALUE"""),"")</f>
        <v/>
      </c>
      <c r="U1021" s="1" t="s">
        <v>1975</v>
      </c>
    </row>
    <row r="1022">
      <c r="A1022" s="4"/>
      <c r="B1022" s="3"/>
      <c r="C1022" s="3"/>
      <c r="D1022" s="3"/>
      <c r="E1022" s="6"/>
      <c r="F1022" s="33"/>
      <c r="G1022" s="3"/>
      <c r="H1022" s="3"/>
      <c r="K1022" s="3"/>
      <c r="L1022" s="3"/>
      <c r="M1022" s="3"/>
      <c r="N1022" s="3"/>
      <c r="O1022" s="3"/>
      <c r="Q1022" s="3"/>
      <c r="S1022" s="27" t="s">
        <v>1975</v>
      </c>
      <c r="T1022" s="27" t="str">
        <f>IFERROR(__xludf.DUMMYFUNCTION("""COMPUTED_VALUE"""),"")</f>
        <v/>
      </c>
      <c r="U1022" s="1" t="s">
        <v>1975</v>
      </c>
    </row>
    <row r="1023">
      <c r="A1023" s="4"/>
      <c r="B1023" s="3"/>
      <c r="C1023" s="3"/>
      <c r="D1023" s="3"/>
      <c r="E1023" s="6"/>
      <c r="F1023" s="33"/>
      <c r="G1023" s="3"/>
      <c r="H1023" s="3"/>
      <c r="K1023" s="3"/>
      <c r="L1023" s="3"/>
      <c r="M1023" s="3"/>
      <c r="N1023" s="3"/>
      <c r="O1023" s="3"/>
      <c r="Q1023" s="3"/>
      <c r="S1023" s="27" t="s">
        <v>1975</v>
      </c>
      <c r="T1023" s="27" t="str">
        <f>IFERROR(__xludf.DUMMYFUNCTION("""COMPUTED_VALUE"""),"")</f>
        <v/>
      </c>
      <c r="U1023" s="1" t="s">
        <v>1975</v>
      </c>
    </row>
    <row r="1024">
      <c r="A1024" s="4"/>
      <c r="B1024" s="3"/>
      <c r="C1024" s="3"/>
      <c r="D1024" s="3"/>
      <c r="E1024" s="6"/>
      <c r="F1024" s="33"/>
      <c r="G1024" s="3"/>
      <c r="H1024" s="3"/>
      <c r="K1024" s="3"/>
      <c r="L1024" s="3"/>
      <c r="M1024" s="3"/>
      <c r="N1024" s="3"/>
      <c r="O1024" s="3"/>
      <c r="Q1024" s="3"/>
      <c r="S1024" s="27" t="s">
        <v>1975</v>
      </c>
      <c r="T1024" s="27" t="str">
        <f>IFERROR(__xludf.DUMMYFUNCTION("""COMPUTED_VALUE"""),"")</f>
        <v/>
      </c>
      <c r="U1024" s="1" t="s">
        <v>1975</v>
      </c>
    </row>
    <row r="1025">
      <c r="A1025" s="4"/>
      <c r="B1025" s="3"/>
      <c r="C1025" s="3"/>
      <c r="D1025" s="3"/>
      <c r="E1025" s="6"/>
      <c r="F1025" s="33"/>
      <c r="G1025" s="3"/>
      <c r="H1025" s="3"/>
      <c r="K1025" s="3"/>
      <c r="L1025" s="3"/>
      <c r="M1025" s="3"/>
      <c r="N1025" s="3"/>
      <c r="O1025" s="3"/>
      <c r="Q1025" s="3"/>
      <c r="S1025" s="27" t="s">
        <v>1975</v>
      </c>
      <c r="T1025" s="27" t="str">
        <f>IFERROR(__xludf.DUMMYFUNCTION("""COMPUTED_VALUE"""),"")</f>
        <v/>
      </c>
      <c r="U1025" s="1" t="s">
        <v>1975</v>
      </c>
    </row>
    <row r="1026">
      <c r="A1026" s="4"/>
      <c r="B1026" s="3"/>
      <c r="C1026" s="3"/>
      <c r="D1026" s="3"/>
      <c r="E1026" s="6"/>
      <c r="F1026" s="33"/>
      <c r="G1026" s="3"/>
      <c r="H1026" s="3"/>
      <c r="K1026" s="3"/>
      <c r="L1026" s="3"/>
      <c r="M1026" s="3"/>
      <c r="N1026" s="3"/>
      <c r="O1026" s="3"/>
      <c r="Q1026" s="3"/>
      <c r="S1026" s="27" t="s">
        <v>1975</v>
      </c>
      <c r="T1026" s="27" t="str">
        <f>IFERROR(__xludf.DUMMYFUNCTION("""COMPUTED_VALUE"""),"")</f>
        <v/>
      </c>
      <c r="U1026" s="1" t="s">
        <v>1975</v>
      </c>
    </row>
    <row r="1027">
      <c r="A1027" s="4"/>
      <c r="B1027" s="3"/>
      <c r="C1027" s="3"/>
      <c r="D1027" s="3"/>
      <c r="E1027" s="6"/>
      <c r="F1027" s="33"/>
      <c r="G1027" s="3"/>
      <c r="H1027" s="3"/>
      <c r="K1027" s="3"/>
      <c r="L1027" s="3"/>
      <c r="M1027" s="3"/>
      <c r="N1027" s="3"/>
      <c r="O1027" s="3"/>
      <c r="Q1027" s="3"/>
      <c r="S1027" s="27" t="s">
        <v>1975</v>
      </c>
      <c r="T1027" s="27" t="str">
        <f>IFERROR(__xludf.DUMMYFUNCTION("""COMPUTED_VALUE"""),"")</f>
        <v/>
      </c>
      <c r="U1027" s="1" t="s">
        <v>1975</v>
      </c>
    </row>
    <row r="1028">
      <c r="A1028" s="4"/>
      <c r="B1028" s="3"/>
      <c r="C1028" s="3"/>
      <c r="D1028" s="3"/>
      <c r="E1028" s="6"/>
      <c r="F1028" s="33"/>
      <c r="G1028" s="3"/>
      <c r="H1028" s="3"/>
      <c r="K1028" s="3"/>
      <c r="L1028" s="3"/>
      <c r="M1028" s="3"/>
      <c r="N1028" s="3"/>
      <c r="O1028" s="3"/>
      <c r="Q1028" s="3"/>
      <c r="S1028" s="27" t="s">
        <v>1975</v>
      </c>
      <c r="T1028" s="27" t="str">
        <f>IFERROR(__xludf.DUMMYFUNCTION("""COMPUTED_VALUE"""),"")</f>
        <v/>
      </c>
      <c r="U1028" s="1" t="s">
        <v>1975</v>
      </c>
    </row>
    <row r="1029">
      <c r="A1029" s="4"/>
      <c r="B1029" s="3"/>
      <c r="C1029" s="3"/>
      <c r="D1029" s="3"/>
      <c r="E1029" s="6"/>
      <c r="F1029" s="33"/>
      <c r="G1029" s="3"/>
      <c r="H1029" s="3"/>
      <c r="K1029" s="3"/>
      <c r="L1029" s="3"/>
      <c r="M1029" s="3"/>
      <c r="N1029" s="3"/>
      <c r="O1029" s="3"/>
      <c r="Q1029" s="3"/>
      <c r="S1029" s="27" t="s">
        <v>1975</v>
      </c>
      <c r="T1029" s="27" t="str">
        <f>IFERROR(__xludf.DUMMYFUNCTION("""COMPUTED_VALUE"""),"")</f>
        <v/>
      </c>
      <c r="U1029" s="1" t="s">
        <v>1975</v>
      </c>
    </row>
    <row r="1030">
      <c r="A1030" s="4"/>
      <c r="B1030" s="3"/>
      <c r="C1030" s="3"/>
      <c r="D1030" s="3"/>
      <c r="E1030" s="6"/>
      <c r="F1030" s="33"/>
      <c r="G1030" s="3"/>
      <c r="H1030" s="3"/>
      <c r="K1030" s="3"/>
      <c r="L1030" s="3"/>
      <c r="M1030" s="3"/>
      <c r="N1030" s="3"/>
      <c r="O1030" s="3"/>
      <c r="Q1030" s="3"/>
      <c r="S1030" s="27" t="s">
        <v>1975</v>
      </c>
      <c r="T1030" s="27" t="str">
        <f>IFERROR(__xludf.DUMMYFUNCTION("""COMPUTED_VALUE"""),"")</f>
        <v/>
      </c>
      <c r="U1030" s="1" t="s">
        <v>1975</v>
      </c>
    </row>
    <row r="1031">
      <c r="A1031" s="4"/>
      <c r="B1031" s="3"/>
      <c r="C1031" s="3"/>
      <c r="D1031" s="3"/>
      <c r="E1031" s="6"/>
      <c r="F1031" s="33"/>
      <c r="G1031" s="3"/>
      <c r="H1031" s="3"/>
      <c r="K1031" s="3"/>
      <c r="L1031" s="3"/>
      <c r="M1031" s="3"/>
      <c r="N1031" s="3"/>
      <c r="O1031" s="3"/>
      <c r="Q1031" s="3"/>
      <c r="S1031" s="27" t="s">
        <v>1975</v>
      </c>
      <c r="T1031" s="27" t="str">
        <f>IFERROR(__xludf.DUMMYFUNCTION("""COMPUTED_VALUE"""),"")</f>
        <v/>
      </c>
      <c r="U1031" s="1" t="s">
        <v>1975</v>
      </c>
    </row>
    <row r="1032">
      <c r="A1032" s="4"/>
      <c r="B1032" s="3"/>
      <c r="C1032" s="3"/>
      <c r="D1032" s="3"/>
      <c r="E1032" s="6"/>
      <c r="F1032" s="33"/>
      <c r="G1032" s="3"/>
      <c r="H1032" s="3"/>
      <c r="K1032" s="3"/>
      <c r="L1032" s="3"/>
      <c r="M1032" s="3"/>
      <c r="N1032" s="3"/>
      <c r="O1032" s="3"/>
      <c r="Q1032" s="3"/>
      <c r="S1032" s="27" t="s">
        <v>1975</v>
      </c>
      <c r="T1032" s="27" t="str">
        <f>IFERROR(__xludf.DUMMYFUNCTION("""COMPUTED_VALUE"""),"")</f>
        <v/>
      </c>
      <c r="U1032" s="1" t="s">
        <v>1975</v>
      </c>
    </row>
    <row r="1033">
      <c r="A1033" s="4"/>
      <c r="B1033" s="3"/>
      <c r="C1033" s="3"/>
      <c r="D1033" s="3"/>
      <c r="E1033" s="6"/>
      <c r="F1033" s="33"/>
      <c r="G1033" s="3"/>
      <c r="H1033" s="3"/>
      <c r="K1033" s="3"/>
      <c r="L1033" s="3"/>
      <c r="M1033" s="3"/>
      <c r="N1033" s="3"/>
      <c r="O1033" s="3"/>
      <c r="Q1033" s="3"/>
      <c r="S1033" s="27" t="s">
        <v>1975</v>
      </c>
      <c r="T1033" s="27" t="str">
        <f>IFERROR(__xludf.DUMMYFUNCTION("""COMPUTED_VALUE"""),"")</f>
        <v/>
      </c>
      <c r="U1033" s="1" t="s">
        <v>1975</v>
      </c>
    </row>
    <row r="1034">
      <c r="A1034" s="4"/>
      <c r="B1034" s="3"/>
      <c r="C1034" s="3"/>
      <c r="D1034" s="3"/>
      <c r="E1034" s="6"/>
      <c r="F1034" s="33"/>
      <c r="G1034" s="3"/>
      <c r="H1034" s="3"/>
      <c r="K1034" s="3"/>
      <c r="L1034" s="3"/>
      <c r="M1034" s="3"/>
      <c r="N1034" s="3"/>
      <c r="O1034" s="3"/>
      <c r="Q1034" s="3"/>
      <c r="S1034" s="27" t="s">
        <v>1975</v>
      </c>
      <c r="T1034" s="27" t="str">
        <f>IFERROR(__xludf.DUMMYFUNCTION("""COMPUTED_VALUE"""),"")</f>
        <v/>
      </c>
      <c r="U1034" s="1" t="s">
        <v>1975</v>
      </c>
    </row>
    <row r="1035">
      <c r="A1035" s="4"/>
      <c r="B1035" s="3"/>
      <c r="C1035" s="3"/>
      <c r="D1035" s="3"/>
      <c r="E1035" s="6"/>
      <c r="F1035" s="33"/>
      <c r="G1035" s="3"/>
      <c r="H1035" s="3"/>
      <c r="K1035" s="3"/>
      <c r="L1035" s="3"/>
      <c r="M1035" s="3"/>
      <c r="N1035" s="3"/>
      <c r="O1035" s="3"/>
      <c r="Q1035" s="3"/>
      <c r="S1035" s="27" t="s">
        <v>1975</v>
      </c>
      <c r="T1035" s="27" t="str">
        <f>IFERROR(__xludf.DUMMYFUNCTION("""COMPUTED_VALUE"""),"")</f>
        <v/>
      </c>
      <c r="U1035" s="1" t="s">
        <v>1975</v>
      </c>
    </row>
    <row r="1036">
      <c r="A1036" s="4"/>
      <c r="B1036" s="3"/>
      <c r="C1036" s="3"/>
      <c r="D1036" s="3"/>
      <c r="E1036" s="6"/>
      <c r="F1036" s="33"/>
      <c r="G1036" s="3"/>
      <c r="H1036" s="3"/>
      <c r="K1036" s="3"/>
      <c r="L1036" s="3"/>
      <c r="M1036" s="3"/>
      <c r="N1036" s="3"/>
      <c r="O1036" s="3"/>
      <c r="Q1036" s="3"/>
      <c r="S1036" s="27" t="s">
        <v>1975</v>
      </c>
      <c r="T1036" s="27" t="str">
        <f>IFERROR(__xludf.DUMMYFUNCTION("""COMPUTED_VALUE"""),"")</f>
        <v/>
      </c>
      <c r="U1036" s="1" t="s">
        <v>1975</v>
      </c>
    </row>
    <row r="1037">
      <c r="A1037" s="4"/>
      <c r="B1037" s="3"/>
      <c r="C1037" s="3"/>
      <c r="D1037" s="3"/>
      <c r="E1037" s="6"/>
      <c r="F1037" s="33"/>
      <c r="G1037" s="3"/>
      <c r="H1037" s="3"/>
      <c r="K1037" s="3"/>
      <c r="L1037" s="3"/>
      <c r="M1037" s="3"/>
      <c r="N1037" s="3"/>
      <c r="O1037" s="3"/>
      <c r="Q1037" s="3"/>
      <c r="S1037" s="27" t="s">
        <v>1975</v>
      </c>
      <c r="T1037" s="27" t="str">
        <f>IFERROR(__xludf.DUMMYFUNCTION("""COMPUTED_VALUE"""),"")</f>
        <v/>
      </c>
      <c r="U1037" s="1" t="s">
        <v>1975</v>
      </c>
    </row>
    <row r="1038">
      <c r="A1038" s="4"/>
      <c r="B1038" s="3"/>
      <c r="C1038" s="3"/>
      <c r="D1038" s="3"/>
      <c r="E1038" s="6"/>
      <c r="F1038" s="33"/>
      <c r="G1038" s="3"/>
      <c r="H1038" s="3"/>
      <c r="K1038" s="3"/>
      <c r="L1038" s="3"/>
      <c r="M1038" s="3"/>
      <c r="N1038" s="3"/>
      <c r="O1038" s="3"/>
      <c r="Q1038" s="3"/>
      <c r="S1038" s="27" t="s">
        <v>1975</v>
      </c>
      <c r="T1038" s="27" t="str">
        <f>IFERROR(__xludf.DUMMYFUNCTION("""COMPUTED_VALUE"""),"")</f>
        <v/>
      </c>
      <c r="U1038" s="1" t="s">
        <v>1975</v>
      </c>
    </row>
    <row r="1039">
      <c r="A1039" s="4"/>
      <c r="B1039" s="3"/>
      <c r="C1039" s="3"/>
      <c r="D1039" s="3"/>
      <c r="E1039" s="6"/>
      <c r="F1039" s="33"/>
      <c r="G1039" s="3"/>
      <c r="H1039" s="3"/>
      <c r="K1039" s="3"/>
      <c r="L1039" s="3"/>
      <c r="M1039" s="3"/>
      <c r="N1039" s="3"/>
      <c r="O1039" s="3"/>
      <c r="Q1039" s="3"/>
      <c r="S1039" s="27" t="s">
        <v>1975</v>
      </c>
      <c r="T1039" s="27" t="str">
        <f>IFERROR(__xludf.DUMMYFUNCTION("""COMPUTED_VALUE"""),"")</f>
        <v/>
      </c>
      <c r="U1039" s="1" t="s">
        <v>1975</v>
      </c>
    </row>
    <row r="1040">
      <c r="A1040" s="4"/>
      <c r="B1040" s="3"/>
      <c r="C1040" s="3"/>
      <c r="D1040" s="3"/>
      <c r="E1040" s="6"/>
      <c r="F1040" s="33"/>
      <c r="G1040" s="3"/>
      <c r="H1040" s="3"/>
      <c r="K1040" s="3"/>
      <c r="L1040" s="3"/>
      <c r="M1040" s="3"/>
      <c r="N1040" s="3"/>
      <c r="O1040" s="3"/>
      <c r="Q1040" s="3"/>
      <c r="S1040" s="27" t="s">
        <v>1975</v>
      </c>
      <c r="T1040" s="27" t="str">
        <f>IFERROR(__xludf.DUMMYFUNCTION("""COMPUTED_VALUE"""),"")</f>
        <v/>
      </c>
      <c r="U1040" s="1" t="s">
        <v>1975</v>
      </c>
    </row>
    <row r="1041">
      <c r="A1041" s="4"/>
      <c r="B1041" s="3"/>
      <c r="C1041" s="3"/>
      <c r="D1041" s="3"/>
      <c r="E1041" s="6"/>
      <c r="F1041" s="33"/>
      <c r="G1041" s="3"/>
      <c r="H1041" s="3"/>
      <c r="K1041" s="3"/>
      <c r="L1041" s="3"/>
      <c r="M1041" s="3"/>
      <c r="N1041" s="3"/>
      <c r="O1041" s="3"/>
      <c r="Q1041" s="3"/>
      <c r="S1041" s="27" t="s">
        <v>1975</v>
      </c>
      <c r="T1041" s="27" t="str">
        <f>IFERROR(__xludf.DUMMYFUNCTION("""COMPUTED_VALUE"""),"")</f>
        <v/>
      </c>
      <c r="U1041" s="1" t="s">
        <v>1975</v>
      </c>
    </row>
    <row r="1042">
      <c r="A1042" s="4"/>
      <c r="B1042" s="3"/>
      <c r="C1042" s="3"/>
      <c r="D1042" s="3"/>
      <c r="E1042" s="6"/>
      <c r="F1042" s="33"/>
      <c r="G1042" s="3"/>
      <c r="H1042" s="3"/>
      <c r="K1042" s="3"/>
      <c r="L1042" s="3"/>
      <c r="M1042" s="3"/>
      <c r="N1042" s="3"/>
      <c r="O1042" s="3"/>
      <c r="Q1042" s="3"/>
      <c r="S1042" s="27" t="s">
        <v>1975</v>
      </c>
      <c r="T1042" s="27" t="str">
        <f>IFERROR(__xludf.DUMMYFUNCTION("""COMPUTED_VALUE"""),"")</f>
        <v/>
      </c>
      <c r="U1042" s="1" t="s">
        <v>1975</v>
      </c>
    </row>
    <row r="1043">
      <c r="A1043" s="4"/>
      <c r="B1043" s="3"/>
      <c r="C1043" s="3"/>
      <c r="D1043" s="3"/>
      <c r="E1043" s="6"/>
      <c r="F1043" s="33"/>
      <c r="G1043" s="3"/>
      <c r="H1043" s="3"/>
      <c r="K1043" s="3"/>
      <c r="L1043" s="3"/>
      <c r="M1043" s="3"/>
      <c r="N1043" s="3"/>
      <c r="O1043" s="3"/>
      <c r="Q1043" s="3"/>
      <c r="S1043" s="27" t="s">
        <v>1975</v>
      </c>
      <c r="T1043" s="27" t="str">
        <f>IFERROR(__xludf.DUMMYFUNCTION("""COMPUTED_VALUE"""),"")</f>
        <v/>
      </c>
      <c r="U1043" s="1" t="s">
        <v>1975</v>
      </c>
    </row>
    <row r="1044">
      <c r="A1044" s="4"/>
      <c r="B1044" s="3"/>
      <c r="C1044" s="3"/>
      <c r="D1044" s="3"/>
      <c r="E1044" s="6"/>
      <c r="F1044" s="33"/>
      <c r="G1044" s="3"/>
      <c r="H1044" s="3"/>
      <c r="K1044" s="3"/>
      <c r="L1044" s="3"/>
      <c r="M1044" s="3"/>
      <c r="N1044" s="3"/>
      <c r="O1044" s="3"/>
      <c r="Q1044" s="3"/>
      <c r="S1044" s="27" t="s">
        <v>1975</v>
      </c>
      <c r="T1044" s="27" t="str">
        <f>IFERROR(__xludf.DUMMYFUNCTION("""COMPUTED_VALUE"""),"")</f>
        <v/>
      </c>
      <c r="U1044" s="1" t="s">
        <v>1975</v>
      </c>
    </row>
    <row r="1045">
      <c r="A1045" s="4"/>
      <c r="B1045" s="3"/>
      <c r="C1045" s="3"/>
      <c r="D1045" s="3"/>
      <c r="E1045" s="6"/>
      <c r="F1045" s="33"/>
      <c r="G1045" s="3"/>
      <c r="H1045" s="3"/>
      <c r="K1045" s="3"/>
      <c r="L1045" s="3"/>
      <c r="M1045" s="3"/>
      <c r="N1045" s="3"/>
      <c r="O1045" s="3"/>
      <c r="Q1045" s="3"/>
      <c r="S1045" s="27" t="s">
        <v>1975</v>
      </c>
      <c r="T1045" s="27" t="str">
        <f>IFERROR(__xludf.DUMMYFUNCTION("""COMPUTED_VALUE"""),"")</f>
        <v/>
      </c>
      <c r="U1045" s="1" t="s">
        <v>1975</v>
      </c>
    </row>
    <row r="1046">
      <c r="A1046" s="4"/>
      <c r="B1046" s="3"/>
      <c r="C1046" s="3"/>
      <c r="D1046" s="3"/>
      <c r="E1046" s="6"/>
      <c r="F1046" s="33"/>
      <c r="G1046" s="3"/>
      <c r="H1046" s="3"/>
      <c r="K1046" s="3"/>
      <c r="L1046" s="3"/>
      <c r="M1046" s="3"/>
      <c r="N1046" s="3"/>
      <c r="O1046" s="3"/>
      <c r="Q1046" s="3"/>
      <c r="S1046" s="27" t="s">
        <v>1975</v>
      </c>
      <c r="T1046" s="27" t="str">
        <f>IFERROR(__xludf.DUMMYFUNCTION("""COMPUTED_VALUE"""),"")</f>
        <v/>
      </c>
      <c r="U1046" s="1" t="s">
        <v>1975</v>
      </c>
    </row>
    <row r="1047">
      <c r="A1047" s="4"/>
      <c r="B1047" s="3"/>
      <c r="C1047" s="3"/>
      <c r="D1047" s="3"/>
      <c r="E1047" s="6"/>
      <c r="F1047" s="33"/>
      <c r="G1047" s="3"/>
      <c r="H1047" s="3"/>
      <c r="K1047" s="3"/>
      <c r="L1047" s="3"/>
      <c r="M1047" s="3"/>
      <c r="N1047" s="3"/>
      <c r="O1047" s="3"/>
      <c r="Q1047" s="3"/>
      <c r="S1047" s="27" t="s">
        <v>1975</v>
      </c>
      <c r="T1047" s="27" t="str">
        <f>IFERROR(__xludf.DUMMYFUNCTION("""COMPUTED_VALUE"""),"")</f>
        <v/>
      </c>
      <c r="U1047" s="1" t="s">
        <v>1975</v>
      </c>
    </row>
    <row r="1048">
      <c r="A1048" s="4"/>
      <c r="B1048" s="3"/>
      <c r="C1048" s="3"/>
      <c r="D1048" s="3"/>
      <c r="E1048" s="6"/>
      <c r="F1048" s="33"/>
      <c r="G1048" s="3"/>
      <c r="H1048" s="3"/>
      <c r="K1048" s="3"/>
      <c r="L1048" s="3"/>
      <c r="M1048" s="3"/>
      <c r="N1048" s="3"/>
      <c r="O1048" s="3"/>
      <c r="Q1048" s="3"/>
      <c r="S1048" s="27" t="s">
        <v>1975</v>
      </c>
      <c r="T1048" s="27" t="str">
        <f>IFERROR(__xludf.DUMMYFUNCTION("""COMPUTED_VALUE"""),"")</f>
        <v/>
      </c>
      <c r="U1048" s="1" t="s">
        <v>1975</v>
      </c>
    </row>
    <row r="1049">
      <c r="A1049" s="4"/>
      <c r="B1049" s="3"/>
      <c r="C1049" s="3"/>
      <c r="D1049" s="3"/>
      <c r="E1049" s="6"/>
      <c r="F1049" s="33"/>
      <c r="G1049" s="3"/>
      <c r="H1049" s="3"/>
      <c r="K1049" s="3"/>
      <c r="L1049" s="3"/>
      <c r="M1049" s="3"/>
      <c r="N1049" s="3"/>
      <c r="O1049" s="3"/>
      <c r="Q1049" s="3"/>
      <c r="S1049" s="27" t="s">
        <v>1975</v>
      </c>
      <c r="T1049" s="27" t="str">
        <f>IFERROR(__xludf.DUMMYFUNCTION("""COMPUTED_VALUE"""),"")</f>
        <v/>
      </c>
      <c r="U1049" s="1" t="s">
        <v>1975</v>
      </c>
    </row>
    <row r="1050">
      <c r="A1050" s="4"/>
      <c r="B1050" s="3"/>
      <c r="C1050" s="3"/>
      <c r="D1050" s="3"/>
      <c r="E1050" s="6"/>
      <c r="F1050" s="33"/>
      <c r="G1050" s="3"/>
      <c r="H1050" s="3"/>
      <c r="K1050" s="3"/>
      <c r="L1050" s="3"/>
      <c r="M1050" s="3"/>
      <c r="N1050" s="3"/>
      <c r="O1050" s="3"/>
      <c r="Q1050" s="3"/>
      <c r="S1050" s="27" t="s">
        <v>1975</v>
      </c>
      <c r="T1050" s="27" t="str">
        <f>IFERROR(__xludf.DUMMYFUNCTION("""COMPUTED_VALUE"""),"")</f>
        <v/>
      </c>
      <c r="U1050" s="1" t="s">
        <v>1975</v>
      </c>
    </row>
    <row r="1051">
      <c r="A1051" s="4"/>
      <c r="B1051" s="3"/>
      <c r="C1051" s="3"/>
      <c r="D1051" s="3"/>
      <c r="E1051" s="6"/>
      <c r="F1051" s="33"/>
      <c r="G1051" s="3"/>
      <c r="H1051" s="3"/>
      <c r="K1051" s="3"/>
      <c r="L1051" s="3"/>
      <c r="M1051" s="3"/>
      <c r="N1051" s="3"/>
      <c r="O1051" s="3"/>
      <c r="Q1051" s="3"/>
      <c r="S1051" s="27" t="s">
        <v>1975</v>
      </c>
      <c r="T1051" s="27" t="str">
        <f>IFERROR(__xludf.DUMMYFUNCTION("""COMPUTED_VALUE"""),"")</f>
        <v/>
      </c>
      <c r="U1051" s="1" t="s">
        <v>1975</v>
      </c>
    </row>
    <row r="1052">
      <c r="A1052" s="4"/>
      <c r="B1052" s="3"/>
      <c r="C1052" s="3"/>
      <c r="D1052" s="3"/>
      <c r="E1052" s="6"/>
      <c r="F1052" s="33"/>
      <c r="G1052" s="3"/>
      <c r="H1052" s="3"/>
      <c r="K1052" s="3"/>
      <c r="L1052" s="3"/>
      <c r="M1052" s="3"/>
      <c r="N1052" s="3"/>
      <c r="O1052" s="3"/>
      <c r="Q1052" s="3"/>
      <c r="S1052" s="27" t="s">
        <v>1975</v>
      </c>
      <c r="T1052" s="27" t="str">
        <f>IFERROR(__xludf.DUMMYFUNCTION("""COMPUTED_VALUE"""),"")</f>
        <v/>
      </c>
      <c r="U1052" s="1" t="s">
        <v>1975</v>
      </c>
    </row>
    <row r="1053">
      <c r="A1053" s="4"/>
      <c r="B1053" s="3"/>
      <c r="C1053" s="3"/>
      <c r="D1053" s="3"/>
      <c r="E1053" s="6"/>
      <c r="F1053" s="33"/>
      <c r="G1053" s="3"/>
      <c r="H1053" s="3"/>
      <c r="K1053" s="3"/>
      <c r="L1053" s="3"/>
      <c r="M1053" s="3"/>
      <c r="N1053" s="3"/>
      <c r="O1053" s="3"/>
      <c r="Q1053" s="3"/>
      <c r="S1053" s="27" t="s">
        <v>1975</v>
      </c>
      <c r="T1053" s="27" t="str">
        <f>IFERROR(__xludf.DUMMYFUNCTION("""COMPUTED_VALUE"""),"")</f>
        <v/>
      </c>
      <c r="U1053" s="1" t="s">
        <v>1975</v>
      </c>
    </row>
    <row r="1054">
      <c r="A1054" s="4"/>
      <c r="B1054" s="3"/>
      <c r="C1054" s="3"/>
      <c r="D1054" s="3"/>
      <c r="E1054" s="6"/>
      <c r="F1054" s="33"/>
      <c r="G1054" s="3"/>
      <c r="H1054" s="3"/>
      <c r="K1054" s="3"/>
      <c r="L1054" s="3"/>
      <c r="M1054" s="3"/>
      <c r="N1054" s="3"/>
      <c r="O1054" s="3"/>
      <c r="Q1054" s="3"/>
      <c r="S1054" s="27" t="s">
        <v>1975</v>
      </c>
      <c r="T1054" s="27" t="str">
        <f>IFERROR(__xludf.DUMMYFUNCTION("""COMPUTED_VALUE"""),"")</f>
        <v/>
      </c>
      <c r="U1054" s="1" t="s">
        <v>1975</v>
      </c>
    </row>
    <row r="1055">
      <c r="A1055" s="4"/>
      <c r="B1055" s="3"/>
      <c r="C1055" s="3"/>
      <c r="D1055" s="3"/>
      <c r="E1055" s="6"/>
      <c r="F1055" s="33"/>
      <c r="G1055" s="3"/>
      <c r="H1055" s="3"/>
      <c r="K1055" s="3"/>
      <c r="L1055" s="3"/>
      <c r="M1055" s="3"/>
      <c r="N1055" s="3"/>
      <c r="O1055" s="3"/>
      <c r="Q1055" s="3"/>
      <c r="S1055" s="27" t="s">
        <v>1975</v>
      </c>
      <c r="T1055" s="27" t="str">
        <f>IFERROR(__xludf.DUMMYFUNCTION("""COMPUTED_VALUE"""),"")</f>
        <v/>
      </c>
      <c r="U1055" s="1" t="s">
        <v>1975</v>
      </c>
    </row>
    <row r="1056">
      <c r="A1056" s="4"/>
      <c r="B1056" s="3"/>
      <c r="C1056" s="3"/>
      <c r="D1056" s="3"/>
      <c r="E1056" s="6"/>
      <c r="F1056" s="33"/>
      <c r="G1056" s="3"/>
      <c r="H1056" s="3"/>
      <c r="K1056" s="3"/>
      <c r="L1056" s="3"/>
      <c r="M1056" s="3"/>
      <c r="N1056" s="3"/>
      <c r="O1056" s="3"/>
      <c r="Q1056" s="3"/>
      <c r="S1056" s="27" t="s">
        <v>1975</v>
      </c>
      <c r="T1056" s="27" t="str">
        <f>IFERROR(__xludf.DUMMYFUNCTION("""COMPUTED_VALUE"""),"")</f>
        <v/>
      </c>
      <c r="U1056" s="1" t="s">
        <v>1975</v>
      </c>
    </row>
    <row r="1057">
      <c r="A1057" s="4"/>
      <c r="B1057" s="3"/>
      <c r="C1057" s="3"/>
      <c r="D1057" s="3"/>
      <c r="E1057" s="6"/>
      <c r="F1057" s="33"/>
      <c r="G1057" s="3"/>
      <c r="H1057" s="3"/>
      <c r="K1057" s="3"/>
      <c r="L1057" s="3"/>
      <c r="M1057" s="3"/>
      <c r="N1057" s="3"/>
      <c r="O1057" s="3"/>
      <c r="Q1057" s="3"/>
      <c r="S1057" s="27" t="s">
        <v>1975</v>
      </c>
      <c r="T1057" s="27" t="str">
        <f>IFERROR(__xludf.DUMMYFUNCTION("""COMPUTED_VALUE"""),"")</f>
        <v/>
      </c>
      <c r="U1057" s="1" t="s">
        <v>1975</v>
      </c>
    </row>
    <row r="1058">
      <c r="A1058" s="4"/>
      <c r="B1058" s="3"/>
      <c r="C1058" s="3"/>
      <c r="D1058" s="3"/>
      <c r="E1058" s="6"/>
      <c r="F1058" s="33"/>
      <c r="G1058" s="3"/>
      <c r="H1058" s="3"/>
      <c r="K1058" s="3"/>
      <c r="L1058" s="3"/>
      <c r="M1058" s="3"/>
      <c r="N1058" s="3"/>
      <c r="O1058" s="3"/>
      <c r="Q1058" s="3"/>
      <c r="S1058" s="27" t="s">
        <v>1975</v>
      </c>
      <c r="T1058" s="27" t="str">
        <f>IFERROR(__xludf.DUMMYFUNCTION("""COMPUTED_VALUE"""),"")</f>
        <v/>
      </c>
      <c r="U1058" s="1" t="s">
        <v>1975</v>
      </c>
    </row>
    <row r="1059">
      <c r="A1059" s="4"/>
      <c r="B1059" s="3"/>
      <c r="C1059" s="3"/>
      <c r="D1059" s="3"/>
      <c r="E1059" s="6"/>
      <c r="F1059" s="33"/>
      <c r="G1059" s="3"/>
      <c r="H1059" s="3"/>
      <c r="K1059" s="3"/>
      <c r="L1059" s="3"/>
      <c r="M1059" s="3"/>
      <c r="N1059" s="3"/>
      <c r="O1059" s="3"/>
      <c r="Q1059" s="3"/>
      <c r="S1059" s="27" t="s">
        <v>1975</v>
      </c>
      <c r="T1059" s="27" t="str">
        <f>IFERROR(__xludf.DUMMYFUNCTION("""COMPUTED_VALUE"""),"")</f>
        <v/>
      </c>
      <c r="U1059" s="1" t="s">
        <v>1975</v>
      </c>
    </row>
    <row r="1060">
      <c r="A1060" s="4"/>
      <c r="B1060" s="3"/>
      <c r="C1060" s="3"/>
      <c r="D1060" s="3"/>
      <c r="E1060" s="6"/>
      <c r="F1060" s="33"/>
      <c r="G1060" s="3"/>
      <c r="H1060" s="3"/>
      <c r="K1060" s="3"/>
      <c r="L1060" s="3"/>
      <c r="M1060" s="3"/>
      <c r="N1060" s="3"/>
      <c r="O1060" s="3"/>
      <c r="Q1060" s="3"/>
      <c r="S1060" s="27" t="s">
        <v>1975</v>
      </c>
      <c r="T1060" s="27" t="str">
        <f>IFERROR(__xludf.DUMMYFUNCTION("""COMPUTED_VALUE"""),"")</f>
        <v/>
      </c>
      <c r="U1060" s="1" t="s">
        <v>1975</v>
      </c>
    </row>
    <row r="1061">
      <c r="A1061" s="4"/>
      <c r="B1061" s="3"/>
      <c r="C1061" s="3"/>
      <c r="D1061" s="3"/>
      <c r="E1061" s="6"/>
      <c r="F1061" s="33"/>
      <c r="G1061" s="3"/>
      <c r="H1061" s="3"/>
      <c r="K1061" s="3"/>
      <c r="L1061" s="3"/>
      <c r="M1061" s="3"/>
      <c r="N1061" s="3"/>
      <c r="O1061" s="3"/>
      <c r="Q1061" s="3"/>
      <c r="S1061" s="27" t="s">
        <v>1975</v>
      </c>
      <c r="T1061" s="27" t="str">
        <f>IFERROR(__xludf.DUMMYFUNCTION("""COMPUTED_VALUE"""),"")</f>
        <v/>
      </c>
      <c r="U1061" s="1" t="s">
        <v>1975</v>
      </c>
    </row>
    <row r="1062">
      <c r="A1062" s="4"/>
      <c r="B1062" s="3"/>
      <c r="C1062" s="3"/>
      <c r="D1062" s="3"/>
      <c r="E1062" s="6"/>
      <c r="F1062" s="33"/>
      <c r="G1062" s="3"/>
      <c r="H1062" s="3"/>
      <c r="K1062" s="3"/>
      <c r="L1062" s="3"/>
      <c r="M1062" s="3"/>
      <c r="N1062" s="3"/>
      <c r="O1062" s="3"/>
      <c r="Q1062" s="3"/>
      <c r="S1062" s="27" t="s">
        <v>1975</v>
      </c>
      <c r="T1062" s="27" t="str">
        <f>IFERROR(__xludf.DUMMYFUNCTION("""COMPUTED_VALUE"""),"")</f>
        <v/>
      </c>
      <c r="U1062" s="1" t="s">
        <v>1975</v>
      </c>
    </row>
    <row r="1063">
      <c r="A1063" s="4"/>
      <c r="B1063" s="3"/>
      <c r="C1063" s="3"/>
      <c r="D1063" s="3"/>
      <c r="E1063" s="6"/>
      <c r="F1063" s="33"/>
      <c r="G1063" s="3"/>
      <c r="H1063" s="3"/>
      <c r="K1063" s="3"/>
      <c r="L1063" s="3"/>
      <c r="M1063" s="3"/>
      <c r="N1063" s="3"/>
      <c r="O1063" s="3"/>
      <c r="Q1063" s="3"/>
      <c r="S1063" s="27" t="s">
        <v>1975</v>
      </c>
      <c r="T1063" s="27" t="str">
        <f>IFERROR(__xludf.DUMMYFUNCTION("""COMPUTED_VALUE"""),"")</f>
        <v/>
      </c>
      <c r="U1063" s="1" t="s">
        <v>1975</v>
      </c>
    </row>
    <row r="1064">
      <c r="A1064" s="4"/>
      <c r="B1064" s="3"/>
      <c r="C1064" s="3"/>
      <c r="D1064" s="3"/>
      <c r="E1064" s="6"/>
      <c r="F1064" s="33"/>
      <c r="G1064" s="3"/>
      <c r="H1064" s="3"/>
      <c r="K1064" s="3"/>
      <c r="L1064" s="3"/>
      <c r="M1064" s="3"/>
      <c r="N1064" s="3"/>
      <c r="O1064" s="3"/>
      <c r="Q1064" s="3"/>
      <c r="S1064" s="27" t="s">
        <v>1975</v>
      </c>
      <c r="T1064" s="27" t="str">
        <f>IFERROR(__xludf.DUMMYFUNCTION("""COMPUTED_VALUE"""),"")</f>
        <v/>
      </c>
      <c r="U1064" s="1" t="s">
        <v>1975</v>
      </c>
    </row>
    <row r="1065">
      <c r="A1065" s="4"/>
      <c r="B1065" s="3"/>
      <c r="C1065" s="3"/>
      <c r="D1065" s="3"/>
      <c r="E1065" s="6"/>
      <c r="F1065" s="33"/>
      <c r="G1065" s="3"/>
      <c r="H1065" s="3"/>
      <c r="K1065" s="3"/>
      <c r="L1065" s="3"/>
      <c r="M1065" s="3"/>
      <c r="N1065" s="3"/>
      <c r="O1065" s="3"/>
      <c r="Q1065" s="3"/>
      <c r="S1065" s="27" t="s">
        <v>1975</v>
      </c>
      <c r="T1065" s="27" t="str">
        <f>IFERROR(__xludf.DUMMYFUNCTION("""COMPUTED_VALUE"""),"")</f>
        <v/>
      </c>
      <c r="U1065" s="1" t="s">
        <v>1975</v>
      </c>
    </row>
    <row r="1066">
      <c r="A1066" s="4"/>
      <c r="B1066" s="3"/>
      <c r="C1066" s="3"/>
      <c r="D1066" s="3"/>
      <c r="E1066" s="6"/>
      <c r="F1066" s="33"/>
      <c r="G1066" s="3"/>
      <c r="H1066" s="3"/>
      <c r="K1066" s="3"/>
      <c r="L1066" s="3"/>
      <c r="M1066" s="3"/>
      <c r="N1066" s="3"/>
      <c r="O1066" s="3"/>
      <c r="Q1066" s="3"/>
      <c r="S1066" s="27" t="s">
        <v>1975</v>
      </c>
      <c r="T1066" s="27" t="str">
        <f>IFERROR(__xludf.DUMMYFUNCTION("""COMPUTED_VALUE"""),"")</f>
        <v/>
      </c>
      <c r="U1066" s="1" t="s">
        <v>1975</v>
      </c>
    </row>
    <row r="1067">
      <c r="A1067" s="4"/>
      <c r="B1067" s="3"/>
      <c r="C1067" s="3"/>
      <c r="D1067" s="3"/>
      <c r="E1067" s="6"/>
      <c r="F1067" s="33"/>
      <c r="G1067" s="3"/>
      <c r="H1067" s="3"/>
      <c r="K1067" s="3"/>
      <c r="L1067" s="3"/>
      <c r="M1067" s="3"/>
      <c r="N1067" s="3"/>
      <c r="O1067" s="3"/>
      <c r="Q1067" s="3"/>
      <c r="S1067" s="27" t="s">
        <v>1975</v>
      </c>
      <c r="T1067" s="27" t="str">
        <f>IFERROR(__xludf.DUMMYFUNCTION("""COMPUTED_VALUE"""),"")</f>
        <v/>
      </c>
      <c r="U1067" s="1" t="s">
        <v>1975</v>
      </c>
    </row>
    <row r="1068">
      <c r="A1068" s="4"/>
      <c r="B1068" s="3"/>
      <c r="C1068" s="3"/>
      <c r="D1068" s="3"/>
      <c r="E1068" s="6"/>
      <c r="F1068" s="33"/>
      <c r="G1068" s="3"/>
      <c r="H1068" s="3"/>
      <c r="K1068" s="3"/>
      <c r="L1068" s="3"/>
      <c r="M1068" s="3"/>
      <c r="N1068" s="3"/>
      <c r="O1068" s="3"/>
      <c r="Q1068" s="3"/>
      <c r="S1068" s="27" t="s">
        <v>1975</v>
      </c>
      <c r="T1068" s="27" t="str">
        <f>IFERROR(__xludf.DUMMYFUNCTION("""COMPUTED_VALUE"""),"")</f>
        <v/>
      </c>
      <c r="U1068" s="1" t="s">
        <v>1975</v>
      </c>
    </row>
    <row r="1069">
      <c r="A1069" s="4"/>
      <c r="B1069" s="3"/>
      <c r="C1069" s="3"/>
      <c r="D1069" s="3"/>
      <c r="E1069" s="6"/>
      <c r="F1069" s="33"/>
      <c r="G1069" s="3"/>
      <c r="H1069" s="3"/>
      <c r="K1069" s="3"/>
      <c r="L1069" s="3"/>
      <c r="M1069" s="3"/>
      <c r="N1069" s="3"/>
      <c r="O1069" s="3"/>
      <c r="Q1069" s="3"/>
      <c r="S1069" s="27" t="s">
        <v>1975</v>
      </c>
      <c r="T1069" s="27" t="str">
        <f>IFERROR(__xludf.DUMMYFUNCTION("""COMPUTED_VALUE"""),"")</f>
        <v/>
      </c>
      <c r="U1069" s="1" t="s">
        <v>1975</v>
      </c>
    </row>
    <row r="1070">
      <c r="A1070" s="4"/>
      <c r="B1070" s="3"/>
      <c r="C1070" s="3"/>
      <c r="D1070" s="3"/>
      <c r="E1070" s="6"/>
      <c r="F1070" s="33"/>
      <c r="G1070" s="3"/>
      <c r="H1070" s="3"/>
      <c r="K1070" s="3"/>
      <c r="L1070" s="3"/>
      <c r="M1070" s="3"/>
      <c r="N1070" s="3"/>
      <c r="O1070" s="3"/>
      <c r="Q1070" s="3"/>
      <c r="S1070" s="27" t="s">
        <v>1975</v>
      </c>
      <c r="T1070" s="27" t="str">
        <f>IFERROR(__xludf.DUMMYFUNCTION("""COMPUTED_VALUE"""),"")</f>
        <v/>
      </c>
      <c r="U1070" s="1" t="s">
        <v>1975</v>
      </c>
    </row>
    <row r="1071">
      <c r="A1071" s="4"/>
      <c r="B1071" s="3"/>
      <c r="C1071" s="3"/>
      <c r="D1071" s="3"/>
      <c r="E1071" s="6"/>
      <c r="F1071" s="33"/>
      <c r="G1071" s="3"/>
      <c r="H1071" s="3"/>
      <c r="K1071" s="3"/>
      <c r="L1071" s="3"/>
      <c r="M1071" s="3"/>
      <c r="N1071" s="3"/>
      <c r="O1071" s="3"/>
      <c r="Q1071" s="3"/>
      <c r="S1071" s="27" t="s">
        <v>1975</v>
      </c>
      <c r="T1071" s="27" t="str">
        <f>IFERROR(__xludf.DUMMYFUNCTION("""COMPUTED_VALUE"""),"")</f>
        <v/>
      </c>
      <c r="U1071" s="1" t="s">
        <v>1975</v>
      </c>
    </row>
    <row r="1072">
      <c r="A1072" s="4"/>
      <c r="B1072" s="3"/>
      <c r="C1072" s="3"/>
      <c r="D1072" s="3"/>
      <c r="E1072" s="6"/>
      <c r="F1072" s="33"/>
      <c r="G1072" s="3"/>
      <c r="H1072" s="3"/>
      <c r="K1072" s="3"/>
      <c r="L1072" s="3"/>
      <c r="M1072" s="3"/>
      <c r="N1072" s="3"/>
      <c r="O1072" s="3"/>
      <c r="Q1072" s="3"/>
      <c r="S1072" s="27" t="s">
        <v>1975</v>
      </c>
      <c r="T1072" s="27" t="str">
        <f>IFERROR(__xludf.DUMMYFUNCTION("""COMPUTED_VALUE"""),"")</f>
        <v/>
      </c>
      <c r="U1072" s="1" t="s">
        <v>1975</v>
      </c>
    </row>
    <row r="1073">
      <c r="A1073" s="4"/>
      <c r="B1073" s="3"/>
      <c r="C1073" s="3"/>
      <c r="D1073" s="3"/>
      <c r="E1073" s="6"/>
      <c r="F1073" s="33"/>
      <c r="G1073" s="3"/>
      <c r="H1073" s="3"/>
      <c r="K1073" s="3"/>
      <c r="L1073" s="3"/>
      <c r="M1073" s="3"/>
      <c r="N1073" s="3"/>
      <c r="O1073" s="3"/>
      <c r="Q1073" s="3"/>
      <c r="S1073" s="27" t="s">
        <v>1975</v>
      </c>
      <c r="T1073" s="27" t="str">
        <f>IFERROR(__xludf.DUMMYFUNCTION("""COMPUTED_VALUE"""),"")</f>
        <v/>
      </c>
      <c r="U1073" s="1" t="s">
        <v>1975</v>
      </c>
    </row>
    <row r="1074">
      <c r="A1074" s="4"/>
      <c r="B1074" s="3"/>
      <c r="C1074" s="3"/>
      <c r="D1074" s="3"/>
      <c r="E1074" s="6"/>
      <c r="F1074" s="33"/>
      <c r="G1074" s="3"/>
      <c r="H1074" s="3"/>
      <c r="K1074" s="3"/>
      <c r="L1074" s="3"/>
      <c r="M1074" s="3"/>
      <c r="N1074" s="3"/>
      <c r="O1074" s="3"/>
      <c r="Q1074" s="3"/>
      <c r="S1074" s="27" t="s">
        <v>1975</v>
      </c>
      <c r="T1074" s="27" t="str">
        <f>IFERROR(__xludf.DUMMYFUNCTION("""COMPUTED_VALUE"""),"")</f>
        <v/>
      </c>
      <c r="U1074" s="1" t="s">
        <v>1975</v>
      </c>
    </row>
    <row r="1075">
      <c r="A1075" s="4"/>
      <c r="B1075" s="3"/>
      <c r="C1075" s="3"/>
      <c r="D1075" s="3"/>
      <c r="E1075" s="6"/>
      <c r="F1075" s="33"/>
      <c r="G1075" s="3"/>
      <c r="H1075" s="3"/>
      <c r="K1075" s="3"/>
      <c r="L1075" s="3"/>
      <c r="M1075" s="3"/>
      <c r="N1075" s="3"/>
      <c r="O1075" s="3"/>
      <c r="Q1075" s="3"/>
      <c r="S1075" s="27" t="s">
        <v>1975</v>
      </c>
      <c r="T1075" s="27" t="str">
        <f>IFERROR(__xludf.DUMMYFUNCTION("""COMPUTED_VALUE"""),"")</f>
        <v/>
      </c>
      <c r="U1075" s="1" t="s">
        <v>1975</v>
      </c>
    </row>
    <row r="1076">
      <c r="A1076" s="4"/>
      <c r="B1076" s="3"/>
      <c r="C1076" s="3"/>
      <c r="D1076" s="3"/>
      <c r="E1076" s="6"/>
      <c r="F1076" s="33"/>
      <c r="G1076" s="3"/>
      <c r="H1076" s="3"/>
      <c r="K1076" s="3"/>
      <c r="L1076" s="3"/>
      <c r="M1076" s="3"/>
      <c r="N1076" s="3"/>
      <c r="O1076" s="3"/>
      <c r="Q1076" s="3"/>
      <c r="S1076" s="27" t="s">
        <v>1975</v>
      </c>
      <c r="T1076" s="27" t="str">
        <f>IFERROR(__xludf.DUMMYFUNCTION("""COMPUTED_VALUE"""),"")</f>
        <v/>
      </c>
      <c r="U1076" s="1" t="s">
        <v>1975</v>
      </c>
    </row>
    <row r="1077">
      <c r="A1077" s="4"/>
      <c r="B1077" s="3"/>
      <c r="C1077" s="3"/>
      <c r="D1077" s="3"/>
      <c r="E1077" s="6"/>
      <c r="F1077" s="33"/>
      <c r="G1077" s="3"/>
      <c r="H1077" s="3"/>
      <c r="K1077" s="3"/>
      <c r="L1077" s="3"/>
      <c r="M1077" s="3"/>
      <c r="N1077" s="3"/>
      <c r="O1077" s="3"/>
      <c r="Q1077" s="3"/>
      <c r="S1077" s="27" t="s">
        <v>1975</v>
      </c>
      <c r="T1077" s="27" t="str">
        <f>IFERROR(__xludf.DUMMYFUNCTION("""COMPUTED_VALUE"""),"")</f>
        <v/>
      </c>
      <c r="U1077" s="1" t="s">
        <v>1975</v>
      </c>
    </row>
    <row r="1078">
      <c r="A1078" s="4"/>
      <c r="B1078" s="3"/>
      <c r="C1078" s="3"/>
      <c r="D1078" s="3"/>
      <c r="E1078" s="6"/>
      <c r="F1078" s="33"/>
      <c r="G1078" s="3"/>
      <c r="H1078" s="3"/>
      <c r="K1078" s="3"/>
      <c r="L1078" s="3"/>
      <c r="M1078" s="3"/>
      <c r="N1078" s="3"/>
      <c r="O1078" s="3"/>
      <c r="Q1078" s="3"/>
      <c r="S1078" s="27" t="s">
        <v>1975</v>
      </c>
      <c r="T1078" s="27" t="str">
        <f>IFERROR(__xludf.DUMMYFUNCTION("""COMPUTED_VALUE"""),"")</f>
        <v/>
      </c>
      <c r="U1078" s="1" t="s">
        <v>1975</v>
      </c>
    </row>
    <row r="1079">
      <c r="A1079" s="4"/>
      <c r="B1079" s="3"/>
      <c r="C1079" s="3"/>
      <c r="D1079" s="3"/>
      <c r="E1079" s="6"/>
      <c r="F1079" s="33"/>
      <c r="G1079" s="3"/>
      <c r="H1079" s="3"/>
      <c r="K1079" s="3"/>
      <c r="L1079" s="3"/>
      <c r="M1079" s="3"/>
      <c r="N1079" s="3"/>
      <c r="O1079" s="3"/>
      <c r="Q1079" s="3"/>
      <c r="S1079" s="27" t="s">
        <v>1975</v>
      </c>
      <c r="T1079" s="27" t="str">
        <f>IFERROR(__xludf.DUMMYFUNCTION("""COMPUTED_VALUE"""),"")</f>
        <v/>
      </c>
      <c r="U1079" s="1" t="s">
        <v>1975</v>
      </c>
    </row>
    <row r="1080">
      <c r="A1080" s="4"/>
      <c r="B1080" s="3"/>
      <c r="C1080" s="3"/>
      <c r="D1080" s="3"/>
      <c r="E1080" s="6"/>
      <c r="F1080" s="33"/>
      <c r="G1080" s="3"/>
      <c r="H1080" s="3"/>
      <c r="K1080" s="3"/>
      <c r="L1080" s="3"/>
      <c r="M1080" s="3"/>
      <c r="N1080" s="3"/>
      <c r="O1080" s="3"/>
      <c r="Q1080" s="3"/>
      <c r="S1080" s="27" t="s">
        <v>1975</v>
      </c>
      <c r="T1080" s="27" t="str">
        <f>IFERROR(__xludf.DUMMYFUNCTION("""COMPUTED_VALUE"""),"")</f>
        <v/>
      </c>
      <c r="U1080" s="1" t="s">
        <v>1975</v>
      </c>
    </row>
    <row r="1081">
      <c r="A1081" s="4"/>
      <c r="B1081" s="3"/>
      <c r="C1081" s="3"/>
      <c r="D1081" s="3"/>
      <c r="E1081" s="6"/>
      <c r="F1081" s="33"/>
      <c r="G1081" s="3"/>
      <c r="H1081" s="3"/>
      <c r="K1081" s="3"/>
      <c r="L1081" s="3"/>
      <c r="M1081" s="3"/>
      <c r="N1081" s="3"/>
      <c r="O1081" s="3"/>
      <c r="Q1081" s="3"/>
      <c r="S1081" s="27" t="s">
        <v>1975</v>
      </c>
      <c r="T1081" s="27" t="str">
        <f>IFERROR(__xludf.DUMMYFUNCTION("""COMPUTED_VALUE"""),"")</f>
        <v/>
      </c>
      <c r="U1081" s="1" t="s">
        <v>1975</v>
      </c>
    </row>
    <row r="1082">
      <c r="A1082" s="4"/>
      <c r="B1082" s="3"/>
      <c r="C1082" s="3"/>
      <c r="D1082" s="3"/>
      <c r="E1082" s="6"/>
      <c r="F1082" s="33"/>
      <c r="G1082" s="3"/>
      <c r="H1082" s="3"/>
      <c r="K1082" s="3"/>
      <c r="L1082" s="3"/>
      <c r="M1082" s="3"/>
      <c r="N1082" s="3"/>
      <c r="O1082" s="3"/>
      <c r="Q1082" s="3"/>
      <c r="S1082" s="27" t="s">
        <v>1975</v>
      </c>
      <c r="T1082" s="27" t="str">
        <f>IFERROR(__xludf.DUMMYFUNCTION("""COMPUTED_VALUE"""),"")</f>
        <v/>
      </c>
      <c r="U1082" s="1" t="s">
        <v>1975</v>
      </c>
    </row>
    <row r="1083">
      <c r="A1083" s="4"/>
      <c r="B1083" s="3"/>
      <c r="C1083" s="3"/>
      <c r="D1083" s="3"/>
      <c r="E1083" s="6"/>
      <c r="F1083" s="33"/>
      <c r="G1083" s="3"/>
      <c r="H1083" s="3"/>
      <c r="K1083" s="3"/>
      <c r="L1083" s="3"/>
      <c r="M1083" s="3"/>
      <c r="N1083" s="3"/>
      <c r="O1083" s="3"/>
      <c r="Q1083" s="3"/>
      <c r="S1083" s="27" t="s">
        <v>1975</v>
      </c>
      <c r="T1083" s="27" t="str">
        <f>IFERROR(__xludf.DUMMYFUNCTION("""COMPUTED_VALUE"""),"")</f>
        <v/>
      </c>
      <c r="U1083" s="1" t="s">
        <v>1975</v>
      </c>
    </row>
    <row r="1084">
      <c r="A1084" s="4"/>
      <c r="B1084" s="3"/>
      <c r="C1084" s="3"/>
      <c r="D1084" s="3"/>
      <c r="E1084" s="6"/>
      <c r="F1084" s="33"/>
      <c r="G1084" s="3"/>
      <c r="H1084" s="3"/>
      <c r="K1084" s="3"/>
      <c r="L1084" s="3"/>
      <c r="M1084" s="3"/>
      <c r="N1084" s="3"/>
      <c r="O1084" s="3"/>
      <c r="Q1084" s="3"/>
      <c r="S1084" s="27" t="s">
        <v>1975</v>
      </c>
      <c r="T1084" s="27" t="str">
        <f>IFERROR(__xludf.DUMMYFUNCTION("""COMPUTED_VALUE"""),"")</f>
        <v/>
      </c>
      <c r="U1084" s="1" t="s">
        <v>1975</v>
      </c>
    </row>
    <row r="1085">
      <c r="A1085" s="4"/>
      <c r="B1085" s="3"/>
      <c r="C1085" s="3"/>
      <c r="D1085" s="3"/>
      <c r="E1085" s="6"/>
      <c r="F1085" s="33"/>
      <c r="G1085" s="3"/>
      <c r="H1085" s="3"/>
      <c r="K1085" s="3"/>
      <c r="L1085" s="3"/>
      <c r="M1085" s="3"/>
      <c r="N1085" s="3"/>
      <c r="O1085" s="3"/>
      <c r="Q1085" s="3"/>
      <c r="S1085" s="27" t="s">
        <v>1975</v>
      </c>
      <c r="T1085" s="27" t="str">
        <f>IFERROR(__xludf.DUMMYFUNCTION("""COMPUTED_VALUE"""),"")</f>
        <v/>
      </c>
      <c r="U1085" s="1" t="s">
        <v>1975</v>
      </c>
    </row>
    <row r="1086">
      <c r="A1086" s="4"/>
      <c r="B1086" s="3"/>
      <c r="C1086" s="3"/>
      <c r="D1086" s="3"/>
      <c r="E1086" s="6"/>
      <c r="F1086" s="33"/>
      <c r="G1086" s="3"/>
      <c r="H1086" s="3"/>
      <c r="K1086" s="3"/>
      <c r="L1086" s="3"/>
      <c r="M1086" s="3"/>
      <c r="N1086" s="3"/>
      <c r="O1086" s="3"/>
      <c r="Q1086" s="3"/>
      <c r="S1086" s="27" t="s">
        <v>1975</v>
      </c>
      <c r="T1086" s="27" t="str">
        <f>IFERROR(__xludf.DUMMYFUNCTION("""COMPUTED_VALUE"""),"")</f>
        <v/>
      </c>
      <c r="U1086" s="1" t="s">
        <v>1975</v>
      </c>
    </row>
    <row r="1087">
      <c r="A1087" s="4"/>
      <c r="B1087" s="3"/>
      <c r="C1087" s="3"/>
      <c r="D1087" s="3"/>
      <c r="E1087" s="6"/>
      <c r="F1087" s="33"/>
      <c r="G1087" s="3"/>
      <c r="H1087" s="3"/>
      <c r="K1087" s="3"/>
      <c r="L1087" s="3"/>
      <c r="M1087" s="3"/>
      <c r="N1087" s="3"/>
      <c r="O1087" s="3"/>
      <c r="Q1087" s="3"/>
      <c r="S1087" s="27" t="s">
        <v>1975</v>
      </c>
      <c r="T1087" s="27" t="str">
        <f>IFERROR(__xludf.DUMMYFUNCTION("""COMPUTED_VALUE"""),"")</f>
        <v/>
      </c>
      <c r="U1087" s="1" t="s">
        <v>1975</v>
      </c>
    </row>
    <row r="1088">
      <c r="A1088" s="4"/>
      <c r="B1088" s="3"/>
      <c r="C1088" s="3"/>
      <c r="D1088" s="3"/>
      <c r="E1088" s="6"/>
      <c r="F1088" s="33"/>
      <c r="G1088" s="3"/>
      <c r="H1088" s="3"/>
      <c r="K1088" s="3"/>
      <c r="L1088" s="3"/>
      <c r="M1088" s="3"/>
      <c r="N1088" s="3"/>
      <c r="O1088" s="3"/>
      <c r="Q1088" s="3"/>
      <c r="S1088" s="27" t="s">
        <v>1975</v>
      </c>
      <c r="T1088" s="27" t="str">
        <f>IFERROR(__xludf.DUMMYFUNCTION("""COMPUTED_VALUE"""),"")</f>
        <v/>
      </c>
      <c r="U1088" s="1" t="s">
        <v>1975</v>
      </c>
    </row>
    <row r="1089">
      <c r="A1089" s="4"/>
      <c r="B1089" s="3"/>
      <c r="C1089" s="3"/>
      <c r="D1089" s="3"/>
      <c r="E1089" s="6"/>
      <c r="F1089" s="33"/>
      <c r="G1089" s="3"/>
      <c r="H1089" s="3"/>
      <c r="K1089" s="3"/>
      <c r="L1089" s="3"/>
      <c r="M1089" s="3"/>
      <c r="N1089" s="3"/>
      <c r="O1089" s="3"/>
      <c r="Q1089" s="3"/>
      <c r="S1089" s="27" t="s">
        <v>1975</v>
      </c>
      <c r="T1089" s="27" t="str">
        <f>IFERROR(__xludf.DUMMYFUNCTION("""COMPUTED_VALUE"""),"")</f>
        <v/>
      </c>
      <c r="U1089" s="1" t="s">
        <v>1975</v>
      </c>
    </row>
    <row r="1090">
      <c r="A1090" s="4"/>
      <c r="B1090" s="3"/>
      <c r="C1090" s="3"/>
      <c r="D1090" s="3"/>
      <c r="E1090" s="6"/>
      <c r="F1090" s="33"/>
      <c r="G1090" s="3"/>
      <c r="H1090" s="3"/>
      <c r="K1090" s="3"/>
      <c r="L1090" s="3"/>
      <c r="M1090" s="3"/>
      <c r="N1090" s="3"/>
      <c r="O1090" s="3"/>
      <c r="Q1090" s="3"/>
      <c r="S1090" s="27" t="s">
        <v>1975</v>
      </c>
      <c r="T1090" s="27" t="str">
        <f>IFERROR(__xludf.DUMMYFUNCTION("""COMPUTED_VALUE"""),"")</f>
        <v/>
      </c>
      <c r="U1090" s="1" t="s">
        <v>1975</v>
      </c>
    </row>
    <row r="1091">
      <c r="A1091" s="4"/>
      <c r="B1091" s="3"/>
      <c r="C1091" s="3"/>
      <c r="D1091" s="3"/>
      <c r="E1091" s="6"/>
      <c r="F1091" s="33"/>
      <c r="G1091" s="3"/>
      <c r="H1091" s="3"/>
      <c r="K1091" s="3"/>
      <c r="L1091" s="3"/>
      <c r="M1091" s="3"/>
      <c r="N1091" s="3"/>
      <c r="O1091" s="3"/>
      <c r="Q1091" s="3"/>
      <c r="S1091" s="27" t="s">
        <v>1975</v>
      </c>
      <c r="T1091" s="27" t="str">
        <f>IFERROR(__xludf.DUMMYFUNCTION("""COMPUTED_VALUE"""),"")</f>
        <v/>
      </c>
      <c r="U1091" s="1" t="s">
        <v>1975</v>
      </c>
    </row>
    <row r="1092">
      <c r="A1092" s="4"/>
      <c r="B1092" s="3"/>
      <c r="C1092" s="3"/>
      <c r="D1092" s="3"/>
      <c r="E1092" s="6"/>
      <c r="F1092" s="33"/>
      <c r="G1092" s="3"/>
      <c r="H1092" s="3"/>
      <c r="K1092" s="3"/>
      <c r="L1092" s="3"/>
      <c r="M1092" s="3"/>
      <c r="N1092" s="3"/>
      <c r="O1092" s="3"/>
      <c r="Q1092" s="3"/>
      <c r="S1092" s="27" t="s">
        <v>1975</v>
      </c>
      <c r="T1092" s="27" t="str">
        <f>IFERROR(__xludf.DUMMYFUNCTION("""COMPUTED_VALUE"""),"")</f>
        <v/>
      </c>
      <c r="U1092" s="1" t="s">
        <v>1975</v>
      </c>
    </row>
    <row r="1093">
      <c r="A1093" s="4"/>
      <c r="B1093" s="3"/>
      <c r="C1093" s="3"/>
      <c r="D1093" s="3"/>
      <c r="E1093" s="6"/>
      <c r="F1093" s="33"/>
      <c r="G1093" s="3"/>
      <c r="H1093" s="3"/>
      <c r="K1093" s="3"/>
      <c r="L1093" s="3"/>
      <c r="M1093" s="3"/>
      <c r="N1093" s="3"/>
      <c r="O1093" s="3"/>
      <c r="Q1093" s="3"/>
      <c r="S1093" s="27" t="s">
        <v>1975</v>
      </c>
      <c r="T1093" s="27" t="str">
        <f>IFERROR(__xludf.DUMMYFUNCTION("""COMPUTED_VALUE"""),"")</f>
        <v/>
      </c>
      <c r="U1093" s="1" t="s">
        <v>1975</v>
      </c>
    </row>
    <row r="1094">
      <c r="A1094" s="4"/>
      <c r="B1094" s="3"/>
      <c r="C1094" s="3"/>
      <c r="D1094" s="3"/>
      <c r="E1094" s="6"/>
      <c r="F1094" s="33"/>
      <c r="G1094" s="3"/>
      <c r="H1094" s="3"/>
      <c r="K1094" s="3"/>
      <c r="L1094" s="3"/>
      <c r="M1094" s="3"/>
      <c r="N1094" s="3"/>
      <c r="O1094" s="3"/>
      <c r="Q1094" s="3"/>
      <c r="S1094" s="27" t="s">
        <v>1975</v>
      </c>
      <c r="T1094" s="27" t="str">
        <f>IFERROR(__xludf.DUMMYFUNCTION("""COMPUTED_VALUE"""),"")</f>
        <v/>
      </c>
      <c r="U1094" s="1" t="s">
        <v>1975</v>
      </c>
    </row>
    <row r="1095">
      <c r="A1095" s="4"/>
      <c r="B1095" s="3"/>
      <c r="C1095" s="3"/>
      <c r="D1095" s="3"/>
      <c r="E1095" s="6"/>
      <c r="F1095" s="33"/>
      <c r="G1095" s="3"/>
      <c r="H1095" s="3"/>
      <c r="K1095" s="3"/>
      <c r="L1095" s="3"/>
      <c r="M1095" s="3"/>
      <c r="N1095" s="3"/>
      <c r="O1095" s="3"/>
      <c r="Q1095" s="3"/>
      <c r="S1095" s="27" t="s">
        <v>1975</v>
      </c>
      <c r="T1095" s="27" t="str">
        <f>IFERROR(__xludf.DUMMYFUNCTION("""COMPUTED_VALUE"""),"")</f>
        <v/>
      </c>
      <c r="U1095" s="1" t="s">
        <v>1975</v>
      </c>
    </row>
    <row r="1096">
      <c r="A1096" s="4"/>
      <c r="B1096" s="3"/>
      <c r="C1096" s="3"/>
      <c r="D1096" s="3"/>
      <c r="E1096" s="6"/>
      <c r="F1096" s="33"/>
      <c r="G1096" s="3"/>
      <c r="H1096" s="3"/>
      <c r="K1096" s="3"/>
      <c r="L1096" s="3"/>
      <c r="M1096" s="3"/>
      <c r="N1096" s="3"/>
      <c r="O1096" s="3"/>
      <c r="Q1096" s="3"/>
      <c r="S1096" s="27" t="s">
        <v>1975</v>
      </c>
      <c r="T1096" s="27" t="str">
        <f>IFERROR(__xludf.DUMMYFUNCTION("""COMPUTED_VALUE"""),"")</f>
        <v/>
      </c>
      <c r="U1096" s="1" t="s">
        <v>1975</v>
      </c>
    </row>
    <row r="1097">
      <c r="A1097" s="4"/>
      <c r="B1097" s="3"/>
      <c r="C1097" s="3"/>
      <c r="D1097" s="3"/>
      <c r="E1097" s="6"/>
      <c r="F1097" s="33"/>
      <c r="G1097" s="3"/>
      <c r="H1097" s="3"/>
      <c r="K1097" s="3"/>
      <c r="L1097" s="3"/>
      <c r="M1097" s="3"/>
      <c r="N1097" s="3"/>
      <c r="O1097" s="3"/>
      <c r="Q1097" s="3"/>
      <c r="S1097" s="27" t="s">
        <v>1975</v>
      </c>
      <c r="T1097" s="27" t="str">
        <f>IFERROR(__xludf.DUMMYFUNCTION("""COMPUTED_VALUE"""),"")</f>
        <v/>
      </c>
      <c r="U1097" s="1" t="s">
        <v>1975</v>
      </c>
    </row>
    <row r="1098">
      <c r="A1098" s="4"/>
      <c r="B1098" s="3"/>
      <c r="C1098" s="3"/>
      <c r="D1098" s="3"/>
      <c r="E1098" s="6"/>
      <c r="F1098" s="33"/>
      <c r="G1098" s="3"/>
      <c r="H1098" s="3"/>
      <c r="K1098" s="3"/>
      <c r="L1098" s="3"/>
      <c r="M1098" s="3"/>
      <c r="N1098" s="3"/>
      <c r="O1098" s="3"/>
      <c r="Q1098" s="3"/>
      <c r="S1098" s="27" t="s">
        <v>1975</v>
      </c>
      <c r="T1098" s="27" t="str">
        <f>IFERROR(__xludf.DUMMYFUNCTION("""COMPUTED_VALUE"""),"")</f>
        <v/>
      </c>
      <c r="U1098" s="1" t="s">
        <v>1975</v>
      </c>
    </row>
    <row r="1099">
      <c r="A1099" s="4"/>
      <c r="B1099" s="3"/>
      <c r="C1099" s="3"/>
      <c r="D1099" s="3"/>
      <c r="E1099" s="6"/>
      <c r="F1099" s="33"/>
      <c r="G1099" s="3"/>
      <c r="H1099" s="3"/>
      <c r="K1099" s="3"/>
      <c r="L1099" s="3"/>
      <c r="M1099" s="3"/>
      <c r="N1099" s="3"/>
      <c r="O1099" s="3"/>
      <c r="Q1099" s="3"/>
      <c r="S1099" s="27" t="s">
        <v>1975</v>
      </c>
      <c r="T1099" s="27" t="str">
        <f>IFERROR(__xludf.DUMMYFUNCTION("""COMPUTED_VALUE"""),"")</f>
        <v/>
      </c>
      <c r="U1099" s="1" t="s">
        <v>1975</v>
      </c>
    </row>
    <row r="1100">
      <c r="A1100" s="4"/>
      <c r="B1100" s="3"/>
      <c r="C1100" s="3"/>
      <c r="D1100" s="3"/>
      <c r="E1100" s="6"/>
      <c r="F1100" s="33"/>
      <c r="G1100" s="3"/>
      <c r="H1100" s="3"/>
      <c r="K1100" s="3"/>
      <c r="L1100" s="3"/>
      <c r="M1100" s="3"/>
      <c r="N1100" s="3"/>
      <c r="O1100" s="3"/>
      <c r="Q1100" s="3"/>
      <c r="S1100" s="27" t="s">
        <v>1975</v>
      </c>
      <c r="T1100" s="27" t="str">
        <f>IFERROR(__xludf.DUMMYFUNCTION("""COMPUTED_VALUE"""),"")</f>
        <v/>
      </c>
      <c r="U1100" s="1" t="s">
        <v>1975</v>
      </c>
    </row>
    <row r="1101">
      <c r="A1101" s="4"/>
      <c r="B1101" s="3"/>
      <c r="C1101" s="3"/>
      <c r="D1101" s="3"/>
      <c r="E1101" s="6"/>
      <c r="F1101" s="33"/>
      <c r="G1101" s="3"/>
      <c r="H1101" s="3"/>
      <c r="K1101" s="3"/>
      <c r="L1101" s="3"/>
      <c r="M1101" s="3"/>
      <c r="N1101" s="3"/>
      <c r="O1101" s="3"/>
      <c r="Q1101" s="3"/>
      <c r="S1101" s="27" t="s">
        <v>1975</v>
      </c>
      <c r="T1101" s="27" t="str">
        <f>IFERROR(__xludf.DUMMYFUNCTION("""COMPUTED_VALUE"""),"")</f>
        <v/>
      </c>
      <c r="U1101" s="1" t="s">
        <v>1975</v>
      </c>
    </row>
    <row r="1102">
      <c r="A1102" s="4"/>
      <c r="B1102" s="3"/>
      <c r="C1102" s="3"/>
      <c r="D1102" s="3"/>
      <c r="E1102" s="6"/>
      <c r="F1102" s="33"/>
      <c r="G1102" s="3"/>
      <c r="H1102" s="3"/>
      <c r="K1102" s="3"/>
      <c r="L1102" s="3"/>
      <c r="M1102" s="3"/>
      <c r="N1102" s="3"/>
      <c r="O1102" s="3"/>
      <c r="Q1102" s="3"/>
      <c r="S1102" s="27" t="s">
        <v>1975</v>
      </c>
      <c r="T1102" s="27" t="str">
        <f>IFERROR(__xludf.DUMMYFUNCTION("""COMPUTED_VALUE"""),"")</f>
        <v/>
      </c>
      <c r="U1102" s="1" t="s">
        <v>1975</v>
      </c>
    </row>
    <row r="1103">
      <c r="A1103" s="4"/>
      <c r="B1103" s="3"/>
      <c r="C1103" s="3"/>
      <c r="D1103" s="3"/>
      <c r="E1103" s="6"/>
      <c r="F1103" s="33"/>
      <c r="G1103" s="3"/>
      <c r="H1103" s="3"/>
      <c r="K1103" s="3"/>
      <c r="L1103" s="3"/>
      <c r="M1103" s="3"/>
      <c r="N1103" s="3"/>
      <c r="O1103" s="3"/>
      <c r="Q1103" s="3"/>
      <c r="S1103" s="27" t="s">
        <v>1975</v>
      </c>
      <c r="T1103" s="27" t="str">
        <f>IFERROR(__xludf.DUMMYFUNCTION("""COMPUTED_VALUE"""),"")</f>
        <v/>
      </c>
      <c r="U1103" s="1" t="s">
        <v>1975</v>
      </c>
    </row>
    <row r="1104">
      <c r="A1104" s="4"/>
      <c r="B1104" s="3"/>
      <c r="C1104" s="3"/>
      <c r="D1104" s="3"/>
      <c r="E1104" s="6"/>
      <c r="F1104" s="33"/>
      <c r="G1104" s="3"/>
      <c r="H1104" s="3"/>
      <c r="K1104" s="3"/>
      <c r="L1104" s="3"/>
      <c r="M1104" s="3"/>
      <c r="N1104" s="3"/>
      <c r="O1104" s="3"/>
      <c r="Q1104" s="3"/>
      <c r="S1104" s="27" t="s">
        <v>1975</v>
      </c>
      <c r="T1104" s="27" t="str">
        <f>IFERROR(__xludf.DUMMYFUNCTION("""COMPUTED_VALUE"""),"")</f>
        <v/>
      </c>
      <c r="U1104" s="1" t="s">
        <v>1975</v>
      </c>
    </row>
    <row r="1105">
      <c r="A1105" s="4"/>
      <c r="B1105" s="3"/>
      <c r="C1105" s="3"/>
      <c r="D1105" s="3"/>
      <c r="E1105" s="6"/>
      <c r="F1105" s="33"/>
      <c r="G1105" s="3"/>
      <c r="H1105" s="3"/>
      <c r="K1105" s="3"/>
      <c r="L1105" s="3"/>
      <c r="M1105" s="3"/>
      <c r="N1105" s="3"/>
      <c r="O1105" s="3"/>
      <c r="Q1105" s="3"/>
      <c r="S1105" s="27" t="s">
        <v>1975</v>
      </c>
      <c r="T1105" s="27" t="str">
        <f>IFERROR(__xludf.DUMMYFUNCTION("""COMPUTED_VALUE"""),"")</f>
        <v/>
      </c>
      <c r="U1105" s="1" t="s">
        <v>1975</v>
      </c>
    </row>
    <row r="1106">
      <c r="A1106" s="4"/>
      <c r="B1106" s="3"/>
      <c r="C1106" s="3"/>
      <c r="D1106" s="3"/>
      <c r="E1106" s="6"/>
      <c r="F1106" s="33"/>
      <c r="G1106" s="3"/>
      <c r="H1106" s="3"/>
      <c r="K1106" s="3"/>
      <c r="L1106" s="3"/>
      <c r="M1106" s="3"/>
      <c r="N1106" s="3"/>
      <c r="O1106" s="3"/>
      <c r="Q1106" s="3"/>
      <c r="S1106" s="27" t="s">
        <v>1975</v>
      </c>
      <c r="T1106" s="27" t="str">
        <f>IFERROR(__xludf.DUMMYFUNCTION("""COMPUTED_VALUE"""),"")</f>
        <v/>
      </c>
      <c r="U1106" s="1" t="s">
        <v>1975</v>
      </c>
    </row>
    <row r="1107">
      <c r="A1107" s="4"/>
      <c r="B1107" s="3"/>
      <c r="C1107" s="3"/>
      <c r="D1107" s="3"/>
      <c r="E1107" s="6"/>
      <c r="F1107" s="33"/>
      <c r="G1107" s="3"/>
      <c r="H1107" s="3"/>
      <c r="K1107" s="3"/>
      <c r="L1107" s="3"/>
      <c r="M1107" s="3"/>
      <c r="N1107" s="3"/>
      <c r="O1107" s="3"/>
      <c r="Q1107" s="3"/>
      <c r="S1107" s="27" t="s">
        <v>1975</v>
      </c>
      <c r="T1107" s="27" t="str">
        <f>IFERROR(__xludf.DUMMYFUNCTION("""COMPUTED_VALUE"""),"")</f>
        <v/>
      </c>
      <c r="U1107" s="1" t="s">
        <v>1975</v>
      </c>
    </row>
    <row r="1108">
      <c r="A1108" s="4"/>
      <c r="B1108" s="3"/>
      <c r="C1108" s="3"/>
      <c r="D1108" s="3"/>
      <c r="E1108" s="6"/>
      <c r="F1108" s="33"/>
      <c r="G1108" s="3"/>
      <c r="H1108" s="3"/>
      <c r="K1108" s="3"/>
      <c r="L1108" s="3"/>
      <c r="M1108" s="3"/>
      <c r="N1108" s="3"/>
      <c r="O1108" s="3"/>
      <c r="Q1108" s="3"/>
      <c r="S1108" s="27" t="s">
        <v>1975</v>
      </c>
      <c r="T1108" s="27" t="str">
        <f>IFERROR(__xludf.DUMMYFUNCTION("""COMPUTED_VALUE"""),"")</f>
        <v/>
      </c>
      <c r="U1108" s="1" t="s">
        <v>1975</v>
      </c>
    </row>
    <row r="1109">
      <c r="A1109" s="4"/>
      <c r="B1109" s="3"/>
      <c r="C1109" s="3"/>
      <c r="D1109" s="3"/>
      <c r="E1109" s="6"/>
      <c r="F1109" s="33"/>
      <c r="G1109" s="3"/>
      <c r="H1109" s="3"/>
      <c r="K1109" s="3"/>
      <c r="L1109" s="3"/>
      <c r="M1109" s="3"/>
      <c r="N1109" s="3"/>
      <c r="O1109" s="3"/>
      <c r="Q1109" s="3"/>
      <c r="S1109" s="27" t="s">
        <v>1975</v>
      </c>
      <c r="T1109" s="27" t="str">
        <f>IFERROR(__xludf.DUMMYFUNCTION("""COMPUTED_VALUE"""),"")</f>
        <v/>
      </c>
      <c r="U1109" s="1" t="s">
        <v>1975</v>
      </c>
    </row>
    <row r="1110">
      <c r="A1110" s="4"/>
      <c r="B1110" s="3"/>
      <c r="C1110" s="3"/>
      <c r="D1110" s="3"/>
      <c r="E1110" s="6"/>
      <c r="F1110" s="33"/>
      <c r="G1110" s="3"/>
      <c r="H1110" s="3"/>
      <c r="K1110" s="3"/>
      <c r="L1110" s="3"/>
      <c r="M1110" s="3"/>
      <c r="N1110" s="3"/>
      <c r="O1110" s="3"/>
      <c r="Q1110" s="3"/>
      <c r="S1110" s="27" t="s">
        <v>1975</v>
      </c>
      <c r="T1110" s="27" t="str">
        <f>IFERROR(__xludf.DUMMYFUNCTION("""COMPUTED_VALUE"""),"")</f>
        <v/>
      </c>
      <c r="U1110" s="1" t="s">
        <v>1975</v>
      </c>
    </row>
    <row r="1111">
      <c r="A1111" s="4"/>
      <c r="B1111" s="3"/>
      <c r="C1111" s="3"/>
      <c r="D1111" s="3"/>
      <c r="E1111" s="6"/>
      <c r="F1111" s="33"/>
      <c r="G1111" s="3"/>
      <c r="H1111" s="3"/>
      <c r="K1111" s="3"/>
      <c r="L1111" s="3"/>
      <c r="M1111" s="3"/>
      <c r="N1111" s="3"/>
      <c r="O1111" s="3"/>
      <c r="Q1111" s="3"/>
      <c r="S1111" s="27" t="s">
        <v>1975</v>
      </c>
      <c r="T1111" s="27" t="str">
        <f>IFERROR(__xludf.DUMMYFUNCTION("""COMPUTED_VALUE"""),"")</f>
        <v/>
      </c>
      <c r="U1111" s="1" t="s">
        <v>1975</v>
      </c>
    </row>
    <row r="1112">
      <c r="A1112" s="4"/>
      <c r="B1112" s="3"/>
      <c r="C1112" s="3"/>
      <c r="D1112" s="3"/>
      <c r="E1112" s="6"/>
      <c r="F1112" s="33"/>
      <c r="G1112" s="3"/>
      <c r="H1112" s="3"/>
      <c r="K1112" s="3"/>
      <c r="L1112" s="3"/>
      <c r="M1112" s="3"/>
      <c r="N1112" s="3"/>
      <c r="O1112" s="3"/>
      <c r="Q1112" s="3"/>
      <c r="S1112" s="27" t="s">
        <v>1975</v>
      </c>
      <c r="T1112" s="27" t="str">
        <f>IFERROR(__xludf.DUMMYFUNCTION("""COMPUTED_VALUE"""),"")</f>
        <v/>
      </c>
      <c r="U1112" s="1" t="s">
        <v>1975</v>
      </c>
    </row>
    <row r="1113">
      <c r="A1113" s="4"/>
      <c r="B1113" s="3"/>
      <c r="C1113" s="3"/>
      <c r="D1113" s="3"/>
      <c r="E1113" s="6"/>
      <c r="F1113" s="33"/>
      <c r="G1113" s="3"/>
      <c r="H1113" s="3"/>
      <c r="K1113" s="3"/>
      <c r="L1113" s="3"/>
      <c r="M1113" s="3"/>
      <c r="N1113" s="3"/>
      <c r="O1113" s="3"/>
      <c r="Q1113" s="3"/>
      <c r="S1113" s="27" t="s">
        <v>1975</v>
      </c>
      <c r="T1113" s="27" t="str">
        <f>IFERROR(__xludf.DUMMYFUNCTION("""COMPUTED_VALUE"""),"")</f>
        <v/>
      </c>
      <c r="U1113" s="1" t="s">
        <v>1975</v>
      </c>
    </row>
    <row r="1114">
      <c r="A1114" s="4"/>
      <c r="B1114" s="3"/>
      <c r="C1114" s="3"/>
      <c r="D1114" s="3"/>
      <c r="E1114" s="6"/>
      <c r="F1114" s="33"/>
      <c r="G1114" s="3"/>
      <c r="H1114" s="3"/>
      <c r="K1114" s="3"/>
      <c r="L1114" s="3"/>
      <c r="M1114" s="3"/>
      <c r="N1114" s="3"/>
      <c r="O1114" s="3"/>
      <c r="Q1114" s="3"/>
      <c r="S1114" s="27" t="s">
        <v>1975</v>
      </c>
      <c r="T1114" s="27" t="str">
        <f>IFERROR(__xludf.DUMMYFUNCTION("""COMPUTED_VALUE"""),"")</f>
        <v/>
      </c>
      <c r="U1114" s="1" t="s">
        <v>1975</v>
      </c>
    </row>
    <row r="1115">
      <c r="A1115" s="4"/>
      <c r="B1115" s="3"/>
      <c r="C1115" s="3"/>
      <c r="D1115" s="3"/>
      <c r="E1115" s="6"/>
      <c r="F1115" s="33"/>
      <c r="G1115" s="3"/>
      <c r="H1115" s="3"/>
      <c r="K1115" s="3"/>
      <c r="L1115" s="3"/>
      <c r="M1115" s="3"/>
      <c r="N1115" s="3"/>
      <c r="O1115" s="3"/>
      <c r="Q1115" s="3"/>
      <c r="S1115" s="27" t="s">
        <v>1975</v>
      </c>
      <c r="T1115" s="27" t="str">
        <f>IFERROR(__xludf.DUMMYFUNCTION("""COMPUTED_VALUE"""),"")</f>
        <v/>
      </c>
      <c r="U1115" s="1" t="s">
        <v>1975</v>
      </c>
    </row>
    <row r="1116">
      <c r="A1116" s="4"/>
      <c r="B1116" s="3"/>
      <c r="C1116" s="3"/>
      <c r="D1116" s="3"/>
      <c r="E1116" s="6"/>
      <c r="F1116" s="33"/>
      <c r="G1116" s="3"/>
      <c r="H1116" s="3"/>
      <c r="K1116" s="3"/>
      <c r="L1116" s="3"/>
      <c r="M1116" s="3"/>
      <c r="N1116" s="3"/>
      <c r="O1116" s="3"/>
      <c r="Q1116" s="3"/>
      <c r="S1116" s="27" t="s">
        <v>1975</v>
      </c>
      <c r="T1116" s="27" t="str">
        <f>IFERROR(__xludf.DUMMYFUNCTION("""COMPUTED_VALUE"""),"")</f>
        <v/>
      </c>
      <c r="U1116" s="1" t="s">
        <v>1975</v>
      </c>
    </row>
    <row r="1117">
      <c r="A1117" s="4"/>
      <c r="B1117" s="3"/>
      <c r="C1117" s="3"/>
      <c r="D1117" s="3"/>
      <c r="E1117" s="6"/>
      <c r="F1117" s="33"/>
      <c r="G1117" s="3"/>
      <c r="H1117" s="3"/>
      <c r="K1117" s="3"/>
      <c r="L1117" s="3"/>
      <c r="M1117" s="3"/>
      <c r="N1117" s="3"/>
      <c r="O1117" s="3"/>
      <c r="Q1117" s="3"/>
      <c r="S1117" s="27" t="s">
        <v>1975</v>
      </c>
      <c r="T1117" s="27" t="str">
        <f>IFERROR(__xludf.DUMMYFUNCTION("""COMPUTED_VALUE"""),"")</f>
        <v/>
      </c>
      <c r="U1117" s="1" t="s">
        <v>1975</v>
      </c>
    </row>
    <row r="1118">
      <c r="A1118" s="4"/>
      <c r="B1118" s="3"/>
      <c r="C1118" s="3"/>
      <c r="D1118" s="3"/>
      <c r="E1118" s="6"/>
      <c r="F1118" s="33"/>
      <c r="G1118" s="3"/>
      <c r="H1118" s="3"/>
      <c r="K1118" s="3"/>
      <c r="L1118" s="3"/>
      <c r="M1118" s="3"/>
      <c r="N1118" s="3"/>
      <c r="O1118" s="3"/>
      <c r="Q1118" s="3"/>
      <c r="S1118" s="27" t="s">
        <v>1975</v>
      </c>
      <c r="T1118" s="27" t="str">
        <f>IFERROR(__xludf.DUMMYFUNCTION("""COMPUTED_VALUE"""),"")</f>
        <v/>
      </c>
      <c r="U1118" s="1" t="s">
        <v>1975</v>
      </c>
    </row>
    <row r="1119">
      <c r="A1119" s="4"/>
      <c r="B1119" s="3"/>
      <c r="C1119" s="3"/>
      <c r="D1119" s="3"/>
      <c r="E1119" s="6"/>
      <c r="F1119" s="33"/>
      <c r="G1119" s="3"/>
      <c r="H1119" s="3"/>
      <c r="K1119" s="3"/>
      <c r="L1119" s="3"/>
      <c r="M1119" s="3"/>
      <c r="N1119" s="3"/>
      <c r="O1119" s="3"/>
      <c r="Q1119" s="3"/>
      <c r="S1119" s="27" t="s">
        <v>1975</v>
      </c>
      <c r="T1119" s="27" t="str">
        <f>IFERROR(__xludf.DUMMYFUNCTION("""COMPUTED_VALUE"""),"")</f>
        <v/>
      </c>
      <c r="U1119" s="1" t="s">
        <v>1975</v>
      </c>
    </row>
    <row r="1120">
      <c r="A1120" s="4"/>
      <c r="B1120" s="3"/>
      <c r="C1120" s="3"/>
      <c r="D1120" s="3"/>
      <c r="E1120" s="6"/>
      <c r="F1120" s="33"/>
      <c r="G1120" s="3"/>
      <c r="H1120" s="3"/>
      <c r="K1120" s="3"/>
      <c r="L1120" s="3"/>
      <c r="M1120" s="3"/>
      <c r="N1120" s="3"/>
      <c r="O1120" s="3"/>
      <c r="Q1120" s="3"/>
      <c r="S1120" s="27" t="s">
        <v>1975</v>
      </c>
      <c r="T1120" s="27" t="str">
        <f>IFERROR(__xludf.DUMMYFUNCTION("""COMPUTED_VALUE"""),"")</f>
        <v/>
      </c>
      <c r="U1120" s="1" t="s">
        <v>1975</v>
      </c>
    </row>
    <row r="1121">
      <c r="A1121" s="4"/>
      <c r="B1121" s="3"/>
      <c r="C1121" s="3"/>
      <c r="D1121" s="3"/>
      <c r="E1121" s="6"/>
      <c r="F1121" s="33"/>
      <c r="G1121" s="3"/>
      <c r="H1121" s="3"/>
      <c r="K1121" s="3"/>
      <c r="L1121" s="3"/>
      <c r="M1121" s="3"/>
      <c r="N1121" s="3"/>
      <c r="O1121" s="3"/>
      <c r="Q1121" s="3"/>
      <c r="S1121" s="27" t="s">
        <v>1975</v>
      </c>
      <c r="T1121" s="27" t="str">
        <f>IFERROR(__xludf.DUMMYFUNCTION("""COMPUTED_VALUE"""),"")</f>
        <v/>
      </c>
      <c r="U1121" s="1" t="s">
        <v>1975</v>
      </c>
    </row>
    <row r="1122">
      <c r="A1122" s="4"/>
      <c r="B1122" s="3"/>
      <c r="C1122" s="3"/>
      <c r="D1122" s="3"/>
      <c r="E1122" s="6"/>
      <c r="F1122" s="33"/>
      <c r="G1122" s="3"/>
      <c r="H1122" s="3"/>
      <c r="K1122" s="3"/>
      <c r="L1122" s="3"/>
      <c r="M1122" s="3"/>
      <c r="N1122" s="3"/>
      <c r="O1122" s="3"/>
      <c r="Q1122" s="3"/>
      <c r="S1122" s="27" t="s">
        <v>1975</v>
      </c>
      <c r="T1122" s="27" t="str">
        <f>IFERROR(__xludf.DUMMYFUNCTION("""COMPUTED_VALUE"""),"")</f>
        <v/>
      </c>
      <c r="U1122" s="1" t="s">
        <v>1975</v>
      </c>
    </row>
    <row r="1123">
      <c r="A1123" s="4"/>
      <c r="B1123" s="3"/>
      <c r="C1123" s="3"/>
      <c r="D1123" s="3"/>
      <c r="E1123" s="6"/>
      <c r="F1123" s="33"/>
      <c r="G1123" s="3"/>
      <c r="H1123" s="3"/>
      <c r="K1123" s="3"/>
      <c r="L1123" s="3"/>
      <c r="M1123" s="3"/>
      <c r="N1123" s="3"/>
      <c r="O1123" s="3"/>
      <c r="Q1123" s="3"/>
      <c r="S1123" s="27" t="s">
        <v>1975</v>
      </c>
      <c r="T1123" s="27" t="str">
        <f>IFERROR(__xludf.DUMMYFUNCTION("""COMPUTED_VALUE"""),"")</f>
        <v/>
      </c>
      <c r="U1123" s="1" t="s">
        <v>1975</v>
      </c>
    </row>
    <row r="1124">
      <c r="A1124" s="4"/>
      <c r="B1124" s="3"/>
      <c r="C1124" s="3"/>
      <c r="D1124" s="3"/>
      <c r="E1124" s="6"/>
      <c r="F1124" s="33"/>
      <c r="G1124" s="3"/>
      <c r="H1124" s="3"/>
      <c r="K1124" s="3"/>
      <c r="L1124" s="3"/>
      <c r="M1124" s="3"/>
      <c r="N1124" s="3"/>
      <c r="O1124" s="3"/>
      <c r="Q1124" s="3"/>
      <c r="S1124" s="27" t="s">
        <v>1975</v>
      </c>
      <c r="T1124" s="27" t="str">
        <f>IFERROR(__xludf.DUMMYFUNCTION("""COMPUTED_VALUE"""),"")</f>
        <v/>
      </c>
      <c r="U1124" s="1" t="s">
        <v>1975</v>
      </c>
    </row>
    <row r="1125">
      <c r="A1125" s="4"/>
      <c r="B1125" s="3"/>
      <c r="C1125" s="3"/>
      <c r="D1125" s="3"/>
      <c r="E1125" s="6"/>
      <c r="F1125" s="33"/>
      <c r="G1125" s="3"/>
      <c r="H1125" s="3"/>
      <c r="K1125" s="3"/>
      <c r="L1125" s="3"/>
      <c r="M1125" s="3"/>
      <c r="N1125" s="3"/>
      <c r="O1125" s="3"/>
      <c r="Q1125" s="3"/>
      <c r="S1125" s="27" t="s">
        <v>1975</v>
      </c>
      <c r="T1125" s="27" t="str">
        <f>IFERROR(__xludf.DUMMYFUNCTION("""COMPUTED_VALUE"""),"")</f>
        <v/>
      </c>
      <c r="U1125" s="1" t="s">
        <v>1975</v>
      </c>
    </row>
    <row r="1126">
      <c r="A1126" s="4"/>
      <c r="B1126" s="3"/>
      <c r="C1126" s="3"/>
      <c r="D1126" s="3"/>
      <c r="E1126" s="6"/>
      <c r="F1126" s="33"/>
      <c r="G1126" s="3"/>
      <c r="H1126" s="3"/>
      <c r="K1126" s="3"/>
      <c r="L1126" s="3"/>
      <c r="M1126" s="3"/>
      <c r="N1126" s="3"/>
      <c r="O1126" s="3"/>
      <c r="Q1126" s="3"/>
      <c r="S1126" s="27" t="s">
        <v>1975</v>
      </c>
      <c r="T1126" s="27" t="str">
        <f>IFERROR(__xludf.DUMMYFUNCTION("""COMPUTED_VALUE"""),"")</f>
        <v/>
      </c>
      <c r="U1126" s="1" t="s">
        <v>1975</v>
      </c>
    </row>
    <row r="1127">
      <c r="A1127" s="4"/>
      <c r="B1127" s="3"/>
      <c r="C1127" s="3"/>
      <c r="D1127" s="3"/>
      <c r="E1127" s="6"/>
      <c r="F1127" s="33"/>
      <c r="G1127" s="3"/>
      <c r="H1127" s="3"/>
      <c r="K1127" s="3"/>
      <c r="L1127" s="3"/>
      <c r="M1127" s="3"/>
      <c r="N1127" s="3"/>
      <c r="O1127" s="3"/>
      <c r="Q1127" s="3"/>
      <c r="S1127" s="27" t="s">
        <v>1975</v>
      </c>
      <c r="T1127" s="27" t="str">
        <f>IFERROR(__xludf.DUMMYFUNCTION("""COMPUTED_VALUE"""),"")</f>
        <v/>
      </c>
      <c r="U1127" s="1" t="s">
        <v>1975</v>
      </c>
    </row>
    <row r="1128">
      <c r="A1128" s="4"/>
      <c r="B1128" s="3"/>
      <c r="C1128" s="3"/>
      <c r="D1128" s="3"/>
      <c r="E1128" s="6"/>
      <c r="F1128" s="33"/>
      <c r="G1128" s="3"/>
      <c r="H1128" s="3"/>
      <c r="K1128" s="3"/>
      <c r="L1128" s="3"/>
      <c r="M1128" s="3"/>
      <c r="N1128" s="3"/>
      <c r="O1128" s="3"/>
      <c r="Q1128" s="3"/>
      <c r="S1128" s="27" t="s">
        <v>1975</v>
      </c>
      <c r="T1128" s="27" t="str">
        <f>IFERROR(__xludf.DUMMYFUNCTION("""COMPUTED_VALUE"""),"")</f>
        <v/>
      </c>
      <c r="U1128" s="1" t="s">
        <v>1975</v>
      </c>
    </row>
    <row r="1129">
      <c r="A1129" s="4"/>
      <c r="B1129" s="3"/>
      <c r="C1129" s="3"/>
      <c r="D1129" s="3"/>
      <c r="E1129" s="6"/>
      <c r="F1129" s="33"/>
      <c r="G1129" s="3"/>
      <c r="H1129" s="3"/>
      <c r="K1129" s="3"/>
      <c r="L1129" s="3"/>
      <c r="M1129" s="3"/>
      <c r="N1129" s="3"/>
      <c r="O1129" s="3"/>
      <c r="Q1129" s="3"/>
      <c r="S1129" s="27" t="s">
        <v>1975</v>
      </c>
      <c r="T1129" s="27" t="str">
        <f>IFERROR(__xludf.DUMMYFUNCTION("""COMPUTED_VALUE"""),"")</f>
        <v/>
      </c>
      <c r="U1129" s="1" t="s">
        <v>1975</v>
      </c>
    </row>
    <row r="1130">
      <c r="A1130" s="4"/>
      <c r="B1130" s="3"/>
      <c r="C1130" s="3"/>
      <c r="D1130" s="3"/>
      <c r="E1130" s="6"/>
      <c r="F1130" s="33"/>
      <c r="G1130" s="3"/>
      <c r="H1130" s="3"/>
      <c r="K1130" s="3"/>
      <c r="L1130" s="3"/>
      <c r="M1130" s="3"/>
      <c r="N1130" s="3"/>
      <c r="O1130" s="3"/>
      <c r="Q1130" s="3"/>
      <c r="S1130" s="27" t="s">
        <v>1975</v>
      </c>
      <c r="T1130" s="27" t="str">
        <f>IFERROR(__xludf.DUMMYFUNCTION("""COMPUTED_VALUE"""),"")</f>
        <v/>
      </c>
      <c r="U1130" s="1" t="s">
        <v>1975</v>
      </c>
    </row>
    <row r="1131">
      <c r="A1131" s="4"/>
      <c r="B1131" s="3"/>
      <c r="C1131" s="3"/>
      <c r="D1131" s="3"/>
      <c r="E1131" s="6"/>
      <c r="F1131" s="33"/>
      <c r="G1131" s="3"/>
      <c r="H1131" s="3"/>
      <c r="K1131" s="3"/>
      <c r="L1131" s="3"/>
      <c r="M1131" s="3"/>
      <c r="N1131" s="3"/>
      <c r="O1131" s="3"/>
      <c r="Q1131" s="3"/>
      <c r="S1131" s="27" t="s">
        <v>1975</v>
      </c>
      <c r="T1131" s="27" t="str">
        <f>IFERROR(__xludf.DUMMYFUNCTION("""COMPUTED_VALUE"""),"")</f>
        <v/>
      </c>
      <c r="U1131" s="1" t="s">
        <v>1975</v>
      </c>
    </row>
    <row r="1132">
      <c r="A1132" s="4"/>
      <c r="B1132" s="3"/>
      <c r="C1132" s="3"/>
      <c r="D1132" s="3"/>
      <c r="E1132" s="6"/>
      <c r="F1132" s="33"/>
      <c r="G1132" s="3"/>
      <c r="H1132" s="3"/>
      <c r="K1132" s="3"/>
      <c r="L1132" s="3"/>
      <c r="M1132" s="3"/>
      <c r="N1132" s="3"/>
      <c r="O1132" s="3"/>
      <c r="Q1132" s="3"/>
      <c r="S1132" s="27" t="s">
        <v>1975</v>
      </c>
      <c r="T1132" s="27" t="str">
        <f>IFERROR(__xludf.DUMMYFUNCTION("""COMPUTED_VALUE"""),"")</f>
        <v/>
      </c>
      <c r="U1132" s="1" t="s">
        <v>1975</v>
      </c>
    </row>
    <row r="1133">
      <c r="A1133" s="4"/>
      <c r="B1133" s="3"/>
      <c r="C1133" s="3"/>
      <c r="D1133" s="3"/>
      <c r="E1133" s="6"/>
      <c r="F1133" s="33"/>
      <c r="G1133" s="3"/>
      <c r="H1133" s="3"/>
      <c r="K1133" s="3"/>
      <c r="L1133" s="3"/>
      <c r="M1133" s="3"/>
      <c r="N1133" s="3"/>
      <c r="O1133" s="3"/>
      <c r="Q1133" s="3"/>
      <c r="S1133" s="27" t="s">
        <v>1975</v>
      </c>
      <c r="T1133" s="27" t="str">
        <f>IFERROR(__xludf.DUMMYFUNCTION("""COMPUTED_VALUE"""),"")</f>
        <v/>
      </c>
      <c r="U1133" s="1" t="s">
        <v>1975</v>
      </c>
    </row>
    <row r="1134">
      <c r="A1134" s="4"/>
      <c r="B1134" s="3"/>
      <c r="C1134" s="3"/>
      <c r="D1134" s="3"/>
      <c r="E1134" s="6"/>
      <c r="F1134" s="33"/>
      <c r="G1134" s="3"/>
      <c r="H1134" s="3"/>
      <c r="K1134" s="3"/>
      <c r="L1134" s="3"/>
      <c r="M1134" s="3"/>
      <c r="N1134" s="3"/>
      <c r="O1134" s="3"/>
      <c r="Q1134" s="3"/>
      <c r="S1134" s="27" t="s">
        <v>1975</v>
      </c>
      <c r="T1134" s="27" t="str">
        <f>IFERROR(__xludf.DUMMYFUNCTION("""COMPUTED_VALUE"""),"")</f>
        <v/>
      </c>
      <c r="U1134" s="1" t="s">
        <v>1975</v>
      </c>
    </row>
    <row r="1135">
      <c r="A1135" s="4"/>
      <c r="B1135" s="3"/>
      <c r="C1135" s="3"/>
      <c r="D1135" s="3"/>
      <c r="E1135" s="6"/>
      <c r="F1135" s="33"/>
      <c r="G1135" s="3"/>
      <c r="H1135" s="3"/>
      <c r="K1135" s="3"/>
      <c r="L1135" s="3"/>
      <c r="M1135" s="3"/>
      <c r="N1135" s="3"/>
      <c r="O1135" s="3"/>
      <c r="Q1135" s="3"/>
      <c r="S1135" s="27" t="s">
        <v>1975</v>
      </c>
      <c r="T1135" s="27" t="str">
        <f>IFERROR(__xludf.DUMMYFUNCTION("""COMPUTED_VALUE"""),"")</f>
        <v/>
      </c>
      <c r="U1135" s="1" t="s">
        <v>1975</v>
      </c>
    </row>
    <row r="1136">
      <c r="A1136" s="4"/>
      <c r="B1136" s="3"/>
      <c r="C1136" s="3"/>
      <c r="D1136" s="3"/>
      <c r="E1136" s="6"/>
      <c r="F1136" s="33"/>
      <c r="G1136" s="3"/>
      <c r="H1136" s="3"/>
      <c r="K1136" s="3"/>
      <c r="L1136" s="3"/>
      <c r="M1136" s="3"/>
      <c r="N1136" s="3"/>
      <c r="O1136" s="3"/>
      <c r="Q1136" s="3"/>
      <c r="S1136" s="27" t="s">
        <v>1975</v>
      </c>
      <c r="T1136" s="27" t="str">
        <f>IFERROR(__xludf.DUMMYFUNCTION("""COMPUTED_VALUE"""),"")</f>
        <v/>
      </c>
      <c r="U1136" s="1" t="s">
        <v>1975</v>
      </c>
    </row>
    <row r="1137">
      <c r="A1137" s="4"/>
      <c r="B1137" s="3"/>
      <c r="C1137" s="3"/>
      <c r="D1137" s="3"/>
      <c r="E1137" s="6"/>
      <c r="F1137" s="33"/>
      <c r="G1137" s="3"/>
      <c r="H1137" s="3"/>
      <c r="K1137" s="3"/>
      <c r="L1137" s="3"/>
      <c r="M1137" s="3"/>
      <c r="N1137" s="3"/>
      <c r="O1137" s="3"/>
      <c r="Q1137" s="3"/>
      <c r="S1137" s="27" t="s">
        <v>1975</v>
      </c>
      <c r="T1137" s="27" t="str">
        <f>IFERROR(__xludf.DUMMYFUNCTION("""COMPUTED_VALUE"""),"")</f>
        <v/>
      </c>
      <c r="U1137" s="1" t="s">
        <v>1975</v>
      </c>
    </row>
    <row r="1138">
      <c r="A1138" s="4"/>
      <c r="B1138" s="3"/>
      <c r="C1138" s="3"/>
      <c r="D1138" s="3"/>
      <c r="E1138" s="6"/>
      <c r="F1138" s="33"/>
      <c r="G1138" s="3"/>
      <c r="H1138" s="3"/>
      <c r="K1138" s="3"/>
      <c r="L1138" s="3"/>
      <c r="M1138" s="3"/>
      <c r="N1138" s="3"/>
      <c r="O1138" s="3"/>
      <c r="Q1138" s="3"/>
      <c r="S1138" s="27" t="s">
        <v>1975</v>
      </c>
      <c r="T1138" s="27" t="str">
        <f>IFERROR(__xludf.DUMMYFUNCTION("""COMPUTED_VALUE"""),"")</f>
        <v/>
      </c>
      <c r="U1138" s="1" t="s">
        <v>1975</v>
      </c>
    </row>
    <row r="1139">
      <c r="A1139" s="4"/>
      <c r="B1139" s="3"/>
      <c r="C1139" s="3"/>
      <c r="D1139" s="3"/>
      <c r="E1139" s="6"/>
      <c r="F1139" s="33"/>
      <c r="G1139" s="3"/>
      <c r="H1139" s="3"/>
      <c r="K1139" s="3"/>
      <c r="L1139" s="3"/>
      <c r="M1139" s="3"/>
      <c r="N1139" s="3"/>
      <c r="O1139" s="3"/>
      <c r="Q1139" s="3"/>
      <c r="S1139" s="27" t="s">
        <v>1975</v>
      </c>
      <c r="T1139" s="27" t="str">
        <f>IFERROR(__xludf.DUMMYFUNCTION("""COMPUTED_VALUE"""),"")</f>
        <v/>
      </c>
      <c r="U1139" s="1" t="s">
        <v>1975</v>
      </c>
    </row>
    <row r="1140">
      <c r="A1140" s="4"/>
      <c r="B1140" s="3"/>
      <c r="C1140" s="3"/>
      <c r="D1140" s="3"/>
      <c r="E1140" s="6"/>
      <c r="F1140" s="33"/>
      <c r="G1140" s="3"/>
      <c r="H1140" s="3"/>
      <c r="K1140" s="3"/>
      <c r="L1140" s="3"/>
      <c r="M1140" s="3"/>
      <c r="N1140" s="3"/>
      <c r="O1140" s="3"/>
      <c r="Q1140" s="3"/>
      <c r="S1140" s="27" t="s">
        <v>1975</v>
      </c>
      <c r="T1140" s="27" t="str">
        <f>IFERROR(__xludf.DUMMYFUNCTION("""COMPUTED_VALUE"""),"")</f>
        <v/>
      </c>
      <c r="U1140" s="1" t="s">
        <v>1975</v>
      </c>
    </row>
    <row r="1141">
      <c r="A1141" s="4"/>
      <c r="B1141" s="3"/>
      <c r="C1141" s="3"/>
      <c r="D1141" s="3"/>
      <c r="E1141" s="6"/>
      <c r="F1141" s="33"/>
      <c r="G1141" s="3"/>
      <c r="H1141" s="3"/>
      <c r="K1141" s="3"/>
      <c r="L1141" s="3"/>
      <c r="M1141" s="3"/>
      <c r="N1141" s="3"/>
      <c r="O1141" s="3"/>
      <c r="Q1141" s="3"/>
      <c r="S1141" s="27" t="s">
        <v>1975</v>
      </c>
      <c r="T1141" s="27" t="str">
        <f>IFERROR(__xludf.DUMMYFUNCTION("""COMPUTED_VALUE"""),"")</f>
        <v/>
      </c>
      <c r="U1141" s="1" t="s">
        <v>1975</v>
      </c>
    </row>
    <row r="1142">
      <c r="A1142" s="4"/>
      <c r="B1142" s="3"/>
      <c r="C1142" s="3"/>
      <c r="D1142" s="3"/>
      <c r="E1142" s="6"/>
      <c r="F1142" s="33"/>
      <c r="G1142" s="3"/>
      <c r="H1142" s="3"/>
      <c r="K1142" s="3"/>
      <c r="L1142" s="3"/>
      <c r="M1142" s="3"/>
      <c r="N1142" s="3"/>
      <c r="O1142" s="3"/>
      <c r="Q1142" s="3"/>
      <c r="S1142" s="27" t="s">
        <v>1975</v>
      </c>
      <c r="T1142" s="27" t="str">
        <f>IFERROR(__xludf.DUMMYFUNCTION("""COMPUTED_VALUE"""),"")</f>
        <v/>
      </c>
      <c r="U1142" s="1" t="s">
        <v>1975</v>
      </c>
    </row>
    <row r="1143">
      <c r="A1143" s="4"/>
      <c r="B1143" s="3"/>
      <c r="C1143" s="3"/>
      <c r="D1143" s="3"/>
      <c r="E1143" s="6"/>
      <c r="F1143" s="33"/>
      <c r="G1143" s="3"/>
      <c r="H1143" s="3"/>
      <c r="K1143" s="3"/>
      <c r="L1143" s="3"/>
      <c r="M1143" s="3"/>
      <c r="N1143" s="3"/>
      <c r="O1143" s="3"/>
      <c r="Q1143" s="3"/>
      <c r="S1143" s="27" t="s">
        <v>1975</v>
      </c>
      <c r="T1143" s="27" t="str">
        <f>IFERROR(__xludf.DUMMYFUNCTION("""COMPUTED_VALUE"""),"")</f>
        <v/>
      </c>
      <c r="U1143" s="1" t="s">
        <v>1975</v>
      </c>
    </row>
    <row r="1144">
      <c r="A1144" s="4"/>
      <c r="B1144" s="3"/>
      <c r="C1144" s="3"/>
      <c r="D1144" s="3"/>
      <c r="E1144" s="6"/>
      <c r="F1144" s="33"/>
      <c r="G1144" s="3"/>
      <c r="H1144" s="3"/>
      <c r="K1144" s="3"/>
      <c r="L1144" s="3"/>
      <c r="M1144" s="3"/>
      <c r="N1144" s="3"/>
      <c r="O1144" s="3"/>
      <c r="Q1144" s="3"/>
      <c r="S1144" s="27" t="s">
        <v>1975</v>
      </c>
      <c r="T1144" s="27" t="str">
        <f>IFERROR(__xludf.DUMMYFUNCTION("""COMPUTED_VALUE"""),"")</f>
        <v/>
      </c>
      <c r="U1144" s="1" t="s">
        <v>1975</v>
      </c>
    </row>
    <row r="1145">
      <c r="A1145" s="4"/>
      <c r="B1145" s="3"/>
      <c r="C1145" s="3"/>
      <c r="D1145" s="3"/>
      <c r="E1145" s="6"/>
      <c r="F1145" s="33"/>
      <c r="G1145" s="3"/>
      <c r="H1145" s="3"/>
      <c r="K1145" s="3"/>
      <c r="L1145" s="3"/>
      <c r="M1145" s="3"/>
      <c r="N1145" s="3"/>
      <c r="O1145" s="3"/>
      <c r="Q1145" s="3"/>
      <c r="S1145" s="27" t="s">
        <v>1975</v>
      </c>
      <c r="T1145" s="27" t="str">
        <f>IFERROR(__xludf.DUMMYFUNCTION("""COMPUTED_VALUE"""),"")</f>
        <v/>
      </c>
      <c r="U1145" s="1" t="s">
        <v>1975</v>
      </c>
    </row>
    <row r="1146">
      <c r="A1146" s="4"/>
      <c r="B1146" s="3"/>
      <c r="C1146" s="3"/>
      <c r="D1146" s="3"/>
      <c r="E1146" s="6"/>
      <c r="F1146" s="33"/>
      <c r="G1146" s="3"/>
      <c r="H1146" s="3"/>
      <c r="K1146" s="3"/>
      <c r="L1146" s="3"/>
      <c r="M1146" s="3"/>
      <c r="N1146" s="3"/>
      <c r="O1146" s="3"/>
      <c r="Q1146" s="3"/>
      <c r="S1146" s="27" t="s">
        <v>1975</v>
      </c>
      <c r="T1146" s="27" t="str">
        <f>IFERROR(__xludf.DUMMYFUNCTION("""COMPUTED_VALUE"""),"")</f>
        <v/>
      </c>
      <c r="U1146" s="1" t="s">
        <v>1975</v>
      </c>
    </row>
    <row r="1147">
      <c r="A1147" s="4"/>
      <c r="B1147" s="3"/>
      <c r="C1147" s="3"/>
      <c r="D1147" s="3"/>
      <c r="E1147" s="6"/>
      <c r="F1147" s="33"/>
      <c r="G1147" s="3"/>
      <c r="H1147" s="3"/>
      <c r="K1147" s="3"/>
      <c r="L1147" s="3"/>
      <c r="M1147" s="3"/>
      <c r="N1147" s="3"/>
      <c r="O1147" s="3"/>
      <c r="Q1147" s="3"/>
      <c r="S1147" s="27" t="s">
        <v>1975</v>
      </c>
      <c r="T1147" s="27" t="str">
        <f>IFERROR(__xludf.DUMMYFUNCTION("""COMPUTED_VALUE"""),"")</f>
        <v/>
      </c>
      <c r="U1147" s="1" t="s">
        <v>1975</v>
      </c>
    </row>
    <row r="1148">
      <c r="A1148" s="4"/>
      <c r="B1148" s="3"/>
      <c r="C1148" s="3"/>
      <c r="D1148" s="3"/>
      <c r="E1148" s="6"/>
      <c r="F1148" s="33"/>
      <c r="G1148" s="3"/>
      <c r="H1148" s="3"/>
      <c r="K1148" s="3"/>
      <c r="L1148" s="3"/>
      <c r="M1148" s="3"/>
      <c r="N1148" s="3"/>
      <c r="O1148" s="3"/>
      <c r="Q1148" s="3"/>
      <c r="S1148" s="27" t="s">
        <v>1975</v>
      </c>
      <c r="T1148" s="27" t="str">
        <f>IFERROR(__xludf.DUMMYFUNCTION("""COMPUTED_VALUE"""),"")</f>
        <v/>
      </c>
      <c r="U1148" s="1" t="s">
        <v>1975</v>
      </c>
    </row>
    <row r="1149">
      <c r="A1149" s="4"/>
      <c r="B1149" s="3"/>
      <c r="C1149" s="3"/>
      <c r="D1149" s="3"/>
      <c r="E1149" s="6"/>
      <c r="F1149" s="33"/>
      <c r="G1149" s="3"/>
      <c r="H1149" s="3"/>
      <c r="K1149" s="3"/>
      <c r="L1149" s="3"/>
      <c r="M1149" s="3"/>
      <c r="N1149" s="3"/>
      <c r="O1149" s="3"/>
      <c r="Q1149" s="3"/>
      <c r="S1149" s="27" t="s">
        <v>1975</v>
      </c>
      <c r="T1149" s="27" t="str">
        <f>IFERROR(__xludf.DUMMYFUNCTION("""COMPUTED_VALUE"""),"")</f>
        <v/>
      </c>
      <c r="U1149" s="1" t="s">
        <v>1975</v>
      </c>
    </row>
    <row r="1150">
      <c r="A1150" s="4"/>
      <c r="B1150" s="3"/>
      <c r="C1150" s="3"/>
      <c r="D1150" s="3"/>
      <c r="E1150" s="6"/>
      <c r="F1150" s="33"/>
      <c r="G1150" s="3"/>
      <c r="H1150" s="3"/>
      <c r="K1150" s="3"/>
      <c r="L1150" s="3"/>
      <c r="M1150" s="3"/>
      <c r="N1150" s="3"/>
      <c r="O1150" s="3"/>
      <c r="Q1150" s="3"/>
      <c r="S1150" s="27" t="s">
        <v>1975</v>
      </c>
      <c r="T1150" s="27" t="str">
        <f>IFERROR(__xludf.DUMMYFUNCTION("""COMPUTED_VALUE"""),"")</f>
        <v/>
      </c>
      <c r="U1150" s="1" t="s">
        <v>1975</v>
      </c>
    </row>
    <row r="1151">
      <c r="A1151" s="4"/>
      <c r="B1151" s="3"/>
      <c r="C1151" s="3"/>
      <c r="D1151" s="3"/>
      <c r="E1151" s="6"/>
      <c r="F1151" s="33"/>
      <c r="G1151" s="3"/>
      <c r="H1151" s="3"/>
      <c r="K1151" s="3"/>
      <c r="L1151" s="3"/>
      <c r="M1151" s="3"/>
      <c r="N1151" s="3"/>
      <c r="O1151" s="3"/>
      <c r="Q1151" s="3"/>
      <c r="S1151" s="27" t="s">
        <v>1975</v>
      </c>
      <c r="T1151" s="27" t="str">
        <f>IFERROR(__xludf.DUMMYFUNCTION("""COMPUTED_VALUE"""),"")</f>
        <v/>
      </c>
      <c r="U1151" s="1" t="s">
        <v>1975</v>
      </c>
    </row>
    <row r="1152">
      <c r="A1152" s="4"/>
      <c r="B1152" s="3"/>
      <c r="C1152" s="3"/>
      <c r="D1152" s="3"/>
      <c r="E1152" s="6"/>
      <c r="F1152" s="33"/>
      <c r="G1152" s="3"/>
      <c r="H1152" s="3"/>
      <c r="K1152" s="3"/>
      <c r="L1152" s="3"/>
      <c r="M1152" s="3"/>
      <c r="N1152" s="3"/>
      <c r="O1152" s="3"/>
      <c r="Q1152" s="3"/>
      <c r="S1152" s="27" t="s">
        <v>1975</v>
      </c>
      <c r="T1152" s="27" t="str">
        <f>IFERROR(__xludf.DUMMYFUNCTION("""COMPUTED_VALUE"""),"")</f>
        <v/>
      </c>
      <c r="U1152" s="1" t="s">
        <v>1975</v>
      </c>
    </row>
    <row r="1153">
      <c r="A1153" s="4"/>
      <c r="B1153" s="3"/>
      <c r="C1153" s="3"/>
      <c r="D1153" s="3"/>
      <c r="E1153" s="6"/>
      <c r="F1153" s="33"/>
      <c r="G1153" s="3"/>
      <c r="H1153" s="3"/>
      <c r="K1153" s="3"/>
      <c r="L1153" s="3"/>
      <c r="M1153" s="3"/>
      <c r="N1153" s="3"/>
      <c r="O1153" s="3"/>
      <c r="Q1153" s="3"/>
      <c r="S1153" s="27" t="s">
        <v>1975</v>
      </c>
      <c r="T1153" s="27" t="str">
        <f>IFERROR(__xludf.DUMMYFUNCTION("""COMPUTED_VALUE"""),"")</f>
        <v/>
      </c>
      <c r="U1153" s="1" t="s">
        <v>1975</v>
      </c>
    </row>
    <row r="1154">
      <c r="A1154" s="4"/>
      <c r="B1154" s="3"/>
      <c r="C1154" s="3"/>
      <c r="D1154" s="3"/>
      <c r="E1154" s="6"/>
      <c r="F1154" s="33"/>
      <c r="G1154" s="3"/>
      <c r="H1154" s="3"/>
      <c r="K1154" s="3"/>
      <c r="L1154" s="3"/>
      <c r="M1154" s="3"/>
      <c r="N1154" s="3"/>
      <c r="O1154" s="3"/>
      <c r="Q1154" s="3"/>
      <c r="S1154" s="27" t="s">
        <v>1975</v>
      </c>
      <c r="T1154" s="27" t="str">
        <f>IFERROR(__xludf.DUMMYFUNCTION("""COMPUTED_VALUE"""),"")</f>
        <v/>
      </c>
      <c r="U1154" s="1" t="s">
        <v>1975</v>
      </c>
    </row>
    <row r="1155">
      <c r="A1155" s="4"/>
      <c r="B1155" s="3"/>
      <c r="C1155" s="3"/>
      <c r="D1155" s="3"/>
      <c r="E1155" s="6"/>
      <c r="F1155" s="33"/>
      <c r="G1155" s="3"/>
      <c r="H1155" s="3"/>
      <c r="K1155" s="3"/>
      <c r="L1155" s="3"/>
      <c r="M1155" s="3"/>
      <c r="N1155" s="3"/>
      <c r="O1155" s="3"/>
      <c r="Q1155" s="3"/>
      <c r="S1155" s="27" t="s">
        <v>1975</v>
      </c>
      <c r="T1155" s="27" t="str">
        <f>IFERROR(__xludf.DUMMYFUNCTION("""COMPUTED_VALUE"""),"")</f>
        <v/>
      </c>
      <c r="U1155" s="1" t="s">
        <v>1975</v>
      </c>
    </row>
    <row r="1156">
      <c r="A1156" s="4"/>
      <c r="B1156" s="3"/>
      <c r="C1156" s="3"/>
      <c r="D1156" s="3"/>
      <c r="E1156" s="6"/>
      <c r="F1156" s="33"/>
      <c r="G1156" s="3"/>
      <c r="H1156" s="3"/>
      <c r="K1156" s="3"/>
      <c r="L1156" s="3"/>
      <c r="M1156" s="3"/>
      <c r="N1156" s="3"/>
      <c r="O1156" s="3"/>
      <c r="Q1156" s="3"/>
      <c r="S1156" s="27" t="s">
        <v>1975</v>
      </c>
      <c r="T1156" s="27" t="str">
        <f>IFERROR(__xludf.DUMMYFUNCTION("""COMPUTED_VALUE"""),"")</f>
        <v/>
      </c>
      <c r="U1156" s="1" t="s">
        <v>1975</v>
      </c>
    </row>
    <row r="1157">
      <c r="A1157" s="4"/>
      <c r="B1157" s="3"/>
      <c r="C1157" s="3"/>
      <c r="D1157" s="3"/>
      <c r="E1157" s="6"/>
      <c r="F1157" s="33"/>
      <c r="G1157" s="3"/>
      <c r="H1157" s="3"/>
      <c r="K1157" s="3"/>
      <c r="L1157" s="3"/>
      <c r="M1157" s="3"/>
      <c r="N1157" s="3"/>
      <c r="O1157" s="3"/>
      <c r="Q1157" s="3"/>
      <c r="S1157" s="27" t="s">
        <v>1975</v>
      </c>
      <c r="T1157" s="27" t="str">
        <f>IFERROR(__xludf.DUMMYFUNCTION("""COMPUTED_VALUE"""),"")</f>
        <v/>
      </c>
      <c r="U1157" s="1" t="s">
        <v>1975</v>
      </c>
    </row>
    <row r="1158">
      <c r="A1158" s="4"/>
      <c r="B1158" s="3"/>
      <c r="C1158" s="3"/>
      <c r="D1158" s="3"/>
      <c r="E1158" s="6"/>
      <c r="F1158" s="33"/>
      <c r="G1158" s="3"/>
      <c r="H1158" s="3"/>
      <c r="K1158" s="3"/>
      <c r="L1158" s="3"/>
      <c r="M1158" s="3"/>
      <c r="N1158" s="3"/>
      <c r="O1158" s="3"/>
      <c r="Q1158" s="3"/>
      <c r="S1158" s="27" t="s">
        <v>1975</v>
      </c>
      <c r="T1158" s="27" t="str">
        <f>IFERROR(__xludf.DUMMYFUNCTION("""COMPUTED_VALUE"""),"")</f>
        <v/>
      </c>
      <c r="U1158" s="1" t="s">
        <v>1975</v>
      </c>
    </row>
    <row r="1159">
      <c r="A1159" s="4"/>
      <c r="B1159" s="3"/>
      <c r="C1159" s="3"/>
      <c r="D1159" s="3"/>
      <c r="E1159" s="6"/>
      <c r="F1159" s="33"/>
      <c r="G1159" s="3"/>
      <c r="H1159" s="3"/>
      <c r="K1159" s="3"/>
      <c r="L1159" s="3"/>
      <c r="M1159" s="3"/>
      <c r="N1159" s="3"/>
      <c r="O1159" s="3"/>
      <c r="Q1159" s="3"/>
      <c r="S1159" s="27" t="s">
        <v>1975</v>
      </c>
      <c r="T1159" s="27" t="str">
        <f>IFERROR(__xludf.DUMMYFUNCTION("""COMPUTED_VALUE"""),"")</f>
        <v/>
      </c>
      <c r="U1159" s="1" t="s">
        <v>1975</v>
      </c>
    </row>
    <row r="1160">
      <c r="A1160" s="4"/>
      <c r="B1160" s="3"/>
      <c r="C1160" s="3"/>
      <c r="D1160" s="3"/>
      <c r="E1160" s="6"/>
      <c r="F1160" s="33"/>
      <c r="G1160" s="3"/>
      <c r="H1160" s="3"/>
      <c r="K1160" s="3"/>
      <c r="L1160" s="3"/>
      <c r="M1160" s="3"/>
      <c r="N1160" s="3"/>
      <c r="O1160" s="3"/>
      <c r="Q1160" s="3"/>
      <c r="S1160" s="27" t="s">
        <v>1975</v>
      </c>
      <c r="T1160" s="27" t="str">
        <f>IFERROR(__xludf.DUMMYFUNCTION("""COMPUTED_VALUE"""),"")</f>
        <v/>
      </c>
      <c r="U1160" s="1" t="s">
        <v>1975</v>
      </c>
    </row>
    <row r="1161">
      <c r="A1161" s="4"/>
      <c r="B1161" s="3"/>
      <c r="C1161" s="3"/>
      <c r="D1161" s="3"/>
      <c r="E1161" s="6"/>
      <c r="F1161" s="33"/>
      <c r="G1161" s="3"/>
      <c r="H1161" s="3"/>
      <c r="K1161" s="3"/>
      <c r="L1161" s="3"/>
      <c r="M1161" s="3"/>
      <c r="N1161" s="3"/>
      <c r="O1161" s="3"/>
      <c r="Q1161" s="3"/>
      <c r="S1161" s="27" t="s">
        <v>1975</v>
      </c>
      <c r="T1161" s="27" t="str">
        <f>IFERROR(__xludf.DUMMYFUNCTION("""COMPUTED_VALUE"""),"")</f>
        <v/>
      </c>
      <c r="U1161" s="1" t="s">
        <v>1975</v>
      </c>
    </row>
    <row r="1162">
      <c r="A1162" s="4"/>
      <c r="B1162" s="3"/>
      <c r="C1162" s="3"/>
      <c r="D1162" s="3"/>
      <c r="E1162" s="6"/>
      <c r="F1162" s="33"/>
      <c r="G1162" s="3"/>
      <c r="H1162" s="3"/>
      <c r="K1162" s="3"/>
      <c r="L1162" s="3"/>
      <c r="M1162" s="3"/>
      <c r="N1162" s="3"/>
      <c r="O1162" s="3"/>
      <c r="Q1162" s="3"/>
      <c r="S1162" s="27" t="s">
        <v>1975</v>
      </c>
      <c r="T1162" s="27" t="str">
        <f>IFERROR(__xludf.DUMMYFUNCTION("""COMPUTED_VALUE"""),"")</f>
        <v/>
      </c>
      <c r="U1162" s="1" t="s">
        <v>1975</v>
      </c>
    </row>
    <row r="1163">
      <c r="A1163" s="4"/>
      <c r="B1163" s="3"/>
      <c r="C1163" s="3"/>
      <c r="D1163" s="3"/>
      <c r="E1163" s="6"/>
      <c r="F1163" s="33"/>
      <c r="G1163" s="3"/>
      <c r="H1163" s="3"/>
      <c r="K1163" s="3"/>
      <c r="L1163" s="3"/>
      <c r="M1163" s="3"/>
      <c r="N1163" s="3"/>
      <c r="O1163" s="3"/>
      <c r="Q1163" s="3"/>
      <c r="S1163" s="27" t="s">
        <v>1975</v>
      </c>
      <c r="T1163" s="27" t="str">
        <f>IFERROR(__xludf.DUMMYFUNCTION("""COMPUTED_VALUE"""),"")</f>
        <v/>
      </c>
      <c r="U1163" s="1" t="s">
        <v>1975</v>
      </c>
    </row>
    <row r="1164">
      <c r="A1164" s="4"/>
      <c r="B1164" s="3"/>
      <c r="C1164" s="3"/>
      <c r="D1164" s="3"/>
      <c r="E1164" s="6"/>
      <c r="F1164" s="33"/>
      <c r="G1164" s="3"/>
      <c r="H1164" s="3"/>
      <c r="K1164" s="3"/>
      <c r="L1164" s="3"/>
      <c r="M1164" s="3"/>
      <c r="N1164" s="3"/>
      <c r="O1164" s="3"/>
      <c r="Q1164" s="3"/>
      <c r="S1164" s="27" t="s">
        <v>1975</v>
      </c>
      <c r="T1164" s="27" t="str">
        <f>IFERROR(__xludf.DUMMYFUNCTION("""COMPUTED_VALUE"""),"")</f>
        <v/>
      </c>
      <c r="U1164" s="1" t="s">
        <v>1975</v>
      </c>
    </row>
    <row r="1165">
      <c r="A1165" s="4"/>
      <c r="B1165" s="3"/>
      <c r="C1165" s="3"/>
      <c r="D1165" s="3"/>
      <c r="E1165" s="6"/>
      <c r="F1165" s="33"/>
      <c r="G1165" s="3"/>
      <c r="H1165" s="3"/>
      <c r="K1165" s="3"/>
      <c r="L1165" s="3"/>
      <c r="M1165" s="3"/>
      <c r="N1165" s="3"/>
      <c r="O1165" s="3"/>
      <c r="Q1165" s="3"/>
      <c r="S1165" s="27" t="s">
        <v>1975</v>
      </c>
      <c r="T1165" s="27" t="str">
        <f>IFERROR(__xludf.DUMMYFUNCTION("""COMPUTED_VALUE"""),"")</f>
        <v/>
      </c>
      <c r="U1165" s="1" t="s">
        <v>1975</v>
      </c>
    </row>
    <row r="1166">
      <c r="A1166" s="4"/>
      <c r="B1166" s="3"/>
      <c r="C1166" s="3"/>
      <c r="D1166" s="3"/>
      <c r="E1166" s="6"/>
      <c r="F1166" s="33"/>
      <c r="G1166" s="3"/>
      <c r="H1166" s="3"/>
      <c r="K1166" s="3"/>
      <c r="L1166" s="3"/>
      <c r="M1166" s="3"/>
      <c r="N1166" s="3"/>
      <c r="O1166" s="3"/>
      <c r="Q1166" s="3"/>
      <c r="S1166" s="27" t="s">
        <v>1975</v>
      </c>
      <c r="T1166" s="27" t="str">
        <f>IFERROR(__xludf.DUMMYFUNCTION("""COMPUTED_VALUE"""),"")</f>
        <v/>
      </c>
      <c r="U1166" s="1" t="s">
        <v>1975</v>
      </c>
    </row>
    <row r="1167">
      <c r="A1167" s="4"/>
      <c r="B1167" s="3"/>
      <c r="C1167" s="3"/>
      <c r="D1167" s="3"/>
      <c r="E1167" s="6"/>
      <c r="F1167" s="33"/>
      <c r="G1167" s="3"/>
      <c r="H1167" s="3"/>
      <c r="K1167" s="3"/>
      <c r="L1167" s="3"/>
      <c r="M1167" s="3"/>
      <c r="N1167" s="3"/>
      <c r="O1167" s="3"/>
      <c r="Q1167" s="3"/>
      <c r="S1167" s="27" t="s">
        <v>1975</v>
      </c>
      <c r="T1167" s="27" t="str">
        <f>IFERROR(__xludf.DUMMYFUNCTION("""COMPUTED_VALUE"""),"")</f>
        <v/>
      </c>
      <c r="U1167" s="1" t="s">
        <v>1975</v>
      </c>
    </row>
    <row r="1168">
      <c r="A1168" s="4"/>
      <c r="B1168" s="3"/>
      <c r="C1168" s="3"/>
      <c r="D1168" s="3"/>
      <c r="E1168" s="6"/>
      <c r="F1168" s="33"/>
      <c r="G1168" s="3"/>
      <c r="H1168" s="3"/>
      <c r="K1168" s="3"/>
      <c r="L1168" s="3"/>
      <c r="M1168" s="3"/>
      <c r="N1168" s="3"/>
      <c r="O1168" s="3"/>
      <c r="Q1168" s="3"/>
      <c r="S1168" s="27" t="s">
        <v>1975</v>
      </c>
      <c r="T1168" s="27" t="str">
        <f>IFERROR(__xludf.DUMMYFUNCTION("""COMPUTED_VALUE"""),"")</f>
        <v/>
      </c>
      <c r="U1168" s="1" t="s">
        <v>1975</v>
      </c>
    </row>
    <row r="1169">
      <c r="A1169" s="4"/>
      <c r="B1169" s="3"/>
      <c r="C1169" s="3"/>
      <c r="D1169" s="3"/>
      <c r="E1169" s="6"/>
      <c r="F1169" s="33"/>
      <c r="G1169" s="3"/>
      <c r="H1169" s="3"/>
      <c r="K1169" s="3"/>
      <c r="L1169" s="3"/>
      <c r="M1169" s="3"/>
      <c r="N1169" s="3"/>
      <c r="O1169" s="3"/>
      <c r="Q1169" s="3"/>
      <c r="S1169" s="27" t="s">
        <v>1975</v>
      </c>
      <c r="T1169" s="27" t="str">
        <f>IFERROR(__xludf.DUMMYFUNCTION("""COMPUTED_VALUE"""),"")</f>
        <v/>
      </c>
      <c r="U1169" s="1" t="s">
        <v>1975</v>
      </c>
    </row>
    <row r="1170">
      <c r="A1170" s="4"/>
      <c r="B1170" s="3"/>
      <c r="C1170" s="3"/>
      <c r="D1170" s="3"/>
      <c r="E1170" s="6"/>
      <c r="F1170" s="33"/>
      <c r="G1170" s="3"/>
      <c r="H1170" s="3"/>
      <c r="K1170" s="3"/>
      <c r="L1170" s="3"/>
      <c r="M1170" s="3"/>
      <c r="N1170" s="3"/>
      <c r="O1170" s="3"/>
      <c r="Q1170" s="3"/>
      <c r="S1170" s="27" t="s">
        <v>1975</v>
      </c>
      <c r="T1170" s="27" t="str">
        <f>IFERROR(__xludf.DUMMYFUNCTION("""COMPUTED_VALUE"""),"")</f>
        <v/>
      </c>
      <c r="U1170" s="1" t="s">
        <v>1975</v>
      </c>
    </row>
    <row r="1171">
      <c r="A1171" s="4"/>
      <c r="B1171" s="3"/>
      <c r="C1171" s="3"/>
      <c r="D1171" s="3"/>
      <c r="E1171" s="6"/>
      <c r="F1171" s="33"/>
      <c r="G1171" s="3"/>
      <c r="H1171" s="3"/>
      <c r="K1171" s="3"/>
      <c r="L1171" s="3"/>
      <c r="M1171" s="3"/>
      <c r="N1171" s="3"/>
      <c r="O1171" s="3"/>
      <c r="Q1171" s="3"/>
      <c r="S1171" s="27" t="s">
        <v>1975</v>
      </c>
      <c r="T1171" s="27" t="str">
        <f>IFERROR(__xludf.DUMMYFUNCTION("""COMPUTED_VALUE"""),"")</f>
        <v/>
      </c>
      <c r="U1171" s="1" t="s">
        <v>1975</v>
      </c>
    </row>
    <row r="1172">
      <c r="A1172" s="4"/>
      <c r="B1172" s="3"/>
      <c r="C1172" s="3"/>
      <c r="D1172" s="3"/>
      <c r="E1172" s="6"/>
      <c r="F1172" s="33"/>
      <c r="G1172" s="3"/>
      <c r="H1172" s="3"/>
      <c r="K1172" s="3"/>
      <c r="L1172" s="3"/>
      <c r="M1172" s="3"/>
      <c r="N1172" s="3"/>
      <c r="O1172" s="3"/>
      <c r="Q1172" s="3"/>
      <c r="S1172" s="27" t="s">
        <v>1975</v>
      </c>
      <c r="T1172" s="27" t="str">
        <f>IFERROR(__xludf.DUMMYFUNCTION("""COMPUTED_VALUE"""),"")</f>
        <v/>
      </c>
      <c r="U1172" s="1" t="s">
        <v>1975</v>
      </c>
    </row>
    <row r="1173">
      <c r="A1173" s="4"/>
      <c r="B1173" s="3"/>
      <c r="C1173" s="3"/>
      <c r="D1173" s="3"/>
      <c r="E1173" s="6"/>
      <c r="F1173" s="33"/>
      <c r="G1173" s="3"/>
      <c r="H1173" s="3"/>
      <c r="K1173" s="3"/>
      <c r="L1173" s="3"/>
      <c r="M1173" s="3"/>
      <c r="N1173" s="3"/>
      <c r="O1173" s="3"/>
      <c r="Q1173" s="3"/>
      <c r="S1173" s="27" t="s">
        <v>1975</v>
      </c>
      <c r="T1173" s="27" t="str">
        <f>IFERROR(__xludf.DUMMYFUNCTION("""COMPUTED_VALUE"""),"")</f>
        <v/>
      </c>
      <c r="U1173" s="1" t="s">
        <v>1975</v>
      </c>
    </row>
    <row r="1174">
      <c r="A1174" s="4"/>
      <c r="B1174" s="3"/>
      <c r="C1174" s="3"/>
      <c r="D1174" s="3"/>
      <c r="E1174" s="6"/>
      <c r="F1174" s="33"/>
      <c r="G1174" s="3"/>
      <c r="H1174" s="3"/>
      <c r="K1174" s="3"/>
      <c r="L1174" s="3"/>
      <c r="M1174" s="3"/>
      <c r="N1174" s="3"/>
      <c r="O1174" s="3"/>
      <c r="Q1174" s="3"/>
      <c r="S1174" s="27" t="s">
        <v>1975</v>
      </c>
      <c r="T1174" s="27" t="str">
        <f>IFERROR(__xludf.DUMMYFUNCTION("""COMPUTED_VALUE"""),"")</f>
        <v/>
      </c>
      <c r="U1174" s="1" t="s">
        <v>1975</v>
      </c>
    </row>
    <row r="1175">
      <c r="A1175" s="4"/>
      <c r="B1175" s="3"/>
      <c r="C1175" s="3"/>
      <c r="D1175" s="3"/>
      <c r="E1175" s="6"/>
      <c r="F1175" s="33"/>
      <c r="G1175" s="3"/>
      <c r="H1175" s="3"/>
      <c r="K1175" s="3"/>
      <c r="L1175" s="3"/>
      <c r="M1175" s="3"/>
      <c r="N1175" s="3"/>
      <c r="O1175" s="3"/>
      <c r="Q1175" s="3"/>
      <c r="S1175" s="27" t="s">
        <v>1975</v>
      </c>
      <c r="T1175" s="27" t="str">
        <f>IFERROR(__xludf.DUMMYFUNCTION("""COMPUTED_VALUE"""),"")</f>
        <v/>
      </c>
      <c r="U1175" s="1" t="s">
        <v>1975</v>
      </c>
    </row>
    <row r="1176">
      <c r="A1176" s="4"/>
      <c r="B1176" s="3"/>
      <c r="C1176" s="3"/>
      <c r="D1176" s="3"/>
      <c r="E1176" s="6"/>
      <c r="F1176" s="33"/>
      <c r="G1176" s="3"/>
      <c r="H1176" s="3"/>
      <c r="K1176" s="3"/>
      <c r="L1176" s="3"/>
      <c r="M1176" s="3"/>
      <c r="N1176" s="3"/>
      <c r="O1176" s="3"/>
      <c r="Q1176" s="3"/>
      <c r="S1176" s="27" t="s">
        <v>1975</v>
      </c>
      <c r="T1176" s="27" t="str">
        <f>IFERROR(__xludf.DUMMYFUNCTION("""COMPUTED_VALUE"""),"")</f>
        <v/>
      </c>
      <c r="U1176" s="1" t="s">
        <v>1975</v>
      </c>
    </row>
    <row r="1177">
      <c r="A1177" s="4"/>
      <c r="B1177" s="3"/>
      <c r="C1177" s="3"/>
      <c r="D1177" s="3"/>
      <c r="E1177" s="6"/>
      <c r="F1177" s="33"/>
      <c r="G1177" s="3"/>
      <c r="H1177" s="3"/>
      <c r="K1177" s="3"/>
      <c r="L1177" s="3"/>
      <c r="M1177" s="3"/>
      <c r="N1177" s="3"/>
      <c r="O1177" s="3"/>
      <c r="Q1177" s="3"/>
      <c r="S1177" s="27" t="s">
        <v>1975</v>
      </c>
      <c r="T1177" s="27" t="str">
        <f>IFERROR(__xludf.DUMMYFUNCTION("""COMPUTED_VALUE"""),"")</f>
        <v/>
      </c>
      <c r="U1177" s="1" t="s">
        <v>1975</v>
      </c>
    </row>
    <row r="1178">
      <c r="A1178" s="4"/>
      <c r="B1178" s="3"/>
      <c r="C1178" s="3"/>
      <c r="D1178" s="3"/>
      <c r="E1178" s="6"/>
      <c r="F1178" s="33"/>
      <c r="G1178" s="3"/>
      <c r="H1178" s="3"/>
      <c r="K1178" s="3"/>
      <c r="L1178" s="3"/>
      <c r="M1178" s="3"/>
      <c r="N1178" s="3"/>
      <c r="O1178" s="3"/>
      <c r="Q1178" s="3"/>
      <c r="S1178" s="27" t="s">
        <v>1975</v>
      </c>
      <c r="T1178" s="27" t="str">
        <f>IFERROR(__xludf.DUMMYFUNCTION("""COMPUTED_VALUE"""),"")</f>
        <v/>
      </c>
      <c r="U1178" s="1" t="s">
        <v>1975</v>
      </c>
    </row>
    <row r="1179">
      <c r="A1179" s="4"/>
      <c r="B1179" s="3"/>
      <c r="C1179" s="3"/>
      <c r="D1179" s="3"/>
      <c r="E1179" s="6"/>
      <c r="F1179" s="33"/>
      <c r="G1179" s="3"/>
      <c r="H1179" s="3"/>
      <c r="K1179" s="3"/>
      <c r="L1179" s="3"/>
      <c r="M1179" s="3"/>
      <c r="N1179" s="3"/>
      <c r="O1179" s="3"/>
      <c r="Q1179" s="3"/>
      <c r="S1179" s="27" t="s">
        <v>1975</v>
      </c>
      <c r="T1179" s="27" t="str">
        <f>IFERROR(__xludf.DUMMYFUNCTION("""COMPUTED_VALUE"""),"")</f>
        <v/>
      </c>
      <c r="U1179" s="1" t="s">
        <v>1975</v>
      </c>
    </row>
    <row r="1180">
      <c r="A1180" s="4"/>
      <c r="B1180" s="3"/>
      <c r="C1180" s="3"/>
      <c r="D1180" s="3"/>
      <c r="E1180" s="6"/>
      <c r="F1180" s="33"/>
      <c r="G1180" s="3"/>
      <c r="H1180" s="3"/>
      <c r="K1180" s="3"/>
      <c r="L1180" s="3"/>
      <c r="M1180" s="3"/>
      <c r="N1180" s="3"/>
      <c r="O1180" s="3"/>
      <c r="Q1180" s="3"/>
      <c r="S1180" s="27" t="s">
        <v>1975</v>
      </c>
      <c r="T1180" s="27" t="str">
        <f>IFERROR(__xludf.DUMMYFUNCTION("""COMPUTED_VALUE"""),"")</f>
        <v/>
      </c>
      <c r="U1180" s="1" t="s">
        <v>1975</v>
      </c>
    </row>
    <row r="1181">
      <c r="A1181" s="4"/>
      <c r="B1181" s="3"/>
      <c r="C1181" s="3"/>
      <c r="D1181" s="3"/>
      <c r="E1181" s="6"/>
      <c r="F1181" s="33"/>
      <c r="G1181" s="3"/>
      <c r="H1181" s="3"/>
      <c r="K1181" s="3"/>
      <c r="L1181" s="3"/>
      <c r="M1181" s="3"/>
      <c r="N1181" s="3"/>
      <c r="O1181" s="3"/>
      <c r="Q1181" s="3"/>
      <c r="S1181" s="27" t="s">
        <v>1975</v>
      </c>
      <c r="T1181" s="27" t="str">
        <f>IFERROR(__xludf.DUMMYFUNCTION("""COMPUTED_VALUE"""),"")</f>
        <v/>
      </c>
      <c r="U1181" s="1" t="s">
        <v>1975</v>
      </c>
    </row>
    <row r="1182">
      <c r="A1182" s="4"/>
      <c r="B1182" s="3"/>
      <c r="C1182" s="3"/>
      <c r="D1182" s="3"/>
      <c r="E1182" s="6"/>
      <c r="F1182" s="33"/>
      <c r="G1182" s="3"/>
      <c r="H1182" s="3"/>
      <c r="K1182" s="3"/>
      <c r="L1182" s="3"/>
      <c r="M1182" s="3"/>
      <c r="N1182" s="3"/>
      <c r="O1182" s="3"/>
      <c r="Q1182" s="3"/>
      <c r="S1182" s="27" t="s">
        <v>1975</v>
      </c>
      <c r="T1182" s="27" t="str">
        <f>IFERROR(__xludf.DUMMYFUNCTION("""COMPUTED_VALUE"""),"")</f>
        <v/>
      </c>
      <c r="U1182" s="1" t="s">
        <v>1975</v>
      </c>
    </row>
    <row r="1183">
      <c r="A1183" s="4"/>
      <c r="B1183" s="3"/>
      <c r="C1183" s="3"/>
      <c r="D1183" s="3"/>
      <c r="E1183" s="6"/>
      <c r="F1183" s="33"/>
      <c r="G1183" s="3"/>
      <c r="H1183" s="3"/>
      <c r="K1183" s="3"/>
      <c r="L1183" s="3"/>
      <c r="M1183" s="3"/>
      <c r="N1183" s="3"/>
      <c r="O1183" s="3"/>
      <c r="Q1183" s="3"/>
      <c r="S1183" s="27" t="s">
        <v>1975</v>
      </c>
      <c r="T1183" s="27" t="str">
        <f>IFERROR(__xludf.DUMMYFUNCTION("""COMPUTED_VALUE"""),"")</f>
        <v/>
      </c>
      <c r="U1183" s="1" t="s">
        <v>1975</v>
      </c>
    </row>
    <row r="1184">
      <c r="A1184" s="4"/>
      <c r="B1184" s="3"/>
      <c r="C1184" s="3"/>
      <c r="D1184" s="3"/>
      <c r="E1184" s="6"/>
      <c r="F1184" s="33"/>
      <c r="G1184" s="3"/>
      <c r="H1184" s="3"/>
      <c r="K1184" s="3"/>
      <c r="L1184" s="3"/>
      <c r="M1184" s="3"/>
      <c r="N1184" s="3"/>
      <c r="O1184" s="3"/>
      <c r="Q1184" s="3"/>
      <c r="S1184" s="27" t="s">
        <v>1975</v>
      </c>
      <c r="T1184" s="27" t="str">
        <f>IFERROR(__xludf.DUMMYFUNCTION("""COMPUTED_VALUE"""),"")</f>
        <v/>
      </c>
      <c r="U1184" s="1" t="s">
        <v>1975</v>
      </c>
    </row>
    <row r="1185">
      <c r="A1185" s="4"/>
      <c r="B1185" s="3"/>
      <c r="C1185" s="3"/>
      <c r="D1185" s="3"/>
      <c r="E1185" s="6"/>
      <c r="F1185" s="33"/>
      <c r="G1185" s="3"/>
      <c r="H1185" s="3"/>
      <c r="K1185" s="3"/>
      <c r="L1185" s="3"/>
      <c r="M1185" s="3"/>
      <c r="N1185" s="3"/>
      <c r="O1185" s="3"/>
      <c r="Q1185" s="3"/>
      <c r="S1185" s="27" t="s">
        <v>1975</v>
      </c>
      <c r="T1185" s="27" t="str">
        <f>IFERROR(__xludf.DUMMYFUNCTION("""COMPUTED_VALUE"""),"")</f>
        <v/>
      </c>
      <c r="U1185" s="1" t="s">
        <v>1975</v>
      </c>
    </row>
    <row r="1186">
      <c r="A1186" s="4"/>
      <c r="B1186" s="3"/>
      <c r="C1186" s="3"/>
      <c r="D1186" s="3"/>
      <c r="E1186" s="6"/>
      <c r="F1186" s="33"/>
      <c r="G1186" s="3"/>
      <c r="H1186" s="3"/>
      <c r="K1186" s="3"/>
      <c r="L1186" s="3"/>
      <c r="M1186" s="3"/>
      <c r="N1186" s="3"/>
      <c r="O1186" s="3"/>
      <c r="Q1186" s="3"/>
      <c r="S1186" s="27" t="s">
        <v>1975</v>
      </c>
      <c r="T1186" s="27" t="str">
        <f>IFERROR(__xludf.DUMMYFUNCTION("""COMPUTED_VALUE"""),"")</f>
        <v/>
      </c>
      <c r="U1186" s="1" t="s">
        <v>1975</v>
      </c>
    </row>
    <row r="1187">
      <c r="A1187" s="4"/>
      <c r="B1187" s="3"/>
      <c r="C1187" s="3"/>
      <c r="D1187" s="3"/>
      <c r="E1187" s="6"/>
      <c r="F1187" s="33"/>
      <c r="G1187" s="3"/>
      <c r="H1187" s="3"/>
      <c r="K1187" s="3"/>
      <c r="L1187" s="3"/>
      <c r="M1187" s="3"/>
      <c r="N1187" s="3"/>
      <c r="O1187" s="3"/>
      <c r="Q1187" s="3"/>
      <c r="S1187" s="27" t="s">
        <v>1975</v>
      </c>
      <c r="T1187" s="27" t="str">
        <f>IFERROR(__xludf.DUMMYFUNCTION("""COMPUTED_VALUE"""),"")</f>
        <v/>
      </c>
      <c r="U1187" s="1" t="s">
        <v>1975</v>
      </c>
    </row>
    <row r="1188">
      <c r="A1188" s="4"/>
      <c r="B1188" s="3"/>
      <c r="C1188" s="3"/>
      <c r="D1188" s="3"/>
      <c r="E1188" s="6"/>
      <c r="F1188" s="33"/>
      <c r="G1188" s="3"/>
      <c r="H1188" s="3"/>
      <c r="K1188" s="3"/>
      <c r="L1188" s="3"/>
      <c r="M1188" s="3"/>
      <c r="N1188" s="3"/>
      <c r="O1188" s="3"/>
      <c r="Q1188" s="3"/>
      <c r="S1188" s="27" t="s">
        <v>1975</v>
      </c>
      <c r="T1188" s="27" t="str">
        <f>IFERROR(__xludf.DUMMYFUNCTION("""COMPUTED_VALUE"""),"")</f>
        <v/>
      </c>
      <c r="U1188" s="1" t="s">
        <v>1975</v>
      </c>
    </row>
    <row r="1189">
      <c r="A1189" s="4"/>
      <c r="B1189" s="3"/>
      <c r="C1189" s="3"/>
      <c r="D1189" s="3"/>
      <c r="E1189" s="6"/>
      <c r="F1189" s="33"/>
      <c r="G1189" s="3"/>
      <c r="H1189" s="3"/>
      <c r="K1189" s="3"/>
      <c r="L1189" s="3"/>
      <c r="M1189" s="3"/>
      <c r="N1189" s="3"/>
      <c r="O1189" s="3"/>
      <c r="Q1189" s="3"/>
      <c r="S1189" s="27" t="s">
        <v>1975</v>
      </c>
      <c r="T1189" s="27" t="str">
        <f>IFERROR(__xludf.DUMMYFUNCTION("""COMPUTED_VALUE"""),"")</f>
        <v/>
      </c>
      <c r="U1189" s="1" t="s">
        <v>1975</v>
      </c>
    </row>
    <row r="1190">
      <c r="A1190" s="4"/>
      <c r="B1190" s="3"/>
      <c r="C1190" s="3"/>
      <c r="D1190" s="3"/>
      <c r="E1190" s="6"/>
      <c r="F1190" s="33"/>
      <c r="G1190" s="3"/>
      <c r="H1190" s="3"/>
      <c r="K1190" s="3"/>
      <c r="L1190" s="3"/>
      <c r="M1190" s="3"/>
      <c r="N1190" s="3"/>
      <c r="O1190" s="3"/>
      <c r="Q1190" s="3"/>
      <c r="S1190" s="27" t="s">
        <v>1975</v>
      </c>
      <c r="T1190" s="27" t="str">
        <f>IFERROR(__xludf.DUMMYFUNCTION("""COMPUTED_VALUE"""),"")</f>
        <v/>
      </c>
      <c r="U1190" s="1" t="s">
        <v>1975</v>
      </c>
    </row>
    <row r="1191">
      <c r="A1191" s="4"/>
      <c r="B1191" s="3"/>
      <c r="C1191" s="3"/>
      <c r="D1191" s="3"/>
      <c r="E1191" s="6"/>
      <c r="F1191" s="33"/>
      <c r="G1191" s="3"/>
      <c r="H1191" s="3"/>
      <c r="K1191" s="3"/>
      <c r="L1191" s="3"/>
      <c r="M1191" s="3"/>
      <c r="N1191" s="3"/>
      <c r="O1191" s="3"/>
      <c r="Q1191" s="3"/>
      <c r="S1191" s="27" t="s">
        <v>1975</v>
      </c>
      <c r="T1191" s="27" t="str">
        <f>IFERROR(__xludf.DUMMYFUNCTION("""COMPUTED_VALUE"""),"")</f>
        <v/>
      </c>
      <c r="U1191" s="1" t="s">
        <v>1975</v>
      </c>
    </row>
    <row r="1192">
      <c r="A1192" s="4"/>
      <c r="B1192" s="3"/>
      <c r="C1192" s="3"/>
      <c r="D1192" s="3"/>
      <c r="E1192" s="6"/>
      <c r="F1192" s="33"/>
      <c r="G1192" s="3"/>
      <c r="H1192" s="3"/>
      <c r="K1192" s="3"/>
      <c r="L1192" s="3"/>
      <c r="M1192" s="3"/>
      <c r="N1192" s="3"/>
      <c r="O1192" s="3"/>
      <c r="Q1192" s="3"/>
      <c r="S1192" s="27" t="s">
        <v>1975</v>
      </c>
      <c r="T1192" s="27" t="str">
        <f>IFERROR(__xludf.DUMMYFUNCTION("""COMPUTED_VALUE"""),"")</f>
        <v/>
      </c>
      <c r="U1192" s="1" t="s">
        <v>1975</v>
      </c>
    </row>
    <row r="1193">
      <c r="A1193" s="4"/>
      <c r="B1193" s="3"/>
      <c r="C1193" s="3"/>
      <c r="D1193" s="3"/>
      <c r="E1193" s="6"/>
      <c r="F1193" s="33"/>
      <c r="G1193" s="3"/>
      <c r="H1193" s="3"/>
      <c r="K1193" s="3"/>
      <c r="L1193" s="3"/>
      <c r="M1193" s="3"/>
      <c r="N1193" s="3"/>
      <c r="O1193" s="3"/>
      <c r="Q1193" s="3"/>
      <c r="S1193" s="27" t="s">
        <v>1975</v>
      </c>
      <c r="T1193" s="27" t="str">
        <f>IFERROR(__xludf.DUMMYFUNCTION("""COMPUTED_VALUE"""),"")</f>
        <v/>
      </c>
      <c r="U1193" s="1" t="s">
        <v>1975</v>
      </c>
    </row>
    <row r="1194">
      <c r="A1194" s="4"/>
      <c r="B1194" s="3"/>
      <c r="C1194" s="3"/>
      <c r="D1194" s="3"/>
      <c r="E1194" s="6"/>
      <c r="F1194" s="33"/>
      <c r="G1194" s="3"/>
      <c r="H1194" s="3"/>
      <c r="K1194" s="3"/>
      <c r="L1194" s="3"/>
      <c r="M1194" s="3"/>
      <c r="N1194" s="3"/>
      <c r="O1194" s="3"/>
      <c r="Q1194" s="3"/>
      <c r="S1194" s="27" t="s">
        <v>1975</v>
      </c>
      <c r="T1194" s="27" t="str">
        <f>IFERROR(__xludf.DUMMYFUNCTION("""COMPUTED_VALUE"""),"")</f>
        <v/>
      </c>
      <c r="U1194" s="1" t="s">
        <v>1975</v>
      </c>
    </row>
    <row r="1195">
      <c r="A1195" s="4"/>
      <c r="B1195" s="3"/>
      <c r="C1195" s="3"/>
      <c r="D1195" s="3"/>
      <c r="E1195" s="6"/>
      <c r="F1195" s="33"/>
      <c r="G1195" s="3"/>
      <c r="H1195" s="3"/>
      <c r="K1195" s="3"/>
      <c r="L1195" s="3"/>
      <c r="M1195" s="3"/>
      <c r="N1195" s="3"/>
      <c r="O1195" s="3"/>
      <c r="Q1195" s="3"/>
      <c r="S1195" s="27" t="s">
        <v>1975</v>
      </c>
      <c r="T1195" s="27" t="str">
        <f>IFERROR(__xludf.DUMMYFUNCTION("""COMPUTED_VALUE"""),"")</f>
        <v/>
      </c>
      <c r="U1195" s="1" t="s">
        <v>1975</v>
      </c>
    </row>
    <row r="1196">
      <c r="A1196" s="4"/>
      <c r="B1196" s="3"/>
      <c r="C1196" s="3"/>
      <c r="D1196" s="3"/>
      <c r="E1196" s="6"/>
      <c r="F1196" s="33"/>
      <c r="G1196" s="3"/>
      <c r="H1196" s="3"/>
      <c r="K1196" s="3"/>
      <c r="L1196" s="3"/>
      <c r="M1196" s="3"/>
      <c r="N1196" s="3"/>
      <c r="O1196" s="3"/>
      <c r="Q1196" s="3"/>
      <c r="S1196" s="27" t="s">
        <v>1975</v>
      </c>
      <c r="T1196" s="27" t="str">
        <f>IFERROR(__xludf.DUMMYFUNCTION("""COMPUTED_VALUE"""),"")</f>
        <v/>
      </c>
      <c r="U1196" s="1" t="s">
        <v>1975</v>
      </c>
    </row>
    <row r="1197">
      <c r="A1197" s="4"/>
      <c r="B1197" s="3"/>
      <c r="C1197" s="3"/>
      <c r="D1197" s="3"/>
      <c r="E1197" s="6"/>
      <c r="F1197" s="33"/>
      <c r="G1197" s="3"/>
      <c r="H1197" s="3"/>
      <c r="K1197" s="3"/>
      <c r="L1197" s="3"/>
      <c r="M1197" s="3"/>
      <c r="N1197" s="3"/>
      <c r="O1197" s="3"/>
      <c r="Q1197" s="3"/>
      <c r="S1197" s="27" t="s">
        <v>1975</v>
      </c>
      <c r="T1197" s="27" t="str">
        <f>IFERROR(__xludf.DUMMYFUNCTION("""COMPUTED_VALUE"""),"")</f>
        <v/>
      </c>
      <c r="U1197" s="1" t="s">
        <v>1975</v>
      </c>
    </row>
    <row r="1198">
      <c r="A1198" s="4"/>
      <c r="B1198" s="3"/>
      <c r="C1198" s="3"/>
      <c r="D1198" s="3"/>
      <c r="E1198" s="6"/>
      <c r="F1198" s="33"/>
      <c r="G1198" s="3"/>
      <c r="H1198" s="3"/>
      <c r="K1198" s="3"/>
      <c r="L1198" s="3"/>
      <c r="M1198" s="3"/>
      <c r="N1198" s="3"/>
      <c r="O1198" s="3"/>
      <c r="Q1198" s="3"/>
      <c r="S1198" s="27" t="s">
        <v>1975</v>
      </c>
      <c r="T1198" s="27" t="str">
        <f>IFERROR(__xludf.DUMMYFUNCTION("""COMPUTED_VALUE"""),"")</f>
        <v/>
      </c>
      <c r="U1198" s="1" t="s">
        <v>1975</v>
      </c>
    </row>
    <row r="1199">
      <c r="A1199" s="4"/>
      <c r="B1199" s="3"/>
      <c r="C1199" s="3"/>
      <c r="D1199" s="3"/>
      <c r="E1199" s="6"/>
      <c r="F1199" s="33"/>
      <c r="G1199" s="3"/>
      <c r="H1199" s="3"/>
      <c r="K1199" s="3"/>
      <c r="L1199" s="3"/>
      <c r="M1199" s="3"/>
      <c r="N1199" s="3"/>
      <c r="O1199" s="3"/>
      <c r="Q1199" s="3"/>
      <c r="S1199" s="27" t="s">
        <v>1975</v>
      </c>
      <c r="T1199" s="27" t="str">
        <f>IFERROR(__xludf.DUMMYFUNCTION("""COMPUTED_VALUE"""),"")</f>
        <v/>
      </c>
      <c r="U1199" s="1" t="s">
        <v>1975</v>
      </c>
    </row>
    <row r="1200">
      <c r="A1200" s="4"/>
      <c r="B1200" s="3"/>
      <c r="C1200" s="3"/>
      <c r="D1200" s="3"/>
      <c r="E1200" s="6"/>
      <c r="F1200" s="33"/>
      <c r="G1200" s="3"/>
      <c r="H1200" s="3"/>
      <c r="K1200" s="3"/>
      <c r="L1200" s="3"/>
      <c r="M1200" s="3"/>
      <c r="N1200" s="3"/>
      <c r="O1200" s="3"/>
      <c r="Q1200" s="3"/>
      <c r="S1200" s="27" t="s">
        <v>1975</v>
      </c>
      <c r="T1200" s="27" t="str">
        <f>IFERROR(__xludf.DUMMYFUNCTION("""COMPUTED_VALUE"""),"")</f>
        <v/>
      </c>
      <c r="U1200" s="1" t="s">
        <v>1975</v>
      </c>
    </row>
    <row r="1201">
      <c r="A1201" s="4"/>
      <c r="B1201" s="3"/>
      <c r="C1201" s="3"/>
      <c r="D1201" s="3"/>
      <c r="E1201" s="6"/>
      <c r="F1201" s="33"/>
      <c r="G1201" s="3"/>
      <c r="H1201" s="3"/>
      <c r="K1201" s="3"/>
      <c r="L1201" s="3"/>
      <c r="M1201" s="3"/>
      <c r="N1201" s="3"/>
      <c r="O1201" s="3"/>
      <c r="Q1201" s="3"/>
      <c r="S1201" s="27" t="s">
        <v>1975</v>
      </c>
      <c r="T1201" s="27" t="str">
        <f>IFERROR(__xludf.DUMMYFUNCTION("""COMPUTED_VALUE"""),"")</f>
        <v/>
      </c>
      <c r="U1201" s="1" t="s">
        <v>1975</v>
      </c>
    </row>
    <row r="1202">
      <c r="A1202" s="4"/>
      <c r="B1202" s="3"/>
      <c r="C1202" s="3"/>
      <c r="D1202" s="3"/>
      <c r="E1202" s="6"/>
      <c r="F1202" s="33"/>
      <c r="G1202" s="3"/>
      <c r="H1202" s="3"/>
      <c r="K1202" s="3"/>
      <c r="L1202" s="3"/>
      <c r="M1202" s="3"/>
      <c r="N1202" s="3"/>
      <c r="O1202" s="3"/>
      <c r="Q1202" s="3"/>
      <c r="S1202" s="27" t="s">
        <v>1975</v>
      </c>
      <c r="T1202" s="27" t="str">
        <f>IFERROR(__xludf.DUMMYFUNCTION("""COMPUTED_VALUE"""),"")</f>
        <v/>
      </c>
      <c r="U1202" s="1" t="s">
        <v>1975</v>
      </c>
    </row>
    <row r="1203">
      <c r="A1203" s="4"/>
      <c r="B1203" s="3"/>
      <c r="C1203" s="3"/>
      <c r="D1203" s="3"/>
      <c r="E1203" s="6"/>
      <c r="F1203" s="33"/>
      <c r="G1203" s="3"/>
      <c r="H1203" s="3"/>
      <c r="K1203" s="3"/>
      <c r="L1203" s="3"/>
      <c r="M1203" s="3"/>
      <c r="N1203" s="3"/>
      <c r="O1203" s="3"/>
      <c r="Q1203" s="3"/>
      <c r="S1203" s="27" t="s">
        <v>1975</v>
      </c>
      <c r="T1203" s="27" t="str">
        <f>IFERROR(__xludf.DUMMYFUNCTION("""COMPUTED_VALUE"""),"")</f>
        <v/>
      </c>
      <c r="U1203" s="1" t="s">
        <v>1975</v>
      </c>
    </row>
    <row r="1204">
      <c r="A1204" s="4"/>
      <c r="B1204" s="3"/>
      <c r="C1204" s="3"/>
      <c r="D1204" s="3"/>
      <c r="E1204" s="6"/>
      <c r="F1204" s="33"/>
      <c r="G1204" s="3"/>
      <c r="H1204" s="3"/>
      <c r="K1204" s="3"/>
      <c r="L1204" s="3"/>
      <c r="M1204" s="3"/>
      <c r="N1204" s="3"/>
      <c r="O1204" s="3"/>
      <c r="Q1204" s="3"/>
      <c r="S1204" s="27" t="s">
        <v>1975</v>
      </c>
      <c r="T1204" s="27" t="str">
        <f>IFERROR(__xludf.DUMMYFUNCTION("""COMPUTED_VALUE"""),"")</f>
        <v/>
      </c>
      <c r="U1204" s="1" t="s">
        <v>1975</v>
      </c>
    </row>
    <row r="1205">
      <c r="A1205" s="4"/>
      <c r="B1205" s="3"/>
      <c r="C1205" s="3"/>
      <c r="D1205" s="3"/>
      <c r="E1205" s="6"/>
      <c r="F1205" s="33"/>
      <c r="G1205" s="3"/>
      <c r="H1205" s="3"/>
      <c r="K1205" s="3"/>
      <c r="L1205" s="3"/>
      <c r="M1205" s="3"/>
      <c r="N1205" s="3"/>
      <c r="O1205" s="3"/>
      <c r="Q1205" s="3"/>
      <c r="S1205" s="27" t="s">
        <v>1975</v>
      </c>
      <c r="T1205" s="27" t="str">
        <f>IFERROR(__xludf.DUMMYFUNCTION("""COMPUTED_VALUE"""),"")</f>
        <v/>
      </c>
      <c r="U1205" s="1" t="s">
        <v>1975</v>
      </c>
    </row>
    <row r="1206">
      <c r="A1206" s="4"/>
      <c r="B1206" s="3"/>
      <c r="C1206" s="3"/>
      <c r="D1206" s="3"/>
      <c r="E1206" s="6"/>
      <c r="F1206" s="33"/>
      <c r="G1206" s="3"/>
      <c r="H1206" s="3"/>
      <c r="K1206" s="3"/>
      <c r="L1206" s="3"/>
      <c r="M1206" s="3"/>
      <c r="N1206" s="3"/>
      <c r="O1206" s="3"/>
      <c r="Q1206" s="3"/>
      <c r="S1206" s="27" t="s">
        <v>1975</v>
      </c>
      <c r="T1206" s="27" t="str">
        <f>IFERROR(__xludf.DUMMYFUNCTION("""COMPUTED_VALUE"""),"")</f>
        <v/>
      </c>
      <c r="U1206" s="1" t="s">
        <v>1975</v>
      </c>
    </row>
    <row r="1207">
      <c r="A1207" s="4"/>
      <c r="B1207" s="3"/>
      <c r="C1207" s="3"/>
      <c r="D1207" s="3"/>
      <c r="E1207" s="6"/>
      <c r="F1207" s="33"/>
      <c r="G1207" s="3"/>
      <c r="H1207" s="3"/>
      <c r="K1207" s="3"/>
      <c r="L1207" s="3"/>
      <c r="M1207" s="3"/>
      <c r="N1207" s="3"/>
      <c r="O1207" s="3"/>
      <c r="Q1207" s="3"/>
      <c r="S1207" s="27" t="s">
        <v>1975</v>
      </c>
      <c r="T1207" s="27" t="str">
        <f>IFERROR(__xludf.DUMMYFUNCTION("""COMPUTED_VALUE"""),"")</f>
        <v/>
      </c>
      <c r="U1207" s="1" t="s">
        <v>1975</v>
      </c>
    </row>
    <row r="1208">
      <c r="A1208" s="4"/>
      <c r="B1208" s="3"/>
      <c r="C1208" s="3"/>
      <c r="D1208" s="3"/>
      <c r="E1208" s="6"/>
      <c r="F1208" s="33"/>
      <c r="G1208" s="3"/>
      <c r="H1208" s="3"/>
      <c r="K1208" s="3"/>
      <c r="L1208" s="3"/>
      <c r="M1208" s="3"/>
      <c r="N1208" s="3"/>
      <c r="O1208" s="3"/>
      <c r="Q1208" s="3"/>
      <c r="S1208" s="27" t="s">
        <v>1975</v>
      </c>
      <c r="T1208" s="27" t="str">
        <f>IFERROR(__xludf.DUMMYFUNCTION("""COMPUTED_VALUE"""),"")</f>
        <v/>
      </c>
      <c r="U1208" s="1" t="s">
        <v>1975</v>
      </c>
    </row>
    <row r="1209">
      <c r="A1209" s="4"/>
      <c r="B1209" s="3"/>
      <c r="C1209" s="3"/>
      <c r="D1209" s="3"/>
      <c r="E1209" s="6"/>
      <c r="F1209" s="33"/>
      <c r="G1209" s="3"/>
      <c r="H1209" s="3"/>
      <c r="K1209" s="3"/>
      <c r="L1209" s="3"/>
      <c r="M1209" s="3"/>
      <c r="N1209" s="3"/>
      <c r="O1209" s="3"/>
      <c r="Q1209" s="3"/>
      <c r="S1209" s="27" t="s">
        <v>1975</v>
      </c>
      <c r="T1209" s="27" t="str">
        <f>IFERROR(__xludf.DUMMYFUNCTION("""COMPUTED_VALUE"""),"")</f>
        <v/>
      </c>
      <c r="U1209" s="1" t="s">
        <v>1975</v>
      </c>
    </row>
    <row r="1210">
      <c r="A1210" s="4"/>
      <c r="B1210" s="3"/>
      <c r="C1210" s="3"/>
      <c r="D1210" s="3"/>
      <c r="E1210" s="6"/>
      <c r="F1210" s="33"/>
      <c r="G1210" s="3"/>
      <c r="H1210" s="3"/>
      <c r="K1210" s="3"/>
      <c r="L1210" s="3"/>
      <c r="M1210" s="3"/>
      <c r="N1210" s="3"/>
      <c r="O1210" s="3"/>
      <c r="Q1210" s="3"/>
      <c r="S1210" s="27" t="s">
        <v>1975</v>
      </c>
      <c r="T1210" s="27" t="str">
        <f>IFERROR(__xludf.DUMMYFUNCTION("""COMPUTED_VALUE"""),"")</f>
        <v/>
      </c>
      <c r="U1210" s="1" t="s">
        <v>1975</v>
      </c>
    </row>
    <row r="1211">
      <c r="A1211" s="4"/>
      <c r="B1211" s="3"/>
      <c r="C1211" s="3"/>
      <c r="D1211" s="3"/>
      <c r="E1211" s="6"/>
      <c r="F1211" s="33"/>
      <c r="G1211" s="3"/>
      <c r="H1211" s="3"/>
      <c r="K1211" s="3"/>
      <c r="L1211" s="3"/>
      <c r="M1211" s="3"/>
      <c r="N1211" s="3"/>
      <c r="O1211" s="3"/>
      <c r="Q1211" s="3"/>
      <c r="S1211" s="27" t="s">
        <v>1975</v>
      </c>
      <c r="T1211" s="27" t="str">
        <f>IFERROR(__xludf.DUMMYFUNCTION("""COMPUTED_VALUE"""),"")</f>
        <v/>
      </c>
      <c r="U1211" s="1" t="s">
        <v>1975</v>
      </c>
    </row>
    <row r="1212">
      <c r="A1212" s="4"/>
      <c r="B1212" s="3"/>
      <c r="C1212" s="3"/>
      <c r="D1212" s="3"/>
      <c r="E1212" s="6"/>
      <c r="F1212" s="33"/>
      <c r="G1212" s="3"/>
      <c r="H1212" s="3"/>
      <c r="K1212" s="3"/>
      <c r="L1212" s="3"/>
      <c r="M1212" s="3"/>
      <c r="N1212" s="3"/>
      <c r="O1212" s="3"/>
      <c r="Q1212" s="3"/>
      <c r="S1212" s="27" t="s">
        <v>1975</v>
      </c>
      <c r="T1212" s="27" t="str">
        <f>IFERROR(__xludf.DUMMYFUNCTION("""COMPUTED_VALUE"""),"")</f>
        <v/>
      </c>
      <c r="U1212" s="1" t="s">
        <v>1975</v>
      </c>
    </row>
    <row r="1213">
      <c r="A1213" s="4"/>
      <c r="B1213" s="3"/>
      <c r="C1213" s="3"/>
      <c r="D1213" s="3"/>
      <c r="E1213" s="6"/>
      <c r="F1213" s="33"/>
      <c r="G1213" s="3"/>
      <c r="H1213" s="3"/>
      <c r="K1213" s="3"/>
      <c r="L1213" s="3"/>
      <c r="M1213" s="3"/>
      <c r="N1213" s="3"/>
      <c r="O1213" s="3"/>
      <c r="Q1213" s="3"/>
      <c r="S1213" s="27" t="s">
        <v>1975</v>
      </c>
      <c r="T1213" s="27" t="str">
        <f>IFERROR(__xludf.DUMMYFUNCTION("""COMPUTED_VALUE"""),"")</f>
        <v/>
      </c>
      <c r="U1213" s="1" t="s">
        <v>1975</v>
      </c>
    </row>
    <row r="1214">
      <c r="A1214" s="4"/>
      <c r="B1214" s="3"/>
      <c r="C1214" s="3"/>
      <c r="D1214" s="3"/>
      <c r="E1214" s="6"/>
      <c r="F1214" s="33"/>
      <c r="G1214" s="3"/>
      <c r="H1214" s="3"/>
      <c r="K1214" s="3"/>
      <c r="L1214" s="3"/>
      <c r="M1214" s="3"/>
      <c r="N1214" s="3"/>
      <c r="O1214" s="3"/>
      <c r="Q1214" s="3"/>
      <c r="S1214" s="27" t="s">
        <v>1975</v>
      </c>
      <c r="T1214" s="27" t="str">
        <f>IFERROR(__xludf.DUMMYFUNCTION("""COMPUTED_VALUE"""),"")</f>
        <v/>
      </c>
      <c r="U1214" s="1" t="s">
        <v>1975</v>
      </c>
    </row>
    <row r="1215">
      <c r="A1215" s="4"/>
      <c r="B1215" s="3"/>
      <c r="C1215" s="3"/>
      <c r="D1215" s="3"/>
      <c r="E1215" s="6"/>
      <c r="F1215" s="33"/>
      <c r="G1215" s="3"/>
      <c r="H1215" s="3"/>
      <c r="K1215" s="3"/>
      <c r="L1215" s="3"/>
      <c r="M1215" s="3"/>
      <c r="N1215" s="3"/>
      <c r="O1215" s="3"/>
      <c r="Q1215" s="3"/>
      <c r="S1215" s="27" t="s">
        <v>1975</v>
      </c>
      <c r="T1215" s="27" t="str">
        <f>IFERROR(__xludf.DUMMYFUNCTION("""COMPUTED_VALUE"""),"")</f>
        <v/>
      </c>
      <c r="U1215" s="1" t="s">
        <v>1975</v>
      </c>
    </row>
    <row r="1216">
      <c r="A1216" s="4"/>
      <c r="B1216" s="3"/>
      <c r="C1216" s="3"/>
      <c r="D1216" s="3"/>
      <c r="E1216" s="6"/>
      <c r="F1216" s="33"/>
      <c r="G1216" s="3"/>
      <c r="H1216" s="3"/>
      <c r="K1216" s="3"/>
      <c r="L1216" s="3"/>
      <c r="M1216" s="3"/>
      <c r="N1216" s="3"/>
      <c r="O1216" s="3"/>
      <c r="Q1216" s="3"/>
      <c r="S1216" s="27" t="s">
        <v>1975</v>
      </c>
      <c r="T1216" s="27" t="str">
        <f>IFERROR(__xludf.DUMMYFUNCTION("""COMPUTED_VALUE"""),"")</f>
        <v/>
      </c>
      <c r="U1216" s="1" t="s">
        <v>1975</v>
      </c>
    </row>
    <row r="1217">
      <c r="A1217" s="4"/>
      <c r="B1217" s="3"/>
      <c r="C1217" s="3"/>
      <c r="D1217" s="3"/>
      <c r="E1217" s="6"/>
      <c r="F1217" s="33"/>
      <c r="G1217" s="3"/>
      <c r="H1217" s="3"/>
      <c r="K1217" s="3"/>
      <c r="L1217" s="3"/>
      <c r="M1217" s="3"/>
      <c r="N1217" s="3"/>
      <c r="O1217" s="3"/>
      <c r="Q1217" s="3"/>
      <c r="S1217" s="27" t="s">
        <v>1975</v>
      </c>
      <c r="T1217" s="27" t="str">
        <f>IFERROR(__xludf.DUMMYFUNCTION("""COMPUTED_VALUE"""),"")</f>
        <v/>
      </c>
      <c r="U1217" s="1" t="s">
        <v>1975</v>
      </c>
    </row>
    <row r="1218">
      <c r="A1218" s="4"/>
      <c r="B1218" s="3"/>
      <c r="C1218" s="3"/>
      <c r="D1218" s="3"/>
      <c r="E1218" s="6"/>
      <c r="F1218" s="33"/>
      <c r="G1218" s="3"/>
      <c r="H1218" s="3"/>
      <c r="K1218" s="3"/>
      <c r="L1218" s="3"/>
      <c r="M1218" s="3"/>
      <c r="N1218" s="3"/>
      <c r="O1218" s="3"/>
      <c r="Q1218" s="3"/>
      <c r="S1218" s="27" t="s">
        <v>1975</v>
      </c>
      <c r="T1218" s="27" t="str">
        <f>IFERROR(__xludf.DUMMYFUNCTION("""COMPUTED_VALUE"""),"")</f>
        <v/>
      </c>
      <c r="U1218" s="1" t="s">
        <v>1975</v>
      </c>
    </row>
    <row r="1219">
      <c r="A1219" s="4"/>
      <c r="B1219" s="3"/>
      <c r="C1219" s="3"/>
      <c r="D1219" s="3"/>
      <c r="E1219" s="6"/>
      <c r="F1219" s="33"/>
      <c r="G1219" s="3"/>
      <c r="H1219" s="3"/>
      <c r="K1219" s="3"/>
      <c r="L1219" s="3"/>
      <c r="M1219" s="3"/>
      <c r="N1219" s="3"/>
      <c r="O1219" s="3"/>
      <c r="Q1219" s="3"/>
      <c r="S1219" s="27" t="s">
        <v>1975</v>
      </c>
      <c r="T1219" s="27" t="str">
        <f>IFERROR(__xludf.DUMMYFUNCTION("""COMPUTED_VALUE"""),"")</f>
        <v/>
      </c>
      <c r="U1219" s="1" t="s">
        <v>1975</v>
      </c>
    </row>
    <row r="1220">
      <c r="A1220" s="4"/>
      <c r="B1220" s="3"/>
      <c r="C1220" s="3"/>
      <c r="D1220" s="3"/>
      <c r="E1220" s="6"/>
      <c r="F1220" s="33"/>
      <c r="G1220" s="3"/>
      <c r="H1220" s="3"/>
      <c r="K1220" s="3"/>
      <c r="L1220" s="3"/>
      <c r="M1220" s="3"/>
      <c r="N1220" s="3"/>
      <c r="O1220" s="3"/>
      <c r="Q1220" s="3"/>
      <c r="S1220" s="27" t="s">
        <v>1975</v>
      </c>
      <c r="T1220" s="27" t="str">
        <f>IFERROR(__xludf.DUMMYFUNCTION("""COMPUTED_VALUE"""),"")</f>
        <v/>
      </c>
      <c r="U1220" s="1" t="s">
        <v>1975</v>
      </c>
    </row>
    <row r="1221">
      <c r="A1221" s="4"/>
      <c r="B1221" s="3"/>
      <c r="C1221" s="3"/>
      <c r="D1221" s="3"/>
      <c r="E1221" s="6"/>
      <c r="F1221" s="33"/>
      <c r="G1221" s="3"/>
      <c r="H1221" s="3"/>
      <c r="K1221" s="3"/>
      <c r="L1221" s="3"/>
      <c r="M1221" s="3"/>
      <c r="N1221" s="3"/>
      <c r="O1221" s="3"/>
      <c r="Q1221" s="3"/>
      <c r="S1221" s="27" t="s">
        <v>1975</v>
      </c>
      <c r="T1221" s="27" t="str">
        <f>IFERROR(__xludf.DUMMYFUNCTION("""COMPUTED_VALUE"""),"")</f>
        <v/>
      </c>
      <c r="U1221" s="1" t="s">
        <v>1975</v>
      </c>
    </row>
    <row r="1222">
      <c r="A1222" s="4"/>
      <c r="B1222" s="3"/>
      <c r="C1222" s="3"/>
      <c r="D1222" s="3"/>
      <c r="E1222" s="6"/>
      <c r="F1222" s="33"/>
      <c r="G1222" s="3"/>
      <c r="H1222" s="3"/>
      <c r="K1222" s="3"/>
      <c r="L1222" s="3"/>
      <c r="M1222" s="3"/>
      <c r="N1222" s="3"/>
      <c r="O1222" s="3"/>
      <c r="Q1222" s="3"/>
      <c r="S1222" s="27" t="s">
        <v>1975</v>
      </c>
      <c r="T1222" s="27" t="str">
        <f>IFERROR(__xludf.DUMMYFUNCTION("""COMPUTED_VALUE"""),"")</f>
        <v/>
      </c>
      <c r="U1222" s="1" t="s">
        <v>1975</v>
      </c>
    </row>
    <row r="1223">
      <c r="A1223" s="4"/>
      <c r="B1223" s="3"/>
      <c r="C1223" s="3"/>
      <c r="D1223" s="3"/>
      <c r="E1223" s="6"/>
      <c r="F1223" s="33"/>
      <c r="G1223" s="3"/>
      <c r="H1223" s="3"/>
      <c r="K1223" s="3"/>
      <c r="L1223" s="3"/>
      <c r="M1223" s="3"/>
      <c r="N1223" s="3"/>
      <c r="O1223" s="3"/>
      <c r="Q1223" s="3"/>
      <c r="S1223" s="27" t="s">
        <v>1975</v>
      </c>
      <c r="T1223" s="27" t="str">
        <f>IFERROR(__xludf.DUMMYFUNCTION("""COMPUTED_VALUE"""),"")</f>
        <v/>
      </c>
      <c r="U1223" s="1" t="s">
        <v>1975</v>
      </c>
    </row>
    <row r="1224">
      <c r="A1224" s="4"/>
      <c r="B1224" s="3"/>
      <c r="C1224" s="3"/>
      <c r="D1224" s="3"/>
      <c r="E1224" s="6"/>
      <c r="F1224" s="33"/>
      <c r="G1224" s="3"/>
      <c r="H1224" s="3"/>
      <c r="K1224" s="3"/>
      <c r="L1224" s="3"/>
      <c r="M1224" s="3"/>
      <c r="N1224" s="3"/>
      <c r="O1224" s="3"/>
      <c r="Q1224" s="3"/>
      <c r="S1224" s="27" t="s">
        <v>1975</v>
      </c>
      <c r="T1224" s="27" t="str">
        <f>IFERROR(__xludf.DUMMYFUNCTION("""COMPUTED_VALUE"""),"")</f>
        <v/>
      </c>
      <c r="U1224" s="1" t="s">
        <v>1975</v>
      </c>
    </row>
    <row r="1225">
      <c r="A1225" s="4"/>
      <c r="B1225" s="3"/>
      <c r="C1225" s="3"/>
      <c r="D1225" s="3"/>
      <c r="E1225" s="6"/>
      <c r="F1225" s="33"/>
      <c r="G1225" s="3"/>
      <c r="H1225" s="3"/>
      <c r="K1225" s="3"/>
      <c r="L1225" s="3"/>
      <c r="M1225" s="3"/>
      <c r="N1225" s="3"/>
      <c r="O1225" s="3"/>
      <c r="Q1225" s="3"/>
      <c r="S1225" s="27" t="s">
        <v>1975</v>
      </c>
      <c r="T1225" s="27" t="str">
        <f>IFERROR(__xludf.DUMMYFUNCTION("""COMPUTED_VALUE"""),"")</f>
        <v/>
      </c>
      <c r="U1225" s="1" t="s">
        <v>1975</v>
      </c>
    </row>
    <row r="1226">
      <c r="A1226" s="4"/>
      <c r="B1226" s="3"/>
      <c r="C1226" s="3"/>
      <c r="D1226" s="3"/>
      <c r="E1226" s="6"/>
      <c r="F1226" s="33"/>
      <c r="G1226" s="3"/>
      <c r="H1226" s="3"/>
      <c r="K1226" s="3"/>
      <c r="L1226" s="3"/>
      <c r="M1226" s="3"/>
      <c r="N1226" s="3"/>
      <c r="O1226" s="3"/>
      <c r="Q1226" s="3"/>
      <c r="S1226" s="27" t="s">
        <v>1975</v>
      </c>
      <c r="T1226" s="27" t="str">
        <f>IFERROR(__xludf.DUMMYFUNCTION("""COMPUTED_VALUE"""),"")</f>
        <v/>
      </c>
      <c r="U1226" s="1" t="s">
        <v>1975</v>
      </c>
    </row>
    <row r="1227">
      <c r="A1227" s="4"/>
      <c r="B1227" s="3"/>
      <c r="C1227" s="3"/>
      <c r="D1227" s="3"/>
      <c r="E1227" s="6"/>
      <c r="F1227" s="33"/>
      <c r="G1227" s="3"/>
      <c r="H1227" s="3"/>
      <c r="K1227" s="3"/>
      <c r="L1227" s="3"/>
      <c r="M1227" s="3"/>
      <c r="N1227" s="3"/>
      <c r="O1227" s="3"/>
      <c r="Q1227" s="3"/>
      <c r="S1227" s="27" t="s">
        <v>1975</v>
      </c>
      <c r="T1227" s="27" t="str">
        <f>IFERROR(__xludf.DUMMYFUNCTION("""COMPUTED_VALUE"""),"")</f>
        <v/>
      </c>
      <c r="U1227" s="1" t="s">
        <v>1975</v>
      </c>
    </row>
    <row r="1228">
      <c r="A1228" s="4"/>
      <c r="B1228" s="3"/>
      <c r="C1228" s="3"/>
      <c r="D1228" s="3"/>
      <c r="E1228" s="6"/>
      <c r="F1228" s="33"/>
      <c r="G1228" s="3"/>
      <c r="H1228" s="3"/>
      <c r="K1228" s="3"/>
      <c r="L1228" s="3"/>
      <c r="M1228" s="3"/>
      <c r="N1228" s="3"/>
      <c r="O1228" s="3"/>
      <c r="Q1228" s="3"/>
      <c r="S1228" s="27" t="s">
        <v>1975</v>
      </c>
      <c r="T1228" s="27" t="str">
        <f>IFERROR(__xludf.DUMMYFUNCTION("""COMPUTED_VALUE"""),"")</f>
        <v/>
      </c>
      <c r="U1228" s="1" t="s">
        <v>1975</v>
      </c>
    </row>
    <row r="1229">
      <c r="A1229" s="4"/>
      <c r="B1229" s="3"/>
      <c r="C1229" s="3"/>
      <c r="D1229" s="3"/>
      <c r="E1229" s="6"/>
      <c r="F1229" s="33"/>
      <c r="G1229" s="3"/>
      <c r="H1229" s="3"/>
      <c r="K1229" s="3"/>
      <c r="L1229" s="3"/>
      <c r="M1229" s="3"/>
      <c r="N1229" s="3"/>
      <c r="O1229" s="3"/>
      <c r="Q1229" s="3"/>
      <c r="S1229" s="27" t="s">
        <v>1975</v>
      </c>
      <c r="T1229" s="27" t="str">
        <f>IFERROR(__xludf.DUMMYFUNCTION("""COMPUTED_VALUE"""),"")</f>
        <v/>
      </c>
      <c r="U1229" s="1" t="s">
        <v>1975</v>
      </c>
    </row>
    <row r="1230">
      <c r="A1230" s="4"/>
      <c r="B1230" s="3"/>
      <c r="C1230" s="3"/>
      <c r="D1230" s="3"/>
      <c r="E1230" s="6"/>
      <c r="F1230" s="33"/>
      <c r="G1230" s="3"/>
      <c r="H1230" s="3"/>
      <c r="K1230" s="3"/>
      <c r="L1230" s="3"/>
      <c r="M1230" s="3"/>
      <c r="N1230" s="3"/>
      <c r="O1230" s="3"/>
      <c r="Q1230" s="3"/>
      <c r="S1230" s="27" t="s">
        <v>1975</v>
      </c>
      <c r="T1230" s="27" t="str">
        <f>IFERROR(__xludf.DUMMYFUNCTION("""COMPUTED_VALUE"""),"")</f>
        <v/>
      </c>
      <c r="U1230" s="1" t="s">
        <v>1975</v>
      </c>
    </row>
    <row r="1231">
      <c r="A1231" s="4"/>
      <c r="B1231" s="3"/>
      <c r="C1231" s="3"/>
      <c r="D1231" s="3"/>
      <c r="E1231" s="6"/>
      <c r="F1231" s="33"/>
      <c r="G1231" s="3"/>
      <c r="H1231" s="3"/>
      <c r="K1231" s="3"/>
      <c r="L1231" s="3"/>
      <c r="M1231" s="3"/>
      <c r="N1231" s="3"/>
      <c r="O1231" s="3"/>
      <c r="Q1231" s="3"/>
      <c r="S1231" s="27" t="s">
        <v>1975</v>
      </c>
      <c r="T1231" s="27" t="str">
        <f>IFERROR(__xludf.DUMMYFUNCTION("""COMPUTED_VALUE"""),"")</f>
        <v/>
      </c>
      <c r="U1231" s="1" t="s">
        <v>1975</v>
      </c>
    </row>
    <row r="1232">
      <c r="A1232" s="4"/>
      <c r="B1232" s="3"/>
      <c r="C1232" s="3"/>
      <c r="D1232" s="3"/>
      <c r="E1232" s="6"/>
      <c r="F1232" s="33"/>
      <c r="G1232" s="3"/>
      <c r="H1232" s="3"/>
      <c r="K1232" s="3"/>
      <c r="L1232" s="3"/>
      <c r="M1232" s="3"/>
      <c r="N1232" s="3"/>
      <c r="O1232" s="3"/>
      <c r="Q1232" s="3"/>
      <c r="S1232" s="27" t="s">
        <v>1975</v>
      </c>
      <c r="T1232" s="27" t="str">
        <f>IFERROR(__xludf.DUMMYFUNCTION("""COMPUTED_VALUE"""),"")</f>
        <v/>
      </c>
      <c r="U1232" s="1" t="s">
        <v>1975</v>
      </c>
    </row>
    <row r="1233">
      <c r="A1233" s="4"/>
      <c r="B1233" s="3"/>
      <c r="C1233" s="3"/>
      <c r="D1233" s="3"/>
      <c r="E1233" s="6"/>
      <c r="F1233" s="33"/>
      <c r="G1233" s="3"/>
      <c r="H1233" s="3"/>
      <c r="K1233" s="3"/>
      <c r="L1233" s="3"/>
      <c r="M1233" s="3"/>
      <c r="N1233" s="3"/>
      <c r="O1233" s="3"/>
      <c r="Q1233" s="3"/>
      <c r="S1233" s="27" t="s">
        <v>1975</v>
      </c>
      <c r="T1233" s="27" t="str">
        <f>IFERROR(__xludf.DUMMYFUNCTION("""COMPUTED_VALUE"""),"")</f>
        <v/>
      </c>
      <c r="U1233" s="1" t="s">
        <v>1975</v>
      </c>
    </row>
    <row r="1234">
      <c r="A1234" s="4"/>
      <c r="B1234" s="3"/>
      <c r="C1234" s="3"/>
      <c r="D1234" s="3"/>
      <c r="E1234" s="6"/>
      <c r="F1234" s="33"/>
      <c r="G1234" s="3"/>
      <c r="H1234" s="3"/>
      <c r="K1234" s="3"/>
      <c r="L1234" s="3"/>
      <c r="M1234" s="3"/>
      <c r="N1234" s="3"/>
      <c r="O1234" s="3"/>
      <c r="Q1234" s="3"/>
      <c r="S1234" s="27" t="s">
        <v>1975</v>
      </c>
      <c r="T1234" s="27" t="str">
        <f>IFERROR(__xludf.DUMMYFUNCTION("""COMPUTED_VALUE"""),"")</f>
        <v/>
      </c>
      <c r="U1234" s="1" t="s">
        <v>1975</v>
      </c>
    </row>
    <row r="1235">
      <c r="A1235" s="4"/>
      <c r="B1235" s="3"/>
      <c r="C1235" s="3"/>
      <c r="D1235" s="3"/>
      <c r="E1235" s="6"/>
      <c r="F1235" s="33"/>
      <c r="G1235" s="3"/>
      <c r="H1235" s="3"/>
      <c r="K1235" s="3"/>
      <c r="L1235" s="3"/>
      <c r="M1235" s="3"/>
      <c r="N1235" s="3"/>
      <c r="O1235" s="3"/>
      <c r="Q1235" s="3"/>
      <c r="S1235" s="27" t="s">
        <v>1975</v>
      </c>
      <c r="T1235" s="27" t="str">
        <f>IFERROR(__xludf.DUMMYFUNCTION("""COMPUTED_VALUE"""),"")</f>
        <v/>
      </c>
      <c r="U1235" s="1" t="s">
        <v>1975</v>
      </c>
    </row>
    <row r="1236">
      <c r="A1236" s="4"/>
      <c r="B1236" s="3"/>
      <c r="C1236" s="3"/>
      <c r="D1236" s="3"/>
      <c r="E1236" s="6"/>
      <c r="F1236" s="33"/>
      <c r="G1236" s="3"/>
      <c r="H1236" s="3"/>
      <c r="K1236" s="3"/>
      <c r="L1236" s="3"/>
      <c r="M1236" s="3"/>
      <c r="N1236" s="3"/>
      <c r="O1236" s="3"/>
      <c r="Q1236" s="3"/>
      <c r="S1236" s="27" t="s">
        <v>1975</v>
      </c>
      <c r="T1236" s="27" t="str">
        <f>IFERROR(__xludf.DUMMYFUNCTION("""COMPUTED_VALUE"""),"")</f>
        <v/>
      </c>
      <c r="U1236" s="1" t="s">
        <v>1975</v>
      </c>
    </row>
    <row r="1237">
      <c r="A1237" s="4"/>
      <c r="B1237" s="3"/>
      <c r="C1237" s="3"/>
      <c r="D1237" s="3"/>
      <c r="E1237" s="6"/>
      <c r="F1237" s="33"/>
      <c r="G1237" s="3"/>
      <c r="H1237" s="3"/>
      <c r="K1237" s="3"/>
      <c r="L1237" s="3"/>
      <c r="M1237" s="3"/>
      <c r="N1237" s="3"/>
      <c r="O1237" s="3"/>
      <c r="Q1237" s="3"/>
      <c r="S1237" s="27" t="s">
        <v>1975</v>
      </c>
      <c r="T1237" s="27" t="str">
        <f>IFERROR(__xludf.DUMMYFUNCTION("""COMPUTED_VALUE"""),"")</f>
        <v/>
      </c>
      <c r="U1237" s="1" t="s">
        <v>1975</v>
      </c>
    </row>
    <row r="1238">
      <c r="A1238" s="4"/>
      <c r="B1238" s="3"/>
      <c r="C1238" s="3"/>
      <c r="D1238" s="3"/>
      <c r="E1238" s="6"/>
      <c r="F1238" s="33"/>
      <c r="G1238" s="3"/>
      <c r="H1238" s="3"/>
      <c r="K1238" s="3"/>
      <c r="L1238" s="3"/>
      <c r="M1238" s="3"/>
      <c r="N1238" s="3"/>
      <c r="O1238" s="3"/>
      <c r="Q1238" s="3"/>
      <c r="S1238" s="27" t="s">
        <v>1975</v>
      </c>
      <c r="T1238" s="27" t="str">
        <f>IFERROR(__xludf.DUMMYFUNCTION("""COMPUTED_VALUE"""),"")</f>
        <v/>
      </c>
      <c r="U1238" s="1" t="s">
        <v>1975</v>
      </c>
    </row>
    <row r="1239">
      <c r="A1239" s="4"/>
      <c r="B1239" s="3"/>
      <c r="C1239" s="3"/>
      <c r="D1239" s="3"/>
      <c r="E1239" s="6"/>
      <c r="F1239" s="33"/>
      <c r="G1239" s="3"/>
      <c r="H1239" s="3"/>
      <c r="K1239" s="3"/>
      <c r="L1239" s="3"/>
      <c r="M1239" s="3"/>
      <c r="N1239" s="3"/>
      <c r="O1239" s="3"/>
      <c r="Q1239" s="3"/>
      <c r="S1239" s="27" t="s">
        <v>1975</v>
      </c>
      <c r="T1239" s="27" t="str">
        <f>IFERROR(__xludf.DUMMYFUNCTION("""COMPUTED_VALUE"""),"")</f>
        <v/>
      </c>
      <c r="U1239" s="1" t="s">
        <v>1975</v>
      </c>
    </row>
    <row r="1240">
      <c r="A1240" s="4"/>
      <c r="B1240" s="3"/>
      <c r="C1240" s="3"/>
      <c r="D1240" s="3"/>
      <c r="E1240" s="6"/>
      <c r="F1240" s="33"/>
      <c r="G1240" s="3"/>
      <c r="H1240" s="3"/>
      <c r="K1240" s="3"/>
      <c r="L1240" s="3"/>
      <c r="M1240" s="3"/>
      <c r="N1240" s="3"/>
      <c r="O1240" s="3"/>
      <c r="Q1240" s="3"/>
      <c r="S1240" s="27" t="s">
        <v>1975</v>
      </c>
      <c r="T1240" s="27" t="str">
        <f>IFERROR(__xludf.DUMMYFUNCTION("""COMPUTED_VALUE"""),"")</f>
        <v/>
      </c>
      <c r="U1240" s="1" t="s">
        <v>1975</v>
      </c>
    </row>
    <row r="1241">
      <c r="A1241" s="4"/>
      <c r="B1241" s="3"/>
      <c r="C1241" s="3"/>
      <c r="D1241" s="3"/>
      <c r="E1241" s="6"/>
      <c r="F1241" s="33"/>
      <c r="G1241" s="3"/>
      <c r="H1241" s="3"/>
      <c r="K1241" s="3"/>
      <c r="L1241" s="3"/>
      <c r="M1241" s="3"/>
      <c r="N1241" s="3"/>
      <c r="O1241" s="3"/>
      <c r="Q1241" s="3"/>
      <c r="S1241" s="27" t="s">
        <v>1975</v>
      </c>
      <c r="T1241" s="27" t="str">
        <f>IFERROR(__xludf.DUMMYFUNCTION("""COMPUTED_VALUE"""),"")</f>
        <v/>
      </c>
      <c r="U1241" s="1" t="s">
        <v>1975</v>
      </c>
    </row>
    <row r="1242">
      <c r="A1242" s="4"/>
      <c r="B1242" s="3"/>
      <c r="C1242" s="3"/>
      <c r="D1242" s="3"/>
      <c r="E1242" s="6"/>
      <c r="F1242" s="33"/>
      <c r="G1242" s="3"/>
      <c r="H1242" s="3"/>
      <c r="K1242" s="3"/>
      <c r="L1242" s="3"/>
      <c r="M1242" s="3"/>
      <c r="N1242" s="3"/>
      <c r="O1242" s="3"/>
      <c r="Q1242" s="3"/>
      <c r="S1242" s="27" t="s">
        <v>1975</v>
      </c>
      <c r="T1242" s="27" t="str">
        <f>IFERROR(__xludf.DUMMYFUNCTION("""COMPUTED_VALUE"""),"")</f>
        <v/>
      </c>
      <c r="U1242" s="1" t="s">
        <v>1975</v>
      </c>
    </row>
    <row r="1243">
      <c r="A1243" s="4"/>
      <c r="B1243" s="3"/>
      <c r="C1243" s="3"/>
      <c r="D1243" s="3"/>
      <c r="E1243" s="6"/>
      <c r="F1243" s="33"/>
      <c r="G1243" s="3"/>
      <c r="H1243" s="3"/>
      <c r="K1243" s="3"/>
      <c r="L1243" s="3"/>
      <c r="M1243" s="3"/>
      <c r="N1243" s="3"/>
      <c r="O1243" s="3"/>
      <c r="Q1243" s="3"/>
      <c r="S1243" s="27" t="s">
        <v>1975</v>
      </c>
      <c r="T1243" s="27" t="str">
        <f>IFERROR(__xludf.DUMMYFUNCTION("""COMPUTED_VALUE"""),"")</f>
        <v/>
      </c>
      <c r="U1243" s="1" t="s">
        <v>1975</v>
      </c>
    </row>
    <row r="1244">
      <c r="A1244" s="4"/>
      <c r="B1244" s="3"/>
      <c r="C1244" s="3"/>
      <c r="D1244" s="3"/>
      <c r="E1244" s="6"/>
      <c r="F1244" s="33"/>
      <c r="G1244" s="3"/>
      <c r="H1244" s="3"/>
      <c r="K1244" s="3"/>
      <c r="L1244" s="3"/>
      <c r="M1244" s="3"/>
      <c r="N1244" s="3"/>
      <c r="O1244" s="3"/>
      <c r="Q1244" s="3"/>
      <c r="S1244" s="27" t="s">
        <v>1975</v>
      </c>
      <c r="T1244" s="27" t="str">
        <f>IFERROR(__xludf.DUMMYFUNCTION("""COMPUTED_VALUE"""),"")</f>
        <v/>
      </c>
      <c r="U1244" s="1" t="s">
        <v>1975</v>
      </c>
    </row>
    <row r="1245">
      <c r="A1245" s="4"/>
      <c r="B1245" s="3"/>
      <c r="C1245" s="3"/>
      <c r="D1245" s="3"/>
      <c r="E1245" s="6"/>
      <c r="F1245" s="33"/>
      <c r="G1245" s="3"/>
      <c r="H1245" s="3"/>
      <c r="K1245" s="3"/>
      <c r="L1245" s="3"/>
      <c r="M1245" s="3"/>
      <c r="N1245" s="3"/>
      <c r="O1245" s="3"/>
      <c r="Q1245" s="3"/>
      <c r="S1245" s="27" t="s">
        <v>1975</v>
      </c>
      <c r="T1245" s="27" t="str">
        <f>IFERROR(__xludf.DUMMYFUNCTION("""COMPUTED_VALUE"""),"")</f>
        <v/>
      </c>
      <c r="U1245" s="1" t="s">
        <v>1975</v>
      </c>
    </row>
    <row r="1246">
      <c r="A1246" s="4"/>
      <c r="B1246" s="3"/>
      <c r="C1246" s="3"/>
      <c r="D1246" s="3"/>
      <c r="E1246" s="6"/>
      <c r="F1246" s="33"/>
      <c r="G1246" s="3"/>
      <c r="H1246" s="3"/>
      <c r="K1246" s="3"/>
      <c r="L1246" s="3"/>
      <c r="M1246" s="3"/>
      <c r="N1246" s="3"/>
      <c r="O1246" s="3"/>
      <c r="Q1246" s="3"/>
      <c r="S1246" s="27" t="s">
        <v>1975</v>
      </c>
      <c r="T1246" s="27" t="str">
        <f>IFERROR(__xludf.DUMMYFUNCTION("""COMPUTED_VALUE"""),"")</f>
        <v/>
      </c>
      <c r="U1246" s="1" t="s">
        <v>1975</v>
      </c>
    </row>
    <row r="1247">
      <c r="A1247" s="4"/>
      <c r="B1247" s="3"/>
      <c r="C1247" s="3"/>
      <c r="D1247" s="3"/>
      <c r="E1247" s="6"/>
      <c r="F1247" s="33"/>
      <c r="G1247" s="3"/>
      <c r="H1247" s="3"/>
      <c r="K1247" s="3"/>
      <c r="L1247" s="3"/>
      <c r="M1247" s="3"/>
      <c r="N1247" s="3"/>
      <c r="O1247" s="3"/>
      <c r="Q1247" s="3"/>
      <c r="S1247" s="27" t="s">
        <v>1975</v>
      </c>
      <c r="T1247" s="27" t="str">
        <f>IFERROR(__xludf.DUMMYFUNCTION("""COMPUTED_VALUE"""),"")</f>
        <v/>
      </c>
      <c r="U1247" s="1" t="s">
        <v>1975</v>
      </c>
    </row>
    <row r="1248">
      <c r="A1248" s="4"/>
      <c r="B1248" s="3"/>
      <c r="C1248" s="3"/>
      <c r="D1248" s="3"/>
      <c r="E1248" s="6"/>
      <c r="F1248" s="33"/>
      <c r="G1248" s="3"/>
      <c r="H1248" s="3"/>
      <c r="K1248" s="3"/>
      <c r="L1248" s="3"/>
      <c r="M1248" s="3"/>
      <c r="N1248" s="3"/>
      <c r="O1248" s="3"/>
      <c r="Q1248" s="3"/>
      <c r="S1248" s="27" t="s">
        <v>1975</v>
      </c>
      <c r="T1248" s="27" t="str">
        <f>IFERROR(__xludf.DUMMYFUNCTION("""COMPUTED_VALUE"""),"")</f>
        <v/>
      </c>
      <c r="U1248" s="1" t="s">
        <v>1975</v>
      </c>
    </row>
    <row r="1249">
      <c r="A1249" s="4"/>
      <c r="B1249" s="3"/>
      <c r="C1249" s="3"/>
      <c r="D1249" s="3"/>
      <c r="E1249" s="6"/>
      <c r="F1249" s="33"/>
      <c r="G1249" s="3"/>
      <c r="H1249" s="3"/>
      <c r="K1249" s="3"/>
      <c r="L1249" s="3"/>
      <c r="M1249" s="3"/>
      <c r="N1249" s="3"/>
      <c r="O1249" s="3"/>
      <c r="Q1249" s="3"/>
      <c r="S1249" s="27" t="s">
        <v>1975</v>
      </c>
      <c r="T1249" s="27" t="str">
        <f>IFERROR(__xludf.DUMMYFUNCTION("""COMPUTED_VALUE"""),"")</f>
        <v/>
      </c>
      <c r="U1249" s="1" t="s">
        <v>1975</v>
      </c>
    </row>
    <row r="1250">
      <c r="A1250" s="4"/>
      <c r="B1250" s="3"/>
      <c r="C1250" s="3"/>
      <c r="D1250" s="3"/>
      <c r="E1250" s="6"/>
      <c r="F1250" s="33"/>
      <c r="G1250" s="3"/>
      <c r="H1250" s="3"/>
      <c r="K1250" s="3"/>
      <c r="L1250" s="3"/>
      <c r="M1250" s="3"/>
      <c r="N1250" s="3"/>
      <c r="O1250" s="3"/>
      <c r="Q1250" s="3"/>
      <c r="S1250" s="27" t="s">
        <v>1975</v>
      </c>
      <c r="T1250" s="27" t="str">
        <f>IFERROR(__xludf.DUMMYFUNCTION("""COMPUTED_VALUE"""),"")</f>
        <v/>
      </c>
      <c r="U1250" s="1" t="s">
        <v>1975</v>
      </c>
    </row>
    <row r="1251">
      <c r="A1251" s="4"/>
      <c r="B1251" s="3"/>
      <c r="C1251" s="3"/>
      <c r="D1251" s="3"/>
      <c r="E1251" s="6"/>
      <c r="F1251" s="33"/>
      <c r="G1251" s="3"/>
      <c r="H1251" s="3"/>
      <c r="K1251" s="3"/>
      <c r="L1251" s="3"/>
      <c r="M1251" s="3"/>
      <c r="N1251" s="3"/>
      <c r="O1251" s="3"/>
      <c r="Q1251" s="3"/>
      <c r="S1251" s="27" t="s">
        <v>1975</v>
      </c>
      <c r="T1251" s="27" t="str">
        <f>IFERROR(__xludf.DUMMYFUNCTION("""COMPUTED_VALUE"""),"")</f>
        <v/>
      </c>
      <c r="U1251" s="1" t="s">
        <v>1975</v>
      </c>
    </row>
    <row r="1252">
      <c r="A1252" s="4"/>
      <c r="B1252" s="3"/>
      <c r="C1252" s="3"/>
      <c r="D1252" s="3"/>
      <c r="E1252" s="6"/>
      <c r="F1252" s="33"/>
      <c r="G1252" s="3"/>
      <c r="H1252" s="3"/>
      <c r="K1252" s="3"/>
      <c r="L1252" s="3"/>
      <c r="M1252" s="3"/>
      <c r="N1252" s="3"/>
      <c r="O1252" s="3"/>
      <c r="Q1252" s="3"/>
      <c r="S1252" s="27" t="s">
        <v>1975</v>
      </c>
      <c r="T1252" s="27" t="str">
        <f>IFERROR(__xludf.DUMMYFUNCTION("""COMPUTED_VALUE"""),"")</f>
        <v/>
      </c>
      <c r="U1252" s="1" t="s">
        <v>1975</v>
      </c>
    </row>
    <row r="1253">
      <c r="A1253" s="4"/>
      <c r="B1253" s="3"/>
      <c r="C1253" s="3"/>
      <c r="D1253" s="3"/>
      <c r="E1253" s="6"/>
      <c r="F1253" s="33"/>
      <c r="G1253" s="3"/>
      <c r="H1253" s="3"/>
      <c r="K1253" s="3"/>
      <c r="L1253" s="3"/>
      <c r="M1253" s="3"/>
      <c r="N1253" s="3"/>
      <c r="O1253" s="3"/>
      <c r="Q1253" s="3"/>
      <c r="S1253" s="27" t="s">
        <v>1975</v>
      </c>
      <c r="T1253" s="27" t="str">
        <f>IFERROR(__xludf.DUMMYFUNCTION("""COMPUTED_VALUE"""),"")</f>
        <v/>
      </c>
      <c r="U1253" s="1" t="s">
        <v>1975</v>
      </c>
    </row>
    <row r="1254">
      <c r="A1254" s="4"/>
      <c r="B1254" s="3"/>
      <c r="C1254" s="3"/>
      <c r="D1254" s="3"/>
      <c r="E1254" s="6"/>
      <c r="F1254" s="33"/>
      <c r="G1254" s="3"/>
      <c r="H1254" s="3"/>
      <c r="K1254" s="3"/>
      <c r="L1254" s="3"/>
      <c r="M1254" s="3"/>
      <c r="N1254" s="3"/>
      <c r="O1254" s="3"/>
      <c r="Q1254" s="3"/>
      <c r="S1254" s="27" t="s">
        <v>1975</v>
      </c>
      <c r="T1254" s="27" t="str">
        <f>IFERROR(__xludf.DUMMYFUNCTION("""COMPUTED_VALUE"""),"")</f>
        <v/>
      </c>
      <c r="U1254" s="1" t="s">
        <v>1975</v>
      </c>
    </row>
    <row r="1255">
      <c r="A1255" s="4"/>
      <c r="B1255" s="3"/>
      <c r="C1255" s="3"/>
      <c r="D1255" s="3"/>
      <c r="E1255" s="6"/>
      <c r="F1255" s="33"/>
      <c r="G1255" s="3"/>
      <c r="H1255" s="3"/>
      <c r="K1255" s="3"/>
      <c r="L1255" s="3"/>
      <c r="M1255" s="3"/>
      <c r="N1255" s="3"/>
      <c r="O1255" s="3"/>
      <c r="Q1255" s="3"/>
      <c r="S1255" s="27" t="s">
        <v>1975</v>
      </c>
      <c r="T1255" s="27" t="str">
        <f>IFERROR(__xludf.DUMMYFUNCTION("""COMPUTED_VALUE"""),"")</f>
        <v/>
      </c>
      <c r="U1255" s="1" t="s">
        <v>1975</v>
      </c>
    </row>
    <row r="1256">
      <c r="A1256" s="4"/>
      <c r="B1256" s="3"/>
      <c r="C1256" s="3"/>
      <c r="D1256" s="3"/>
      <c r="E1256" s="6"/>
      <c r="F1256" s="33"/>
      <c r="G1256" s="3"/>
      <c r="H1256" s="3"/>
      <c r="K1256" s="3"/>
      <c r="L1256" s="3"/>
      <c r="M1256" s="3"/>
      <c r="N1256" s="3"/>
      <c r="O1256" s="3"/>
      <c r="Q1256" s="3"/>
      <c r="S1256" s="27" t="s">
        <v>1975</v>
      </c>
      <c r="T1256" s="27" t="str">
        <f>IFERROR(__xludf.DUMMYFUNCTION("""COMPUTED_VALUE"""),"")</f>
        <v/>
      </c>
      <c r="U1256" s="1" t="s">
        <v>1975</v>
      </c>
    </row>
    <row r="1257">
      <c r="A1257" s="4"/>
      <c r="B1257" s="3"/>
      <c r="C1257" s="3"/>
      <c r="D1257" s="3"/>
      <c r="E1257" s="6"/>
      <c r="F1257" s="33"/>
      <c r="G1257" s="3"/>
      <c r="H1257" s="3"/>
      <c r="K1257" s="3"/>
      <c r="L1257" s="3"/>
      <c r="M1257" s="3"/>
      <c r="N1257" s="3"/>
      <c r="O1257" s="3"/>
      <c r="Q1257" s="3"/>
      <c r="S1257" s="27" t="s">
        <v>1975</v>
      </c>
      <c r="T1257" s="27" t="str">
        <f>IFERROR(__xludf.DUMMYFUNCTION("""COMPUTED_VALUE"""),"")</f>
        <v/>
      </c>
      <c r="U1257" s="1" t="s">
        <v>1975</v>
      </c>
    </row>
    <row r="1258">
      <c r="A1258" s="4"/>
      <c r="B1258" s="3"/>
      <c r="C1258" s="3"/>
      <c r="D1258" s="3"/>
      <c r="E1258" s="6"/>
      <c r="F1258" s="33"/>
      <c r="G1258" s="3"/>
      <c r="H1258" s="3"/>
      <c r="K1258" s="3"/>
      <c r="L1258" s="3"/>
      <c r="M1258" s="3"/>
      <c r="N1258" s="3"/>
      <c r="O1258" s="3"/>
      <c r="Q1258" s="3"/>
      <c r="S1258" s="27" t="s">
        <v>1975</v>
      </c>
      <c r="T1258" s="27" t="str">
        <f>IFERROR(__xludf.DUMMYFUNCTION("""COMPUTED_VALUE"""),"")</f>
        <v/>
      </c>
      <c r="U1258" s="1" t="s">
        <v>1975</v>
      </c>
    </row>
    <row r="1259">
      <c r="A1259" s="4"/>
      <c r="B1259" s="3"/>
      <c r="C1259" s="3"/>
      <c r="D1259" s="3"/>
      <c r="E1259" s="6"/>
      <c r="F1259" s="33"/>
      <c r="G1259" s="3"/>
      <c r="H1259" s="3"/>
      <c r="K1259" s="3"/>
      <c r="L1259" s="3"/>
      <c r="M1259" s="3"/>
      <c r="N1259" s="3"/>
      <c r="O1259" s="3"/>
      <c r="Q1259" s="3"/>
      <c r="S1259" s="27" t="s">
        <v>1975</v>
      </c>
      <c r="T1259" s="27" t="str">
        <f>IFERROR(__xludf.DUMMYFUNCTION("""COMPUTED_VALUE"""),"")</f>
        <v/>
      </c>
      <c r="U1259" s="1" t="s">
        <v>1975</v>
      </c>
    </row>
    <row r="1260">
      <c r="A1260" s="4"/>
      <c r="B1260" s="3"/>
      <c r="C1260" s="3"/>
      <c r="D1260" s="3"/>
      <c r="E1260" s="6"/>
      <c r="F1260" s="33"/>
      <c r="G1260" s="3"/>
      <c r="H1260" s="3"/>
      <c r="K1260" s="3"/>
      <c r="L1260" s="3"/>
      <c r="M1260" s="3"/>
      <c r="N1260" s="3"/>
      <c r="O1260" s="3"/>
      <c r="Q1260" s="3"/>
      <c r="S1260" s="27" t="s">
        <v>1975</v>
      </c>
      <c r="T1260" s="27" t="str">
        <f>IFERROR(__xludf.DUMMYFUNCTION("""COMPUTED_VALUE"""),"")</f>
        <v/>
      </c>
      <c r="U1260" s="1" t="s">
        <v>1975</v>
      </c>
    </row>
    <row r="1261">
      <c r="A1261" s="4"/>
      <c r="B1261" s="3"/>
      <c r="C1261" s="3"/>
      <c r="D1261" s="3"/>
      <c r="E1261" s="6"/>
      <c r="F1261" s="33"/>
      <c r="G1261" s="3"/>
      <c r="H1261" s="3"/>
      <c r="K1261" s="3"/>
      <c r="L1261" s="3"/>
      <c r="M1261" s="3"/>
      <c r="N1261" s="3"/>
      <c r="O1261" s="3"/>
      <c r="Q1261" s="3"/>
      <c r="S1261" s="27" t="s">
        <v>1975</v>
      </c>
      <c r="T1261" s="27" t="str">
        <f>IFERROR(__xludf.DUMMYFUNCTION("""COMPUTED_VALUE"""),"")</f>
        <v/>
      </c>
      <c r="U1261" s="1" t="s">
        <v>1975</v>
      </c>
    </row>
    <row r="1262">
      <c r="A1262" s="4"/>
      <c r="B1262" s="3"/>
      <c r="C1262" s="3"/>
      <c r="D1262" s="3"/>
      <c r="E1262" s="6"/>
      <c r="F1262" s="33"/>
      <c r="G1262" s="3"/>
      <c r="H1262" s="3"/>
      <c r="K1262" s="3"/>
      <c r="L1262" s="3"/>
      <c r="M1262" s="3"/>
      <c r="N1262" s="3"/>
      <c r="O1262" s="3"/>
      <c r="Q1262" s="3"/>
      <c r="S1262" s="27" t="s">
        <v>1975</v>
      </c>
      <c r="T1262" s="27" t="str">
        <f>IFERROR(__xludf.DUMMYFUNCTION("""COMPUTED_VALUE"""),"")</f>
        <v/>
      </c>
      <c r="U1262" s="1" t="s">
        <v>1975</v>
      </c>
    </row>
    <row r="1263">
      <c r="A1263" s="4"/>
      <c r="B1263" s="3"/>
      <c r="C1263" s="3"/>
      <c r="D1263" s="3"/>
      <c r="E1263" s="6"/>
      <c r="F1263" s="33"/>
      <c r="G1263" s="3"/>
      <c r="H1263" s="3"/>
      <c r="K1263" s="3"/>
      <c r="L1263" s="3"/>
      <c r="M1263" s="3"/>
      <c r="N1263" s="3"/>
      <c r="O1263" s="3"/>
      <c r="Q1263" s="3"/>
      <c r="S1263" s="27" t="s">
        <v>1975</v>
      </c>
      <c r="T1263" s="27" t="str">
        <f>IFERROR(__xludf.DUMMYFUNCTION("""COMPUTED_VALUE"""),"")</f>
        <v/>
      </c>
      <c r="U1263" s="1" t="s">
        <v>1975</v>
      </c>
    </row>
    <row r="1264">
      <c r="A1264" s="4"/>
      <c r="B1264" s="3"/>
      <c r="C1264" s="3"/>
      <c r="D1264" s="3"/>
      <c r="E1264" s="6"/>
      <c r="F1264" s="33"/>
      <c r="G1264" s="3"/>
      <c r="H1264" s="3"/>
      <c r="K1264" s="3"/>
      <c r="L1264" s="3"/>
      <c r="M1264" s="3"/>
      <c r="N1264" s="3"/>
      <c r="O1264" s="3"/>
      <c r="Q1264" s="3"/>
      <c r="S1264" s="27" t="s">
        <v>1975</v>
      </c>
      <c r="T1264" s="27" t="str">
        <f>IFERROR(__xludf.DUMMYFUNCTION("""COMPUTED_VALUE"""),"")</f>
        <v/>
      </c>
      <c r="U1264" s="1" t="s">
        <v>1975</v>
      </c>
    </row>
    <row r="1265">
      <c r="A1265" s="4"/>
      <c r="B1265" s="3"/>
      <c r="C1265" s="3"/>
      <c r="D1265" s="3"/>
      <c r="E1265" s="6"/>
      <c r="F1265" s="33"/>
      <c r="G1265" s="3"/>
      <c r="H1265" s="3"/>
      <c r="K1265" s="3"/>
      <c r="L1265" s="3"/>
      <c r="M1265" s="3"/>
      <c r="N1265" s="3"/>
      <c r="O1265" s="3"/>
      <c r="Q1265" s="3"/>
      <c r="S1265" s="27" t="s">
        <v>1975</v>
      </c>
      <c r="T1265" s="27" t="str">
        <f>IFERROR(__xludf.DUMMYFUNCTION("""COMPUTED_VALUE"""),"")</f>
        <v/>
      </c>
      <c r="U1265" s="1" t="s">
        <v>1975</v>
      </c>
    </row>
    <row r="1266">
      <c r="A1266" s="4"/>
      <c r="B1266" s="3"/>
      <c r="C1266" s="3"/>
      <c r="D1266" s="3"/>
      <c r="E1266" s="6"/>
      <c r="F1266" s="33"/>
      <c r="G1266" s="3"/>
      <c r="H1266" s="3"/>
      <c r="K1266" s="3"/>
      <c r="L1266" s="3"/>
      <c r="M1266" s="3"/>
      <c r="N1266" s="3"/>
      <c r="O1266" s="3"/>
      <c r="Q1266" s="3"/>
      <c r="S1266" s="27" t="s">
        <v>1975</v>
      </c>
      <c r="T1266" s="27" t="str">
        <f>IFERROR(__xludf.DUMMYFUNCTION("""COMPUTED_VALUE"""),"")</f>
        <v/>
      </c>
      <c r="U1266" s="1" t="s">
        <v>1975</v>
      </c>
    </row>
    <row r="1267">
      <c r="A1267" s="4"/>
      <c r="B1267" s="3"/>
      <c r="C1267" s="3"/>
      <c r="D1267" s="3"/>
      <c r="E1267" s="6"/>
      <c r="F1267" s="33"/>
      <c r="G1267" s="3"/>
      <c r="H1267" s="3"/>
      <c r="K1267" s="3"/>
      <c r="L1267" s="3"/>
      <c r="M1267" s="3"/>
      <c r="N1267" s="3"/>
      <c r="O1267" s="3"/>
      <c r="Q1267" s="3"/>
      <c r="S1267" s="27" t="s">
        <v>1975</v>
      </c>
      <c r="T1267" s="27" t="str">
        <f>IFERROR(__xludf.DUMMYFUNCTION("""COMPUTED_VALUE"""),"")</f>
        <v/>
      </c>
      <c r="U1267" s="1" t="s">
        <v>1975</v>
      </c>
    </row>
    <row r="1268">
      <c r="A1268" s="4"/>
      <c r="B1268" s="3"/>
      <c r="C1268" s="3"/>
      <c r="D1268" s="3"/>
      <c r="E1268" s="6"/>
      <c r="F1268" s="33"/>
      <c r="G1268" s="3"/>
      <c r="H1268" s="3"/>
      <c r="K1268" s="3"/>
      <c r="L1268" s="3"/>
      <c r="M1268" s="3"/>
      <c r="N1268" s="3"/>
      <c r="O1268" s="3"/>
      <c r="Q1268" s="3"/>
      <c r="S1268" s="27" t="s">
        <v>1975</v>
      </c>
      <c r="T1268" s="27" t="str">
        <f>IFERROR(__xludf.DUMMYFUNCTION("""COMPUTED_VALUE"""),"")</f>
        <v/>
      </c>
      <c r="U1268" s="1" t="s">
        <v>1975</v>
      </c>
    </row>
    <row r="1269">
      <c r="A1269" s="4"/>
      <c r="B1269" s="3"/>
      <c r="C1269" s="3"/>
      <c r="D1269" s="3"/>
      <c r="E1269" s="6"/>
      <c r="F1269" s="33"/>
      <c r="G1269" s="3"/>
      <c r="H1269" s="3"/>
      <c r="K1269" s="3"/>
      <c r="L1269" s="3"/>
      <c r="M1269" s="3"/>
      <c r="N1269" s="3"/>
      <c r="O1269" s="3"/>
      <c r="Q1269" s="3"/>
      <c r="S1269" s="27" t="s">
        <v>1975</v>
      </c>
      <c r="T1269" s="27" t="str">
        <f>IFERROR(__xludf.DUMMYFUNCTION("""COMPUTED_VALUE"""),"")</f>
        <v/>
      </c>
      <c r="U1269" s="1" t="s">
        <v>1975</v>
      </c>
    </row>
    <row r="1270">
      <c r="A1270" s="4"/>
      <c r="B1270" s="3"/>
      <c r="C1270" s="3"/>
      <c r="D1270" s="3"/>
      <c r="E1270" s="6"/>
      <c r="F1270" s="33"/>
      <c r="G1270" s="3"/>
      <c r="H1270" s="3"/>
      <c r="K1270" s="3"/>
      <c r="L1270" s="3"/>
      <c r="M1270" s="3"/>
      <c r="N1270" s="3"/>
      <c r="O1270" s="3"/>
      <c r="Q1270" s="3"/>
      <c r="S1270" s="27" t="s">
        <v>1975</v>
      </c>
      <c r="T1270" s="27" t="str">
        <f>IFERROR(__xludf.DUMMYFUNCTION("""COMPUTED_VALUE"""),"")</f>
        <v/>
      </c>
      <c r="U1270" s="1" t="s">
        <v>1975</v>
      </c>
    </row>
    <row r="1271">
      <c r="A1271" s="4"/>
      <c r="B1271" s="3"/>
      <c r="C1271" s="3"/>
      <c r="D1271" s="3"/>
      <c r="E1271" s="6"/>
      <c r="F1271" s="33"/>
      <c r="G1271" s="3"/>
      <c r="H1271" s="3"/>
      <c r="K1271" s="3"/>
      <c r="L1271" s="3"/>
      <c r="M1271" s="3"/>
      <c r="N1271" s="3"/>
      <c r="O1271" s="3"/>
      <c r="Q1271" s="3"/>
      <c r="S1271" s="27" t="s">
        <v>1975</v>
      </c>
      <c r="T1271" s="27" t="str">
        <f>IFERROR(__xludf.DUMMYFUNCTION("""COMPUTED_VALUE"""),"")</f>
        <v/>
      </c>
      <c r="U1271" s="1" t="s">
        <v>1975</v>
      </c>
    </row>
    <row r="1272">
      <c r="A1272" s="4"/>
      <c r="B1272" s="3"/>
      <c r="C1272" s="3"/>
      <c r="D1272" s="3"/>
      <c r="E1272" s="6"/>
      <c r="F1272" s="33"/>
      <c r="G1272" s="3"/>
      <c r="H1272" s="3"/>
      <c r="K1272" s="3"/>
      <c r="L1272" s="3"/>
      <c r="M1272" s="3"/>
      <c r="N1272" s="3"/>
      <c r="O1272" s="3"/>
      <c r="Q1272" s="3"/>
      <c r="S1272" s="27" t="s">
        <v>1975</v>
      </c>
      <c r="T1272" s="27" t="str">
        <f>IFERROR(__xludf.DUMMYFUNCTION("""COMPUTED_VALUE"""),"")</f>
        <v/>
      </c>
      <c r="U1272" s="1" t="s">
        <v>1975</v>
      </c>
    </row>
    <row r="1273">
      <c r="A1273" s="4"/>
      <c r="B1273" s="3"/>
      <c r="C1273" s="3"/>
      <c r="D1273" s="3"/>
      <c r="E1273" s="6"/>
      <c r="F1273" s="33"/>
      <c r="G1273" s="3"/>
      <c r="H1273" s="3"/>
      <c r="K1273" s="3"/>
      <c r="L1273" s="3"/>
      <c r="M1273" s="3"/>
      <c r="N1273" s="3"/>
      <c r="O1273" s="3"/>
      <c r="Q1273" s="3"/>
      <c r="S1273" s="27" t="s">
        <v>1975</v>
      </c>
      <c r="T1273" s="27" t="str">
        <f>IFERROR(__xludf.DUMMYFUNCTION("""COMPUTED_VALUE"""),"")</f>
        <v/>
      </c>
      <c r="U1273" s="1" t="s">
        <v>1975</v>
      </c>
    </row>
    <row r="1274">
      <c r="A1274" s="4"/>
      <c r="B1274" s="3"/>
      <c r="C1274" s="3"/>
      <c r="D1274" s="3"/>
      <c r="E1274" s="6"/>
      <c r="F1274" s="33"/>
      <c r="G1274" s="3"/>
      <c r="H1274" s="3"/>
      <c r="K1274" s="3"/>
      <c r="L1274" s="3"/>
      <c r="M1274" s="3"/>
      <c r="N1274" s="3"/>
      <c r="O1274" s="3"/>
      <c r="Q1274" s="3"/>
      <c r="S1274" s="27" t="s">
        <v>1975</v>
      </c>
      <c r="T1274" s="27" t="str">
        <f>IFERROR(__xludf.DUMMYFUNCTION("""COMPUTED_VALUE"""),"")</f>
        <v/>
      </c>
      <c r="U1274" s="1" t="s">
        <v>1975</v>
      </c>
    </row>
    <row r="1275">
      <c r="A1275" s="4"/>
      <c r="B1275" s="3"/>
      <c r="C1275" s="3"/>
      <c r="D1275" s="3"/>
      <c r="E1275" s="6"/>
      <c r="F1275" s="33"/>
      <c r="G1275" s="3"/>
      <c r="H1275" s="3"/>
      <c r="K1275" s="3"/>
      <c r="L1275" s="3"/>
      <c r="M1275" s="3"/>
      <c r="N1275" s="3"/>
      <c r="O1275" s="3"/>
      <c r="Q1275" s="3"/>
      <c r="S1275" s="27" t="s">
        <v>1975</v>
      </c>
      <c r="T1275" s="27" t="str">
        <f>IFERROR(__xludf.DUMMYFUNCTION("""COMPUTED_VALUE"""),"")</f>
        <v/>
      </c>
      <c r="U1275" s="1" t="s">
        <v>1975</v>
      </c>
    </row>
    <row r="1276">
      <c r="A1276" s="4"/>
      <c r="B1276" s="3"/>
      <c r="C1276" s="3"/>
      <c r="D1276" s="3"/>
      <c r="E1276" s="6"/>
      <c r="F1276" s="33"/>
      <c r="G1276" s="3"/>
      <c r="H1276" s="3"/>
      <c r="K1276" s="3"/>
      <c r="L1276" s="3"/>
      <c r="M1276" s="3"/>
      <c r="N1276" s="3"/>
      <c r="O1276" s="3"/>
      <c r="Q1276" s="3"/>
      <c r="S1276" s="27" t="s">
        <v>1975</v>
      </c>
      <c r="T1276" s="27" t="str">
        <f>IFERROR(__xludf.DUMMYFUNCTION("""COMPUTED_VALUE"""),"")</f>
        <v/>
      </c>
      <c r="U1276" s="1" t="s">
        <v>1975</v>
      </c>
    </row>
    <row r="1277">
      <c r="A1277" s="4"/>
      <c r="B1277" s="3"/>
      <c r="C1277" s="3"/>
      <c r="D1277" s="3"/>
      <c r="E1277" s="6"/>
      <c r="F1277" s="33"/>
      <c r="G1277" s="3"/>
      <c r="H1277" s="3"/>
      <c r="K1277" s="3"/>
      <c r="L1277" s="3"/>
      <c r="M1277" s="3"/>
      <c r="N1277" s="3"/>
      <c r="O1277" s="3"/>
      <c r="Q1277" s="3"/>
      <c r="S1277" s="27" t="s">
        <v>1975</v>
      </c>
      <c r="T1277" s="27" t="str">
        <f>IFERROR(__xludf.DUMMYFUNCTION("""COMPUTED_VALUE"""),"")</f>
        <v/>
      </c>
      <c r="U1277" s="1" t="s">
        <v>1975</v>
      </c>
    </row>
    <row r="1278">
      <c r="A1278" s="4"/>
      <c r="B1278" s="3"/>
      <c r="C1278" s="3"/>
      <c r="D1278" s="3"/>
      <c r="E1278" s="6"/>
      <c r="F1278" s="33"/>
      <c r="G1278" s="3"/>
      <c r="H1278" s="3"/>
      <c r="K1278" s="3"/>
      <c r="L1278" s="3"/>
      <c r="M1278" s="3"/>
      <c r="N1278" s="3"/>
      <c r="O1278" s="3"/>
      <c r="Q1278" s="3"/>
      <c r="S1278" s="27" t="s">
        <v>1975</v>
      </c>
      <c r="T1278" s="27" t="str">
        <f>IFERROR(__xludf.DUMMYFUNCTION("""COMPUTED_VALUE"""),"")</f>
        <v/>
      </c>
      <c r="U1278" s="1" t="s">
        <v>1975</v>
      </c>
    </row>
    <row r="1279">
      <c r="A1279" s="4"/>
      <c r="B1279" s="3"/>
      <c r="C1279" s="3"/>
      <c r="D1279" s="3"/>
      <c r="E1279" s="6"/>
      <c r="F1279" s="33"/>
      <c r="G1279" s="3"/>
      <c r="H1279" s="3"/>
      <c r="K1279" s="3"/>
      <c r="L1279" s="3"/>
      <c r="M1279" s="3"/>
      <c r="N1279" s="3"/>
      <c r="O1279" s="3"/>
      <c r="Q1279" s="3"/>
      <c r="S1279" s="27" t="s">
        <v>1975</v>
      </c>
      <c r="T1279" s="27" t="str">
        <f>IFERROR(__xludf.DUMMYFUNCTION("""COMPUTED_VALUE"""),"")</f>
        <v/>
      </c>
      <c r="U1279" s="1" t="s">
        <v>1975</v>
      </c>
    </row>
    <row r="1280">
      <c r="A1280" s="4"/>
      <c r="B1280" s="3"/>
      <c r="C1280" s="3"/>
      <c r="D1280" s="3"/>
      <c r="E1280" s="6"/>
      <c r="F1280" s="33"/>
      <c r="G1280" s="3"/>
      <c r="H1280" s="3"/>
      <c r="K1280" s="3"/>
      <c r="L1280" s="3"/>
      <c r="M1280" s="3"/>
      <c r="N1280" s="3"/>
      <c r="O1280" s="3"/>
      <c r="Q1280" s="3"/>
      <c r="S1280" s="27" t="s">
        <v>1975</v>
      </c>
      <c r="T1280" s="27" t="str">
        <f>IFERROR(__xludf.DUMMYFUNCTION("""COMPUTED_VALUE"""),"")</f>
        <v/>
      </c>
      <c r="U1280" s="1" t="s">
        <v>1975</v>
      </c>
    </row>
    <row r="1281">
      <c r="A1281" s="4"/>
      <c r="B1281" s="3"/>
      <c r="C1281" s="3"/>
      <c r="D1281" s="3"/>
      <c r="E1281" s="6"/>
      <c r="F1281" s="33"/>
      <c r="G1281" s="3"/>
      <c r="H1281" s="3"/>
      <c r="K1281" s="3"/>
      <c r="L1281" s="3"/>
      <c r="M1281" s="3"/>
      <c r="N1281" s="3"/>
      <c r="O1281" s="3"/>
      <c r="Q1281" s="3"/>
      <c r="S1281" s="27" t="s">
        <v>1975</v>
      </c>
      <c r="T1281" s="27" t="str">
        <f>IFERROR(__xludf.DUMMYFUNCTION("""COMPUTED_VALUE"""),"")</f>
        <v/>
      </c>
      <c r="U1281" s="1" t="s">
        <v>1975</v>
      </c>
    </row>
    <row r="1282">
      <c r="A1282" s="4"/>
      <c r="B1282" s="3"/>
      <c r="C1282" s="3"/>
      <c r="D1282" s="3"/>
      <c r="E1282" s="6"/>
      <c r="F1282" s="33"/>
      <c r="G1282" s="3"/>
      <c r="H1282" s="3"/>
      <c r="K1282" s="3"/>
      <c r="L1282" s="3"/>
      <c r="M1282" s="3"/>
      <c r="N1282" s="3"/>
      <c r="O1282" s="3"/>
      <c r="Q1282" s="3"/>
      <c r="S1282" s="27" t="s">
        <v>1975</v>
      </c>
      <c r="T1282" s="27" t="str">
        <f>IFERROR(__xludf.DUMMYFUNCTION("""COMPUTED_VALUE"""),"")</f>
        <v/>
      </c>
      <c r="U1282" s="1" t="s">
        <v>1975</v>
      </c>
    </row>
    <row r="1283">
      <c r="A1283" s="4"/>
      <c r="B1283" s="3"/>
      <c r="C1283" s="3"/>
      <c r="D1283" s="3"/>
      <c r="E1283" s="6"/>
      <c r="F1283" s="33"/>
      <c r="G1283" s="3"/>
      <c r="H1283" s="3"/>
      <c r="K1283" s="3"/>
      <c r="L1283" s="3"/>
      <c r="M1283" s="3"/>
      <c r="N1283" s="3"/>
      <c r="O1283" s="3"/>
      <c r="Q1283" s="3"/>
      <c r="S1283" s="27" t="s">
        <v>1975</v>
      </c>
      <c r="T1283" s="27" t="str">
        <f>IFERROR(__xludf.DUMMYFUNCTION("""COMPUTED_VALUE"""),"")</f>
        <v/>
      </c>
      <c r="U1283" s="1" t="s">
        <v>1975</v>
      </c>
    </row>
    <row r="1284">
      <c r="A1284" s="4"/>
      <c r="B1284" s="3"/>
      <c r="C1284" s="3"/>
      <c r="D1284" s="3"/>
      <c r="E1284" s="6"/>
      <c r="F1284" s="33"/>
      <c r="G1284" s="3"/>
      <c r="H1284" s="3"/>
      <c r="K1284" s="3"/>
      <c r="L1284" s="3"/>
      <c r="M1284" s="3"/>
      <c r="N1284" s="3"/>
      <c r="O1284" s="3"/>
      <c r="Q1284" s="3"/>
      <c r="S1284" s="27" t="s">
        <v>1975</v>
      </c>
      <c r="T1284" s="27" t="str">
        <f>IFERROR(__xludf.DUMMYFUNCTION("""COMPUTED_VALUE"""),"")</f>
        <v/>
      </c>
      <c r="U1284" s="1" t="s">
        <v>1975</v>
      </c>
    </row>
    <row r="1285">
      <c r="A1285" s="4"/>
      <c r="B1285" s="3"/>
      <c r="C1285" s="3"/>
      <c r="D1285" s="3"/>
      <c r="E1285" s="6"/>
      <c r="F1285" s="33"/>
      <c r="G1285" s="3"/>
      <c r="H1285" s="3"/>
      <c r="K1285" s="3"/>
      <c r="L1285" s="3"/>
      <c r="M1285" s="3"/>
      <c r="N1285" s="3"/>
      <c r="O1285" s="3"/>
      <c r="Q1285" s="3"/>
      <c r="S1285" s="27" t="s">
        <v>1975</v>
      </c>
      <c r="T1285" s="27" t="str">
        <f>IFERROR(__xludf.DUMMYFUNCTION("""COMPUTED_VALUE"""),"")</f>
        <v/>
      </c>
      <c r="U1285" s="1" t="s">
        <v>1975</v>
      </c>
    </row>
    <row r="1286">
      <c r="A1286" s="4"/>
      <c r="B1286" s="3"/>
      <c r="C1286" s="3"/>
      <c r="D1286" s="3"/>
      <c r="E1286" s="6"/>
      <c r="F1286" s="33"/>
      <c r="G1286" s="3"/>
      <c r="H1286" s="3"/>
      <c r="K1286" s="3"/>
      <c r="L1286" s="3"/>
      <c r="M1286" s="3"/>
      <c r="N1286" s="3"/>
      <c r="O1286" s="3"/>
      <c r="Q1286" s="3"/>
      <c r="S1286" s="27" t="s">
        <v>1975</v>
      </c>
      <c r="T1286" s="27" t="str">
        <f>IFERROR(__xludf.DUMMYFUNCTION("""COMPUTED_VALUE"""),"")</f>
        <v/>
      </c>
      <c r="U1286" s="1" t="s">
        <v>1975</v>
      </c>
    </row>
    <row r="1287">
      <c r="A1287" s="4"/>
      <c r="B1287" s="3"/>
      <c r="C1287" s="3"/>
      <c r="D1287" s="3"/>
      <c r="E1287" s="6"/>
      <c r="F1287" s="33"/>
      <c r="G1287" s="3"/>
      <c r="H1287" s="3"/>
      <c r="K1287" s="3"/>
      <c r="L1287" s="3"/>
      <c r="M1287" s="3"/>
      <c r="N1287" s="3"/>
      <c r="O1287" s="3"/>
      <c r="Q1287" s="3"/>
      <c r="S1287" s="27" t="s">
        <v>1975</v>
      </c>
      <c r="T1287" s="27" t="str">
        <f>IFERROR(__xludf.DUMMYFUNCTION("""COMPUTED_VALUE"""),"")</f>
        <v/>
      </c>
      <c r="U1287" s="1" t="s">
        <v>1975</v>
      </c>
    </row>
    <row r="1288">
      <c r="A1288" s="4"/>
      <c r="B1288" s="3"/>
      <c r="C1288" s="3"/>
      <c r="D1288" s="3"/>
      <c r="E1288" s="6"/>
      <c r="F1288" s="33"/>
      <c r="G1288" s="3"/>
      <c r="H1288" s="3"/>
      <c r="K1288" s="3"/>
      <c r="L1288" s="3"/>
      <c r="M1288" s="3"/>
      <c r="N1288" s="3"/>
      <c r="O1288" s="3"/>
      <c r="Q1288" s="3"/>
      <c r="S1288" s="27" t="s">
        <v>1975</v>
      </c>
      <c r="T1288" s="27" t="str">
        <f>IFERROR(__xludf.DUMMYFUNCTION("""COMPUTED_VALUE"""),"")</f>
        <v/>
      </c>
      <c r="U1288" s="1" t="s">
        <v>1975</v>
      </c>
    </row>
    <row r="1289">
      <c r="A1289" s="4"/>
      <c r="B1289" s="3"/>
      <c r="C1289" s="3"/>
      <c r="D1289" s="3"/>
      <c r="E1289" s="6"/>
      <c r="F1289" s="33"/>
      <c r="G1289" s="3"/>
      <c r="H1289" s="3"/>
      <c r="K1289" s="3"/>
      <c r="L1289" s="3"/>
      <c r="M1289" s="3"/>
      <c r="N1289" s="3"/>
      <c r="O1289" s="3"/>
      <c r="Q1289" s="3"/>
      <c r="S1289" s="27" t="s">
        <v>1975</v>
      </c>
      <c r="T1289" s="27" t="str">
        <f>IFERROR(__xludf.DUMMYFUNCTION("""COMPUTED_VALUE"""),"")</f>
        <v/>
      </c>
      <c r="U1289" s="1" t="s">
        <v>1975</v>
      </c>
    </row>
    <row r="1290">
      <c r="A1290" s="4"/>
      <c r="B1290" s="3"/>
      <c r="C1290" s="3"/>
      <c r="D1290" s="3"/>
      <c r="E1290" s="6"/>
      <c r="F1290" s="33"/>
      <c r="G1290" s="3"/>
      <c r="H1290" s="3"/>
      <c r="K1290" s="3"/>
      <c r="L1290" s="3"/>
      <c r="M1290" s="3"/>
      <c r="N1290" s="3"/>
      <c r="O1290" s="3"/>
      <c r="Q1290" s="3"/>
      <c r="S1290" s="27" t="s">
        <v>1975</v>
      </c>
      <c r="T1290" s="27" t="str">
        <f>IFERROR(__xludf.DUMMYFUNCTION("""COMPUTED_VALUE"""),"")</f>
        <v/>
      </c>
      <c r="U1290" s="1" t="s">
        <v>1975</v>
      </c>
    </row>
    <row r="1291">
      <c r="A1291" s="4"/>
      <c r="B1291" s="3"/>
      <c r="C1291" s="3"/>
      <c r="D1291" s="3"/>
      <c r="E1291" s="6"/>
      <c r="F1291" s="33"/>
      <c r="G1291" s="3"/>
      <c r="H1291" s="3"/>
      <c r="K1291" s="3"/>
      <c r="L1291" s="3"/>
      <c r="M1291" s="3"/>
      <c r="N1291" s="3"/>
      <c r="O1291" s="3"/>
      <c r="Q1291" s="3"/>
      <c r="S1291" s="27" t="s">
        <v>1975</v>
      </c>
      <c r="T1291" s="27" t="str">
        <f>IFERROR(__xludf.DUMMYFUNCTION("""COMPUTED_VALUE"""),"")</f>
        <v/>
      </c>
      <c r="U1291" s="1" t="s">
        <v>1975</v>
      </c>
    </row>
    <row r="1292">
      <c r="A1292" s="4"/>
      <c r="B1292" s="3"/>
      <c r="C1292" s="3"/>
      <c r="D1292" s="3"/>
      <c r="E1292" s="6"/>
      <c r="F1292" s="33"/>
      <c r="G1292" s="3"/>
      <c r="H1292" s="3"/>
      <c r="K1292" s="3"/>
      <c r="L1292" s="3"/>
      <c r="M1292" s="3"/>
      <c r="N1292" s="3"/>
      <c r="O1292" s="3"/>
      <c r="Q1292" s="3"/>
      <c r="S1292" s="27" t="s">
        <v>1975</v>
      </c>
      <c r="T1292" s="27" t="str">
        <f>IFERROR(__xludf.DUMMYFUNCTION("""COMPUTED_VALUE"""),"")</f>
        <v/>
      </c>
      <c r="U1292" s="1" t="s">
        <v>1975</v>
      </c>
    </row>
    <row r="1293">
      <c r="A1293" s="4"/>
      <c r="B1293" s="3"/>
      <c r="C1293" s="3"/>
      <c r="D1293" s="3"/>
      <c r="E1293" s="6"/>
      <c r="F1293" s="33"/>
      <c r="G1293" s="3"/>
      <c r="H1293" s="3"/>
      <c r="K1293" s="3"/>
      <c r="L1293" s="3"/>
      <c r="M1293" s="3"/>
      <c r="N1293" s="3"/>
      <c r="O1293" s="3"/>
      <c r="Q1293" s="3"/>
      <c r="S1293" s="27" t="s">
        <v>1975</v>
      </c>
      <c r="T1293" s="27" t="str">
        <f>IFERROR(__xludf.DUMMYFUNCTION("""COMPUTED_VALUE"""),"")</f>
        <v/>
      </c>
      <c r="U1293" s="1" t="s">
        <v>1975</v>
      </c>
    </row>
    <row r="1294">
      <c r="A1294" s="4"/>
      <c r="B1294" s="3"/>
      <c r="C1294" s="3"/>
      <c r="D1294" s="3"/>
      <c r="E1294" s="6"/>
      <c r="F1294" s="33"/>
      <c r="G1294" s="3"/>
      <c r="H1294" s="3"/>
      <c r="K1294" s="3"/>
      <c r="L1294" s="3"/>
      <c r="M1294" s="3"/>
      <c r="N1294" s="3"/>
      <c r="O1294" s="3"/>
      <c r="Q1294" s="3"/>
      <c r="S1294" s="27" t="s">
        <v>1975</v>
      </c>
      <c r="T1294" s="27" t="str">
        <f>IFERROR(__xludf.DUMMYFUNCTION("""COMPUTED_VALUE"""),"")</f>
        <v/>
      </c>
      <c r="U1294" s="1" t="s">
        <v>1975</v>
      </c>
    </row>
    <row r="1295">
      <c r="A1295" s="4"/>
      <c r="B1295" s="3"/>
      <c r="C1295" s="3"/>
      <c r="D1295" s="3"/>
      <c r="E1295" s="6"/>
      <c r="F1295" s="33"/>
      <c r="G1295" s="3"/>
      <c r="H1295" s="3"/>
      <c r="K1295" s="3"/>
      <c r="L1295" s="3"/>
      <c r="M1295" s="3"/>
      <c r="N1295" s="3"/>
      <c r="O1295" s="3"/>
      <c r="Q1295" s="3"/>
      <c r="S1295" s="27" t="s">
        <v>1975</v>
      </c>
      <c r="T1295" s="27" t="str">
        <f>IFERROR(__xludf.DUMMYFUNCTION("""COMPUTED_VALUE"""),"")</f>
        <v/>
      </c>
      <c r="U1295" s="1" t="s">
        <v>1975</v>
      </c>
    </row>
    <row r="1296">
      <c r="A1296" s="4"/>
      <c r="B1296" s="3"/>
      <c r="C1296" s="3"/>
      <c r="D1296" s="3"/>
      <c r="E1296" s="6"/>
      <c r="F1296" s="33"/>
      <c r="G1296" s="3"/>
      <c r="H1296" s="3"/>
      <c r="K1296" s="3"/>
      <c r="L1296" s="3"/>
      <c r="M1296" s="3"/>
      <c r="N1296" s="3"/>
      <c r="O1296" s="3"/>
      <c r="Q1296" s="3"/>
      <c r="S1296" s="27" t="s">
        <v>1975</v>
      </c>
      <c r="T1296" s="27" t="str">
        <f>IFERROR(__xludf.DUMMYFUNCTION("""COMPUTED_VALUE"""),"")</f>
        <v/>
      </c>
      <c r="U1296" s="1" t="s">
        <v>1975</v>
      </c>
    </row>
    <row r="1297">
      <c r="A1297" s="4"/>
      <c r="B1297" s="3"/>
      <c r="C1297" s="3"/>
      <c r="D1297" s="3"/>
      <c r="E1297" s="6"/>
      <c r="F1297" s="33"/>
      <c r="G1297" s="3"/>
      <c r="H1297" s="3"/>
      <c r="K1297" s="3"/>
      <c r="L1297" s="3"/>
      <c r="M1297" s="3"/>
      <c r="N1297" s="3"/>
      <c r="O1297" s="3"/>
      <c r="Q1297" s="3"/>
      <c r="S1297" s="27" t="s">
        <v>1975</v>
      </c>
      <c r="T1297" s="27" t="str">
        <f>IFERROR(__xludf.DUMMYFUNCTION("""COMPUTED_VALUE"""),"")</f>
        <v/>
      </c>
      <c r="U1297" s="1" t="s">
        <v>1975</v>
      </c>
    </row>
    <row r="1298">
      <c r="A1298" s="4"/>
      <c r="B1298" s="3"/>
      <c r="C1298" s="3"/>
      <c r="D1298" s="3"/>
      <c r="E1298" s="6"/>
      <c r="F1298" s="33"/>
      <c r="G1298" s="3"/>
      <c r="H1298" s="3"/>
      <c r="K1298" s="3"/>
      <c r="L1298" s="3"/>
      <c r="M1298" s="3"/>
      <c r="N1298" s="3"/>
      <c r="O1298" s="3"/>
      <c r="Q1298" s="3"/>
      <c r="S1298" s="27" t="s">
        <v>1975</v>
      </c>
      <c r="T1298" s="27" t="str">
        <f>IFERROR(__xludf.DUMMYFUNCTION("""COMPUTED_VALUE"""),"")</f>
        <v/>
      </c>
      <c r="U1298" s="1" t="s">
        <v>1975</v>
      </c>
    </row>
    <row r="1299">
      <c r="A1299" s="4"/>
      <c r="B1299" s="3"/>
      <c r="C1299" s="3"/>
      <c r="D1299" s="3"/>
      <c r="E1299" s="6"/>
      <c r="F1299" s="33"/>
      <c r="G1299" s="3"/>
      <c r="H1299" s="3"/>
      <c r="K1299" s="3"/>
      <c r="L1299" s="3"/>
      <c r="M1299" s="3"/>
      <c r="N1299" s="3"/>
      <c r="O1299" s="3"/>
      <c r="Q1299" s="3"/>
      <c r="S1299" s="27" t="s">
        <v>1975</v>
      </c>
      <c r="T1299" s="27" t="str">
        <f>IFERROR(__xludf.DUMMYFUNCTION("""COMPUTED_VALUE"""),"")</f>
        <v/>
      </c>
      <c r="U1299" s="1" t="s">
        <v>1975</v>
      </c>
    </row>
    <row r="1300">
      <c r="A1300" s="4"/>
      <c r="B1300" s="3"/>
      <c r="C1300" s="3"/>
      <c r="D1300" s="3"/>
      <c r="E1300" s="6"/>
      <c r="F1300" s="33"/>
      <c r="G1300" s="3"/>
      <c r="H1300" s="3"/>
      <c r="K1300" s="3"/>
      <c r="L1300" s="3"/>
      <c r="M1300" s="3"/>
      <c r="N1300" s="3"/>
      <c r="O1300" s="3"/>
      <c r="Q1300" s="3"/>
      <c r="S1300" s="27" t="s">
        <v>1975</v>
      </c>
      <c r="T1300" s="27" t="str">
        <f>IFERROR(__xludf.DUMMYFUNCTION("""COMPUTED_VALUE"""),"")</f>
        <v/>
      </c>
      <c r="U1300" s="1" t="s">
        <v>1975</v>
      </c>
    </row>
    <row r="1301">
      <c r="A1301" s="4"/>
      <c r="B1301" s="3"/>
      <c r="C1301" s="3"/>
      <c r="D1301" s="3"/>
      <c r="E1301" s="6"/>
      <c r="F1301" s="33"/>
      <c r="G1301" s="3"/>
      <c r="H1301" s="3"/>
      <c r="K1301" s="3"/>
      <c r="L1301" s="3"/>
      <c r="M1301" s="3"/>
      <c r="N1301" s="3"/>
      <c r="O1301" s="3"/>
      <c r="Q1301" s="3"/>
      <c r="S1301" s="27" t="s">
        <v>1975</v>
      </c>
      <c r="T1301" s="27" t="str">
        <f>IFERROR(__xludf.DUMMYFUNCTION("""COMPUTED_VALUE"""),"")</f>
        <v/>
      </c>
      <c r="U1301" s="1" t="s">
        <v>1975</v>
      </c>
    </row>
    <row r="1302">
      <c r="A1302" s="4"/>
      <c r="B1302" s="3"/>
      <c r="C1302" s="3"/>
      <c r="D1302" s="3"/>
      <c r="E1302" s="6"/>
      <c r="F1302" s="33"/>
      <c r="G1302" s="3"/>
      <c r="H1302" s="3"/>
      <c r="K1302" s="3"/>
      <c r="L1302" s="3"/>
      <c r="M1302" s="3"/>
      <c r="N1302" s="3"/>
      <c r="O1302" s="3"/>
      <c r="Q1302" s="3"/>
      <c r="S1302" s="27" t="s">
        <v>1975</v>
      </c>
      <c r="T1302" s="27" t="str">
        <f>IFERROR(__xludf.DUMMYFUNCTION("""COMPUTED_VALUE"""),"")</f>
        <v/>
      </c>
      <c r="U1302" s="1" t="s">
        <v>1975</v>
      </c>
    </row>
    <row r="1303">
      <c r="A1303" s="4"/>
      <c r="B1303" s="3"/>
      <c r="C1303" s="3"/>
      <c r="D1303" s="3"/>
      <c r="E1303" s="6"/>
      <c r="F1303" s="33"/>
      <c r="G1303" s="3"/>
      <c r="H1303" s="3"/>
      <c r="K1303" s="3"/>
      <c r="L1303" s="3"/>
      <c r="M1303" s="3"/>
      <c r="N1303" s="3"/>
      <c r="O1303" s="3"/>
      <c r="Q1303" s="3"/>
      <c r="S1303" s="27" t="s">
        <v>1975</v>
      </c>
      <c r="T1303" s="27" t="str">
        <f>IFERROR(__xludf.DUMMYFUNCTION("""COMPUTED_VALUE"""),"")</f>
        <v/>
      </c>
      <c r="U1303" s="1" t="s">
        <v>1975</v>
      </c>
    </row>
    <row r="1304">
      <c r="A1304" s="4"/>
      <c r="B1304" s="3"/>
      <c r="C1304" s="3"/>
      <c r="D1304" s="3"/>
      <c r="E1304" s="6"/>
      <c r="F1304" s="33"/>
      <c r="G1304" s="3"/>
      <c r="H1304" s="3"/>
      <c r="K1304" s="3"/>
      <c r="L1304" s="3"/>
      <c r="M1304" s="3"/>
      <c r="N1304" s="3"/>
      <c r="O1304" s="3"/>
      <c r="Q1304" s="3"/>
      <c r="S1304" s="27" t="s">
        <v>1975</v>
      </c>
      <c r="T1304" s="27" t="str">
        <f>IFERROR(__xludf.DUMMYFUNCTION("""COMPUTED_VALUE"""),"")</f>
        <v/>
      </c>
      <c r="U1304" s="1" t="s">
        <v>1975</v>
      </c>
    </row>
    <row r="1305">
      <c r="A1305" s="4"/>
      <c r="B1305" s="3"/>
      <c r="C1305" s="3"/>
      <c r="D1305" s="3"/>
      <c r="E1305" s="6"/>
      <c r="F1305" s="33"/>
      <c r="G1305" s="3"/>
      <c r="H1305" s="3"/>
      <c r="K1305" s="3"/>
      <c r="L1305" s="3"/>
      <c r="M1305" s="3"/>
      <c r="N1305" s="3"/>
      <c r="O1305" s="3"/>
      <c r="Q1305" s="3"/>
      <c r="S1305" s="27" t="s">
        <v>1975</v>
      </c>
      <c r="T1305" s="27" t="str">
        <f>IFERROR(__xludf.DUMMYFUNCTION("""COMPUTED_VALUE"""),"")</f>
        <v/>
      </c>
      <c r="U1305" s="1" t="s">
        <v>1975</v>
      </c>
    </row>
    <row r="1306">
      <c r="A1306" s="4"/>
      <c r="B1306" s="3"/>
      <c r="C1306" s="3"/>
      <c r="D1306" s="3"/>
      <c r="E1306" s="6"/>
      <c r="F1306" s="33"/>
      <c r="G1306" s="3"/>
      <c r="H1306" s="3"/>
      <c r="K1306" s="3"/>
      <c r="L1306" s="3"/>
      <c r="M1306" s="3"/>
      <c r="N1306" s="3"/>
      <c r="O1306" s="3"/>
      <c r="Q1306" s="3"/>
      <c r="S1306" s="27" t="s">
        <v>1975</v>
      </c>
      <c r="T1306" s="27" t="str">
        <f>IFERROR(__xludf.DUMMYFUNCTION("""COMPUTED_VALUE"""),"")</f>
        <v/>
      </c>
      <c r="U1306" s="1" t="s">
        <v>1975</v>
      </c>
    </row>
    <row r="1307">
      <c r="A1307" s="4"/>
      <c r="B1307" s="3"/>
      <c r="C1307" s="3"/>
      <c r="D1307" s="3"/>
      <c r="E1307" s="6"/>
      <c r="F1307" s="33"/>
      <c r="G1307" s="3"/>
      <c r="H1307" s="3"/>
      <c r="K1307" s="3"/>
      <c r="L1307" s="3"/>
      <c r="M1307" s="3"/>
      <c r="N1307" s="3"/>
      <c r="O1307" s="3"/>
      <c r="Q1307" s="3"/>
      <c r="S1307" s="27" t="s">
        <v>1975</v>
      </c>
      <c r="T1307" s="27" t="str">
        <f>IFERROR(__xludf.DUMMYFUNCTION("""COMPUTED_VALUE"""),"")</f>
        <v/>
      </c>
      <c r="U1307" s="1" t="s">
        <v>1975</v>
      </c>
    </row>
    <row r="1308">
      <c r="A1308" s="4"/>
      <c r="B1308" s="3"/>
      <c r="C1308" s="3"/>
      <c r="D1308" s="3"/>
      <c r="E1308" s="6"/>
      <c r="F1308" s="33"/>
      <c r="G1308" s="3"/>
      <c r="H1308" s="3"/>
      <c r="K1308" s="3"/>
      <c r="L1308" s="3"/>
      <c r="M1308" s="3"/>
      <c r="N1308" s="3"/>
      <c r="O1308" s="3"/>
      <c r="Q1308" s="3"/>
      <c r="S1308" s="27" t="s">
        <v>1975</v>
      </c>
      <c r="T1308" s="27" t="str">
        <f>IFERROR(__xludf.DUMMYFUNCTION("""COMPUTED_VALUE"""),"")</f>
        <v/>
      </c>
      <c r="U1308" s="1" t="s">
        <v>1975</v>
      </c>
    </row>
    <row r="1309">
      <c r="A1309" s="4"/>
      <c r="B1309" s="3"/>
      <c r="C1309" s="3"/>
      <c r="D1309" s="3"/>
      <c r="E1309" s="6"/>
      <c r="F1309" s="33"/>
      <c r="G1309" s="3"/>
      <c r="H1309" s="3"/>
      <c r="K1309" s="3"/>
      <c r="L1309" s="3"/>
      <c r="M1309" s="3"/>
      <c r="N1309" s="3"/>
      <c r="O1309" s="3"/>
      <c r="Q1309" s="3"/>
      <c r="S1309" s="27" t="s">
        <v>1975</v>
      </c>
      <c r="T1309" s="27" t="str">
        <f>IFERROR(__xludf.DUMMYFUNCTION("""COMPUTED_VALUE"""),"")</f>
        <v/>
      </c>
      <c r="U1309" s="1" t="s">
        <v>1975</v>
      </c>
    </row>
    <row r="1310">
      <c r="A1310" s="4"/>
      <c r="B1310" s="3"/>
      <c r="C1310" s="3"/>
      <c r="D1310" s="3"/>
      <c r="E1310" s="6"/>
      <c r="F1310" s="33"/>
      <c r="G1310" s="3"/>
      <c r="H1310" s="3"/>
      <c r="K1310" s="3"/>
      <c r="L1310" s="3"/>
      <c r="M1310" s="3"/>
      <c r="N1310" s="3"/>
      <c r="O1310" s="3"/>
      <c r="Q1310" s="3"/>
      <c r="S1310" s="27" t="s">
        <v>1975</v>
      </c>
      <c r="T1310" s="27" t="str">
        <f>IFERROR(__xludf.DUMMYFUNCTION("""COMPUTED_VALUE"""),"")</f>
        <v/>
      </c>
      <c r="U1310" s="1" t="s">
        <v>1975</v>
      </c>
    </row>
    <row r="1311">
      <c r="A1311" s="4"/>
      <c r="B1311" s="3"/>
      <c r="C1311" s="3"/>
      <c r="D1311" s="3"/>
      <c r="E1311" s="6"/>
      <c r="F1311" s="33"/>
      <c r="G1311" s="3"/>
      <c r="H1311" s="3"/>
      <c r="K1311" s="3"/>
      <c r="L1311" s="3"/>
      <c r="M1311" s="3"/>
      <c r="N1311" s="3"/>
      <c r="O1311" s="3"/>
      <c r="Q1311" s="3"/>
      <c r="S1311" s="27" t="s">
        <v>1975</v>
      </c>
      <c r="T1311" s="27" t="str">
        <f>IFERROR(__xludf.DUMMYFUNCTION("""COMPUTED_VALUE"""),"")</f>
        <v/>
      </c>
      <c r="U1311" s="1" t="s">
        <v>1975</v>
      </c>
    </row>
    <row r="1312">
      <c r="A1312" s="4"/>
      <c r="B1312" s="3"/>
      <c r="C1312" s="3"/>
      <c r="D1312" s="3"/>
      <c r="E1312" s="6"/>
      <c r="F1312" s="33"/>
      <c r="G1312" s="3"/>
      <c r="H1312" s="3"/>
      <c r="K1312" s="3"/>
      <c r="L1312" s="3"/>
      <c r="M1312" s="3"/>
      <c r="N1312" s="3"/>
      <c r="O1312" s="3"/>
      <c r="Q1312" s="3"/>
      <c r="S1312" s="27" t="s">
        <v>1975</v>
      </c>
      <c r="T1312" s="27" t="str">
        <f>IFERROR(__xludf.DUMMYFUNCTION("""COMPUTED_VALUE"""),"")</f>
        <v/>
      </c>
      <c r="U1312" s="1" t="s">
        <v>1975</v>
      </c>
    </row>
    <row r="1313">
      <c r="A1313" s="4"/>
      <c r="B1313" s="3"/>
      <c r="C1313" s="3"/>
      <c r="D1313" s="3"/>
      <c r="E1313" s="6"/>
      <c r="F1313" s="33"/>
      <c r="G1313" s="3"/>
      <c r="H1313" s="3"/>
      <c r="K1313" s="3"/>
      <c r="L1313" s="3"/>
      <c r="M1313" s="3"/>
      <c r="N1313" s="3"/>
      <c r="O1313" s="3"/>
      <c r="Q1313" s="3"/>
      <c r="S1313" s="27" t="s">
        <v>1975</v>
      </c>
      <c r="T1313" s="27" t="str">
        <f>IFERROR(__xludf.DUMMYFUNCTION("""COMPUTED_VALUE"""),"")</f>
        <v/>
      </c>
      <c r="U1313" s="1" t="s">
        <v>1975</v>
      </c>
    </row>
    <row r="1314">
      <c r="A1314" s="4"/>
      <c r="B1314" s="3"/>
      <c r="C1314" s="3"/>
      <c r="D1314" s="3"/>
      <c r="E1314" s="6"/>
      <c r="F1314" s="33"/>
      <c r="G1314" s="3"/>
      <c r="H1314" s="3"/>
      <c r="K1314" s="3"/>
      <c r="L1314" s="3"/>
      <c r="M1314" s="3"/>
      <c r="N1314" s="3"/>
      <c r="O1314" s="3"/>
      <c r="Q1314" s="3"/>
      <c r="S1314" s="27" t="s">
        <v>1975</v>
      </c>
      <c r="T1314" s="27" t="str">
        <f>IFERROR(__xludf.DUMMYFUNCTION("""COMPUTED_VALUE"""),"")</f>
        <v/>
      </c>
      <c r="U1314" s="1" t="s">
        <v>1975</v>
      </c>
    </row>
    <row r="1315">
      <c r="A1315" s="4"/>
      <c r="B1315" s="3"/>
      <c r="C1315" s="3"/>
      <c r="D1315" s="3"/>
      <c r="E1315" s="6"/>
      <c r="F1315" s="33"/>
      <c r="G1315" s="3"/>
      <c r="H1315" s="3"/>
      <c r="K1315" s="3"/>
      <c r="L1315" s="3"/>
      <c r="M1315" s="3"/>
      <c r="N1315" s="3"/>
      <c r="O1315" s="3"/>
      <c r="Q1315" s="3"/>
      <c r="S1315" s="27" t="s">
        <v>1975</v>
      </c>
      <c r="T1315" s="27" t="str">
        <f>IFERROR(__xludf.DUMMYFUNCTION("""COMPUTED_VALUE"""),"")</f>
        <v/>
      </c>
      <c r="U1315" s="1" t="s">
        <v>1975</v>
      </c>
    </row>
    <row r="1316">
      <c r="A1316" s="4"/>
      <c r="B1316" s="3"/>
      <c r="C1316" s="3"/>
      <c r="D1316" s="3"/>
      <c r="E1316" s="6"/>
      <c r="F1316" s="33"/>
      <c r="G1316" s="3"/>
      <c r="H1316" s="3"/>
      <c r="K1316" s="3"/>
      <c r="L1316" s="3"/>
      <c r="M1316" s="3"/>
      <c r="N1316" s="3"/>
      <c r="O1316" s="3"/>
      <c r="Q1316" s="3"/>
      <c r="S1316" s="27" t="s">
        <v>1975</v>
      </c>
      <c r="T1316" s="27" t="str">
        <f>IFERROR(__xludf.DUMMYFUNCTION("""COMPUTED_VALUE"""),"")</f>
        <v/>
      </c>
      <c r="U1316" s="1" t="s">
        <v>1975</v>
      </c>
    </row>
    <row r="1317">
      <c r="A1317" s="4"/>
      <c r="B1317" s="3"/>
      <c r="C1317" s="3"/>
      <c r="D1317" s="3"/>
      <c r="E1317" s="6"/>
      <c r="F1317" s="33"/>
      <c r="G1317" s="3"/>
      <c r="H1317" s="3"/>
      <c r="K1317" s="3"/>
      <c r="L1317" s="3"/>
      <c r="M1317" s="3"/>
      <c r="N1317" s="3"/>
      <c r="O1317" s="3"/>
      <c r="Q1317" s="3"/>
      <c r="S1317" s="27" t="s">
        <v>1975</v>
      </c>
      <c r="T1317" s="27" t="str">
        <f>IFERROR(__xludf.DUMMYFUNCTION("""COMPUTED_VALUE"""),"")</f>
        <v/>
      </c>
      <c r="U1317" s="1" t="s">
        <v>1975</v>
      </c>
    </row>
    <row r="1318">
      <c r="A1318" s="4"/>
      <c r="B1318" s="3"/>
      <c r="C1318" s="3"/>
      <c r="D1318" s="3"/>
      <c r="E1318" s="6"/>
      <c r="F1318" s="33"/>
      <c r="G1318" s="3"/>
      <c r="H1318" s="3"/>
      <c r="K1318" s="3"/>
      <c r="L1318" s="3"/>
      <c r="M1318" s="3"/>
      <c r="N1318" s="3"/>
      <c r="O1318" s="3"/>
      <c r="Q1318" s="3"/>
      <c r="S1318" s="27" t="s">
        <v>1975</v>
      </c>
      <c r="T1318" s="27" t="str">
        <f>IFERROR(__xludf.DUMMYFUNCTION("""COMPUTED_VALUE"""),"")</f>
        <v/>
      </c>
      <c r="U1318" s="1" t="s">
        <v>1975</v>
      </c>
    </row>
    <row r="1319">
      <c r="A1319" s="4"/>
      <c r="B1319" s="3"/>
      <c r="C1319" s="3"/>
      <c r="D1319" s="3"/>
      <c r="E1319" s="6"/>
      <c r="F1319" s="33"/>
      <c r="G1319" s="3"/>
      <c r="H1319" s="3"/>
      <c r="K1319" s="3"/>
      <c r="L1319" s="3"/>
      <c r="M1319" s="3"/>
      <c r="N1319" s="3"/>
      <c r="O1319" s="3"/>
      <c r="Q1319" s="3"/>
      <c r="S1319" s="27" t="s">
        <v>1975</v>
      </c>
      <c r="T1319" s="27" t="str">
        <f>IFERROR(__xludf.DUMMYFUNCTION("""COMPUTED_VALUE"""),"")</f>
        <v/>
      </c>
      <c r="U1319" s="1" t="s">
        <v>1975</v>
      </c>
    </row>
    <row r="1320">
      <c r="A1320" s="4"/>
      <c r="B1320" s="3"/>
      <c r="C1320" s="3"/>
      <c r="D1320" s="3"/>
      <c r="E1320" s="6"/>
      <c r="F1320" s="33"/>
      <c r="G1320" s="3"/>
      <c r="H1320" s="3"/>
      <c r="K1320" s="3"/>
      <c r="L1320" s="3"/>
      <c r="M1320" s="3"/>
      <c r="N1320" s="3"/>
      <c r="O1320" s="3"/>
      <c r="Q1320" s="3"/>
      <c r="S1320" s="27" t="s">
        <v>1975</v>
      </c>
      <c r="T1320" s="27" t="str">
        <f>IFERROR(__xludf.DUMMYFUNCTION("""COMPUTED_VALUE"""),"")</f>
        <v/>
      </c>
      <c r="U1320" s="1" t="s">
        <v>1975</v>
      </c>
    </row>
    <row r="1321">
      <c r="A1321" s="4"/>
      <c r="B1321" s="3"/>
      <c r="C1321" s="3"/>
      <c r="D1321" s="3"/>
      <c r="E1321" s="6"/>
      <c r="F1321" s="33"/>
      <c r="G1321" s="3"/>
      <c r="H1321" s="3"/>
      <c r="K1321" s="3"/>
      <c r="L1321" s="3"/>
      <c r="M1321" s="3"/>
      <c r="N1321" s="3"/>
      <c r="O1321" s="3"/>
      <c r="Q1321" s="3"/>
      <c r="S1321" s="27" t="s">
        <v>1975</v>
      </c>
      <c r="T1321" s="27" t="str">
        <f>IFERROR(__xludf.DUMMYFUNCTION("""COMPUTED_VALUE"""),"")</f>
        <v/>
      </c>
      <c r="U1321" s="1" t="s">
        <v>1975</v>
      </c>
    </row>
    <row r="1322">
      <c r="A1322" s="4"/>
      <c r="B1322" s="3"/>
      <c r="C1322" s="3"/>
      <c r="D1322" s="3"/>
      <c r="E1322" s="6"/>
      <c r="F1322" s="33"/>
      <c r="G1322" s="3"/>
      <c r="H1322" s="3"/>
      <c r="K1322" s="3"/>
      <c r="L1322" s="3"/>
      <c r="M1322" s="3"/>
      <c r="N1322" s="3"/>
      <c r="O1322" s="3"/>
      <c r="Q1322" s="3"/>
      <c r="S1322" s="27" t="s">
        <v>1975</v>
      </c>
      <c r="T1322" s="27" t="str">
        <f>IFERROR(__xludf.DUMMYFUNCTION("""COMPUTED_VALUE"""),"")</f>
        <v/>
      </c>
      <c r="U1322" s="1" t="s">
        <v>1975</v>
      </c>
    </row>
    <row r="1323">
      <c r="A1323" s="4"/>
      <c r="B1323" s="3"/>
      <c r="C1323" s="3"/>
      <c r="D1323" s="3"/>
      <c r="E1323" s="6"/>
      <c r="F1323" s="33"/>
      <c r="G1323" s="3"/>
      <c r="H1323" s="3"/>
      <c r="K1323" s="3"/>
      <c r="L1323" s="3"/>
      <c r="M1323" s="3"/>
      <c r="N1323" s="3"/>
      <c r="O1323" s="3"/>
      <c r="Q1323" s="3"/>
      <c r="S1323" s="27" t="s">
        <v>1975</v>
      </c>
      <c r="T1323" s="27" t="str">
        <f>IFERROR(__xludf.DUMMYFUNCTION("""COMPUTED_VALUE"""),"")</f>
        <v/>
      </c>
      <c r="U1323" s="1" t="s">
        <v>1975</v>
      </c>
    </row>
    <row r="1324">
      <c r="A1324" s="4"/>
      <c r="B1324" s="3"/>
      <c r="C1324" s="3"/>
      <c r="D1324" s="3"/>
      <c r="E1324" s="6"/>
      <c r="F1324" s="33"/>
      <c r="G1324" s="3"/>
      <c r="H1324" s="3"/>
      <c r="K1324" s="3"/>
      <c r="L1324" s="3"/>
      <c r="M1324" s="3"/>
      <c r="N1324" s="3"/>
      <c r="O1324" s="3"/>
      <c r="Q1324" s="3"/>
      <c r="S1324" s="27" t="s">
        <v>1975</v>
      </c>
      <c r="T1324" s="27" t="str">
        <f>IFERROR(__xludf.DUMMYFUNCTION("""COMPUTED_VALUE"""),"")</f>
        <v/>
      </c>
      <c r="U1324" s="1" t="s">
        <v>1975</v>
      </c>
    </row>
    <row r="1325">
      <c r="A1325" s="4"/>
      <c r="B1325" s="3"/>
      <c r="C1325" s="3"/>
      <c r="D1325" s="3"/>
      <c r="E1325" s="6"/>
      <c r="F1325" s="33"/>
      <c r="G1325" s="3"/>
      <c r="H1325" s="3"/>
      <c r="K1325" s="3"/>
      <c r="L1325" s="3"/>
      <c r="M1325" s="3"/>
      <c r="N1325" s="3"/>
      <c r="O1325" s="3"/>
      <c r="Q1325" s="3"/>
      <c r="S1325" s="27" t="s">
        <v>1975</v>
      </c>
      <c r="T1325" s="27" t="str">
        <f>IFERROR(__xludf.DUMMYFUNCTION("""COMPUTED_VALUE"""),"")</f>
        <v/>
      </c>
      <c r="U1325" s="1" t="s">
        <v>1975</v>
      </c>
    </row>
    <row r="1326">
      <c r="A1326" s="4"/>
      <c r="B1326" s="3"/>
      <c r="C1326" s="3"/>
      <c r="D1326" s="3"/>
      <c r="E1326" s="6"/>
      <c r="F1326" s="33"/>
      <c r="G1326" s="3"/>
      <c r="H1326" s="3"/>
      <c r="K1326" s="3"/>
      <c r="L1326" s="3"/>
      <c r="M1326" s="3"/>
      <c r="N1326" s="3"/>
      <c r="O1326" s="3"/>
      <c r="Q1326" s="3"/>
      <c r="S1326" s="27" t="s">
        <v>1975</v>
      </c>
      <c r="T1326" s="27" t="str">
        <f>IFERROR(__xludf.DUMMYFUNCTION("""COMPUTED_VALUE"""),"")</f>
        <v/>
      </c>
      <c r="U1326" s="1" t="s">
        <v>1975</v>
      </c>
    </row>
    <row r="1327">
      <c r="A1327" s="4"/>
      <c r="B1327" s="3"/>
      <c r="C1327" s="3"/>
      <c r="D1327" s="3"/>
      <c r="E1327" s="6"/>
      <c r="F1327" s="33"/>
      <c r="G1327" s="3"/>
      <c r="H1327" s="3"/>
      <c r="K1327" s="3"/>
      <c r="L1327" s="3"/>
      <c r="M1327" s="3"/>
      <c r="N1327" s="3"/>
      <c r="O1327" s="3"/>
      <c r="Q1327" s="3"/>
      <c r="S1327" s="27" t="s">
        <v>1975</v>
      </c>
      <c r="T1327" s="27" t="str">
        <f>IFERROR(__xludf.DUMMYFUNCTION("""COMPUTED_VALUE"""),"")</f>
        <v/>
      </c>
      <c r="U1327" s="1" t="s">
        <v>1975</v>
      </c>
    </row>
    <row r="1328">
      <c r="A1328" s="4"/>
      <c r="B1328" s="3"/>
      <c r="C1328" s="3"/>
      <c r="D1328" s="3"/>
      <c r="E1328" s="6"/>
      <c r="F1328" s="33"/>
      <c r="G1328" s="3"/>
      <c r="H1328" s="3"/>
      <c r="K1328" s="3"/>
      <c r="L1328" s="3"/>
      <c r="M1328" s="3"/>
      <c r="N1328" s="3"/>
      <c r="O1328" s="3"/>
      <c r="Q1328" s="3"/>
      <c r="S1328" s="27" t="s">
        <v>1975</v>
      </c>
      <c r="T1328" s="27" t="str">
        <f>IFERROR(__xludf.DUMMYFUNCTION("""COMPUTED_VALUE"""),"")</f>
        <v/>
      </c>
      <c r="U1328" s="1" t="s">
        <v>1975</v>
      </c>
    </row>
    <row r="1329">
      <c r="A1329" s="4"/>
      <c r="B1329" s="3"/>
      <c r="C1329" s="3"/>
      <c r="D1329" s="3"/>
      <c r="E1329" s="6"/>
      <c r="F1329" s="33"/>
      <c r="G1329" s="3"/>
      <c r="H1329" s="3"/>
      <c r="K1329" s="3"/>
      <c r="L1329" s="3"/>
      <c r="M1329" s="3"/>
      <c r="N1329" s="3"/>
      <c r="O1329" s="3"/>
      <c r="Q1329" s="3"/>
      <c r="S1329" s="27" t="s">
        <v>1975</v>
      </c>
      <c r="T1329" s="27" t="str">
        <f>IFERROR(__xludf.DUMMYFUNCTION("""COMPUTED_VALUE"""),"")</f>
        <v/>
      </c>
      <c r="U1329" s="1" t="s">
        <v>1975</v>
      </c>
    </row>
    <row r="1330">
      <c r="A1330" s="4"/>
      <c r="B1330" s="3"/>
      <c r="C1330" s="3"/>
      <c r="D1330" s="3"/>
      <c r="E1330" s="6"/>
      <c r="F1330" s="33"/>
      <c r="G1330" s="3"/>
      <c r="H1330" s="3"/>
      <c r="K1330" s="3"/>
      <c r="L1330" s="3"/>
      <c r="M1330" s="3"/>
      <c r="N1330" s="3"/>
      <c r="O1330" s="3"/>
      <c r="Q1330" s="3"/>
      <c r="S1330" s="27" t="s">
        <v>1975</v>
      </c>
      <c r="T1330" s="27" t="str">
        <f>IFERROR(__xludf.DUMMYFUNCTION("""COMPUTED_VALUE"""),"")</f>
        <v/>
      </c>
      <c r="U1330" s="1" t="s">
        <v>1975</v>
      </c>
    </row>
    <row r="1331">
      <c r="A1331" s="4"/>
      <c r="B1331" s="3"/>
      <c r="C1331" s="3"/>
      <c r="D1331" s="3"/>
      <c r="E1331" s="6"/>
      <c r="F1331" s="33"/>
      <c r="G1331" s="3"/>
      <c r="H1331" s="3"/>
      <c r="K1331" s="3"/>
      <c r="L1331" s="3"/>
      <c r="M1331" s="3"/>
      <c r="N1331" s="3"/>
      <c r="O1331" s="3"/>
      <c r="Q1331" s="3"/>
      <c r="S1331" s="27" t="s">
        <v>1975</v>
      </c>
      <c r="T1331" s="27" t="str">
        <f>IFERROR(__xludf.DUMMYFUNCTION("""COMPUTED_VALUE"""),"")</f>
        <v/>
      </c>
      <c r="U1331" s="1" t="s">
        <v>1975</v>
      </c>
    </row>
    <row r="1332">
      <c r="A1332" s="4"/>
      <c r="B1332" s="3"/>
      <c r="C1332" s="3"/>
      <c r="D1332" s="3"/>
      <c r="E1332" s="6"/>
      <c r="F1332" s="33"/>
      <c r="G1332" s="3"/>
      <c r="H1332" s="3"/>
      <c r="K1332" s="3"/>
      <c r="L1332" s="3"/>
      <c r="M1332" s="3"/>
      <c r="N1332" s="3"/>
      <c r="O1332" s="3"/>
      <c r="Q1332" s="3"/>
      <c r="S1332" s="27" t="s">
        <v>1975</v>
      </c>
      <c r="T1332" s="27" t="str">
        <f>IFERROR(__xludf.DUMMYFUNCTION("""COMPUTED_VALUE"""),"")</f>
        <v/>
      </c>
      <c r="U1332" s="1" t="s">
        <v>1975</v>
      </c>
    </row>
    <row r="1333">
      <c r="A1333" s="4"/>
      <c r="B1333" s="3"/>
      <c r="C1333" s="3"/>
      <c r="D1333" s="3"/>
      <c r="E1333" s="6"/>
      <c r="F1333" s="33"/>
      <c r="G1333" s="3"/>
      <c r="H1333" s="3"/>
      <c r="K1333" s="3"/>
      <c r="L1333" s="3"/>
      <c r="M1333" s="3"/>
      <c r="N1333" s="3"/>
      <c r="O1333" s="3"/>
      <c r="Q1333" s="3"/>
      <c r="S1333" s="27" t="s">
        <v>1975</v>
      </c>
      <c r="T1333" s="27" t="str">
        <f>IFERROR(__xludf.DUMMYFUNCTION("""COMPUTED_VALUE"""),"")</f>
        <v/>
      </c>
      <c r="U1333" s="1" t="s">
        <v>1975</v>
      </c>
    </row>
    <row r="1334">
      <c r="A1334" s="4"/>
      <c r="B1334" s="3"/>
      <c r="C1334" s="3"/>
      <c r="D1334" s="3"/>
      <c r="E1334" s="6"/>
      <c r="F1334" s="33"/>
      <c r="G1334" s="3"/>
      <c r="H1334" s="3"/>
      <c r="K1334" s="3"/>
      <c r="L1334" s="3"/>
      <c r="M1334" s="3"/>
      <c r="N1334" s="3"/>
      <c r="O1334" s="3"/>
      <c r="Q1334" s="3"/>
      <c r="S1334" s="27" t="s">
        <v>1975</v>
      </c>
      <c r="T1334" s="27" t="str">
        <f>IFERROR(__xludf.DUMMYFUNCTION("""COMPUTED_VALUE"""),"")</f>
        <v/>
      </c>
      <c r="U1334" s="1" t="s">
        <v>1975</v>
      </c>
    </row>
    <row r="1335">
      <c r="A1335" s="4"/>
      <c r="B1335" s="3"/>
      <c r="C1335" s="3"/>
      <c r="D1335" s="3"/>
      <c r="E1335" s="6"/>
      <c r="F1335" s="33"/>
      <c r="G1335" s="3"/>
      <c r="H1335" s="3"/>
      <c r="K1335" s="3"/>
      <c r="L1335" s="3"/>
      <c r="M1335" s="3"/>
      <c r="N1335" s="3"/>
      <c r="O1335" s="3"/>
      <c r="Q1335" s="3"/>
      <c r="S1335" s="27" t="s">
        <v>1975</v>
      </c>
      <c r="T1335" s="27" t="str">
        <f>IFERROR(__xludf.DUMMYFUNCTION("""COMPUTED_VALUE"""),"")</f>
        <v/>
      </c>
      <c r="U1335" s="1" t="s">
        <v>1975</v>
      </c>
    </row>
    <row r="1336">
      <c r="A1336" s="4"/>
      <c r="B1336" s="3"/>
      <c r="C1336" s="3"/>
      <c r="D1336" s="3"/>
      <c r="E1336" s="6"/>
      <c r="F1336" s="33"/>
      <c r="G1336" s="3"/>
      <c r="H1336" s="3"/>
      <c r="K1336" s="3"/>
      <c r="L1336" s="3"/>
      <c r="M1336" s="3"/>
      <c r="N1336" s="3"/>
      <c r="O1336" s="3"/>
      <c r="Q1336" s="3"/>
      <c r="S1336" s="27" t="s">
        <v>1975</v>
      </c>
      <c r="T1336" s="27" t="str">
        <f>IFERROR(__xludf.DUMMYFUNCTION("""COMPUTED_VALUE"""),"")</f>
        <v/>
      </c>
      <c r="U1336" s="1" t="s">
        <v>1975</v>
      </c>
    </row>
    <row r="1337">
      <c r="A1337" s="4"/>
      <c r="B1337" s="3"/>
      <c r="C1337" s="3"/>
      <c r="D1337" s="3"/>
      <c r="E1337" s="6"/>
      <c r="F1337" s="33"/>
      <c r="G1337" s="3"/>
      <c r="H1337" s="3"/>
      <c r="K1337" s="3"/>
      <c r="L1337" s="3"/>
      <c r="M1337" s="3"/>
      <c r="N1337" s="3"/>
      <c r="O1337" s="3"/>
      <c r="Q1337" s="3"/>
      <c r="S1337" s="27" t="s">
        <v>1975</v>
      </c>
      <c r="T1337" s="27" t="str">
        <f>IFERROR(__xludf.DUMMYFUNCTION("""COMPUTED_VALUE"""),"")</f>
        <v/>
      </c>
      <c r="U1337" s="1" t="s">
        <v>1975</v>
      </c>
    </row>
    <row r="1338">
      <c r="A1338" s="4"/>
      <c r="B1338" s="3"/>
      <c r="C1338" s="3"/>
      <c r="D1338" s="3"/>
      <c r="E1338" s="6"/>
      <c r="F1338" s="33"/>
      <c r="G1338" s="3"/>
      <c r="H1338" s="3"/>
      <c r="K1338" s="3"/>
      <c r="L1338" s="3"/>
      <c r="M1338" s="3"/>
      <c r="N1338" s="3"/>
      <c r="O1338" s="3"/>
      <c r="Q1338" s="3"/>
      <c r="S1338" s="27" t="s">
        <v>1975</v>
      </c>
      <c r="T1338" s="27" t="str">
        <f>IFERROR(__xludf.DUMMYFUNCTION("""COMPUTED_VALUE"""),"")</f>
        <v/>
      </c>
      <c r="U1338" s="1" t="s">
        <v>1975</v>
      </c>
    </row>
    <row r="1339">
      <c r="A1339" s="4"/>
      <c r="B1339" s="3"/>
      <c r="C1339" s="3"/>
      <c r="D1339" s="3"/>
      <c r="E1339" s="6"/>
      <c r="F1339" s="33"/>
      <c r="G1339" s="3"/>
      <c r="H1339" s="3"/>
      <c r="K1339" s="3"/>
      <c r="L1339" s="3"/>
      <c r="M1339" s="3"/>
      <c r="N1339" s="3"/>
      <c r="O1339" s="3"/>
      <c r="Q1339" s="3"/>
      <c r="S1339" s="27" t="s">
        <v>1975</v>
      </c>
      <c r="T1339" s="27" t="str">
        <f>IFERROR(__xludf.DUMMYFUNCTION("""COMPUTED_VALUE"""),"")</f>
        <v/>
      </c>
      <c r="U1339" s="1" t="s">
        <v>1975</v>
      </c>
    </row>
    <row r="1340">
      <c r="A1340" s="4"/>
      <c r="B1340" s="3"/>
      <c r="C1340" s="3"/>
      <c r="D1340" s="3"/>
      <c r="E1340" s="6"/>
      <c r="F1340" s="33"/>
      <c r="G1340" s="3"/>
      <c r="H1340" s="3"/>
      <c r="K1340" s="3"/>
      <c r="L1340" s="3"/>
      <c r="M1340" s="3"/>
      <c r="N1340" s="3"/>
      <c r="O1340" s="3"/>
      <c r="Q1340" s="3"/>
      <c r="S1340" s="27" t="s">
        <v>1975</v>
      </c>
      <c r="T1340" s="27" t="str">
        <f>IFERROR(__xludf.DUMMYFUNCTION("""COMPUTED_VALUE"""),"")</f>
        <v/>
      </c>
      <c r="U1340" s="1" t="s">
        <v>1975</v>
      </c>
    </row>
    <row r="1341">
      <c r="A1341" s="4"/>
      <c r="B1341" s="3"/>
      <c r="C1341" s="3"/>
      <c r="D1341" s="3"/>
      <c r="E1341" s="6"/>
      <c r="F1341" s="33"/>
      <c r="G1341" s="3"/>
      <c r="H1341" s="3"/>
      <c r="K1341" s="3"/>
      <c r="L1341" s="3"/>
      <c r="M1341" s="3"/>
      <c r="N1341" s="3"/>
      <c r="O1341" s="3"/>
      <c r="Q1341" s="3"/>
      <c r="S1341" s="27" t="s">
        <v>1975</v>
      </c>
      <c r="T1341" s="27" t="str">
        <f>IFERROR(__xludf.DUMMYFUNCTION("""COMPUTED_VALUE"""),"")</f>
        <v/>
      </c>
      <c r="U1341" s="1" t="s">
        <v>1975</v>
      </c>
    </row>
    <row r="1342">
      <c r="A1342" s="4"/>
      <c r="B1342" s="3"/>
      <c r="C1342" s="3"/>
      <c r="D1342" s="3"/>
      <c r="E1342" s="6"/>
      <c r="F1342" s="33"/>
      <c r="G1342" s="3"/>
      <c r="H1342" s="3"/>
      <c r="K1342" s="3"/>
      <c r="L1342" s="3"/>
      <c r="M1342" s="3"/>
      <c r="N1342" s="3"/>
      <c r="O1342" s="3"/>
      <c r="Q1342" s="3"/>
      <c r="S1342" s="27" t="s">
        <v>1975</v>
      </c>
      <c r="T1342" s="27" t="str">
        <f>IFERROR(__xludf.DUMMYFUNCTION("""COMPUTED_VALUE"""),"")</f>
        <v/>
      </c>
      <c r="U1342" s="1" t="s">
        <v>1975</v>
      </c>
    </row>
    <row r="1343">
      <c r="A1343" s="4"/>
      <c r="B1343" s="3"/>
      <c r="C1343" s="3"/>
      <c r="D1343" s="3"/>
      <c r="E1343" s="6"/>
      <c r="F1343" s="33"/>
      <c r="G1343" s="3"/>
      <c r="H1343" s="3"/>
      <c r="K1343" s="3"/>
      <c r="L1343" s="3"/>
      <c r="M1343" s="3"/>
      <c r="N1343" s="3"/>
      <c r="O1343" s="3"/>
      <c r="Q1343" s="3"/>
      <c r="S1343" s="27" t="s">
        <v>1975</v>
      </c>
      <c r="T1343" s="27" t="str">
        <f>IFERROR(__xludf.DUMMYFUNCTION("""COMPUTED_VALUE"""),"")</f>
        <v/>
      </c>
      <c r="U1343" s="1" t="s">
        <v>1975</v>
      </c>
    </row>
    <row r="1344">
      <c r="A1344" s="4"/>
      <c r="B1344" s="3"/>
      <c r="C1344" s="3"/>
      <c r="D1344" s="3"/>
      <c r="E1344" s="6"/>
      <c r="F1344" s="33"/>
      <c r="G1344" s="3"/>
      <c r="H1344" s="3"/>
      <c r="K1344" s="3"/>
      <c r="L1344" s="3"/>
      <c r="M1344" s="3"/>
      <c r="N1344" s="3"/>
      <c r="O1344" s="3"/>
      <c r="Q1344" s="3"/>
      <c r="S1344" s="27" t="s">
        <v>1975</v>
      </c>
      <c r="T1344" s="27" t="str">
        <f>IFERROR(__xludf.DUMMYFUNCTION("""COMPUTED_VALUE"""),"")</f>
        <v/>
      </c>
      <c r="U1344" s="1" t="s">
        <v>1975</v>
      </c>
    </row>
    <row r="1345">
      <c r="A1345" s="4"/>
      <c r="B1345" s="3"/>
      <c r="C1345" s="3"/>
      <c r="D1345" s="3"/>
      <c r="E1345" s="6"/>
      <c r="F1345" s="33"/>
      <c r="G1345" s="3"/>
      <c r="H1345" s="3"/>
      <c r="K1345" s="3"/>
      <c r="L1345" s="3"/>
      <c r="M1345" s="3"/>
      <c r="N1345" s="3"/>
      <c r="O1345" s="3"/>
      <c r="Q1345" s="3"/>
      <c r="S1345" s="27" t="s">
        <v>1975</v>
      </c>
      <c r="T1345" s="27" t="str">
        <f>IFERROR(__xludf.DUMMYFUNCTION("""COMPUTED_VALUE"""),"")</f>
        <v/>
      </c>
      <c r="U1345" s="1" t="s">
        <v>1975</v>
      </c>
    </row>
    <row r="1346">
      <c r="A1346" s="4"/>
      <c r="B1346" s="3"/>
      <c r="C1346" s="3"/>
      <c r="D1346" s="3"/>
      <c r="E1346" s="6"/>
      <c r="F1346" s="33"/>
      <c r="G1346" s="3"/>
      <c r="H1346" s="3"/>
      <c r="K1346" s="3"/>
      <c r="L1346" s="3"/>
      <c r="M1346" s="3"/>
      <c r="N1346" s="3"/>
      <c r="O1346" s="3"/>
      <c r="Q1346" s="3"/>
      <c r="S1346" s="27" t="s">
        <v>1975</v>
      </c>
      <c r="T1346" s="27" t="str">
        <f>IFERROR(__xludf.DUMMYFUNCTION("""COMPUTED_VALUE"""),"")</f>
        <v/>
      </c>
      <c r="U1346" s="1" t="s">
        <v>1975</v>
      </c>
    </row>
    <row r="1347">
      <c r="A1347" s="4"/>
      <c r="B1347" s="3"/>
      <c r="C1347" s="3"/>
      <c r="D1347" s="3"/>
      <c r="E1347" s="6"/>
      <c r="F1347" s="33"/>
      <c r="G1347" s="3"/>
      <c r="H1347" s="3"/>
      <c r="K1347" s="3"/>
      <c r="L1347" s="3"/>
      <c r="M1347" s="3"/>
      <c r="N1347" s="3"/>
      <c r="O1347" s="3"/>
      <c r="Q1347" s="3"/>
      <c r="S1347" s="27" t="s">
        <v>1975</v>
      </c>
      <c r="T1347" s="27" t="str">
        <f>IFERROR(__xludf.DUMMYFUNCTION("""COMPUTED_VALUE"""),"")</f>
        <v/>
      </c>
      <c r="U1347" s="1" t="s">
        <v>1975</v>
      </c>
    </row>
    <row r="1348">
      <c r="A1348" s="4"/>
      <c r="B1348" s="3"/>
      <c r="C1348" s="3"/>
      <c r="D1348" s="3"/>
      <c r="E1348" s="6"/>
      <c r="F1348" s="33"/>
      <c r="G1348" s="3"/>
      <c r="H1348" s="3"/>
      <c r="K1348" s="3"/>
      <c r="L1348" s="3"/>
      <c r="M1348" s="3"/>
      <c r="N1348" s="3"/>
      <c r="O1348" s="3"/>
      <c r="Q1348" s="3"/>
      <c r="S1348" s="27" t="s">
        <v>1975</v>
      </c>
      <c r="T1348" s="27" t="str">
        <f>IFERROR(__xludf.DUMMYFUNCTION("""COMPUTED_VALUE"""),"")</f>
        <v/>
      </c>
      <c r="U1348" s="1" t="s">
        <v>1975</v>
      </c>
    </row>
    <row r="1349">
      <c r="A1349" s="4"/>
      <c r="B1349" s="3"/>
      <c r="C1349" s="3"/>
      <c r="D1349" s="3"/>
      <c r="E1349" s="6"/>
      <c r="F1349" s="33"/>
      <c r="G1349" s="3"/>
      <c r="H1349" s="3"/>
      <c r="K1349" s="3"/>
      <c r="L1349" s="3"/>
      <c r="M1349" s="3"/>
      <c r="N1349" s="3"/>
      <c r="O1349" s="3"/>
      <c r="Q1349" s="3"/>
      <c r="S1349" s="27" t="s">
        <v>1975</v>
      </c>
      <c r="T1349" s="27" t="str">
        <f>IFERROR(__xludf.DUMMYFUNCTION("""COMPUTED_VALUE"""),"")</f>
        <v/>
      </c>
      <c r="U1349" s="1" t="s">
        <v>1975</v>
      </c>
    </row>
    <row r="1350">
      <c r="A1350" s="4"/>
      <c r="B1350" s="3"/>
      <c r="C1350" s="3"/>
      <c r="D1350" s="3"/>
      <c r="E1350" s="6"/>
      <c r="F1350" s="33"/>
      <c r="G1350" s="3"/>
      <c r="H1350" s="3"/>
      <c r="K1350" s="3"/>
      <c r="L1350" s="3"/>
      <c r="M1350" s="3"/>
      <c r="N1350" s="3"/>
      <c r="O1350" s="3"/>
      <c r="Q1350" s="3"/>
      <c r="S1350" s="27" t="s">
        <v>1975</v>
      </c>
      <c r="T1350" s="27" t="str">
        <f>IFERROR(__xludf.DUMMYFUNCTION("""COMPUTED_VALUE"""),"")</f>
        <v/>
      </c>
      <c r="U1350" s="1" t="s">
        <v>1975</v>
      </c>
    </row>
    <row r="1351">
      <c r="A1351" s="4"/>
      <c r="B1351" s="3"/>
      <c r="C1351" s="3"/>
      <c r="D1351" s="3"/>
      <c r="E1351" s="6"/>
      <c r="F1351" s="33"/>
      <c r="G1351" s="3"/>
      <c r="H1351" s="3"/>
      <c r="K1351" s="3"/>
      <c r="L1351" s="3"/>
      <c r="M1351" s="3"/>
      <c r="N1351" s="3"/>
      <c r="O1351" s="3"/>
      <c r="Q1351" s="3"/>
      <c r="S1351" s="27" t="s">
        <v>1975</v>
      </c>
      <c r="T1351" s="27" t="str">
        <f>IFERROR(__xludf.DUMMYFUNCTION("""COMPUTED_VALUE"""),"")</f>
        <v/>
      </c>
      <c r="U1351" s="1" t="s">
        <v>1975</v>
      </c>
    </row>
    <row r="1352">
      <c r="A1352" s="4"/>
      <c r="B1352" s="3"/>
      <c r="C1352" s="3"/>
      <c r="D1352" s="3"/>
      <c r="E1352" s="6"/>
      <c r="F1352" s="33"/>
      <c r="G1352" s="3"/>
      <c r="H1352" s="3"/>
      <c r="K1352" s="3"/>
      <c r="L1352" s="3"/>
      <c r="M1352" s="3"/>
      <c r="N1352" s="3"/>
      <c r="O1352" s="3"/>
      <c r="Q1352" s="3"/>
      <c r="S1352" s="27" t="s">
        <v>1975</v>
      </c>
      <c r="T1352" s="27" t="str">
        <f>IFERROR(__xludf.DUMMYFUNCTION("""COMPUTED_VALUE"""),"")</f>
        <v/>
      </c>
      <c r="U1352" s="1" t="s">
        <v>1975</v>
      </c>
    </row>
    <row r="1353">
      <c r="A1353" s="4"/>
      <c r="B1353" s="3"/>
      <c r="C1353" s="3"/>
      <c r="D1353" s="3"/>
      <c r="E1353" s="6"/>
      <c r="F1353" s="33"/>
      <c r="G1353" s="3"/>
      <c r="H1353" s="3"/>
      <c r="K1353" s="3"/>
      <c r="L1353" s="3"/>
      <c r="M1353" s="3"/>
      <c r="N1353" s="3"/>
      <c r="O1353" s="3"/>
      <c r="Q1353" s="3"/>
      <c r="S1353" s="27" t="s">
        <v>1975</v>
      </c>
      <c r="T1353" s="27" t="str">
        <f>IFERROR(__xludf.DUMMYFUNCTION("""COMPUTED_VALUE"""),"")</f>
        <v/>
      </c>
      <c r="U1353" s="1" t="s">
        <v>1975</v>
      </c>
    </row>
    <row r="1354">
      <c r="A1354" s="4"/>
      <c r="B1354" s="3"/>
      <c r="C1354" s="3"/>
      <c r="D1354" s="3"/>
      <c r="E1354" s="6"/>
      <c r="F1354" s="33"/>
      <c r="G1354" s="3"/>
      <c r="H1354" s="3"/>
      <c r="K1354" s="3"/>
      <c r="L1354" s="3"/>
      <c r="M1354" s="3"/>
      <c r="N1354" s="3"/>
      <c r="O1354" s="3"/>
      <c r="Q1354" s="3"/>
      <c r="S1354" s="27" t="s">
        <v>1975</v>
      </c>
      <c r="T1354" s="27" t="str">
        <f>IFERROR(__xludf.DUMMYFUNCTION("""COMPUTED_VALUE"""),"")</f>
        <v/>
      </c>
      <c r="U1354" s="1" t="s">
        <v>1975</v>
      </c>
    </row>
    <row r="1355">
      <c r="A1355" s="4"/>
      <c r="B1355" s="3"/>
      <c r="C1355" s="3"/>
      <c r="D1355" s="3"/>
      <c r="E1355" s="6"/>
      <c r="F1355" s="33"/>
      <c r="G1355" s="3"/>
      <c r="H1355" s="3"/>
      <c r="K1355" s="3"/>
      <c r="L1355" s="3"/>
      <c r="M1355" s="3"/>
      <c r="N1355" s="3"/>
      <c r="O1355" s="3"/>
      <c r="Q1355" s="3"/>
      <c r="S1355" s="27" t="s">
        <v>1975</v>
      </c>
      <c r="T1355" s="27" t="str">
        <f>IFERROR(__xludf.DUMMYFUNCTION("""COMPUTED_VALUE"""),"")</f>
        <v/>
      </c>
      <c r="U1355" s="1" t="s">
        <v>1975</v>
      </c>
    </row>
    <row r="1356">
      <c r="A1356" s="4"/>
      <c r="B1356" s="3"/>
      <c r="C1356" s="3"/>
      <c r="D1356" s="3"/>
      <c r="E1356" s="6"/>
      <c r="F1356" s="33"/>
      <c r="G1356" s="3"/>
      <c r="H1356" s="3"/>
      <c r="K1356" s="3"/>
      <c r="L1356" s="3"/>
      <c r="M1356" s="3"/>
      <c r="N1356" s="3"/>
      <c r="O1356" s="3"/>
      <c r="Q1356" s="3"/>
      <c r="S1356" s="27" t="s">
        <v>1975</v>
      </c>
      <c r="T1356" s="27" t="str">
        <f>IFERROR(__xludf.DUMMYFUNCTION("""COMPUTED_VALUE"""),"")</f>
        <v/>
      </c>
      <c r="U1356" s="1" t="s">
        <v>1975</v>
      </c>
    </row>
    <row r="1357">
      <c r="A1357" s="4"/>
      <c r="B1357" s="3"/>
      <c r="C1357" s="3"/>
      <c r="D1357" s="3"/>
      <c r="E1357" s="6"/>
      <c r="F1357" s="33"/>
      <c r="G1357" s="3"/>
      <c r="H1357" s="3"/>
      <c r="K1357" s="3"/>
      <c r="L1357" s="3"/>
      <c r="M1357" s="3"/>
      <c r="N1357" s="3"/>
      <c r="O1357" s="3"/>
      <c r="Q1357" s="3"/>
      <c r="S1357" s="27" t="s">
        <v>1975</v>
      </c>
      <c r="T1357" s="27" t="str">
        <f>IFERROR(__xludf.DUMMYFUNCTION("""COMPUTED_VALUE"""),"")</f>
        <v/>
      </c>
      <c r="U1357" s="1" t="s">
        <v>1975</v>
      </c>
    </row>
    <row r="1358">
      <c r="A1358" s="4"/>
      <c r="B1358" s="3"/>
      <c r="C1358" s="3"/>
      <c r="D1358" s="3"/>
      <c r="E1358" s="6"/>
      <c r="F1358" s="33"/>
      <c r="G1358" s="3"/>
      <c r="H1358" s="3"/>
      <c r="K1358" s="3"/>
      <c r="L1358" s="3"/>
      <c r="M1358" s="3"/>
      <c r="N1358" s="3"/>
      <c r="O1358" s="3"/>
      <c r="Q1358" s="3"/>
      <c r="S1358" s="27" t="s">
        <v>1975</v>
      </c>
      <c r="T1358" s="27" t="str">
        <f>IFERROR(__xludf.DUMMYFUNCTION("""COMPUTED_VALUE"""),"")</f>
        <v/>
      </c>
      <c r="U1358" s="1" t="s">
        <v>1975</v>
      </c>
    </row>
    <row r="1359">
      <c r="A1359" s="4"/>
      <c r="B1359" s="3"/>
      <c r="C1359" s="3"/>
      <c r="D1359" s="3"/>
      <c r="E1359" s="6"/>
      <c r="F1359" s="33"/>
      <c r="G1359" s="3"/>
      <c r="H1359" s="3"/>
      <c r="K1359" s="3"/>
      <c r="L1359" s="3"/>
      <c r="M1359" s="3"/>
      <c r="N1359" s="3"/>
      <c r="O1359" s="3"/>
      <c r="Q1359" s="3"/>
      <c r="S1359" s="27" t="s">
        <v>1975</v>
      </c>
      <c r="T1359" s="27" t="str">
        <f>IFERROR(__xludf.DUMMYFUNCTION("""COMPUTED_VALUE"""),"")</f>
        <v/>
      </c>
      <c r="U1359" s="1" t="s">
        <v>1975</v>
      </c>
    </row>
    <row r="1360">
      <c r="A1360" s="4"/>
      <c r="B1360" s="3"/>
      <c r="C1360" s="3"/>
      <c r="D1360" s="3"/>
      <c r="E1360" s="6"/>
      <c r="F1360" s="33"/>
      <c r="G1360" s="3"/>
      <c r="H1360" s="3"/>
      <c r="K1360" s="3"/>
      <c r="L1360" s="3"/>
      <c r="M1360" s="3"/>
      <c r="N1360" s="3"/>
      <c r="O1360" s="3"/>
      <c r="Q1360" s="3"/>
      <c r="S1360" s="27" t="s">
        <v>1975</v>
      </c>
      <c r="T1360" s="27" t="str">
        <f>IFERROR(__xludf.DUMMYFUNCTION("""COMPUTED_VALUE"""),"")</f>
        <v/>
      </c>
      <c r="U1360" s="1" t="s">
        <v>1975</v>
      </c>
    </row>
    <row r="1361">
      <c r="A1361" s="4"/>
      <c r="B1361" s="3"/>
      <c r="C1361" s="3"/>
      <c r="D1361" s="3"/>
      <c r="E1361" s="6"/>
      <c r="F1361" s="33"/>
      <c r="G1361" s="3"/>
      <c r="H1361" s="3"/>
      <c r="K1361" s="3"/>
      <c r="L1361" s="3"/>
      <c r="M1361" s="3"/>
      <c r="N1361" s="3"/>
      <c r="O1361" s="3"/>
      <c r="Q1361" s="3"/>
      <c r="S1361" s="27" t="s">
        <v>1975</v>
      </c>
      <c r="T1361" s="27" t="str">
        <f>IFERROR(__xludf.DUMMYFUNCTION("""COMPUTED_VALUE"""),"")</f>
        <v/>
      </c>
      <c r="U1361" s="1" t="s">
        <v>1975</v>
      </c>
    </row>
    <row r="1362">
      <c r="A1362" s="4"/>
      <c r="B1362" s="3"/>
      <c r="C1362" s="3"/>
      <c r="D1362" s="3"/>
      <c r="E1362" s="6"/>
      <c r="F1362" s="33"/>
      <c r="G1362" s="3"/>
      <c r="H1362" s="3"/>
      <c r="K1362" s="3"/>
      <c r="L1362" s="3"/>
      <c r="M1362" s="3"/>
      <c r="N1362" s="3"/>
      <c r="O1362" s="3"/>
      <c r="Q1362" s="3"/>
      <c r="S1362" s="27" t="s">
        <v>1975</v>
      </c>
      <c r="T1362" s="27" t="str">
        <f>IFERROR(__xludf.DUMMYFUNCTION("""COMPUTED_VALUE"""),"")</f>
        <v/>
      </c>
      <c r="U1362" s="1" t="s">
        <v>1975</v>
      </c>
    </row>
    <row r="1363">
      <c r="A1363" s="4"/>
      <c r="B1363" s="3"/>
      <c r="C1363" s="3"/>
      <c r="D1363" s="3"/>
      <c r="E1363" s="6"/>
      <c r="F1363" s="33"/>
      <c r="G1363" s="3"/>
      <c r="H1363" s="3"/>
      <c r="K1363" s="3"/>
      <c r="L1363" s="3"/>
      <c r="M1363" s="3"/>
      <c r="N1363" s="3"/>
      <c r="O1363" s="3"/>
      <c r="Q1363" s="3"/>
      <c r="S1363" s="27" t="s">
        <v>1975</v>
      </c>
      <c r="T1363" s="27" t="str">
        <f>IFERROR(__xludf.DUMMYFUNCTION("""COMPUTED_VALUE"""),"")</f>
        <v/>
      </c>
      <c r="U1363" s="1" t="s">
        <v>1975</v>
      </c>
    </row>
    <row r="1364">
      <c r="A1364" s="4"/>
      <c r="B1364" s="3"/>
      <c r="C1364" s="3"/>
      <c r="D1364" s="3"/>
      <c r="E1364" s="6"/>
      <c r="F1364" s="33"/>
      <c r="G1364" s="3"/>
      <c r="H1364" s="3"/>
      <c r="K1364" s="3"/>
      <c r="L1364" s="3"/>
      <c r="M1364" s="3"/>
      <c r="N1364" s="3"/>
      <c r="O1364" s="3"/>
      <c r="Q1364" s="3"/>
      <c r="S1364" s="27" t="s">
        <v>1975</v>
      </c>
      <c r="T1364" s="27" t="str">
        <f>IFERROR(__xludf.DUMMYFUNCTION("""COMPUTED_VALUE"""),"")</f>
        <v/>
      </c>
      <c r="U1364" s="1" t="s">
        <v>1975</v>
      </c>
    </row>
    <row r="1365">
      <c r="A1365" s="4"/>
      <c r="B1365" s="3"/>
      <c r="C1365" s="3"/>
      <c r="D1365" s="3"/>
      <c r="E1365" s="6"/>
      <c r="F1365" s="33"/>
      <c r="G1365" s="3"/>
      <c r="H1365" s="3"/>
      <c r="K1365" s="3"/>
      <c r="L1365" s="3"/>
      <c r="M1365" s="3"/>
      <c r="N1365" s="3"/>
      <c r="O1365" s="3"/>
      <c r="Q1365" s="3"/>
      <c r="S1365" s="27" t="s">
        <v>1975</v>
      </c>
      <c r="T1365" s="27" t="str">
        <f>IFERROR(__xludf.DUMMYFUNCTION("""COMPUTED_VALUE"""),"")</f>
        <v/>
      </c>
      <c r="U1365" s="1" t="s">
        <v>1975</v>
      </c>
    </row>
    <row r="1366">
      <c r="A1366" s="4"/>
      <c r="B1366" s="3"/>
      <c r="C1366" s="3"/>
      <c r="D1366" s="3"/>
      <c r="E1366" s="6"/>
      <c r="F1366" s="33"/>
      <c r="G1366" s="3"/>
      <c r="H1366" s="3"/>
      <c r="K1366" s="3"/>
      <c r="L1366" s="3"/>
      <c r="M1366" s="3"/>
      <c r="N1366" s="3"/>
      <c r="O1366" s="3"/>
      <c r="Q1366" s="3"/>
      <c r="S1366" s="27" t="s">
        <v>1975</v>
      </c>
      <c r="T1366" s="27" t="str">
        <f>IFERROR(__xludf.DUMMYFUNCTION("""COMPUTED_VALUE"""),"")</f>
        <v/>
      </c>
      <c r="U1366" s="1" t="s">
        <v>1975</v>
      </c>
    </row>
    <row r="1367">
      <c r="A1367" s="4"/>
      <c r="B1367" s="3"/>
      <c r="C1367" s="3"/>
      <c r="D1367" s="3"/>
      <c r="E1367" s="6"/>
      <c r="F1367" s="33"/>
      <c r="G1367" s="3"/>
      <c r="H1367" s="3"/>
      <c r="K1367" s="3"/>
      <c r="L1367" s="3"/>
      <c r="M1367" s="3"/>
      <c r="N1367" s="3"/>
      <c r="O1367" s="3"/>
      <c r="Q1367" s="3"/>
      <c r="S1367" s="27" t="s">
        <v>1975</v>
      </c>
      <c r="T1367" s="27" t="str">
        <f>IFERROR(__xludf.DUMMYFUNCTION("""COMPUTED_VALUE"""),"")</f>
        <v/>
      </c>
      <c r="U1367" s="1" t="s">
        <v>1975</v>
      </c>
    </row>
    <row r="1368">
      <c r="A1368" s="4"/>
      <c r="B1368" s="3"/>
      <c r="C1368" s="3"/>
      <c r="D1368" s="3"/>
      <c r="E1368" s="6"/>
      <c r="F1368" s="33"/>
      <c r="G1368" s="3"/>
      <c r="H1368" s="3"/>
      <c r="K1368" s="3"/>
      <c r="L1368" s="3"/>
      <c r="M1368" s="3"/>
      <c r="N1368" s="3"/>
      <c r="O1368" s="3"/>
      <c r="Q1368" s="3"/>
      <c r="S1368" s="27" t="s">
        <v>1975</v>
      </c>
      <c r="T1368" s="27" t="str">
        <f>IFERROR(__xludf.DUMMYFUNCTION("""COMPUTED_VALUE"""),"")</f>
        <v/>
      </c>
      <c r="U1368" s="1" t="s">
        <v>1975</v>
      </c>
    </row>
    <row r="1369">
      <c r="A1369" s="4"/>
      <c r="B1369" s="3"/>
      <c r="C1369" s="3"/>
      <c r="D1369" s="3"/>
      <c r="E1369" s="6"/>
      <c r="F1369" s="33"/>
      <c r="G1369" s="3"/>
      <c r="H1369" s="3"/>
      <c r="K1369" s="3"/>
      <c r="L1369" s="3"/>
      <c r="M1369" s="3"/>
      <c r="N1369" s="3"/>
      <c r="O1369" s="3"/>
      <c r="Q1369" s="3"/>
      <c r="S1369" s="27" t="s">
        <v>1975</v>
      </c>
      <c r="T1369" s="27" t="str">
        <f>IFERROR(__xludf.DUMMYFUNCTION("""COMPUTED_VALUE"""),"")</f>
        <v/>
      </c>
      <c r="U1369" s="1" t="s">
        <v>1975</v>
      </c>
    </row>
    <row r="1370">
      <c r="A1370" s="4"/>
      <c r="B1370" s="3"/>
      <c r="C1370" s="3"/>
      <c r="D1370" s="3"/>
      <c r="E1370" s="6"/>
      <c r="F1370" s="33"/>
      <c r="G1370" s="3"/>
      <c r="H1370" s="3"/>
      <c r="K1370" s="3"/>
      <c r="L1370" s="3"/>
      <c r="M1370" s="3"/>
      <c r="N1370" s="3"/>
      <c r="O1370" s="3"/>
      <c r="Q1370" s="3"/>
      <c r="S1370" s="27" t="s">
        <v>1975</v>
      </c>
      <c r="T1370" s="27" t="str">
        <f>IFERROR(__xludf.DUMMYFUNCTION("""COMPUTED_VALUE"""),"")</f>
        <v/>
      </c>
      <c r="U1370" s="1" t="s">
        <v>1975</v>
      </c>
    </row>
    <row r="1371">
      <c r="A1371" s="4"/>
      <c r="B1371" s="3"/>
      <c r="C1371" s="3"/>
      <c r="D1371" s="3"/>
      <c r="E1371" s="6"/>
      <c r="F1371" s="33"/>
      <c r="G1371" s="3"/>
      <c r="H1371" s="3"/>
      <c r="K1371" s="3"/>
      <c r="L1371" s="3"/>
      <c r="M1371" s="3"/>
      <c r="N1371" s="3"/>
      <c r="O1371" s="3"/>
      <c r="Q1371" s="3"/>
      <c r="S1371" s="27" t="s">
        <v>1975</v>
      </c>
      <c r="T1371" s="27" t="str">
        <f>IFERROR(__xludf.DUMMYFUNCTION("""COMPUTED_VALUE"""),"")</f>
        <v/>
      </c>
      <c r="U1371" s="1" t="s">
        <v>1975</v>
      </c>
    </row>
    <row r="1372">
      <c r="A1372" s="4"/>
      <c r="B1372" s="3"/>
      <c r="C1372" s="3"/>
      <c r="D1372" s="3"/>
      <c r="E1372" s="6"/>
      <c r="F1372" s="33"/>
      <c r="G1372" s="3"/>
      <c r="H1372" s="3"/>
      <c r="K1372" s="3"/>
      <c r="L1372" s="3"/>
      <c r="M1372" s="3"/>
      <c r="N1372" s="3"/>
      <c r="O1372" s="3"/>
      <c r="Q1372" s="3"/>
      <c r="S1372" s="27" t="s">
        <v>1975</v>
      </c>
      <c r="T1372" s="27" t="str">
        <f>IFERROR(__xludf.DUMMYFUNCTION("""COMPUTED_VALUE"""),"")</f>
        <v/>
      </c>
      <c r="U1372" s="1" t="s">
        <v>1975</v>
      </c>
    </row>
    <row r="1373">
      <c r="A1373" s="4"/>
      <c r="B1373" s="3"/>
      <c r="C1373" s="3"/>
      <c r="D1373" s="3"/>
      <c r="E1373" s="6"/>
      <c r="F1373" s="33"/>
      <c r="G1373" s="3"/>
      <c r="H1373" s="3"/>
      <c r="K1373" s="3"/>
      <c r="L1373" s="3"/>
      <c r="M1373" s="3"/>
      <c r="N1373" s="3"/>
      <c r="O1373" s="3"/>
      <c r="Q1373" s="3"/>
      <c r="S1373" s="27" t="s">
        <v>1975</v>
      </c>
      <c r="T1373" s="27" t="str">
        <f>IFERROR(__xludf.DUMMYFUNCTION("""COMPUTED_VALUE"""),"")</f>
        <v/>
      </c>
      <c r="U1373" s="1" t="s">
        <v>1975</v>
      </c>
    </row>
    <row r="1374">
      <c r="A1374" s="4"/>
      <c r="B1374" s="3"/>
      <c r="C1374" s="3"/>
      <c r="D1374" s="3"/>
      <c r="E1374" s="6"/>
      <c r="F1374" s="33"/>
      <c r="G1374" s="3"/>
      <c r="H1374" s="3"/>
      <c r="K1374" s="3"/>
      <c r="L1374" s="3"/>
      <c r="M1374" s="3"/>
      <c r="N1374" s="3"/>
      <c r="O1374" s="3"/>
      <c r="Q1374" s="3"/>
      <c r="S1374" s="27" t="s">
        <v>1975</v>
      </c>
      <c r="T1374" s="27" t="str">
        <f>IFERROR(__xludf.DUMMYFUNCTION("""COMPUTED_VALUE"""),"")</f>
        <v/>
      </c>
      <c r="U1374" s="1" t="s">
        <v>1975</v>
      </c>
    </row>
    <row r="1375">
      <c r="A1375" s="4"/>
      <c r="B1375" s="3"/>
      <c r="C1375" s="3"/>
      <c r="D1375" s="3"/>
      <c r="E1375" s="6"/>
      <c r="F1375" s="33"/>
      <c r="G1375" s="3"/>
      <c r="H1375" s="3"/>
      <c r="K1375" s="3"/>
      <c r="L1375" s="3"/>
      <c r="M1375" s="3"/>
      <c r="N1375" s="3"/>
      <c r="O1375" s="3"/>
      <c r="Q1375" s="3"/>
      <c r="S1375" s="27" t="s">
        <v>1975</v>
      </c>
      <c r="T1375" s="27" t="str">
        <f>IFERROR(__xludf.DUMMYFUNCTION("""COMPUTED_VALUE"""),"")</f>
        <v/>
      </c>
      <c r="U1375" s="1" t="s">
        <v>1975</v>
      </c>
    </row>
    <row r="1376">
      <c r="A1376" s="4"/>
      <c r="B1376" s="3"/>
      <c r="C1376" s="3"/>
      <c r="D1376" s="3"/>
      <c r="E1376" s="6"/>
      <c r="F1376" s="33"/>
      <c r="G1376" s="3"/>
      <c r="H1376" s="3"/>
      <c r="K1376" s="3"/>
      <c r="L1376" s="3"/>
      <c r="M1376" s="3"/>
      <c r="N1376" s="3"/>
      <c r="O1376" s="3"/>
      <c r="Q1376" s="3"/>
      <c r="S1376" s="27" t="s">
        <v>1975</v>
      </c>
      <c r="T1376" s="27" t="str">
        <f>IFERROR(__xludf.DUMMYFUNCTION("""COMPUTED_VALUE"""),"")</f>
        <v/>
      </c>
      <c r="U1376" s="1" t="s">
        <v>1975</v>
      </c>
    </row>
    <row r="1377">
      <c r="A1377" s="4"/>
      <c r="B1377" s="3"/>
      <c r="C1377" s="3"/>
      <c r="D1377" s="3"/>
      <c r="E1377" s="6"/>
      <c r="F1377" s="33"/>
      <c r="G1377" s="3"/>
      <c r="H1377" s="3"/>
      <c r="K1377" s="3"/>
      <c r="L1377" s="3"/>
      <c r="M1377" s="3"/>
      <c r="N1377" s="3"/>
      <c r="O1377" s="3"/>
      <c r="Q1377" s="3"/>
      <c r="S1377" s="27" t="s">
        <v>1975</v>
      </c>
      <c r="T1377" s="27" t="str">
        <f>IFERROR(__xludf.DUMMYFUNCTION("""COMPUTED_VALUE"""),"")</f>
        <v/>
      </c>
      <c r="U1377" s="1" t="s">
        <v>1975</v>
      </c>
    </row>
    <row r="1378">
      <c r="A1378" s="4"/>
      <c r="B1378" s="3"/>
      <c r="C1378" s="3"/>
      <c r="D1378" s="3"/>
      <c r="E1378" s="6"/>
      <c r="F1378" s="33"/>
      <c r="G1378" s="3"/>
      <c r="H1378" s="3"/>
      <c r="K1378" s="3"/>
      <c r="L1378" s="3"/>
      <c r="M1378" s="3"/>
      <c r="N1378" s="3"/>
      <c r="O1378" s="3"/>
      <c r="Q1378" s="3"/>
      <c r="S1378" s="27" t="s">
        <v>1975</v>
      </c>
      <c r="T1378" s="27" t="str">
        <f>IFERROR(__xludf.DUMMYFUNCTION("""COMPUTED_VALUE"""),"")</f>
        <v/>
      </c>
      <c r="U1378" s="1" t="s">
        <v>1975</v>
      </c>
    </row>
    <row r="1379">
      <c r="A1379" s="4"/>
      <c r="B1379" s="3"/>
      <c r="C1379" s="3"/>
      <c r="D1379" s="3"/>
      <c r="E1379" s="6"/>
      <c r="F1379" s="33"/>
      <c r="G1379" s="3"/>
      <c r="H1379" s="3"/>
      <c r="K1379" s="3"/>
      <c r="L1379" s="3"/>
      <c r="M1379" s="3"/>
      <c r="N1379" s="3"/>
      <c r="O1379" s="3"/>
      <c r="Q1379" s="3"/>
      <c r="S1379" s="27" t="s">
        <v>1975</v>
      </c>
      <c r="T1379" s="27" t="str">
        <f>IFERROR(__xludf.DUMMYFUNCTION("""COMPUTED_VALUE"""),"")</f>
        <v/>
      </c>
      <c r="U1379" s="1" t="s">
        <v>1975</v>
      </c>
    </row>
    <row r="1380">
      <c r="A1380" s="4"/>
      <c r="B1380" s="3"/>
      <c r="C1380" s="3"/>
      <c r="D1380" s="3"/>
      <c r="E1380" s="6"/>
      <c r="F1380" s="33"/>
      <c r="G1380" s="3"/>
      <c r="H1380" s="3"/>
      <c r="K1380" s="3"/>
      <c r="L1380" s="3"/>
      <c r="M1380" s="3"/>
      <c r="N1380" s="3"/>
      <c r="O1380" s="3"/>
      <c r="Q1380" s="3"/>
      <c r="S1380" s="27" t="s">
        <v>1975</v>
      </c>
      <c r="T1380" s="27" t="str">
        <f>IFERROR(__xludf.DUMMYFUNCTION("""COMPUTED_VALUE"""),"")</f>
        <v/>
      </c>
      <c r="U1380" s="1" t="s">
        <v>1975</v>
      </c>
    </row>
    <row r="1381">
      <c r="A1381" s="4"/>
      <c r="B1381" s="3"/>
      <c r="C1381" s="3"/>
      <c r="D1381" s="3"/>
      <c r="E1381" s="6"/>
      <c r="F1381" s="33"/>
      <c r="G1381" s="3"/>
      <c r="H1381" s="3"/>
      <c r="K1381" s="3"/>
      <c r="L1381" s="3"/>
      <c r="M1381" s="3"/>
      <c r="N1381" s="3"/>
      <c r="O1381" s="3"/>
      <c r="Q1381" s="3"/>
      <c r="S1381" s="27" t="s">
        <v>1975</v>
      </c>
      <c r="T1381" s="27" t="str">
        <f>IFERROR(__xludf.DUMMYFUNCTION("""COMPUTED_VALUE"""),"")</f>
        <v/>
      </c>
      <c r="U1381" s="1" t="s">
        <v>1975</v>
      </c>
    </row>
    <row r="1382">
      <c r="A1382" s="4"/>
      <c r="B1382" s="3"/>
      <c r="C1382" s="3"/>
      <c r="D1382" s="3"/>
      <c r="E1382" s="6"/>
      <c r="F1382" s="33"/>
      <c r="G1382" s="3"/>
      <c r="H1382" s="3"/>
      <c r="K1382" s="3"/>
      <c r="L1382" s="3"/>
      <c r="M1382" s="3"/>
      <c r="N1382" s="3"/>
      <c r="O1382" s="3"/>
      <c r="Q1382" s="3"/>
      <c r="S1382" s="27" t="s">
        <v>1975</v>
      </c>
      <c r="T1382" s="27" t="str">
        <f>IFERROR(__xludf.DUMMYFUNCTION("""COMPUTED_VALUE"""),"")</f>
        <v/>
      </c>
      <c r="U1382" s="1" t="s">
        <v>1975</v>
      </c>
    </row>
    <row r="1383">
      <c r="A1383" s="4"/>
      <c r="B1383" s="3"/>
      <c r="C1383" s="3"/>
      <c r="D1383" s="3"/>
      <c r="E1383" s="6"/>
      <c r="F1383" s="33"/>
      <c r="G1383" s="3"/>
      <c r="H1383" s="3"/>
      <c r="K1383" s="3"/>
      <c r="L1383" s="3"/>
      <c r="M1383" s="3"/>
      <c r="N1383" s="3"/>
      <c r="O1383" s="3"/>
      <c r="Q1383" s="3"/>
      <c r="S1383" s="27" t="s">
        <v>1975</v>
      </c>
      <c r="T1383" s="27" t="str">
        <f>IFERROR(__xludf.DUMMYFUNCTION("""COMPUTED_VALUE"""),"")</f>
        <v/>
      </c>
      <c r="U1383" s="1" t="s">
        <v>1975</v>
      </c>
    </row>
    <row r="1384">
      <c r="A1384" s="4"/>
      <c r="B1384" s="3"/>
      <c r="C1384" s="3"/>
      <c r="D1384" s="3"/>
      <c r="E1384" s="6"/>
      <c r="F1384" s="33"/>
      <c r="G1384" s="3"/>
      <c r="H1384" s="3"/>
      <c r="K1384" s="3"/>
      <c r="L1384" s="3"/>
      <c r="M1384" s="3"/>
      <c r="N1384" s="3"/>
      <c r="O1384" s="3"/>
      <c r="Q1384" s="3"/>
      <c r="S1384" s="27" t="s">
        <v>1975</v>
      </c>
      <c r="T1384" s="27" t="str">
        <f>IFERROR(__xludf.DUMMYFUNCTION("""COMPUTED_VALUE"""),"")</f>
        <v/>
      </c>
      <c r="U1384" s="1" t="s">
        <v>1975</v>
      </c>
    </row>
    <row r="1385">
      <c r="A1385" s="4"/>
      <c r="B1385" s="3"/>
      <c r="C1385" s="3"/>
      <c r="D1385" s="3"/>
      <c r="E1385" s="6"/>
      <c r="F1385" s="33"/>
      <c r="G1385" s="3"/>
      <c r="H1385" s="3"/>
      <c r="K1385" s="3"/>
      <c r="L1385" s="3"/>
      <c r="M1385" s="3"/>
      <c r="N1385" s="3"/>
      <c r="O1385" s="3"/>
      <c r="Q1385" s="3"/>
      <c r="S1385" s="27" t="s">
        <v>1975</v>
      </c>
      <c r="T1385" s="27" t="str">
        <f>IFERROR(__xludf.DUMMYFUNCTION("""COMPUTED_VALUE"""),"")</f>
        <v/>
      </c>
      <c r="U1385" s="1" t="s">
        <v>1975</v>
      </c>
    </row>
    <row r="1386">
      <c r="A1386" s="4"/>
      <c r="B1386" s="3"/>
      <c r="C1386" s="3"/>
      <c r="D1386" s="3"/>
      <c r="E1386" s="6"/>
      <c r="F1386" s="33"/>
      <c r="G1386" s="3"/>
      <c r="H1386" s="3"/>
      <c r="K1386" s="3"/>
      <c r="L1386" s="3"/>
      <c r="M1386" s="3"/>
      <c r="N1386" s="3"/>
      <c r="O1386" s="3"/>
      <c r="Q1386" s="3"/>
      <c r="S1386" s="27" t="s">
        <v>1975</v>
      </c>
      <c r="T1386" s="27" t="str">
        <f>IFERROR(__xludf.DUMMYFUNCTION("""COMPUTED_VALUE"""),"")</f>
        <v/>
      </c>
      <c r="U1386" s="1" t="s">
        <v>1975</v>
      </c>
    </row>
    <row r="1387">
      <c r="A1387" s="4"/>
      <c r="B1387" s="3"/>
      <c r="C1387" s="3"/>
      <c r="D1387" s="3"/>
      <c r="E1387" s="6"/>
      <c r="F1387" s="33"/>
      <c r="G1387" s="3"/>
      <c r="H1387" s="3"/>
      <c r="K1387" s="3"/>
      <c r="L1387" s="3"/>
      <c r="M1387" s="3"/>
      <c r="N1387" s="3"/>
      <c r="O1387" s="3"/>
      <c r="Q1387" s="3"/>
      <c r="S1387" s="27" t="s">
        <v>1975</v>
      </c>
      <c r="T1387" s="27" t="str">
        <f>IFERROR(__xludf.DUMMYFUNCTION("""COMPUTED_VALUE"""),"")</f>
        <v/>
      </c>
      <c r="U1387" s="1" t="s">
        <v>1975</v>
      </c>
    </row>
    <row r="1388">
      <c r="A1388" s="4"/>
      <c r="B1388" s="3"/>
      <c r="C1388" s="3"/>
      <c r="D1388" s="3"/>
      <c r="E1388" s="6"/>
      <c r="F1388" s="33"/>
      <c r="G1388" s="3"/>
      <c r="H1388" s="3"/>
      <c r="K1388" s="3"/>
      <c r="L1388" s="3"/>
      <c r="M1388" s="3"/>
      <c r="N1388" s="3"/>
      <c r="O1388" s="3"/>
      <c r="Q1388" s="3"/>
      <c r="S1388" s="27" t="s">
        <v>1975</v>
      </c>
      <c r="T1388" s="27" t="str">
        <f>IFERROR(__xludf.DUMMYFUNCTION("""COMPUTED_VALUE"""),"")</f>
        <v/>
      </c>
      <c r="U1388" s="1" t="s">
        <v>1975</v>
      </c>
    </row>
    <row r="1389">
      <c r="A1389" s="4"/>
      <c r="B1389" s="3"/>
      <c r="C1389" s="3"/>
      <c r="D1389" s="3"/>
      <c r="E1389" s="6"/>
      <c r="F1389" s="33"/>
      <c r="G1389" s="3"/>
      <c r="H1389" s="3"/>
      <c r="K1389" s="3"/>
      <c r="L1389" s="3"/>
      <c r="M1389" s="3"/>
      <c r="N1389" s="3"/>
      <c r="O1389" s="3"/>
      <c r="Q1389" s="3"/>
      <c r="S1389" s="27" t="s">
        <v>1975</v>
      </c>
      <c r="T1389" s="27" t="str">
        <f>IFERROR(__xludf.DUMMYFUNCTION("""COMPUTED_VALUE"""),"")</f>
        <v/>
      </c>
      <c r="U1389" s="1" t="s">
        <v>1975</v>
      </c>
    </row>
    <row r="1390">
      <c r="A1390" s="4"/>
      <c r="B1390" s="3"/>
      <c r="C1390" s="3"/>
      <c r="D1390" s="3"/>
      <c r="E1390" s="6"/>
      <c r="F1390" s="33"/>
      <c r="G1390" s="3"/>
      <c r="H1390" s="3"/>
      <c r="K1390" s="3"/>
      <c r="L1390" s="3"/>
      <c r="M1390" s="3"/>
      <c r="N1390" s="3"/>
      <c r="O1390" s="3"/>
      <c r="Q1390" s="3"/>
      <c r="S1390" s="27" t="s">
        <v>1975</v>
      </c>
      <c r="T1390" s="27" t="str">
        <f>IFERROR(__xludf.DUMMYFUNCTION("""COMPUTED_VALUE"""),"")</f>
        <v/>
      </c>
      <c r="U1390" s="1" t="s">
        <v>1975</v>
      </c>
    </row>
    <row r="1391">
      <c r="A1391" s="4"/>
      <c r="B1391" s="3"/>
      <c r="C1391" s="3"/>
      <c r="D1391" s="3"/>
      <c r="E1391" s="6"/>
      <c r="F1391" s="33"/>
      <c r="G1391" s="3"/>
      <c r="H1391" s="3"/>
      <c r="K1391" s="3"/>
      <c r="L1391" s="3"/>
      <c r="M1391" s="3"/>
      <c r="N1391" s="3"/>
      <c r="O1391" s="3"/>
      <c r="Q1391" s="3"/>
      <c r="S1391" s="27" t="s">
        <v>1975</v>
      </c>
      <c r="T1391" s="27" t="str">
        <f>IFERROR(__xludf.DUMMYFUNCTION("""COMPUTED_VALUE"""),"")</f>
        <v/>
      </c>
      <c r="U1391" s="1" t="s">
        <v>1975</v>
      </c>
    </row>
    <row r="1392">
      <c r="A1392" s="4"/>
      <c r="B1392" s="3"/>
      <c r="C1392" s="3"/>
      <c r="D1392" s="3"/>
      <c r="E1392" s="6"/>
      <c r="F1392" s="33"/>
      <c r="G1392" s="3"/>
      <c r="H1392" s="3"/>
      <c r="K1392" s="3"/>
      <c r="L1392" s="3"/>
      <c r="M1392" s="3"/>
      <c r="N1392" s="3"/>
      <c r="O1392" s="3"/>
      <c r="Q1392" s="3"/>
      <c r="S1392" s="27" t="s">
        <v>1975</v>
      </c>
      <c r="T1392" s="27" t="str">
        <f>IFERROR(__xludf.DUMMYFUNCTION("""COMPUTED_VALUE"""),"")</f>
        <v/>
      </c>
      <c r="U1392" s="1" t="s">
        <v>1975</v>
      </c>
    </row>
    <row r="1393">
      <c r="A1393" s="4"/>
      <c r="B1393" s="3"/>
      <c r="C1393" s="3"/>
      <c r="D1393" s="3"/>
      <c r="E1393" s="6"/>
      <c r="F1393" s="33"/>
      <c r="G1393" s="3"/>
      <c r="H1393" s="3"/>
      <c r="K1393" s="3"/>
      <c r="L1393" s="3"/>
      <c r="M1393" s="3"/>
      <c r="N1393" s="3"/>
      <c r="O1393" s="3"/>
      <c r="Q1393" s="3"/>
      <c r="S1393" s="27" t="s">
        <v>1975</v>
      </c>
      <c r="T1393" s="27" t="str">
        <f>IFERROR(__xludf.DUMMYFUNCTION("""COMPUTED_VALUE"""),"")</f>
        <v/>
      </c>
      <c r="U1393" s="1" t="s">
        <v>1975</v>
      </c>
    </row>
    <row r="1394">
      <c r="A1394" s="4"/>
      <c r="B1394" s="3"/>
      <c r="C1394" s="3"/>
      <c r="D1394" s="3"/>
      <c r="E1394" s="6"/>
      <c r="F1394" s="33"/>
      <c r="G1394" s="3"/>
      <c r="H1394" s="3"/>
      <c r="K1394" s="3"/>
      <c r="L1394" s="3"/>
      <c r="M1394" s="3"/>
      <c r="N1394" s="3"/>
      <c r="O1394" s="3"/>
      <c r="Q1394" s="3"/>
      <c r="S1394" s="27" t="s">
        <v>1975</v>
      </c>
      <c r="T1394" s="27" t="str">
        <f>IFERROR(__xludf.DUMMYFUNCTION("""COMPUTED_VALUE"""),"")</f>
        <v/>
      </c>
      <c r="U1394" s="1" t="s">
        <v>1975</v>
      </c>
    </row>
    <row r="1395">
      <c r="A1395" s="4"/>
      <c r="B1395" s="3"/>
      <c r="C1395" s="3"/>
      <c r="D1395" s="3"/>
      <c r="E1395" s="6"/>
      <c r="F1395" s="33"/>
      <c r="G1395" s="3"/>
      <c r="H1395" s="3"/>
      <c r="K1395" s="3"/>
      <c r="L1395" s="3"/>
      <c r="M1395" s="3"/>
      <c r="N1395" s="3"/>
      <c r="O1395" s="3"/>
      <c r="Q1395" s="3"/>
      <c r="S1395" s="27" t="s">
        <v>1975</v>
      </c>
      <c r="T1395" s="27" t="str">
        <f>IFERROR(__xludf.DUMMYFUNCTION("""COMPUTED_VALUE"""),"")</f>
        <v/>
      </c>
      <c r="U1395" s="1" t="s">
        <v>1975</v>
      </c>
    </row>
    <row r="1396">
      <c r="A1396" s="4"/>
      <c r="B1396" s="3"/>
      <c r="C1396" s="3"/>
      <c r="D1396" s="3"/>
      <c r="E1396" s="6"/>
      <c r="F1396" s="33"/>
      <c r="G1396" s="3"/>
      <c r="H1396" s="3"/>
      <c r="K1396" s="3"/>
      <c r="L1396" s="3"/>
      <c r="M1396" s="3"/>
      <c r="N1396" s="3"/>
      <c r="O1396" s="3"/>
      <c r="Q1396" s="3"/>
      <c r="S1396" s="27" t="s">
        <v>1975</v>
      </c>
      <c r="T1396" s="27" t="str">
        <f>IFERROR(__xludf.DUMMYFUNCTION("""COMPUTED_VALUE"""),"")</f>
        <v/>
      </c>
      <c r="U1396" s="1" t="s">
        <v>1975</v>
      </c>
    </row>
    <row r="1397">
      <c r="A1397" s="4"/>
      <c r="B1397" s="3"/>
      <c r="C1397" s="3"/>
      <c r="D1397" s="3"/>
      <c r="E1397" s="6"/>
      <c r="F1397" s="33"/>
      <c r="G1397" s="3"/>
      <c r="H1397" s="3"/>
      <c r="K1397" s="3"/>
      <c r="L1397" s="3"/>
      <c r="M1397" s="3"/>
      <c r="N1397" s="3"/>
      <c r="O1397" s="3"/>
      <c r="Q1397" s="3"/>
      <c r="S1397" s="27" t="s">
        <v>1975</v>
      </c>
      <c r="T1397" s="27" t="str">
        <f>IFERROR(__xludf.DUMMYFUNCTION("""COMPUTED_VALUE"""),"")</f>
        <v/>
      </c>
      <c r="U1397" s="1" t="s">
        <v>1975</v>
      </c>
    </row>
    <row r="1398">
      <c r="A1398" s="4"/>
      <c r="B1398" s="3"/>
      <c r="C1398" s="3"/>
      <c r="D1398" s="3"/>
      <c r="E1398" s="6"/>
      <c r="F1398" s="33"/>
      <c r="G1398" s="3"/>
      <c r="H1398" s="3"/>
      <c r="K1398" s="3"/>
      <c r="L1398" s="3"/>
      <c r="M1398" s="3"/>
      <c r="N1398" s="3"/>
      <c r="O1398" s="3"/>
      <c r="Q1398" s="3"/>
      <c r="S1398" s="27" t="s">
        <v>1975</v>
      </c>
      <c r="T1398" s="27" t="str">
        <f>IFERROR(__xludf.DUMMYFUNCTION("""COMPUTED_VALUE"""),"")</f>
        <v/>
      </c>
      <c r="U1398" s="1" t="s">
        <v>1975</v>
      </c>
    </row>
    <row r="1399">
      <c r="A1399" s="4"/>
      <c r="B1399" s="3"/>
      <c r="C1399" s="3"/>
      <c r="D1399" s="3"/>
      <c r="E1399" s="6"/>
      <c r="F1399" s="33"/>
      <c r="G1399" s="3"/>
      <c r="H1399" s="3"/>
      <c r="K1399" s="3"/>
      <c r="L1399" s="3"/>
      <c r="M1399" s="3"/>
      <c r="N1399" s="3"/>
      <c r="O1399" s="3"/>
      <c r="Q1399" s="3"/>
      <c r="S1399" s="27" t="s">
        <v>1975</v>
      </c>
      <c r="T1399" s="27" t="str">
        <f>IFERROR(__xludf.DUMMYFUNCTION("""COMPUTED_VALUE"""),"")</f>
        <v/>
      </c>
      <c r="U1399" s="1" t="s">
        <v>1975</v>
      </c>
    </row>
    <row r="1400">
      <c r="A1400" s="4"/>
      <c r="B1400" s="3"/>
      <c r="C1400" s="3"/>
      <c r="D1400" s="3"/>
      <c r="E1400" s="6"/>
      <c r="F1400" s="33"/>
      <c r="G1400" s="3"/>
      <c r="H1400" s="3"/>
      <c r="K1400" s="3"/>
      <c r="L1400" s="3"/>
      <c r="M1400" s="3"/>
      <c r="N1400" s="3"/>
      <c r="O1400" s="3"/>
      <c r="Q1400" s="3"/>
      <c r="S1400" s="27" t="s">
        <v>1975</v>
      </c>
      <c r="T1400" s="27" t="str">
        <f>IFERROR(__xludf.DUMMYFUNCTION("""COMPUTED_VALUE"""),"")</f>
        <v/>
      </c>
      <c r="U1400" s="1" t="s">
        <v>1975</v>
      </c>
    </row>
    <row r="1401">
      <c r="A1401" s="4"/>
      <c r="B1401" s="3"/>
      <c r="C1401" s="3"/>
      <c r="D1401" s="3"/>
      <c r="E1401" s="6"/>
      <c r="F1401" s="33"/>
      <c r="G1401" s="3"/>
      <c r="H1401" s="3"/>
      <c r="K1401" s="3"/>
      <c r="L1401" s="3"/>
      <c r="M1401" s="3"/>
      <c r="N1401" s="3"/>
      <c r="O1401" s="3"/>
      <c r="Q1401" s="3"/>
      <c r="S1401" s="27" t="s">
        <v>1975</v>
      </c>
      <c r="T1401" s="27" t="str">
        <f>IFERROR(__xludf.DUMMYFUNCTION("""COMPUTED_VALUE"""),"")</f>
        <v/>
      </c>
      <c r="U1401" s="1" t="s">
        <v>1975</v>
      </c>
    </row>
    <row r="1402">
      <c r="A1402" s="4"/>
      <c r="B1402" s="3"/>
      <c r="C1402" s="3"/>
      <c r="D1402" s="3"/>
      <c r="E1402" s="6"/>
      <c r="F1402" s="33"/>
      <c r="G1402" s="3"/>
      <c r="H1402" s="3"/>
      <c r="K1402" s="3"/>
      <c r="L1402" s="3"/>
      <c r="M1402" s="3"/>
      <c r="N1402" s="3"/>
      <c r="O1402" s="3"/>
      <c r="Q1402" s="3"/>
      <c r="S1402" s="27" t="s">
        <v>1975</v>
      </c>
      <c r="T1402" s="27" t="str">
        <f>IFERROR(__xludf.DUMMYFUNCTION("""COMPUTED_VALUE"""),"")</f>
        <v/>
      </c>
      <c r="U1402" s="1" t="s">
        <v>1975</v>
      </c>
    </row>
    <row r="1403">
      <c r="A1403" s="4"/>
      <c r="B1403" s="3"/>
      <c r="C1403" s="3"/>
      <c r="D1403" s="3"/>
      <c r="E1403" s="6"/>
      <c r="F1403" s="33"/>
      <c r="G1403" s="3"/>
      <c r="H1403" s="3"/>
      <c r="K1403" s="3"/>
      <c r="L1403" s="3"/>
      <c r="M1403" s="3"/>
      <c r="N1403" s="3"/>
      <c r="O1403" s="3"/>
      <c r="Q1403" s="3"/>
      <c r="S1403" s="27" t="s">
        <v>1975</v>
      </c>
      <c r="T1403" s="27" t="str">
        <f>IFERROR(__xludf.DUMMYFUNCTION("""COMPUTED_VALUE"""),"")</f>
        <v/>
      </c>
      <c r="U1403" s="1" t="s">
        <v>1975</v>
      </c>
    </row>
    <row r="1404">
      <c r="A1404" s="4"/>
      <c r="B1404" s="3"/>
      <c r="C1404" s="3"/>
      <c r="D1404" s="3"/>
      <c r="E1404" s="6"/>
      <c r="F1404" s="33"/>
      <c r="G1404" s="3"/>
      <c r="H1404" s="3"/>
      <c r="K1404" s="3"/>
      <c r="L1404" s="3"/>
      <c r="M1404" s="3"/>
      <c r="N1404" s="3"/>
      <c r="O1404" s="3"/>
      <c r="Q1404" s="3"/>
      <c r="S1404" s="27" t="s">
        <v>1975</v>
      </c>
      <c r="T1404" s="27" t="str">
        <f>IFERROR(__xludf.DUMMYFUNCTION("""COMPUTED_VALUE"""),"")</f>
        <v/>
      </c>
      <c r="U1404" s="1" t="s">
        <v>1975</v>
      </c>
    </row>
    <row r="1405">
      <c r="A1405" s="4"/>
      <c r="B1405" s="3"/>
      <c r="C1405" s="3"/>
      <c r="D1405" s="3"/>
      <c r="E1405" s="6"/>
      <c r="F1405" s="33"/>
      <c r="G1405" s="3"/>
      <c r="H1405" s="3"/>
      <c r="K1405" s="3"/>
      <c r="L1405" s="3"/>
      <c r="M1405" s="3"/>
      <c r="N1405" s="3"/>
      <c r="O1405" s="3"/>
      <c r="Q1405" s="3"/>
      <c r="S1405" s="27" t="s">
        <v>1975</v>
      </c>
      <c r="T1405" s="27" t="str">
        <f>IFERROR(__xludf.DUMMYFUNCTION("""COMPUTED_VALUE"""),"")</f>
        <v/>
      </c>
      <c r="U1405" s="1" t="s">
        <v>1975</v>
      </c>
    </row>
    <row r="1406">
      <c r="A1406" s="4"/>
      <c r="B1406" s="3"/>
      <c r="C1406" s="3"/>
      <c r="D1406" s="3"/>
      <c r="E1406" s="6"/>
      <c r="F1406" s="33"/>
      <c r="G1406" s="3"/>
      <c r="H1406" s="3"/>
      <c r="K1406" s="3"/>
      <c r="L1406" s="3"/>
      <c r="M1406" s="3"/>
      <c r="N1406" s="3"/>
      <c r="O1406" s="3"/>
      <c r="Q1406" s="3"/>
      <c r="S1406" s="27" t="s">
        <v>1975</v>
      </c>
      <c r="T1406" s="27" t="str">
        <f>IFERROR(__xludf.DUMMYFUNCTION("""COMPUTED_VALUE"""),"")</f>
        <v/>
      </c>
      <c r="U1406" s="1" t="s">
        <v>1975</v>
      </c>
    </row>
    <row r="1407">
      <c r="A1407" s="4"/>
      <c r="B1407" s="3"/>
      <c r="C1407" s="3"/>
      <c r="D1407" s="3"/>
      <c r="E1407" s="6"/>
      <c r="F1407" s="33"/>
      <c r="G1407" s="3"/>
      <c r="H1407" s="3"/>
      <c r="K1407" s="3"/>
      <c r="L1407" s="3"/>
      <c r="M1407" s="3"/>
      <c r="N1407" s="3"/>
      <c r="O1407" s="3"/>
      <c r="Q1407" s="3"/>
      <c r="S1407" s="27" t="s">
        <v>1975</v>
      </c>
      <c r="T1407" s="27" t="str">
        <f>IFERROR(__xludf.DUMMYFUNCTION("""COMPUTED_VALUE"""),"")</f>
        <v/>
      </c>
      <c r="U1407" s="1" t="s">
        <v>1975</v>
      </c>
    </row>
    <row r="1408">
      <c r="A1408" s="4"/>
      <c r="B1408" s="3"/>
      <c r="C1408" s="3"/>
      <c r="D1408" s="3"/>
      <c r="E1408" s="6"/>
      <c r="F1408" s="33"/>
      <c r="G1408" s="3"/>
      <c r="H1408" s="3"/>
      <c r="K1408" s="3"/>
      <c r="L1408" s="3"/>
      <c r="M1408" s="3"/>
      <c r="N1408" s="3"/>
      <c r="O1408" s="3"/>
      <c r="Q1408" s="3"/>
      <c r="S1408" s="27" t="s">
        <v>1975</v>
      </c>
      <c r="T1408" s="27" t="str">
        <f>IFERROR(__xludf.DUMMYFUNCTION("""COMPUTED_VALUE"""),"")</f>
        <v/>
      </c>
      <c r="U1408" s="1" t="s">
        <v>1975</v>
      </c>
    </row>
    <row r="1409">
      <c r="A1409" s="4"/>
      <c r="B1409" s="3"/>
      <c r="C1409" s="3"/>
      <c r="D1409" s="3"/>
      <c r="E1409" s="6"/>
      <c r="F1409" s="33"/>
      <c r="G1409" s="3"/>
      <c r="H1409" s="3"/>
      <c r="K1409" s="3"/>
      <c r="L1409" s="3"/>
      <c r="M1409" s="3"/>
      <c r="N1409" s="3"/>
      <c r="O1409" s="3"/>
      <c r="Q1409" s="3"/>
      <c r="S1409" s="27" t="s">
        <v>1975</v>
      </c>
      <c r="T1409" s="27" t="str">
        <f>IFERROR(__xludf.DUMMYFUNCTION("""COMPUTED_VALUE"""),"")</f>
        <v/>
      </c>
      <c r="U1409" s="1" t="s">
        <v>1975</v>
      </c>
    </row>
    <row r="1410">
      <c r="A1410" s="4"/>
      <c r="B1410" s="3"/>
      <c r="C1410" s="3"/>
      <c r="D1410" s="3"/>
      <c r="E1410" s="6"/>
      <c r="F1410" s="33"/>
      <c r="G1410" s="3"/>
      <c r="H1410" s="3"/>
      <c r="K1410" s="3"/>
      <c r="L1410" s="3"/>
      <c r="M1410" s="3"/>
      <c r="N1410" s="3"/>
      <c r="O1410" s="3"/>
      <c r="Q1410" s="3"/>
      <c r="S1410" s="27" t="s">
        <v>1975</v>
      </c>
      <c r="T1410" s="27" t="str">
        <f>IFERROR(__xludf.DUMMYFUNCTION("""COMPUTED_VALUE"""),"")</f>
        <v/>
      </c>
      <c r="U1410" s="1" t="s">
        <v>1975</v>
      </c>
    </row>
    <row r="1411">
      <c r="A1411" s="4"/>
      <c r="B1411" s="3"/>
      <c r="C1411" s="3"/>
      <c r="D1411" s="3"/>
      <c r="E1411" s="6"/>
      <c r="F1411" s="33"/>
      <c r="G1411" s="3"/>
      <c r="H1411" s="3"/>
      <c r="K1411" s="3"/>
      <c r="L1411" s="3"/>
      <c r="M1411" s="3"/>
      <c r="N1411" s="3"/>
      <c r="O1411" s="3"/>
      <c r="Q1411" s="3"/>
      <c r="S1411" s="27" t="s">
        <v>1975</v>
      </c>
      <c r="T1411" s="27" t="str">
        <f>IFERROR(__xludf.DUMMYFUNCTION("""COMPUTED_VALUE"""),"")</f>
        <v/>
      </c>
      <c r="U1411" s="1" t="s">
        <v>1975</v>
      </c>
    </row>
    <row r="1412">
      <c r="A1412" s="4"/>
      <c r="B1412" s="3"/>
      <c r="C1412" s="3"/>
      <c r="D1412" s="3"/>
      <c r="E1412" s="6"/>
      <c r="F1412" s="33"/>
      <c r="G1412" s="3"/>
      <c r="H1412" s="3"/>
      <c r="K1412" s="3"/>
      <c r="L1412" s="3"/>
      <c r="M1412" s="3"/>
      <c r="N1412" s="3"/>
      <c r="O1412" s="3"/>
      <c r="Q1412" s="3"/>
      <c r="S1412" s="27" t="s">
        <v>1975</v>
      </c>
      <c r="T1412" s="27" t="str">
        <f>IFERROR(__xludf.DUMMYFUNCTION("""COMPUTED_VALUE"""),"")</f>
        <v/>
      </c>
      <c r="U1412" s="1" t="s">
        <v>1975</v>
      </c>
    </row>
    <row r="1413">
      <c r="A1413" s="4"/>
      <c r="B1413" s="3"/>
      <c r="C1413" s="3"/>
      <c r="D1413" s="3"/>
      <c r="E1413" s="6"/>
      <c r="F1413" s="33"/>
      <c r="G1413" s="3"/>
      <c r="H1413" s="3"/>
      <c r="K1413" s="3"/>
      <c r="L1413" s="3"/>
      <c r="M1413" s="3"/>
      <c r="N1413" s="3"/>
      <c r="O1413" s="3"/>
      <c r="Q1413" s="3"/>
      <c r="S1413" s="27" t="s">
        <v>1975</v>
      </c>
      <c r="T1413" s="27" t="str">
        <f>IFERROR(__xludf.DUMMYFUNCTION("""COMPUTED_VALUE"""),"")</f>
        <v/>
      </c>
      <c r="U1413" s="1" t="s">
        <v>1975</v>
      </c>
    </row>
    <row r="1414">
      <c r="A1414" s="4"/>
      <c r="B1414" s="3"/>
      <c r="C1414" s="3"/>
      <c r="D1414" s="3"/>
      <c r="E1414" s="6"/>
      <c r="F1414" s="33"/>
      <c r="G1414" s="3"/>
      <c r="H1414" s="3"/>
      <c r="K1414" s="3"/>
      <c r="L1414" s="3"/>
      <c r="M1414" s="3"/>
      <c r="N1414" s="3"/>
      <c r="O1414" s="3"/>
      <c r="Q1414" s="3"/>
      <c r="S1414" s="27" t="s">
        <v>1975</v>
      </c>
      <c r="T1414" s="27" t="str">
        <f>IFERROR(__xludf.DUMMYFUNCTION("""COMPUTED_VALUE"""),"")</f>
        <v/>
      </c>
      <c r="U1414" s="1" t="s">
        <v>1975</v>
      </c>
    </row>
    <row r="1415">
      <c r="A1415" s="4"/>
      <c r="B1415" s="3"/>
      <c r="C1415" s="3"/>
      <c r="D1415" s="3"/>
      <c r="E1415" s="6"/>
      <c r="F1415" s="33"/>
      <c r="G1415" s="3"/>
      <c r="H1415" s="3"/>
      <c r="K1415" s="3"/>
      <c r="L1415" s="3"/>
      <c r="M1415" s="3"/>
      <c r="N1415" s="3"/>
      <c r="O1415" s="3"/>
      <c r="Q1415" s="3"/>
      <c r="S1415" s="27" t="s">
        <v>1975</v>
      </c>
      <c r="T1415" s="27" t="str">
        <f>IFERROR(__xludf.DUMMYFUNCTION("""COMPUTED_VALUE"""),"")</f>
        <v/>
      </c>
      <c r="U1415" s="1" t="s">
        <v>1975</v>
      </c>
    </row>
    <row r="1416">
      <c r="A1416" s="4"/>
      <c r="B1416" s="3"/>
      <c r="C1416" s="3"/>
      <c r="D1416" s="3"/>
      <c r="E1416" s="6"/>
      <c r="F1416" s="33"/>
      <c r="G1416" s="3"/>
      <c r="H1416" s="3"/>
      <c r="K1416" s="3"/>
      <c r="L1416" s="3"/>
      <c r="M1416" s="3"/>
      <c r="N1416" s="3"/>
      <c r="O1416" s="3"/>
      <c r="Q1416" s="3"/>
      <c r="S1416" s="27" t="s">
        <v>1975</v>
      </c>
      <c r="T1416" s="27" t="str">
        <f>IFERROR(__xludf.DUMMYFUNCTION("""COMPUTED_VALUE"""),"")</f>
        <v/>
      </c>
      <c r="U1416" s="1" t="s">
        <v>1975</v>
      </c>
    </row>
    <row r="1417">
      <c r="A1417" s="4"/>
      <c r="B1417" s="3"/>
      <c r="C1417" s="3"/>
      <c r="D1417" s="3"/>
      <c r="E1417" s="6"/>
      <c r="F1417" s="33"/>
      <c r="G1417" s="3"/>
      <c r="H1417" s="3"/>
      <c r="K1417" s="3"/>
      <c r="L1417" s="3"/>
      <c r="M1417" s="3"/>
      <c r="N1417" s="3"/>
      <c r="O1417" s="3"/>
      <c r="Q1417" s="3"/>
      <c r="S1417" s="27" t="s">
        <v>1975</v>
      </c>
      <c r="T1417" s="27" t="str">
        <f>IFERROR(__xludf.DUMMYFUNCTION("""COMPUTED_VALUE"""),"")</f>
        <v/>
      </c>
      <c r="U1417" s="1" t="s">
        <v>1975</v>
      </c>
    </row>
    <row r="1418">
      <c r="A1418" s="4"/>
      <c r="B1418" s="3"/>
      <c r="C1418" s="3"/>
      <c r="D1418" s="3"/>
      <c r="E1418" s="6"/>
      <c r="F1418" s="33"/>
      <c r="G1418" s="3"/>
      <c r="H1418" s="3"/>
      <c r="K1418" s="3"/>
      <c r="L1418" s="3"/>
      <c r="M1418" s="3"/>
      <c r="N1418" s="3"/>
      <c r="O1418" s="3"/>
      <c r="Q1418" s="3"/>
      <c r="S1418" s="27" t="s">
        <v>1975</v>
      </c>
      <c r="T1418" s="27" t="str">
        <f>IFERROR(__xludf.DUMMYFUNCTION("""COMPUTED_VALUE"""),"")</f>
        <v/>
      </c>
      <c r="U1418" s="1" t="s">
        <v>1975</v>
      </c>
    </row>
    <row r="1419">
      <c r="A1419" s="4"/>
      <c r="B1419" s="3"/>
      <c r="C1419" s="3"/>
      <c r="D1419" s="3"/>
      <c r="E1419" s="6"/>
      <c r="F1419" s="33"/>
      <c r="G1419" s="3"/>
      <c r="H1419" s="3"/>
      <c r="K1419" s="3"/>
      <c r="L1419" s="3"/>
      <c r="M1419" s="3"/>
      <c r="N1419" s="3"/>
      <c r="O1419" s="3"/>
      <c r="Q1419" s="3"/>
      <c r="S1419" s="27" t="s">
        <v>1975</v>
      </c>
      <c r="T1419" s="27" t="str">
        <f>IFERROR(__xludf.DUMMYFUNCTION("""COMPUTED_VALUE"""),"")</f>
        <v/>
      </c>
      <c r="U1419" s="1" t="s">
        <v>1975</v>
      </c>
    </row>
    <row r="1420">
      <c r="A1420" s="4"/>
      <c r="B1420" s="3"/>
      <c r="C1420" s="3"/>
      <c r="D1420" s="3"/>
      <c r="E1420" s="6"/>
      <c r="F1420" s="33"/>
      <c r="G1420" s="3"/>
      <c r="H1420" s="3"/>
      <c r="K1420" s="3"/>
      <c r="L1420" s="3"/>
      <c r="M1420" s="3"/>
      <c r="N1420" s="3"/>
      <c r="O1420" s="3"/>
      <c r="Q1420" s="3"/>
      <c r="S1420" s="27" t="s">
        <v>1975</v>
      </c>
      <c r="T1420" s="27" t="str">
        <f>IFERROR(__xludf.DUMMYFUNCTION("""COMPUTED_VALUE"""),"")</f>
        <v/>
      </c>
      <c r="U1420" s="1" t="s">
        <v>1975</v>
      </c>
    </row>
    <row r="1421">
      <c r="A1421" s="4"/>
      <c r="B1421" s="3"/>
      <c r="C1421" s="3"/>
      <c r="D1421" s="3"/>
      <c r="E1421" s="6"/>
      <c r="F1421" s="33"/>
      <c r="G1421" s="3"/>
      <c r="H1421" s="3"/>
      <c r="K1421" s="3"/>
      <c r="L1421" s="3"/>
      <c r="M1421" s="3"/>
      <c r="N1421" s="3"/>
      <c r="O1421" s="3"/>
      <c r="Q1421" s="3"/>
      <c r="S1421" s="27" t="s">
        <v>1975</v>
      </c>
      <c r="T1421" s="27" t="str">
        <f>IFERROR(__xludf.DUMMYFUNCTION("""COMPUTED_VALUE"""),"")</f>
        <v/>
      </c>
      <c r="U1421" s="1" t="s">
        <v>1975</v>
      </c>
    </row>
    <row r="1422">
      <c r="A1422" s="4"/>
      <c r="B1422" s="3"/>
      <c r="C1422" s="3"/>
      <c r="D1422" s="3"/>
      <c r="E1422" s="6"/>
      <c r="F1422" s="33"/>
      <c r="G1422" s="3"/>
      <c r="H1422" s="3"/>
      <c r="K1422" s="3"/>
      <c r="L1422" s="3"/>
      <c r="M1422" s="3"/>
      <c r="N1422" s="3"/>
      <c r="O1422" s="3"/>
      <c r="Q1422" s="3"/>
      <c r="S1422" s="27" t="s">
        <v>1975</v>
      </c>
      <c r="T1422" s="27" t="str">
        <f>IFERROR(__xludf.DUMMYFUNCTION("""COMPUTED_VALUE"""),"")</f>
        <v/>
      </c>
      <c r="U1422" s="1" t="s">
        <v>1975</v>
      </c>
    </row>
    <row r="1423">
      <c r="A1423" s="4"/>
      <c r="B1423" s="3"/>
      <c r="C1423" s="3"/>
      <c r="D1423" s="3"/>
      <c r="E1423" s="6"/>
      <c r="F1423" s="33"/>
      <c r="G1423" s="3"/>
      <c r="H1423" s="3"/>
      <c r="K1423" s="3"/>
      <c r="L1423" s="3"/>
      <c r="M1423" s="3"/>
      <c r="N1423" s="3"/>
      <c r="O1423" s="3"/>
      <c r="Q1423" s="3"/>
      <c r="S1423" s="27" t="s">
        <v>1975</v>
      </c>
      <c r="T1423" s="27" t="str">
        <f>IFERROR(__xludf.DUMMYFUNCTION("""COMPUTED_VALUE"""),"")</f>
        <v/>
      </c>
      <c r="U1423" s="1" t="s">
        <v>1975</v>
      </c>
    </row>
    <row r="1424">
      <c r="A1424" s="4"/>
      <c r="B1424" s="3"/>
      <c r="C1424" s="3"/>
      <c r="D1424" s="3"/>
      <c r="E1424" s="6"/>
      <c r="F1424" s="33"/>
      <c r="G1424" s="3"/>
      <c r="H1424" s="3"/>
      <c r="K1424" s="3"/>
      <c r="L1424" s="3"/>
      <c r="M1424" s="3"/>
      <c r="N1424" s="3"/>
      <c r="O1424" s="3"/>
      <c r="Q1424" s="3"/>
      <c r="S1424" s="27" t="s">
        <v>1975</v>
      </c>
      <c r="T1424" s="27" t="str">
        <f>IFERROR(__xludf.DUMMYFUNCTION("""COMPUTED_VALUE"""),"")</f>
        <v/>
      </c>
      <c r="U1424" s="1" t="s">
        <v>1975</v>
      </c>
    </row>
    <row r="1425">
      <c r="A1425" s="4"/>
      <c r="B1425" s="3"/>
      <c r="C1425" s="3"/>
      <c r="D1425" s="3"/>
      <c r="E1425" s="6"/>
      <c r="F1425" s="33"/>
      <c r="G1425" s="3"/>
      <c r="H1425" s="3"/>
      <c r="K1425" s="3"/>
      <c r="L1425" s="3"/>
      <c r="M1425" s="3"/>
      <c r="N1425" s="3"/>
      <c r="O1425" s="3"/>
      <c r="Q1425" s="3"/>
      <c r="S1425" s="27" t="s">
        <v>1975</v>
      </c>
      <c r="T1425" s="27" t="str">
        <f>IFERROR(__xludf.DUMMYFUNCTION("""COMPUTED_VALUE"""),"")</f>
        <v/>
      </c>
      <c r="U1425" s="1" t="s">
        <v>1975</v>
      </c>
    </row>
    <row r="1426">
      <c r="A1426" s="4"/>
      <c r="B1426" s="3"/>
      <c r="C1426" s="3"/>
      <c r="D1426" s="3"/>
      <c r="E1426" s="6"/>
      <c r="F1426" s="33"/>
      <c r="G1426" s="3"/>
      <c r="H1426" s="3"/>
      <c r="K1426" s="3"/>
      <c r="L1426" s="3"/>
      <c r="M1426" s="3"/>
      <c r="N1426" s="3"/>
      <c r="O1426" s="3"/>
      <c r="Q1426" s="3"/>
      <c r="S1426" s="27" t="s">
        <v>1975</v>
      </c>
      <c r="T1426" s="27" t="str">
        <f>IFERROR(__xludf.DUMMYFUNCTION("""COMPUTED_VALUE"""),"")</f>
        <v/>
      </c>
      <c r="U1426" s="1" t="s">
        <v>1975</v>
      </c>
    </row>
    <row r="1427">
      <c r="A1427" s="4"/>
      <c r="B1427" s="3"/>
      <c r="C1427" s="3"/>
      <c r="D1427" s="3"/>
      <c r="E1427" s="6"/>
      <c r="F1427" s="33"/>
      <c r="G1427" s="3"/>
      <c r="H1427" s="3"/>
      <c r="K1427" s="3"/>
      <c r="L1427" s="3"/>
      <c r="M1427" s="3"/>
      <c r="N1427" s="3"/>
      <c r="O1427" s="3"/>
      <c r="Q1427" s="3"/>
      <c r="S1427" s="27" t="s">
        <v>1975</v>
      </c>
      <c r="T1427" s="27" t="str">
        <f>IFERROR(__xludf.DUMMYFUNCTION("""COMPUTED_VALUE"""),"")</f>
        <v/>
      </c>
      <c r="U1427" s="1" t="s">
        <v>1975</v>
      </c>
    </row>
    <row r="1428">
      <c r="A1428" s="4"/>
      <c r="B1428" s="3"/>
      <c r="C1428" s="3"/>
      <c r="D1428" s="3"/>
      <c r="E1428" s="6"/>
      <c r="F1428" s="33"/>
      <c r="G1428" s="3"/>
      <c r="H1428" s="3"/>
      <c r="K1428" s="3"/>
      <c r="L1428" s="3"/>
      <c r="M1428" s="3"/>
      <c r="N1428" s="3"/>
      <c r="O1428" s="3"/>
      <c r="Q1428" s="3"/>
      <c r="S1428" s="27" t="s">
        <v>1975</v>
      </c>
      <c r="T1428" s="27" t="str">
        <f>IFERROR(__xludf.DUMMYFUNCTION("""COMPUTED_VALUE"""),"")</f>
        <v/>
      </c>
      <c r="U1428" s="1" t="s">
        <v>1975</v>
      </c>
    </row>
    <row r="1429">
      <c r="A1429" s="4"/>
      <c r="B1429" s="3"/>
      <c r="C1429" s="3"/>
      <c r="D1429" s="3"/>
      <c r="E1429" s="6"/>
      <c r="F1429" s="33"/>
      <c r="G1429" s="3"/>
      <c r="H1429" s="3"/>
      <c r="K1429" s="3"/>
      <c r="L1429" s="3"/>
      <c r="M1429" s="3"/>
      <c r="N1429" s="3"/>
      <c r="O1429" s="3"/>
      <c r="Q1429" s="3"/>
      <c r="S1429" s="27" t="s">
        <v>1975</v>
      </c>
      <c r="T1429" s="27" t="str">
        <f>IFERROR(__xludf.DUMMYFUNCTION("""COMPUTED_VALUE"""),"")</f>
        <v/>
      </c>
      <c r="U1429" s="1" t="s">
        <v>1975</v>
      </c>
    </row>
    <row r="1430">
      <c r="A1430" s="4"/>
      <c r="B1430" s="3"/>
      <c r="C1430" s="3"/>
      <c r="D1430" s="3"/>
      <c r="E1430" s="6"/>
      <c r="F1430" s="33"/>
      <c r="G1430" s="3"/>
      <c r="H1430" s="3"/>
      <c r="K1430" s="3"/>
      <c r="L1430" s="3"/>
      <c r="M1430" s="3"/>
      <c r="N1430" s="3"/>
      <c r="O1430" s="3"/>
      <c r="Q1430" s="3"/>
      <c r="S1430" s="27" t="s">
        <v>1975</v>
      </c>
      <c r="T1430" s="27" t="str">
        <f>IFERROR(__xludf.DUMMYFUNCTION("""COMPUTED_VALUE"""),"")</f>
        <v/>
      </c>
      <c r="U1430" s="1" t="s">
        <v>1975</v>
      </c>
    </row>
    <row r="1431">
      <c r="A1431" s="4"/>
      <c r="B1431" s="3"/>
      <c r="C1431" s="3"/>
      <c r="D1431" s="3"/>
      <c r="E1431" s="6"/>
      <c r="F1431" s="33"/>
      <c r="G1431" s="3"/>
      <c r="H1431" s="3"/>
      <c r="K1431" s="3"/>
      <c r="L1431" s="3"/>
      <c r="M1431" s="3"/>
      <c r="N1431" s="3"/>
      <c r="O1431" s="3"/>
      <c r="Q1431" s="3"/>
      <c r="S1431" s="27" t="s">
        <v>1975</v>
      </c>
      <c r="T1431" s="27" t="str">
        <f>IFERROR(__xludf.DUMMYFUNCTION("""COMPUTED_VALUE"""),"")</f>
        <v/>
      </c>
      <c r="U1431" s="1" t="s">
        <v>1975</v>
      </c>
    </row>
    <row r="1432">
      <c r="A1432" s="4"/>
      <c r="B1432" s="3"/>
      <c r="C1432" s="3"/>
      <c r="D1432" s="3"/>
      <c r="E1432" s="6"/>
      <c r="F1432" s="33"/>
      <c r="G1432" s="3"/>
      <c r="H1432" s="3"/>
      <c r="K1432" s="3"/>
      <c r="L1432" s="3"/>
      <c r="M1432" s="3"/>
      <c r="N1432" s="3"/>
      <c r="O1432" s="3"/>
      <c r="Q1432" s="3"/>
      <c r="S1432" s="27" t="s">
        <v>1975</v>
      </c>
      <c r="T1432" s="27" t="str">
        <f>IFERROR(__xludf.DUMMYFUNCTION("""COMPUTED_VALUE"""),"")</f>
        <v/>
      </c>
      <c r="U1432" s="1" t="s">
        <v>1975</v>
      </c>
    </row>
    <row r="1433">
      <c r="A1433" s="4"/>
      <c r="B1433" s="3"/>
      <c r="C1433" s="3"/>
      <c r="D1433" s="3"/>
      <c r="E1433" s="6"/>
      <c r="F1433" s="33"/>
      <c r="G1433" s="3"/>
      <c r="H1433" s="3"/>
      <c r="K1433" s="3"/>
      <c r="L1433" s="3"/>
      <c r="M1433" s="3"/>
      <c r="N1433" s="3"/>
      <c r="O1433" s="3"/>
      <c r="Q1433" s="3"/>
      <c r="S1433" s="27" t="s">
        <v>1975</v>
      </c>
      <c r="T1433" s="27" t="str">
        <f>IFERROR(__xludf.DUMMYFUNCTION("""COMPUTED_VALUE"""),"")</f>
        <v/>
      </c>
      <c r="U1433" s="1" t="s">
        <v>1975</v>
      </c>
    </row>
    <row r="1434">
      <c r="A1434" s="4"/>
      <c r="B1434" s="3"/>
      <c r="C1434" s="3"/>
      <c r="D1434" s="3"/>
      <c r="E1434" s="6"/>
      <c r="F1434" s="33"/>
      <c r="G1434" s="3"/>
      <c r="H1434" s="3"/>
      <c r="K1434" s="3"/>
      <c r="L1434" s="3"/>
      <c r="M1434" s="3"/>
      <c r="N1434" s="3"/>
      <c r="O1434" s="3"/>
      <c r="Q1434" s="3"/>
      <c r="S1434" s="27" t="s">
        <v>1975</v>
      </c>
      <c r="T1434" s="27" t="str">
        <f>IFERROR(__xludf.DUMMYFUNCTION("""COMPUTED_VALUE"""),"")</f>
        <v/>
      </c>
      <c r="U1434" s="1" t="s">
        <v>1975</v>
      </c>
    </row>
    <row r="1435">
      <c r="A1435" s="4"/>
      <c r="B1435" s="3"/>
      <c r="C1435" s="3"/>
      <c r="D1435" s="3"/>
      <c r="E1435" s="6"/>
      <c r="F1435" s="33"/>
      <c r="G1435" s="3"/>
      <c r="H1435" s="3"/>
      <c r="K1435" s="3"/>
      <c r="L1435" s="3"/>
      <c r="M1435" s="3"/>
      <c r="N1435" s="3"/>
      <c r="O1435" s="3"/>
      <c r="Q1435" s="3"/>
      <c r="S1435" s="27" t="s">
        <v>1975</v>
      </c>
      <c r="T1435" s="27" t="str">
        <f>IFERROR(__xludf.DUMMYFUNCTION("""COMPUTED_VALUE"""),"")</f>
        <v/>
      </c>
      <c r="U1435" s="1" t="s">
        <v>1975</v>
      </c>
    </row>
    <row r="1436">
      <c r="A1436" s="4"/>
      <c r="B1436" s="3"/>
      <c r="C1436" s="3"/>
      <c r="D1436" s="3"/>
      <c r="E1436" s="6"/>
      <c r="F1436" s="33"/>
      <c r="G1436" s="3"/>
      <c r="H1436" s="3"/>
      <c r="K1436" s="3"/>
      <c r="L1436" s="3"/>
      <c r="M1436" s="3"/>
      <c r="N1436" s="3"/>
      <c r="O1436" s="3"/>
      <c r="Q1436" s="3"/>
      <c r="S1436" s="27" t="s">
        <v>1975</v>
      </c>
      <c r="T1436" s="27" t="str">
        <f>IFERROR(__xludf.DUMMYFUNCTION("""COMPUTED_VALUE"""),"")</f>
        <v/>
      </c>
      <c r="U1436" s="1" t="s">
        <v>1975</v>
      </c>
    </row>
    <row r="1437">
      <c r="A1437" s="4"/>
      <c r="B1437" s="3"/>
      <c r="C1437" s="3"/>
      <c r="D1437" s="3"/>
      <c r="E1437" s="6"/>
      <c r="F1437" s="33"/>
      <c r="G1437" s="3"/>
      <c r="H1437" s="3"/>
      <c r="K1437" s="3"/>
      <c r="L1437" s="3"/>
      <c r="M1437" s="3"/>
      <c r="N1437" s="3"/>
      <c r="O1437" s="3"/>
      <c r="Q1437" s="3"/>
      <c r="S1437" s="27" t="s">
        <v>1975</v>
      </c>
      <c r="T1437" s="27" t="str">
        <f>IFERROR(__xludf.DUMMYFUNCTION("""COMPUTED_VALUE"""),"")</f>
        <v/>
      </c>
      <c r="U1437" s="1" t="s">
        <v>1975</v>
      </c>
    </row>
    <row r="1438">
      <c r="A1438" s="4"/>
      <c r="B1438" s="3"/>
      <c r="C1438" s="3"/>
      <c r="D1438" s="3"/>
      <c r="E1438" s="6"/>
      <c r="F1438" s="33"/>
      <c r="G1438" s="3"/>
      <c r="H1438" s="3"/>
      <c r="K1438" s="3"/>
      <c r="L1438" s="3"/>
      <c r="M1438" s="3"/>
      <c r="N1438" s="3"/>
      <c r="O1438" s="3"/>
      <c r="Q1438" s="3"/>
      <c r="S1438" s="27" t="s">
        <v>1975</v>
      </c>
      <c r="T1438" s="27" t="str">
        <f>IFERROR(__xludf.DUMMYFUNCTION("""COMPUTED_VALUE"""),"")</f>
        <v/>
      </c>
      <c r="U1438" s="1" t="s">
        <v>1975</v>
      </c>
    </row>
    <row r="1439">
      <c r="A1439" s="4"/>
      <c r="B1439" s="3"/>
      <c r="C1439" s="3"/>
      <c r="D1439" s="3"/>
      <c r="E1439" s="6"/>
      <c r="F1439" s="33"/>
      <c r="G1439" s="3"/>
      <c r="H1439" s="3"/>
      <c r="K1439" s="3"/>
      <c r="L1439" s="3"/>
      <c r="M1439" s="3"/>
      <c r="N1439" s="3"/>
      <c r="O1439" s="3"/>
      <c r="Q1439" s="3"/>
      <c r="S1439" s="27" t="s">
        <v>1975</v>
      </c>
      <c r="T1439" s="27" t="str">
        <f>IFERROR(__xludf.DUMMYFUNCTION("""COMPUTED_VALUE"""),"")</f>
        <v/>
      </c>
      <c r="U1439" s="1" t="s">
        <v>1975</v>
      </c>
    </row>
    <row r="1440">
      <c r="A1440" s="4"/>
      <c r="B1440" s="3"/>
      <c r="C1440" s="3"/>
      <c r="D1440" s="3"/>
      <c r="E1440" s="6"/>
      <c r="F1440" s="33"/>
      <c r="G1440" s="3"/>
      <c r="H1440" s="3"/>
      <c r="K1440" s="3"/>
      <c r="L1440" s="3"/>
      <c r="M1440" s="3"/>
      <c r="N1440" s="3"/>
      <c r="O1440" s="3"/>
      <c r="Q1440" s="3"/>
      <c r="S1440" s="27" t="s">
        <v>1975</v>
      </c>
      <c r="T1440" s="27" t="str">
        <f>IFERROR(__xludf.DUMMYFUNCTION("""COMPUTED_VALUE"""),"")</f>
        <v/>
      </c>
      <c r="U1440" s="1" t="s">
        <v>1975</v>
      </c>
    </row>
    <row r="1441">
      <c r="A1441" s="4"/>
      <c r="B1441" s="3"/>
      <c r="C1441" s="3"/>
      <c r="D1441" s="3"/>
      <c r="E1441" s="6"/>
      <c r="F1441" s="33"/>
      <c r="G1441" s="3"/>
      <c r="H1441" s="3"/>
      <c r="K1441" s="3"/>
      <c r="L1441" s="3"/>
      <c r="M1441" s="3"/>
      <c r="N1441" s="3"/>
      <c r="O1441" s="3"/>
      <c r="Q1441" s="3"/>
      <c r="S1441" s="27" t="s">
        <v>1975</v>
      </c>
      <c r="T1441" s="27" t="str">
        <f>IFERROR(__xludf.DUMMYFUNCTION("""COMPUTED_VALUE"""),"")</f>
        <v/>
      </c>
      <c r="U1441" s="1" t="s">
        <v>1975</v>
      </c>
    </row>
    <row r="1442">
      <c r="A1442" s="4"/>
      <c r="B1442" s="3"/>
      <c r="C1442" s="3"/>
      <c r="D1442" s="3"/>
      <c r="E1442" s="6"/>
      <c r="F1442" s="33"/>
      <c r="G1442" s="3"/>
      <c r="H1442" s="3"/>
      <c r="K1442" s="3"/>
      <c r="L1442" s="3"/>
      <c r="M1442" s="3"/>
      <c r="N1442" s="3"/>
      <c r="O1442" s="3"/>
      <c r="Q1442" s="3"/>
      <c r="S1442" s="27" t="s">
        <v>1975</v>
      </c>
      <c r="T1442" s="27" t="str">
        <f>IFERROR(__xludf.DUMMYFUNCTION("""COMPUTED_VALUE"""),"")</f>
        <v/>
      </c>
      <c r="U1442" s="1" t="s">
        <v>1975</v>
      </c>
    </row>
    <row r="1443">
      <c r="A1443" s="4"/>
      <c r="B1443" s="3"/>
      <c r="C1443" s="3"/>
      <c r="D1443" s="3"/>
      <c r="E1443" s="6"/>
      <c r="F1443" s="33"/>
      <c r="G1443" s="3"/>
      <c r="H1443" s="3"/>
      <c r="K1443" s="3"/>
      <c r="L1443" s="3"/>
      <c r="M1443" s="3"/>
      <c r="N1443" s="3"/>
      <c r="O1443" s="3"/>
      <c r="Q1443" s="3"/>
      <c r="S1443" s="27" t="s">
        <v>1975</v>
      </c>
      <c r="T1443" s="27" t="str">
        <f>IFERROR(__xludf.DUMMYFUNCTION("""COMPUTED_VALUE"""),"")</f>
        <v/>
      </c>
      <c r="U1443" s="1" t="s">
        <v>1975</v>
      </c>
    </row>
    <row r="1444">
      <c r="A1444" s="4"/>
      <c r="B1444" s="3"/>
      <c r="C1444" s="3"/>
      <c r="D1444" s="3"/>
      <c r="E1444" s="6"/>
      <c r="F1444" s="33"/>
      <c r="G1444" s="3"/>
      <c r="H1444" s="3"/>
      <c r="K1444" s="3"/>
      <c r="L1444" s="3"/>
      <c r="M1444" s="3"/>
      <c r="N1444" s="3"/>
      <c r="O1444" s="3"/>
      <c r="Q1444" s="3"/>
      <c r="S1444" s="27" t="s">
        <v>1975</v>
      </c>
      <c r="T1444" s="27" t="str">
        <f>IFERROR(__xludf.DUMMYFUNCTION("""COMPUTED_VALUE"""),"")</f>
        <v/>
      </c>
      <c r="U1444" s="1" t="s">
        <v>1975</v>
      </c>
    </row>
    <row r="1445">
      <c r="A1445" s="4"/>
      <c r="B1445" s="3"/>
      <c r="C1445" s="3"/>
      <c r="D1445" s="3"/>
      <c r="E1445" s="6"/>
      <c r="F1445" s="33"/>
      <c r="G1445" s="3"/>
      <c r="H1445" s="3"/>
      <c r="K1445" s="3"/>
      <c r="L1445" s="3"/>
      <c r="M1445" s="3"/>
      <c r="N1445" s="3"/>
      <c r="O1445" s="3"/>
      <c r="Q1445" s="3"/>
      <c r="S1445" s="27" t="s">
        <v>1975</v>
      </c>
      <c r="T1445" s="27" t="str">
        <f>IFERROR(__xludf.DUMMYFUNCTION("""COMPUTED_VALUE"""),"")</f>
        <v/>
      </c>
      <c r="U1445" s="1" t="s">
        <v>1975</v>
      </c>
    </row>
    <row r="1446">
      <c r="A1446" s="4"/>
      <c r="B1446" s="3"/>
      <c r="C1446" s="3"/>
      <c r="D1446" s="3"/>
      <c r="E1446" s="6"/>
      <c r="F1446" s="33"/>
      <c r="G1446" s="3"/>
      <c r="H1446" s="3"/>
      <c r="K1446" s="3"/>
      <c r="L1446" s="3"/>
      <c r="M1446" s="3"/>
      <c r="N1446" s="3"/>
      <c r="O1446" s="3"/>
      <c r="Q1446" s="3"/>
      <c r="S1446" s="27" t="s">
        <v>1975</v>
      </c>
      <c r="T1446" s="27" t="str">
        <f>IFERROR(__xludf.DUMMYFUNCTION("""COMPUTED_VALUE"""),"")</f>
        <v/>
      </c>
      <c r="U1446" s="1" t="s">
        <v>1975</v>
      </c>
    </row>
    <row r="1447">
      <c r="A1447" s="4"/>
      <c r="B1447" s="3"/>
      <c r="C1447" s="3"/>
      <c r="D1447" s="3"/>
      <c r="E1447" s="6"/>
      <c r="F1447" s="33"/>
      <c r="G1447" s="3"/>
      <c r="H1447" s="3"/>
      <c r="K1447" s="3"/>
      <c r="L1447" s="3"/>
      <c r="M1447" s="3"/>
      <c r="N1447" s="3"/>
      <c r="O1447" s="3"/>
      <c r="Q1447" s="3"/>
      <c r="S1447" s="27" t="s">
        <v>1975</v>
      </c>
      <c r="T1447" s="27" t="str">
        <f>IFERROR(__xludf.DUMMYFUNCTION("""COMPUTED_VALUE"""),"")</f>
        <v/>
      </c>
      <c r="U1447" s="1" t="s">
        <v>1975</v>
      </c>
    </row>
    <row r="1448">
      <c r="A1448" s="4"/>
      <c r="B1448" s="3"/>
      <c r="C1448" s="3"/>
      <c r="D1448" s="3"/>
      <c r="E1448" s="6"/>
      <c r="F1448" s="33"/>
      <c r="G1448" s="3"/>
      <c r="H1448" s="3"/>
      <c r="K1448" s="3"/>
      <c r="L1448" s="3"/>
      <c r="M1448" s="3"/>
      <c r="N1448" s="3"/>
      <c r="O1448" s="3"/>
      <c r="Q1448" s="3"/>
      <c r="S1448" s="27" t="s">
        <v>1975</v>
      </c>
      <c r="T1448" s="27" t="str">
        <f>IFERROR(__xludf.DUMMYFUNCTION("""COMPUTED_VALUE"""),"")</f>
        <v/>
      </c>
      <c r="U1448" s="1" t="s">
        <v>1975</v>
      </c>
    </row>
    <row r="1449">
      <c r="A1449" s="4"/>
      <c r="B1449" s="3"/>
      <c r="C1449" s="3"/>
      <c r="D1449" s="3"/>
      <c r="E1449" s="6"/>
      <c r="F1449" s="33"/>
      <c r="G1449" s="3"/>
      <c r="H1449" s="3"/>
      <c r="K1449" s="3"/>
      <c r="L1449" s="3"/>
      <c r="M1449" s="3"/>
      <c r="N1449" s="3"/>
      <c r="O1449" s="3"/>
      <c r="Q1449" s="3"/>
      <c r="S1449" s="27" t="s">
        <v>1975</v>
      </c>
      <c r="T1449" s="27" t="str">
        <f>IFERROR(__xludf.DUMMYFUNCTION("""COMPUTED_VALUE"""),"")</f>
        <v/>
      </c>
      <c r="U1449" s="1" t="s">
        <v>1975</v>
      </c>
    </row>
    <row r="1450">
      <c r="A1450" s="4"/>
      <c r="B1450" s="3"/>
      <c r="C1450" s="3"/>
      <c r="D1450" s="3"/>
      <c r="E1450" s="6"/>
      <c r="F1450" s="33"/>
      <c r="G1450" s="3"/>
      <c r="H1450" s="3"/>
      <c r="K1450" s="3"/>
      <c r="L1450" s="3"/>
      <c r="M1450" s="3"/>
      <c r="N1450" s="3"/>
      <c r="O1450" s="3"/>
      <c r="Q1450" s="3"/>
      <c r="S1450" s="27" t="s">
        <v>1975</v>
      </c>
      <c r="T1450" s="27" t="str">
        <f>IFERROR(__xludf.DUMMYFUNCTION("""COMPUTED_VALUE"""),"")</f>
        <v/>
      </c>
      <c r="U1450" s="1" t="s">
        <v>1975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0"/>
    <col customWidth="1" min="2" max="2" width="69.25"/>
    <col customWidth="1" min="3" max="3" width="8.25"/>
    <col customWidth="1" min="4" max="4" width="12.5"/>
  </cols>
  <sheetData>
    <row r="1">
      <c r="E1" s="33" t="s">
        <v>6640</v>
      </c>
      <c r="F1" s="33" t="s">
        <v>6641</v>
      </c>
      <c r="G1" s="25"/>
      <c r="H1" s="25"/>
    </row>
    <row r="2">
      <c r="E2" s="25">
        <f>IFERROR(__xludf.DUMMYFUNCTION("IFERROR(index(query(IMPORTRANGE(""1NDlqCtTmX6RSsROpyHMIN-WbErF8iWbqHj88gYBfL_Q"",""Incomes!A:Y""),""Select sum(Col5) where Col16 = '""&amp;VLOOKUP(B2,{Projects!S:S,Projects!L:L},2,false)&amp;""'"",0),2),0)"),0.0)</f>
        <v>0</v>
      </c>
      <c r="F2" s="25"/>
      <c r="G2" s="25"/>
      <c r="H2" s="25">
        <f t="shared" ref="H2:H20" si="1">D2-E2</f>
        <v>120</v>
      </c>
      <c r="I2" s="1">
        <f>IFERROR(__xludf.DUMMYFUNCTION("ifna(query(IMPORTRANGE(""1NDlqCtTmX6RSsROpyHMIN-WbErF8iWbqHj88gYBfL_Q"",""Incomes!A:Y""),""Select Col25 where Col16 = '""&amp;VLOOKUP(B2,{Projects!S:S,Projects!L:L},2,false)&amp;""'"",0),0)"),0.0)</f>
        <v>0</v>
      </c>
    </row>
    <row r="3">
      <c r="E3" s="25">
        <f>IFERROR(__xludf.DUMMYFUNCTION("IFERROR(index(query(IMPORTRANGE(""1NDlqCtTmX6RSsROpyHMIN-WbErF8iWbqHj88gYBfL_Q"",""Incomes!A:Y""),""Select sum(Col5) where Col16 = '""&amp;VLOOKUP(B3,{Projects!S:S,Projects!L:L},2,false)&amp;""'"",0),2),0)"),23100.0)</f>
        <v>23100</v>
      </c>
      <c r="F3" s="25"/>
      <c r="G3" s="25"/>
      <c r="H3" s="25">
        <f t="shared" si="1"/>
        <v>0</v>
      </c>
      <c r="I3" s="34" t="str">
        <f>IFERROR(__xludf.DUMMYFUNCTION("ifna(transpose(query(IMPORTRANGE(""1NDlqCtTmX6RSsROpyHMIN-WbErF8iWbqHj88gYBfL_Q"",""Incomes!A:Y""),""Select Col25 where Col16 = '""&amp;VLOOKUP(B3,{Projects!S:S,Projects!L:L},2,false)&amp;""'"",0)),"""")"),"https://drive.google.com/file/d/1LYETNmjS6zVIZBGE88tluHrlTqP7pB4d/view")</f>
        <v>https://drive.google.com/file/d/1LYETNmjS6zVIZBGE88tluHrlTqP7pB4d/view</v>
      </c>
    </row>
    <row r="4">
      <c r="E4" s="25">
        <f>IFERROR(__xludf.DUMMYFUNCTION("IFERROR(index(query(IMPORTRANGE(""1NDlqCtTmX6RSsROpyHMIN-WbErF8iWbqHj88gYBfL_Q"",""Incomes!A:Y""),""Select sum(Col5) where Col16 = '""&amp;VLOOKUP(B4,{Projects!S:S,Projects!L:L},2,false)&amp;""'"",0),2),0)"),0.0)</f>
        <v>0</v>
      </c>
      <c r="F4" s="25"/>
      <c r="G4" s="25"/>
      <c r="H4" s="25">
        <f t="shared" si="1"/>
        <v>1</v>
      </c>
      <c r="I4" s="1" t="str">
        <f>IFERROR(__xludf.DUMMYFUNCTION("ifna(transpose(query(IMPORTRANGE(""1NDlqCtTmX6RSsROpyHMIN-WbErF8iWbqHj88gYBfL_Q"",""Incomes!A:Y""),""Select Col25 where Col16 = '""&amp;VLOOKUP(B4,{Projects!S:S,Projects!L:L},2,false)&amp;""'"",0)),"""")"),"")</f>
        <v/>
      </c>
    </row>
    <row r="5">
      <c r="E5" s="25">
        <f>IFERROR(__xludf.DUMMYFUNCTION("IFERROR(index(query(IMPORTRANGE(""1NDlqCtTmX6RSsROpyHMIN-WbErF8iWbqHj88gYBfL_Q"",""Incomes!A:Y""),""Select sum(Col5) where Col16 = '""&amp;VLOOKUP(B5,{Projects!S:S,Projects!L:L},2,false)&amp;""'"",0),2),0)"),155520.0)</f>
        <v>155520</v>
      </c>
      <c r="F5" s="25"/>
      <c r="G5" s="25"/>
      <c r="H5" s="25">
        <f t="shared" si="1"/>
        <v>0</v>
      </c>
      <c r="I5" s="34" t="str">
        <f>IFERROR(__xludf.DUMMYFUNCTION("ifna(transpose(query(IMPORTRANGE(""1NDlqCtTmX6RSsROpyHMIN-WbErF8iWbqHj88gYBfL_Q"",""Incomes!A:Y""),""Select Col25 where Col16 = '""&amp;VLOOKUP(B5,{Projects!S:S,Projects!L:L},2,false)&amp;""'"",0)),"""")"),"https://drive.google.com/file/d/1qeuaKubIR1SQ05XZJsliaHwS28sKjpu3/view")</f>
        <v>https://drive.google.com/file/d/1qeuaKubIR1SQ05XZJsliaHwS28sKjpu3/view</v>
      </c>
    </row>
    <row r="6">
      <c r="E6" s="25">
        <f>IFERROR(__xludf.DUMMYFUNCTION("IFERROR(index(query(IMPORTRANGE(""1NDlqCtTmX6RSsROpyHMIN-WbErF8iWbqHj88gYBfL_Q"",""Incomes!A:Y""),""Select sum(Col5) where Col16 = '""&amp;VLOOKUP(B6,{Projects!S:S,Projects!L:L},2,false)&amp;""'"",0),2),0)"),1.0)</f>
        <v>1</v>
      </c>
      <c r="F6" s="25"/>
      <c r="G6" s="25"/>
      <c r="H6" s="25">
        <f t="shared" si="1"/>
        <v>0</v>
      </c>
      <c r="I6" s="34" t="str">
        <f>IFERROR(__xludf.DUMMYFUNCTION("ifna(transpose(query(IMPORTRANGE(""1NDlqCtTmX6RSsROpyHMIN-WbErF8iWbqHj88gYBfL_Q"",""Incomes!A:Y""),""Select Col25 where Col16 = '""&amp;VLOOKUP(B6,{Projects!S:S,Projects!L:L},2,false)&amp;""'"",0)),"""")"),"https://drive.google.com/open?id=1W56u6YNbSTCc5sQjPZ9j8_vXkFeYeVho")</f>
        <v>https://drive.google.com/open?id=1W56u6YNbSTCc5sQjPZ9j8_vXkFeYeVho</v>
      </c>
    </row>
    <row r="7">
      <c r="E7" s="25">
        <f>IFERROR(__xludf.DUMMYFUNCTION("IFERROR(index(query(IMPORTRANGE(""1NDlqCtTmX6RSsROpyHMIN-WbErF8iWbqHj88gYBfL_Q"",""Incomes!A:Y""),""Select sum(Col5) where Col16 = '""&amp;VLOOKUP(B7,{Projects!S:S,Projects!L:L},2,false)&amp;""'"",0),2),0)"),0.0)</f>
        <v>0</v>
      </c>
      <c r="F7" s="25"/>
      <c r="G7" s="25"/>
      <c r="H7" s="25">
        <f t="shared" si="1"/>
        <v>15000</v>
      </c>
      <c r="I7" s="1" t="str">
        <f>IFERROR(__xludf.DUMMYFUNCTION("ifna(transpose(query(IMPORTRANGE(""1NDlqCtTmX6RSsROpyHMIN-WbErF8iWbqHj88gYBfL_Q"",""Incomes!A:Y""),""Select Col25 where Col16 = '""&amp;VLOOKUP(B7,{Projects!S:S,Projects!L:L},2,false)&amp;""'"",0)),"""")"),"")</f>
        <v/>
      </c>
    </row>
    <row r="8">
      <c r="E8" s="25">
        <f>IFERROR(__xludf.DUMMYFUNCTION("IFERROR(index(query(IMPORTRANGE(""1NDlqCtTmX6RSsROpyHMIN-WbErF8iWbqHj88gYBfL_Q"",""Incomes!A:Y""),""Select sum(Col5) where Col16 = '""&amp;VLOOKUP(B8,{Projects!S:S,Projects!L:L},2,false)&amp;""'"",0),2),0)"),291990.0)</f>
        <v>291990</v>
      </c>
      <c r="F8" s="25"/>
      <c r="G8" s="25"/>
      <c r="H8" s="25">
        <f t="shared" si="1"/>
        <v>0</v>
      </c>
      <c r="I8" s="34" t="str">
        <f>IFERROR(__xludf.DUMMYFUNCTION("ifna(transpose(query(IMPORTRANGE(""1NDlqCtTmX6RSsROpyHMIN-WbErF8iWbqHj88gYBfL_Q"",""Incomes!A:Y""),""Select Col25 where Col16 = '""&amp;VLOOKUP(B8,{Projects!S:S,Projects!L:L},2,false)&amp;""'"",0)),"""")"),"https://drive.google.com/open?id=1gsGgurCsW7yVlG0_XRaUFCUVfE1j_IxP")</f>
        <v>https://drive.google.com/open?id=1gsGgurCsW7yVlG0_XRaUFCUVfE1j_IxP</v>
      </c>
      <c r="J8" s="34" t="str">
        <f>IFERROR(__xludf.DUMMYFUNCTION("""COMPUTED_VALUE"""),"https://drive.google.com/open?id=17Uk7dIz0VBDs7FRg4UIvRbDaq0hfdb0X")</f>
        <v>https://drive.google.com/open?id=17Uk7dIz0VBDs7FRg4UIvRbDaq0hfdb0X</v>
      </c>
    </row>
    <row r="9">
      <c r="E9" s="25">
        <f>IFERROR(__xludf.DUMMYFUNCTION("IFERROR(index(query(IMPORTRANGE(""1NDlqCtTmX6RSsROpyHMIN-WbErF8iWbqHj88gYBfL_Q"",""Incomes!A:Y""),""Select sum(Col5) where Col16 = '""&amp;VLOOKUP(B9,{Projects!S:S,Projects!L:L},2,false)&amp;""'"",0),2),0)"),0.0)</f>
        <v>0</v>
      </c>
      <c r="F9" s="25"/>
      <c r="G9" s="25"/>
      <c r="H9" s="25">
        <f t="shared" si="1"/>
        <v>5806</v>
      </c>
      <c r="I9" s="1" t="str">
        <f>IFERROR(__xludf.DUMMYFUNCTION("ifna(transpose(query(IMPORTRANGE(""1NDlqCtTmX6RSsROpyHMIN-WbErF8iWbqHj88gYBfL_Q"",""Incomes!A:Y""),""Select Col25 where Col16 = '""&amp;VLOOKUP(B9,{Projects!S:S,Projects!L:L},2,false)&amp;""'"",0)),"""")"),"")</f>
        <v/>
      </c>
    </row>
    <row r="10">
      <c r="E10" s="25">
        <f>IFERROR(__xludf.DUMMYFUNCTION("IFERROR(index(query(IMPORTRANGE(""1NDlqCtTmX6RSsROpyHMIN-WbErF8iWbqHj88gYBfL_Q"",""Incomes!A:Y""),""Select sum(Col5) where Col16 = '""&amp;VLOOKUP(B10,{Projects!S:S,Projects!L:L},2,false)&amp;""'"",0),2),0)"),0.0)</f>
        <v>0</v>
      </c>
      <c r="F10" s="25"/>
      <c r="G10" s="25"/>
      <c r="H10" s="25">
        <f t="shared" si="1"/>
        <v>1800000</v>
      </c>
      <c r="I10" s="1" t="str">
        <f>IFERROR(__xludf.DUMMYFUNCTION("ifna(transpose(query(IMPORTRANGE(""1NDlqCtTmX6RSsROpyHMIN-WbErF8iWbqHj88gYBfL_Q"",""Incomes!A:Y""),""Select Col25 where Col16 = '""&amp;VLOOKUP(B10,{Projects!S:S,Projects!L:L},2,false)&amp;""'"",0)),"""")"),"")</f>
        <v/>
      </c>
    </row>
    <row r="11">
      <c r="E11" s="25">
        <f>IFERROR(__xludf.DUMMYFUNCTION("IFERROR(index(query(IMPORTRANGE(""1NDlqCtTmX6RSsROpyHMIN-WbErF8iWbqHj88gYBfL_Q"",""Incomes!A:Y""),""Select sum(Col5) where Col16 = '""&amp;VLOOKUP(B11,{Projects!S:S,Projects!L:L},2,false)&amp;""'"",0),2),0)"),0.0)</f>
        <v>0</v>
      </c>
      <c r="F11" s="25"/>
      <c r="G11" s="25"/>
      <c r="H11" s="25">
        <f t="shared" si="1"/>
        <v>444536.2</v>
      </c>
      <c r="I11" s="1" t="str">
        <f>IFERROR(__xludf.DUMMYFUNCTION("ifna(transpose(query(IMPORTRANGE(""1NDlqCtTmX6RSsROpyHMIN-WbErF8iWbqHj88gYBfL_Q"",""Incomes!A:Y""),""Select Col25 where Col16 = '""&amp;VLOOKUP(B11,{Projects!S:S,Projects!L:L},2,false)&amp;""'"",0)),"""")"),"")</f>
        <v/>
      </c>
    </row>
    <row r="12">
      <c r="E12" s="25">
        <f>IFERROR(__xludf.DUMMYFUNCTION("IFERROR(index(query(IMPORTRANGE(""1NDlqCtTmX6RSsROpyHMIN-WbErF8iWbqHj88gYBfL_Q"",""Incomes!A:Y""),""Select sum(Col5) where Col16 = '""&amp;VLOOKUP(B12,{Projects!S:S,Projects!L:L},2,false)&amp;""'"",0),2),0)"),0.0)</f>
        <v>0</v>
      </c>
      <c r="F12" s="25"/>
      <c r="G12" s="25"/>
      <c r="H12" s="25">
        <f t="shared" si="1"/>
        <v>9300</v>
      </c>
      <c r="I12" s="1" t="str">
        <f>IFERROR(__xludf.DUMMYFUNCTION("ifna(transpose(query(IMPORTRANGE(""1NDlqCtTmX6RSsROpyHMIN-WbErF8iWbqHj88gYBfL_Q"",""Incomes!A:Y""),""Select Col25 where Col16 = '""&amp;VLOOKUP(B12,{Projects!S:S,Projects!L:L},2,false)&amp;""'"",0)),"""")"),"")</f>
        <v/>
      </c>
    </row>
    <row r="13">
      <c r="E13" s="25">
        <f>IFERROR(__xludf.DUMMYFUNCTION("IFERROR(index(query(IMPORTRANGE(""1NDlqCtTmX6RSsROpyHMIN-WbErF8iWbqHj88gYBfL_Q"",""Incomes!A:Y""),""Select sum(Col5) where Col16 = '""&amp;VLOOKUP(B13,{Projects!S:S,Projects!L:L},2,false)&amp;""'"",0),2),0)"),0.0)</f>
        <v>0</v>
      </c>
      <c r="F13" s="25"/>
      <c r="G13" s="25"/>
      <c r="H13" s="25">
        <f t="shared" si="1"/>
        <v>2200</v>
      </c>
      <c r="I13" s="1" t="str">
        <f>IFERROR(__xludf.DUMMYFUNCTION("ifna(transpose(query(IMPORTRANGE(""1NDlqCtTmX6RSsROpyHMIN-WbErF8iWbqHj88gYBfL_Q"",""Incomes!A:Y""),""Select Col25 where Col16 = '""&amp;VLOOKUP(B13,{Projects!S:S,Projects!L:L},2,false)&amp;""'"",0)),"""")"),"")</f>
        <v/>
      </c>
    </row>
    <row r="14">
      <c r="E14" s="25">
        <f>IFERROR(__xludf.DUMMYFUNCTION("IFERROR(index(query(IMPORTRANGE(""1NDlqCtTmX6RSsROpyHMIN-WbErF8iWbqHj88gYBfL_Q"",""Incomes!A:Y""),""Select sum(Col5) where Col16 = '""&amp;VLOOKUP(B14,{Projects!S:S,Projects!L:L},2,false)&amp;""'"",0),2),0)"),92506.45)</f>
        <v>92506.45</v>
      </c>
      <c r="F14" s="25"/>
      <c r="G14" s="25"/>
      <c r="H14" s="25">
        <f t="shared" si="1"/>
        <v>99</v>
      </c>
      <c r="I14" s="34" t="str">
        <f>IFERROR(__xludf.DUMMYFUNCTION("ifna(transpose(query(IMPORTRANGE(""1NDlqCtTmX6RSsROpyHMIN-WbErF8iWbqHj88gYBfL_Q"",""Incomes!A:Y""),""Select Col25 where Col16 = '""&amp;VLOOKUP(B14,{Projects!S:S,Projects!L:L},2,false)&amp;""'"",0)),"""")"),"https://drive.google.com/open?id=1u7Zotf3kL-m-w9DxHv-tAa04AiBg5Bcg")</f>
        <v>https://drive.google.com/open?id=1u7Zotf3kL-m-w9DxHv-tAa04AiBg5Bcg</v>
      </c>
    </row>
    <row r="15">
      <c r="E15" s="25">
        <f>IFERROR(__xludf.DUMMYFUNCTION("IFERROR(index(query(IMPORTRANGE(""1NDlqCtTmX6RSsROpyHMIN-WbErF8iWbqHj88gYBfL_Q"",""Incomes!A:Y""),""Select sum(Col5) where Col16 = '""&amp;VLOOKUP(B15,{Projects!S:S,Projects!L:L},2,false)&amp;""'"",0),2),0)"),0.0)</f>
        <v>0</v>
      </c>
      <c r="F15" s="25"/>
      <c r="G15" s="25"/>
      <c r="H15" s="25">
        <f t="shared" si="1"/>
        <v>1875</v>
      </c>
      <c r="I15" s="1" t="str">
        <f>IFERROR(__xludf.DUMMYFUNCTION("ifna(transpose(query(IMPORTRANGE(""1NDlqCtTmX6RSsROpyHMIN-WbErF8iWbqHj88gYBfL_Q"",""Incomes!A:Y""),""Select Col25 where Col16 = '""&amp;VLOOKUP(B15,{Projects!S:S,Projects!L:L},2,false)&amp;""'"",0)),"""")"),"")</f>
        <v/>
      </c>
    </row>
    <row r="16">
      <c r="E16" s="25">
        <f>IFERROR(__xludf.DUMMYFUNCTION("IFERROR(index(query(IMPORTRANGE(""1NDlqCtTmX6RSsROpyHMIN-WbErF8iWbqHj88gYBfL_Q"",""Incomes!A:Y""),""Select sum(Col5) where Col16 = '""&amp;VLOOKUP(B16,{Projects!S:S,Projects!L:L},2,false)&amp;""'"",0),2),0)"),6682.0)</f>
        <v>6682</v>
      </c>
      <c r="F16" s="25"/>
      <c r="G16" s="25"/>
      <c r="H16" s="25">
        <f t="shared" si="1"/>
        <v>1909</v>
      </c>
      <c r="I16" s="1" t="str">
        <f>IFERROR(__xludf.DUMMYFUNCTION("ifna(transpose(query(IMPORTRANGE(""1NDlqCtTmX6RSsROpyHMIN-WbErF8iWbqHj88gYBfL_Q"",""Incomes!A:Y""),""Select Col25 where Col16 = '""&amp;VLOOKUP(B16,{Projects!S:S,Projects!L:L},2,false)&amp;""'"",0)),"""")"),"")</f>
        <v/>
      </c>
    </row>
    <row r="17">
      <c r="E17" s="25">
        <f>IFERROR(__xludf.DUMMYFUNCTION("IFERROR(index(query(IMPORTRANGE(""1NDlqCtTmX6RSsROpyHMIN-WbErF8iWbqHj88gYBfL_Q"",""Incomes!A:Y""),""Select sum(Col5) where Col16 = '""&amp;VLOOKUP(B17,{Projects!S:S,Projects!L:L},2,false)&amp;""'"",0),2),0)"),0.0)</f>
        <v>0</v>
      </c>
      <c r="F17" s="25"/>
      <c r="G17" s="25"/>
      <c r="H17" s="25">
        <f t="shared" si="1"/>
        <v>15120</v>
      </c>
      <c r="I17" s="1" t="str">
        <f>IFERROR(__xludf.DUMMYFUNCTION("ifna(transpose(query(IMPORTRANGE(""1NDlqCtTmX6RSsROpyHMIN-WbErF8iWbqHj88gYBfL_Q"",""Incomes!A:Y""),""Select Col25 where Col16 = '""&amp;VLOOKUP(B17,{Projects!S:S,Projects!L:L},2,false)&amp;""'"",0)),"""")"),"")</f>
        <v/>
      </c>
    </row>
    <row r="18">
      <c r="E18" s="25">
        <f>IFERROR(__xludf.DUMMYFUNCTION("IFERROR(index(query(IMPORTRANGE(""1NDlqCtTmX6RSsROpyHMIN-WbErF8iWbqHj88gYBfL_Q"",""Incomes!A:Y""),""Select sum(Col5) where Col16 = '""&amp;VLOOKUP(B18,{Projects!S:S,Projects!L:L},2,false)&amp;""'"",0),2),0)"),0.0)</f>
        <v>0</v>
      </c>
      <c r="F18" s="25"/>
      <c r="G18" s="25"/>
      <c r="H18" s="25">
        <f t="shared" si="1"/>
        <v>109707</v>
      </c>
      <c r="I18" s="1" t="str">
        <f>IFERROR(__xludf.DUMMYFUNCTION("ifna(transpose(query(IMPORTRANGE(""1NDlqCtTmX6RSsROpyHMIN-WbErF8iWbqHj88gYBfL_Q"",""Incomes!A:Y""),""Select Col25 where Col16 = '""&amp;VLOOKUP(B18,{Projects!S:S,Projects!L:L},2,false)&amp;""'"",0)),"""")"),"")</f>
        <v/>
      </c>
    </row>
    <row r="19">
      <c r="E19" s="25">
        <f>IFERROR(__xludf.DUMMYFUNCTION("IFERROR(index(query(IMPORTRANGE(""1NDlqCtTmX6RSsROpyHMIN-WbErF8iWbqHj88gYBfL_Q"",""Incomes!A:Y""),""Select sum(Col5) where Col16 = '""&amp;VLOOKUP(B19,{Projects!S:S,Projects!L:L},2,false)&amp;""'"",0),2),0)"),0.0)</f>
        <v>0</v>
      </c>
      <c r="F19" s="25"/>
      <c r="G19" s="25"/>
      <c r="H19" s="25">
        <f t="shared" si="1"/>
        <v>1320</v>
      </c>
      <c r="I19" s="1" t="str">
        <f>IFERROR(__xludf.DUMMYFUNCTION("ifna(transpose(query(IMPORTRANGE(""1NDlqCtTmX6RSsROpyHMIN-WbErF8iWbqHj88gYBfL_Q"",""Incomes!A:Y""),""Select Col25 where Col16 = '""&amp;VLOOKUP(B19,{Projects!S:S,Projects!L:L},2,false)&amp;""'"",0)),"""")"),"")</f>
        <v/>
      </c>
    </row>
    <row r="20">
      <c r="E20" s="25">
        <f>IFERROR(__xludf.DUMMYFUNCTION("IFERROR(index(query(IMPORTRANGE(""1NDlqCtTmX6RSsROpyHMIN-WbErF8iWbqHj88gYBfL_Q"",""Incomes!A:Y""),""Select sum(Col5) where Col16 = '""&amp;VLOOKUP(B20,{Projects!S:S,Projects!L:L},2,false)&amp;""'"",0),2),0)"),0.0)</f>
        <v>0</v>
      </c>
      <c r="F20" s="25"/>
      <c r="G20" s="25"/>
      <c r="H20" s="25">
        <f t="shared" si="1"/>
        <v>51668</v>
      </c>
      <c r="I20" s="1" t="str">
        <f>IFERROR(__xludf.DUMMYFUNCTION("ifna(transpose(query(IMPORTRANGE(""1NDlqCtTmX6RSsROpyHMIN-WbErF8iWbqHj88gYBfL_Q"",""Incomes!A:Y""),""Select Col25 where Col16 = '""&amp;VLOOKUP(B20,{Projects!S:S,Projects!L:L},2,false)&amp;""'"",0)),"""")"),"")</f>
        <v/>
      </c>
    </row>
    <row r="21">
      <c r="E21" s="25"/>
      <c r="F21" s="25"/>
      <c r="G21" s="25"/>
      <c r="H21" s="25"/>
    </row>
    <row r="22">
      <c r="E22" s="25"/>
      <c r="F22" s="25"/>
      <c r="G22" s="25"/>
      <c r="H22" s="25"/>
    </row>
    <row r="23">
      <c r="E23" s="25"/>
      <c r="F23" s="25"/>
      <c r="G23" s="25"/>
      <c r="H23" s="25"/>
    </row>
    <row r="24">
      <c r="E24" s="25"/>
      <c r="F24" s="25"/>
      <c r="G24" s="25"/>
      <c r="H24" s="25"/>
    </row>
    <row r="25">
      <c r="E25" s="25"/>
      <c r="F25" s="25"/>
      <c r="G25" s="25"/>
      <c r="H25" s="25"/>
    </row>
    <row r="26">
      <c r="E26" s="25"/>
      <c r="F26" s="25"/>
      <c r="G26" s="25"/>
      <c r="H26" s="25"/>
    </row>
    <row r="27">
      <c r="E27" s="25"/>
      <c r="F27" s="25"/>
      <c r="G27" s="25"/>
      <c r="H27" s="25"/>
    </row>
    <row r="28">
      <c r="E28" s="25"/>
      <c r="F28" s="25"/>
      <c r="G28" s="25"/>
      <c r="H28" s="25"/>
    </row>
    <row r="29">
      <c r="E29" s="25"/>
      <c r="F29" s="25"/>
      <c r="G29" s="25"/>
      <c r="H29" s="25"/>
    </row>
    <row r="30">
      <c r="E30" s="25"/>
      <c r="F30" s="25"/>
      <c r="G30" s="25"/>
      <c r="H30" s="25"/>
    </row>
    <row r="31">
      <c r="E31" s="25"/>
      <c r="F31" s="25"/>
      <c r="G31" s="25"/>
      <c r="H31" s="25"/>
    </row>
    <row r="32">
      <c r="E32" s="25"/>
      <c r="F32" s="25"/>
      <c r="G32" s="25"/>
      <c r="H32" s="25"/>
    </row>
    <row r="33">
      <c r="E33" s="25"/>
      <c r="F33" s="25"/>
      <c r="G33" s="25"/>
      <c r="H33" s="25"/>
    </row>
    <row r="34">
      <c r="E34" s="25"/>
      <c r="F34" s="25"/>
      <c r="G34" s="25"/>
      <c r="H34" s="25"/>
    </row>
    <row r="35">
      <c r="E35" s="25"/>
      <c r="F35" s="25"/>
      <c r="G35" s="25"/>
      <c r="H35" s="25"/>
    </row>
    <row r="36">
      <c r="E36" s="25"/>
      <c r="F36" s="25"/>
      <c r="G36" s="25"/>
      <c r="H36" s="25"/>
    </row>
    <row r="37">
      <c r="E37" s="25"/>
      <c r="F37" s="25"/>
      <c r="G37" s="25"/>
      <c r="H37" s="25"/>
    </row>
    <row r="38">
      <c r="E38" s="25"/>
      <c r="F38" s="25"/>
      <c r="G38" s="25"/>
      <c r="H38" s="25"/>
    </row>
    <row r="39">
      <c r="E39" s="25"/>
      <c r="F39" s="25"/>
      <c r="G39" s="25"/>
      <c r="H39" s="25"/>
    </row>
    <row r="40">
      <c r="E40" s="25"/>
      <c r="F40" s="25"/>
      <c r="G40" s="25"/>
      <c r="H40" s="25"/>
    </row>
    <row r="41">
      <c r="E41" s="25"/>
      <c r="F41" s="25"/>
      <c r="G41" s="25"/>
      <c r="H41" s="25"/>
    </row>
    <row r="42">
      <c r="E42" s="25"/>
      <c r="F42" s="25"/>
      <c r="G42" s="25"/>
      <c r="H42" s="25"/>
    </row>
    <row r="43">
      <c r="E43" s="25"/>
      <c r="F43" s="25"/>
      <c r="G43" s="25"/>
      <c r="H43" s="25"/>
    </row>
    <row r="44">
      <c r="E44" s="25"/>
      <c r="F44" s="25"/>
      <c r="G44" s="25"/>
      <c r="H44" s="25"/>
    </row>
    <row r="45">
      <c r="D45" s="25"/>
      <c r="E45" s="25"/>
      <c r="F45" s="25"/>
      <c r="G45" s="25"/>
      <c r="H45" s="25"/>
    </row>
    <row r="46">
      <c r="D46" s="25"/>
      <c r="E46" s="25"/>
      <c r="F46" s="25"/>
      <c r="G46" s="25"/>
      <c r="H46" s="25"/>
    </row>
    <row r="47">
      <c r="D47" s="25"/>
      <c r="E47" s="25"/>
      <c r="F47" s="25"/>
      <c r="G47" s="25"/>
      <c r="H47" s="25"/>
    </row>
    <row r="48">
      <c r="D48" s="25"/>
      <c r="E48" s="25"/>
      <c r="F48" s="25"/>
      <c r="G48" s="25"/>
      <c r="H48" s="25"/>
    </row>
    <row r="49">
      <c r="D49" s="25"/>
      <c r="E49" s="25"/>
      <c r="F49" s="25"/>
      <c r="G49" s="25"/>
      <c r="H49" s="25"/>
    </row>
    <row r="50">
      <c r="D50" s="25"/>
      <c r="E50" s="25"/>
      <c r="F50" s="25"/>
      <c r="G50" s="25"/>
      <c r="H50" s="25"/>
    </row>
    <row r="51">
      <c r="D51" s="25"/>
      <c r="E51" s="25"/>
      <c r="F51" s="25"/>
      <c r="G51" s="25"/>
      <c r="H51" s="25"/>
    </row>
    <row r="52">
      <c r="D52" s="25"/>
      <c r="E52" s="25"/>
      <c r="F52" s="25"/>
      <c r="G52" s="25"/>
      <c r="H52" s="25"/>
    </row>
    <row r="53">
      <c r="D53" s="25"/>
      <c r="E53" s="25"/>
      <c r="F53" s="25"/>
      <c r="G53" s="25"/>
      <c r="H53" s="25"/>
    </row>
    <row r="54">
      <c r="D54" s="25"/>
      <c r="E54" s="25"/>
      <c r="F54" s="25"/>
      <c r="G54" s="25"/>
      <c r="H54" s="25"/>
    </row>
    <row r="55">
      <c r="D55" s="25"/>
      <c r="E55" s="25"/>
      <c r="F55" s="25"/>
      <c r="G55" s="25"/>
      <c r="H55" s="25"/>
    </row>
    <row r="56">
      <c r="D56" s="25"/>
      <c r="E56" s="25"/>
      <c r="F56" s="25"/>
      <c r="G56" s="25"/>
      <c r="H56" s="25"/>
    </row>
    <row r="57">
      <c r="D57" s="25"/>
      <c r="E57" s="25"/>
      <c r="F57" s="25"/>
      <c r="G57" s="25"/>
      <c r="H57" s="25"/>
    </row>
    <row r="58">
      <c r="D58" s="25"/>
      <c r="E58" s="25"/>
      <c r="F58" s="25"/>
      <c r="G58" s="25"/>
      <c r="H58" s="25"/>
    </row>
    <row r="59">
      <c r="D59" s="25"/>
      <c r="E59" s="25"/>
      <c r="F59" s="25"/>
      <c r="G59" s="25"/>
      <c r="H59" s="25"/>
    </row>
    <row r="60">
      <c r="D60" s="25"/>
      <c r="E60" s="25"/>
      <c r="F60" s="25"/>
      <c r="G60" s="25"/>
      <c r="H60" s="25"/>
    </row>
    <row r="61">
      <c r="D61" s="25"/>
      <c r="E61" s="25"/>
      <c r="F61" s="25"/>
      <c r="G61" s="25"/>
      <c r="H61" s="25"/>
    </row>
    <row r="62">
      <c r="D62" s="25"/>
      <c r="E62" s="25"/>
      <c r="F62" s="25"/>
      <c r="G62" s="25"/>
      <c r="H62" s="25"/>
    </row>
    <row r="63">
      <c r="D63" s="25"/>
      <c r="E63" s="25"/>
      <c r="F63" s="25"/>
      <c r="G63" s="25"/>
      <c r="H63" s="25"/>
    </row>
    <row r="64">
      <c r="D64" s="25"/>
      <c r="E64" s="25"/>
      <c r="F64" s="25"/>
      <c r="G64" s="25"/>
      <c r="H64" s="25"/>
    </row>
    <row r="65">
      <c r="D65" s="25"/>
      <c r="E65" s="25"/>
      <c r="F65" s="25"/>
      <c r="G65" s="25"/>
      <c r="H65" s="25"/>
    </row>
    <row r="66">
      <c r="D66" s="25"/>
      <c r="E66" s="25"/>
      <c r="F66" s="25"/>
      <c r="G66" s="25"/>
      <c r="H66" s="25"/>
    </row>
    <row r="67">
      <c r="D67" s="25"/>
      <c r="E67" s="25"/>
      <c r="F67" s="25"/>
      <c r="G67" s="25"/>
      <c r="H67" s="25"/>
    </row>
    <row r="68">
      <c r="D68" s="25"/>
      <c r="E68" s="25"/>
      <c r="F68" s="25"/>
      <c r="G68" s="25"/>
      <c r="H68" s="25"/>
    </row>
    <row r="69">
      <c r="D69" s="25"/>
      <c r="E69" s="25"/>
      <c r="F69" s="25"/>
      <c r="G69" s="25"/>
      <c r="H69" s="25"/>
    </row>
    <row r="70">
      <c r="D70" s="25"/>
      <c r="E70" s="25"/>
      <c r="F70" s="25"/>
      <c r="G70" s="25"/>
      <c r="H70" s="25"/>
    </row>
    <row r="71">
      <c r="D71" s="25"/>
      <c r="E71" s="25"/>
      <c r="F71" s="25"/>
      <c r="G71" s="25"/>
      <c r="H71" s="25"/>
    </row>
    <row r="72">
      <c r="D72" s="25"/>
      <c r="E72" s="25"/>
      <c r="F72" s="25"/>
      <c r="G72" s="25"/>
      <c r="H72" s="25"/>
    </row>
    <row r="73">
      <c r="D73" s="25"/>
      <c r="E73" s="25"/>
      <c r="F73" s="25"/>
      <c r="G73" s="25"/>
      <c r="H73" s="25"/>
    </row>
    <row r="74">
      <c r="D74" s="25"/>
      <c r="E74" s="25"/>
      <c r="F74" s="25"/>
      <c r="G74" s="25"/>
      <c r="H74" s="25"/>
    </row>
    <row r="75">
      <c r="D75" s="25"/>
      <c r="E75" s="25"/>
      <c r="F75" s="25"/>
      <c r="G75" s="25"/>
      <c r="H75" s="25"/>
    </row>
    <row r="76">
      <c r="D76" s="25"/>
      <c r="E76" s="25"/>
      <c r="F76" s="25"/>
      <c r="G76" s="25"/>
      <c r="H76" s="25"/>
    </row>
    <row r="77">
      <c r="D77" s="25"/>
      <c r="E77" s="25"/>
      <c r="F77" s="25"/>
      <c r="G77" s="25"/>
      <c r="H77" s="25"/>
    </row>
    <row r="78">
      <c r="D78" s="25"/>
      <c r="E78" s="25"/>
      <c r="F78" s="25"/>
      <c r="G78" s="25"/>
      <c r="H78" s="25"/>
    </row>
    <row r="79">
      <c r="D79" s="25"/>
      <c r="E79" s="25"/>
      <c r="F79" s="25"/>
      <c r="G79" s="25"/>
      <c r="H79" s="25"/>
    </row>
    <row r="80">
      <c r="D80" s="25"/>
      <c r="E80" s="25"/>
      <c r="F80" s="25"/>
      <c r="G80" s="25"/>
      <c r="H80" s="25"/>
    </row>
    <row r="81">
      <c r="D81" s="25"/>
      <c r="E81" s="25"/>
      <c r="F81" s="25"/>
      <c r="G81" s="25"/>
      <c r="H81" s="25"/>
    </row>
    <row r="82">
      <c r="D82" s="25"/>
      <c r="E82" s="25"/>
      <c r="F82" s="25"/>
      <c r="G82" s="25"/>
      <c r="H82" s="25"/>
    </row>
    <row r="83">
      <c r="D83" s="25"/>
      <c r="E83" s="25"/>
      <c r="F83" s="25"/>
      <c r="G83" s="25"/>
      <c r="H83" s="25"/>
    </row>
    <row r="84">
      <c r="D84" s="25"/>
      <c r="E84" s="25"/>
      <c r="F84" s="25"/>
      <c r="G84" s="25"/>
      <c r="H84" s="25"/>
    </row>
    <row r="85">
      <c r="D85" s="25"/>
      <c r="E85" s="25"/>
      <c r="F85" s="25"/>
      <c r="G85" s="25"/>
      <c r="H85" s="25"/>
    </row>
    <row r="86">
      <c r="D86" s="25"/>
      <c r="E86" s="25"/>
      <c r="F86" s="25"/>
      <c r="G86" s="25"/>
      <c r="H86" s="25"/>
    </row>
    <row r="87">
      <c r="D87" s="25"/>
      <c r="E87" s="25"/>
      <c r="F87" s="25"/>
      <c r="G87" s="25"/>
      <c r="H87" s="25"/>
    </row>
    <row r="88">
      <c r="D88" s="25"/>
      <c r="E88" s="25"/>
      <c r="F88" s="25"/>
      <c r="G88" s="25"/>
      <c r="H88" s="25"/>
    </row>
    <row r="89">
      <c r="D89" s="25"/>
      <c r="E89" s="25"/>
      <c r="F89" s="25"/>
      <c r="G89" s="25"/>
      <c r="H89" s="25"/>
    </row>
    <row r="90">
      <c r="D90" s="25"/>
      <c r="E90" s="25"/>
      <c r="F90" s="25"/>
      <c r="G90" s="25"/>
      <c r="H90" s="25"/>
    </row>
    <row r="91">
      <c r="D91" s="25"/>
      <c r="E91" s="25"/>
      <c r="F91" s="25"/>
      <c r="G91" s="25"/>
      <c r="H91" s="25"/>
    </row>
    <row r="92">
      <c r="D92" s="25"/>
      <c r="E92" s="25"/>
      <c r="F92" s="25"/>
      <c r="G92" s="25"/>
      <c r="H92" s="25"/>
    </row>
    <row r="93">
      <c r="D93" s="25"/>
      <c r="E93" s="25"/>
      <c r="F93" s="25"/>
      <c r="G93" s="25"/>
      <c r="H93" s="25"/>
    </row>
    <row r="94">
      <c r="D94" s="25"/>
      <c r="E94" s="25"/>
      <c r="F94" s="25"/>
      <c r="G94" s="25"/>
      <c r="H94" s="25"/>
    </row>
    <row r="95">
      <c r="D95" s="25"/>
      <c r="E95" s="25"/>
      <c r="F95" s="25"/>
      <c r="G95" s="25"/>
      <c r="H95" s="25"/>
    </row>
    <row r="96">
      <c r="D96" s="25"/>
      <c r="E96" s="25"/>
      <c r="F96" s="25"/>
      <c r="G96" s="25"/>
      <c r="H96" s="25"/>
    </row>
    <row r="97">
      <c r="D97" s="25"/>
      <c r="E97" s="25"/>
      <c r="F97" s="25"/>
      <c r="G97" s="25"/>
      <c r="H97" s="25"/>
    </row>
    <row r="98">
      <c r="D98" s="25"/>
      <c r="E98" s="25"/>
      <c r="F98" s="25"/>
      <c r="G98" s="25"/>
      <c r="H98" s="25"/>
    </row>
    <row r="99">
      <c r="D99" s="25"/>
      <c r="E99" s="25"/>
      <c r="F99" s="25"/>
      <c r="G99" s="25"/>
      <c r="H99" s="25"/>
    </row>
    <row r="100">
      <c r="D100" s="25"/>
      <c r="E100" s="25"/>
      <c r="F100" s="25"/>
      <c r="G100" s="25"/>
      <c r="H100" s="25"/>
    </row>
    <row r="101">
      <c r="D101" s="25"/>
      <c r="E101" s="25"/>
      <c r="F101" s="25"/>
      <c r="G101" s="25"/>
      <c r="H101" s="25"/>
    </row>
    <row r="102">
      <c r="D102" s="25"/>
      <c r="E102" s="25"/>
      <c r="F102" s="25"/>
      <c r="G102" s="25"/>
      <c r="H102" s="25"/>
    </row>
    <row r="103">
      <c r="D103" s="25"/>
      <c r="E103" s="25"/>
      <c r="F103" s="25"/>
      <c r="G103" s="25"/>
      <c r="H103" s="25"/>
    </row>
    <row r="104">
      <c r="D104" s="25"/>
      <c r="E104" s="25"/>
      <c r="F104" s="25"/>
      <c r="G104" s="25"/>
      <c r="H104" s="25"/>
    </row>
    <row r="105">
      <c r="D105" s="25"/>
      <c r="E105" s="25"/>
      <c r="F105" s="25"/>
      <c r="G105" s="25"/>
      <c r="H105" s="25"/>
    </row>
    <row r="106">
      <c r="D106" s="25"/>
      <c r="E106" s="25"/>
      <c r="F106" s="25"/>
      <c r="G106" s="25"/>
      <c r="H106" s="25"/>
    </row>
    <row r="107">
      <c r="D107" s="25"/>
      <c r="E107" s="25"/>
      <c r="F107" s="25"/>
      <c r="G107" s="25"/>
      <c r="H107" s="25"/>
    </row>
    <row r="108">
      <c r="D108" s="25"/>
      <c r="E108" s="25"/>
      <c r="F108" s="25"/>
      <c r="G108" s="25"/>
      <c r="H108" s="25"/>
    </row>
    <row r="109">
      <c r="D109" s="25"/>
      <c r="E109" s="25"/>
      <c r="F109" s="25"/>
      <c r="G109" s="25"/>
      <c r="H109" s="25"/>
    </row>
    <row r="110">
      <c r="D110" s="25"/>
      <c r="E110" s="25"/>
      <c r="F110" s="25"/>
      <c r="G110" s="25"/>
      <c r="H110" s="25"/>
    </row>
    <row r="111">
      <c r="D111" s="25"/>
      <c r="E111" s="25"/>
      <c r="F111" s="25"/>
      <c r="G111" s="25"/>
      <c r="H111" s="25"/>
    </row>
    <row r="112">
      <c r="D112" s="25"/>
      <c r="E112" s="25"/>
      <c r="F112" s="25"/>
      <c r="G112" s="25"/>
      <c r="H112" s="25"/>
    </row>
    <row r="113">
      <c r="D113" s="25"/>
      <c r="E113" s="25"/>
      <c r="F113" s="25"/>
      <c r="G113" s="25"/>
      <c r="H113" s="25"/>
    </row>
    <row r="114">
      <c r="D114" s="25"/>
      <c r="E114" s="25"/>
      <c r="F114" s="25"/>
      <c r="G114" s="25"/>
      <c r="H114" s="25"/>
    </row>
    <row r="115">
      <c r="D115" s="25"/>
      <c r="E115" s="25"/>
      <c r="F115" s="25"/>
      <c r="G115" s="25"/>
      <c r="H115" s="25"/>
    </row>
    <row r="116">
      <c r="D116" s="25"/>
      <c r="E116" s="25"/>
      <c r="F116" s="25"/>
      <c r="G116" s="25"/>
      <c r="H116" s="25"/>
    </row>
    <row r="117">
      <c r="D117" s="25"/>
      <c r="E117" s="25"/>
      <c r="F117" s="25"/>
      <c r="G117" s="25"/>
      <c r="H117" s="25"/>
    </row>
    <row r="118">
      <c r="D118" s="25"/>
      <c r="E118" s="25"/>
      <c r="F118" s="25"/>
      <c r="G118" s="25"/>
      <c r="H118" s="25"/>
    </row>
    <row r="119">
      <c r="D119" s="25"/>
      <c r="E119" s="25"/>
      <c r="F119" s="25"/>
      <c r="G119" s="25"/>
      <c r="H119" s="25"/>
    </row>
    <row r="120">
      <c r="D120" s="25"/>
      <c r="E120" s="25"/>
      <c r="F120" s="25"/>
      <c r="G120" s="25"/>
      <c r="H120" s="25"/>
    </row>
    <row r="121">
      <c r="D121" s="25"/>
      <c r="E121" s="25"/>
      <c r="F121" s="25"/>
      <c r="G121" s="25"/>
      <c r="H121" s="25"/>
    </row>
    <row r="122">
      <c r="D122" s="25"/>
      <c r="E122" s="25"/>
      <c r="F122" s="25"/>
      <c r="G122" s="25"/>
      <c r="H122" s="25"/>
    </row>
    <row r="123">
      <c r="D123" s="25"/>
      <c r="E123" s="25"/>
      <c r="F123" s="25"/>
      <c r="G123" s="25"/>
      <c r="H123" s="25"/>
    </row>
    <row r="124">
      <c r="D124" s="25"/>
      <c r="E124" s="25"/>
      <c r="F124" s="25"/>
      <c r="G124" s="25"/>
      <c r="H124" s="25"/>
    </row>
    <row r="125">
      <c r="D125" s="25"/>
      <c r="E125" s="25"/>
      <c r="F125" s="25"/>
      <c r="G125" s="25"/>
      <c r="H125" s="25"/>
    </row>
    <row r="126">
      <c r="D126" s="25"/>
      <c r="E126" s="25"/>
      <c r="F126" s="25"/>
      <c r="G126" s="25"/>
      <c r="H126" s="25"/>
    </row>
    <row r="127">
      <c r="D127" s="25"/>
      <c r="E127" s="25"/>
      <c r="F127" s="25"/>
      <c r="G127" s="25"/>
      <c r="H127" s="25"/>
    </row>
    <row r="128">
      <c r="D128" s="25"/>
      <c r="E128" s="25"/>
      <c r="F128" s="25"/>
      <c r="G128" s="25"/>
      <c r="H128" s="25"/>
    </row>
    <row r="129">
      <c r="D129" s="25"/>
      <c r="E129" s="25"/>
      <c r="F129" s="25"/>
      <c r="G129" s="25"/>
      <c r="H129" s="25"/>
    </row>
    <row r="130">
      <c r="D130" s="25"/>
      <c r="E130" s="25"/>
      <c r="F130" s="25"/>
      <c r="G130" s="25"/>
      <c r="H130" s="25"/>
    </row>
    <row r="131">
      <c r="D131" s="25"/>
      <c r="E131" s="25"/>
      <c r="F131" s="25"/>
      <c r="G131" s="25"/>
      <c r="H131" s="25"/>
    </row>
    <row r="132">
      <c r="D132" s="25"/>
      <c r="E132" s="25"/>
      <c r="F132" s="25"/>
      <c r="G132" s="25"/>
      <c r="H132" s="25"/>
    </row>
    <row r="133">
      <c r="D133" s="25"/>
      <c r="E133" s="25"/>
      <c r="F133" s="25"/>
      <c r="G133" s="25"/>
      <c r="H133" s="25"/>
    </row>
    <row r="134">
      <c r="D134" s="25"/>
      <c r="E134" s="25"/>
      <c r="F134" s="25"/>
      <c r="G134" s="25"/>
      <c r="H134" s="25"/>
    </row>
    <row r="135">
      <c r="D135" s="25"/>
      <c r="E135" s="25"/>
      <c r="F135" s="25"/>
      <c r="G135" s="25"/>
      <c r="H135" s="25"/>
    </row>
    <row r="136">
      <c r="D136" s="25"/>
      <c r="E136" s="25"/>
      <c r="F136" s="25"/>
      <c r="G136" s="25"/>
      <c r="H136" s="25"/>
    </row>
    <row r="137">
      <c r="D137" s="25"/>
      <c r="E137" s="25"/>
      <c r="F137" s="25"/>
      <c r="G137" s="25"/>
      <c r="H137" s="25"/>
    </row>
    <row r="138">
      <c r="D138" s="25"/>
      <c r="E138" s="25"/>
      <c r="F138" s="25"/>
      <c r="G138" s="25"/>
      <c r="H138" s="25"/>
    </row>
    <row r="139">
      <c r="D139" s="25"/>
      <c r="E139" s="25"/>
      <c r="F139" s="25"/>
      <c r="G139" s="25"/>
      <c r="H139" s="25"/>
    </row>
    <row r="140">
      <c r="D140" s="25"/>
      <c r="E140" s="25"/>
      <c r="F140" s="25"/>
      <c r="G140" s="25"/>
      <c r="H140" s="25"/>
    </row>
    <row r="141">
      <c r="D141" s="25"/>
      <c r="E141" s="25"/>
      <c r="F141" s="25"/>
      <c r="G141" s="25"/>
      <c r="H141" s="25"/>
    </row>
    <row r="142">
      <c r="D142" s="25"/>
      <c r="E142" s="25"/>
      <c r="F142" s="25"/>
      <c r="G142" s="25"/>
      <c r="H142" s="25"/>
    </row>
    <row r="143">
      <c r="D143" s="25"/>
      <c r="E143" s="25"/>
      <c r="F143" s="25"/>
      <c r="G143" s="25"/>
      <c r="H143" s="25"/>
    </row>
    <row r="144">
      <c r="D144" s="25"/>
      <c r="E144" s="25"/>
      <c r="F144" s="25"/>
      <c r="G144" s="25"/>
      <c r="H144" s="25"/>
    </row>
    <row r="145">
      <c r="D145" s="25"/>
      <c r="E145" s="25"/>
      <c r="F145" s="25"/>
      <c r="G145" s="25"/>
      <c r="H145" s="25"/>
    </row>
    <row r="146">
      <c r="D146" s="25"/>
      <c r="E146" s="25"/>
      <c r="F146" s="25"/>
      <c r="G146" s="25"/>
      <c r="H146" s="25"/>
    </row>
    <row r="147">
      <c r="D147" s="25"/>
      <c r="E147" s="25"/>
      <c r="F147" s="25"/>
      <c r="G147" s="25"/>
      <c r="H147" s="25"/>
    </row>
    <row r="148">
      <c r="D148" s="25"/>
      <c r="E148" s="25"/>
      <c r="F148" s="25"/>
      <c r="G148" s="25"/>
      <c r="H148" s="25"/>
    </row>
    <row r="149">
      <c r="D149" s="25"/>
      <c r="E149" s="25"/>
      <c r="F149" s="25"/>
      <c r="G149" s="25"/>
      <c r="H149" s="25"/>
    </row>
    <row r="150">
      <c r="D150" s="25"/>
      <c r="E150" s="25"/>
      <c r="F150" s="25"/>
      <c r="G150" s="25"/>
      <c r="H150" s="25"/>
    </row>
    <row r="151">
      <c r="D151" s="25"/>
      <c r="E151" s="25"/>
      <c r="F151" s="25"/>
      <c r="G151" s="25"/>
      <c r="H151" s="25"/>
    </row>
    <row r="152">
      <c r="D152" s="25"/>
      <c r="E152" s="25"/>
      <c r="F152" s="25"/>
      <c r="G152" s="25"/>
      <c r="H152" s="25"/>
    </row>
    <row r="153">
      <c r="D153" s="25"/>
      <c r="E153" s="25"/>
      <c r="F153" s="25"/>
      <c r="G153" s="25"/>
      <c r="H153" s="25"/>
    </row>
    <row r="154">
      <c r="D154" s="25"/>
      <c r="E154" s="25"/>
      <c r="F154" s="25"/>
      <c r="G154" s="25"/>
      <c r="H154" s="25"/>
    </row>
    <row r="155">
      <c r="D155" s="25"/>
      <c r="E155" s="25"/>
      <c r="F155" s="25"/>
      <c r="G155" s="25"/>
      <c r="H155" s="25"/>
    </row>
    <row r="156">
      <c r="D156" s="25"/>
      <c r="E156" s="25"/>
      <c r="F156" s="25"/>
      <c r="G156" s="25"/>
      <c r="H156" s="25"/>
    </row>
    <row r="157">
      <c r="D157" s="25"/>
      <c r="E157" s="25"/>
      <c r="F157" s="25"/>
      <c r="G157" s="25"/>
      <c r="H157" s="25"/>
    </row>
    <row r="158">
      <c r="D158" s="25"/>
      <c r="E158" s="25"/>
      <c r="F158" s="25"/>
      <c r="G158" s="25"/>
      <c r="H158" s="25"/>
    </row>
    <row r="159">
      <c r="D159" s="25"/>
      <c r="E159" s="25"/>
      <c r="F159" s="25"/>
      <c r="G159" s="25"/>
      <c r="H159" s="25"/>
    </row>
    <row r="160">
      <c r="D160" s="25"/>
      <c r="E160" s="25"/>
      <c r="F160" s="25"/>
      <c r="G160" s="25"/>
      <c r="H160" s="25"/>
    </row>
    <row r="161">
      <c r="D161" s="25"/>
      <c r="E161" s="25"/>
      <c r="F161" s="25"/>
      <c r="G161" s="25"/>
      <c r="H161" s="25"/>
    </row>
    <row r="162">
      <c r="D162" s="25"/>
      <c r="E162" s="25"/>
      <c r="F162" s="25"/>
      <c r="G162" s="25"/>
      <c r="H162" s="25"/>
    </row>
    <row r="163">
      <c r="D163" s="25"/>
      <c r="E163" s="25"/>
      <c r="F163" s="25"/>
      <c r="G163" s="25"/>
      <c r="H163" s="25"/>
    </row>
    <row r="164">
      <c r="D164" s="25"/>
      <c r="E164" s="25"/>
      <c r="F164" s="25"/>
      <c r="G164" s="25"/>
      <c r="H164" s="25"/>
    </row>
    <row r="165">
      <c r="D165" s="25"/>
      <c r="E165" s="25"/>
      <c r="F165" s="25"/>
      <c r="G165" s="25"/>
      <c r="H165" s="25"/>
    </row>
    <row r="166">
      <c r="D166" s="25"/>
      <c r="E166" s="25"/>
      <c r="F166" s="25"/>
      <c r="G166" s="25"/>
      <c r="H166" s="25"/>
    </row>
    <row r="167">
      <c r="D167" s="25"/>
      <c r="E167" s="25"/>
      <c r="F167" s="25"/>
      <c r="G167" s="25"/>
      <c r="H167" s="25"/>
    </row>
    <row r="168">
      <c r="D168" s="25"/>
      <c r="E168" s="25"/>
      <c r="F168" s="25"/>
      <c r="G168" s="25"/>
      <c r="H168" s="25"/>
    </row>
    <row r="169">
      <c r="D169" s="25"/>
      <c r="E169" s="25"/>
      <c r="F169" s="25"/>
      <c r="G169" s="25"/>
      <c r="H169" s="25"/>
    </row>
    <row r="170">
      <c r="D170" s="25"/>
      <c r="E170" s="25"/>
      <c r="F170" s="25"/>
      <c r="G170" s="25"/>
      <c r="H170" s="25"/>
    </row>
    <row r="171">
      <c r="D171" s="25"/>
      <c r="E171" s="25"/>
      <c r="F171" s="25"/>
      <c r="G171" s="25"/>
      <c r="H171" s="25"/>
    </row>
    <row r="172">
      <c r="D172" s="25"/>
      <c r="E172" s="25"/>
      <c r="F172" s="25"/>
      <c r="G172" s="25"/>
      <c r="H172" s="25"/>
    </row>
    <row r="173">
      <c r="D173" s="25"/>
      <c r="E173" s="25"/>
      <c r="F173" s="25"/>
      <c r="G173" s="25"/>
      <c r="H173" s="25"/>
    </row>
    <row r="174">
      <c r="D174" s="25"/>
      <c r="E174" s="25"/>
      <c r="F174" s="25"/>
      <c r="G174" s="25"/>
      <c r="H174" s="25"/>
    </row>
    <row r="175">
      <c r="D175" s="25"/>
      <c r="E175" s="25"/>
      <c r="F175" s="25"/>
      <c r="G175" s="25"/>
      <c r="H175" s="25"/>
    </row>
    <row r="176">
      <c r="D176" s="25"/>
      <c r="E176" s="25"/>
      <c r="F176" s="25"/>
      <c r="G176" s="25"/>
      <c r="H176" s="25"/>
    </row>
    <row r="177">
      <c r="D177" s="25"/>
      <c r="E177" s="25"/>
      <c r="F177" s="25"/>
      <c r="G177" s="25"/>
      <c r="H177" s="25"/>
    </row>
    <row r="178">
      <c r="D178" s="25"/>
      <c r="E178" s="25"/>
      <c r="F178" s="25"/>
      <c r="G178" s="25"/>
      <c r="H178" s="25"/>
    </row>
    <row r="179">
      <c r="D179" s="25"/>
      <c r="E179" s="25"/>
      <c r="F179" s="25"/>
      <c r="G179" s="25"/>
      <c r="H179" s="25"/>
    </row>
    <row r="180">
      <c r="D180" s="25"/>
      <c r="E180" s="25"/>
      <c r="F180" s="25"/>
      <c r="G180" s="25"/>
      <c r="H180" s="25"/>
    </row>
    <row r="181">
      <c r="D181" s="25"/>
      <c r="E181" s="25"/>
      <c r="F181" s="25"/>
      <c r="G181" s="25"/>
      <c r="H181" s="25"/>
    </row>
    <row r="182">
      <c r="D182" s="25"/>
      <c r="E182" s="25"/>
      <c r="F182" s="25"/>
      <c r="G182" s="25"/>
      <c r="H182" s="25"/>
    </row>
    <row r="183">
      <c r="D183" s="25"/>
      <c r="E183" s="25"/>
      <c r="F183" s="25"/>
      <c r="G183" s="25"/>
      <c r="H183" s="25"/>
    </row>
    <row r="184">
      <c r="D184" s="25"/>
      <c r="E184" s="25"/>
      <c r="F184" s="25"/>
      <c r="G184" s="25"/>
      <c r="H184" s="25"/>
    </row>
    <row r="185">
      <c r="D185" s="25"/>
      <c r="E185" s="25"/>
      <c r="F185" s="25"/>
      <c r="G185" s="25"/>
      <c r="H185" s="25"/>
    </row>
    <row r="186">
      <c r="D186" s="25"/>
      <c r="E186" s="25"/>
      <c r="F186" s="25"/>
      <c r="G186" s="25"/>
      <c r="H186" s="25"/>
    </row>
    <row r="187">
      <c r="D187" s="25"/>
      <c r="E187" s="25"/>
      <c r="F187" s="25"/>
      <c r="G187" s="25"/>
      <c r="H187" s="25"/>
    </row>
    <row r="188">
      <c r="D188" s="25"/>
      <c r="E188" s="25"/>
      <c r="F188" s="25"/>
      <c r="G188" s="25"/>
      <c r="H188" s="25"/>
    </row>
    <row r="189">
      <c r="D189" s="25"/>
      <c r="E189" s="25"/>
      <c r="F189" s="25"/>
      <c r="G189" s="25"/>
      <c r="H189" s="25"/>
    </row>
    <row r="190">
      <c r="D190" s="25"/>
      <c r="E190" s="25"/>
      <c r="F190" s="25"/>
      <c r="G190" s="25"/>
      <c r="H190" s="25"/>
    </row>
    <row r="191">
      <c r="D191" s="25"/>
      <c r="E191" s="25"/>
      <c r="F191" s="25"/>
      <c r="G191" s="25"/>
      <c r="H191" s="25"/>
    </row>
    <row r="192">
      <c r="D192" s="25"/>
      <c r="E192" s="25"/>
      <c r="F192" s="25"/>
      <c r="G192" s="25"/>
      <c r="H192" s="25"/>
    </row>
    <row r="193">
      <c r="D193" s="25"/>
      <c r="E193" s="25"/>
      <c r="F193" s="25"/>
      <c r="G193" s="25"/>
      <c r="H193" s="25"/>
    </row>
    <row r="194">
      <c r="D194" s="25"/>
      <c r="E194" s="25"/>
      <c r="F194" s="25"/>
      <c r="G194" s="25"/>
      <c r="H194" s="25"/>
    </row>
    <row r="195">
      <c r="D195" s="25"/>
      <c r="E195" s="25"/>
      <c r="F195" s="25"/>
      <c r="G195" s="25"/>
      <c r="H195" s="25"/>
    </row>
    <row r="196">
      <c r="D196" s="25"/>
      <c r="E196" s="25"/>
      <c r="F196" s="25"/>
      <c r="G196" s="25"/>
      <c r="H196" s="25"/>
    </row>
    <row r="197">
      <c r="D197" s="25"/>
      <c r="E197" s="25"/>
      <c r="F197" s="25"/>
      <c r="G197" s="25"/>
      <c r="H197" s="25"/>
    </row>
    <row r="198">
      <c r="D198" s="25"/>
      <c r="E198" s="25"/>
      <c r="F198" s="25"/>
      <c r="G198" s="25"/>
      <c r="H198" s="25"/>
    </row>
    <row r="199">
      <c r="D199" s="25"/>
      <c r="E199" s="25"/>
      <c r="F199" s="25"/>
      <c r="G199" s="25"/>
      <c r="H199" s="25"/>
    </row>
    <row r="200">
      <c r="D200" s="25"/>
      <c r="E200" s="25"/>
      <c r="F200" s="25"/>
      <c r="G200" s="25"/>
      <c r="H200" s="25"/>
    </row>
    <row r="201">
      <c r="D201" s="25"/>
      <c r="E201" s="25"/>
      <c r="F201" s="25"/>
      <c r="G201" s="25"/>
      <c r="H201" s="25"/>
    </row>
    <row r="202">
      <c r="D202" s="25"/>
      <c r="E202" s="25"/>
      <c r="F202" s="25"/>
      <c r="G202" s="25"/>
      <c r="H202" s="25"/>
    </row>
    <row r="203">
      <c r="D203" s="25"/>
      <c r="E203" s="25"/>
      <c r="F203" s="25"/>
      <c r="G203" s="25"/>
      <c r="H203" s="25"/>
    </row>
    <row r="204">
      <c r="D204" s="25"/>
      <c r="E204" s="25"/>
      <c r="F204" s="25"/>
      <c r="G204" s="25"/>
      <c r="H204" s="25"/>
    </row>
    <row r="205">
      <c r="D205" s="25"/>
      <c r="E205" s="25"/>
      <c r="F205" s="25"/>
      <c r="G205" s="25"/>
      <c r="H205" s="25"/>
    </row>
    <row r="206">
      <c r="D206" s="25"/>
      <c r="E206" s="25"/>
      <c r="F206" s="25"/>
      <c r="G206" s="25"/>
      <c r="H206" s="25"/>
    </row>
    <row r="207">
      <c r="D207" s="25"/>
      <c r="E207" s="25"/>
      <c r="F207" s="25"/>
      <c r="G207" s="25"/>
      <c r="H207" s="25"/>
    </row>
    <row r="208">
      <c r="D208" s="25"/>
      <c r="E208" s="25"/>
      <c r="F208" s="25"/>
      <c r="G208" s="25"/>
      <c r="H208" s="25"/>
    </row>
    <row r="209">
      <c r="D209" s="25"/>
      <c r="E209" s="25"/>
      <c r="F209" s="25"/>
      <c r="G209" s="25"/>
      <c r="H209" s="25"/>
    </row>
    <row r="210">
      <c r="D210" s="25"/>
      <c r="E210" s="25"/>
      <c r="F210" s="25"/>
      <c r="G210" s="25"/>
      <c r="H210" s="25"/>
    </row>
    <row r="211">
      <c r="D211" s="25"/>
      <c r="E211" s="25"/>
      <c r="F211" s="25"/>
      <c r="G211" s="25"/>
      <c r="H211" s="25"/>
    </row>
    <row r="212">
      <c r="D212" s="25"/>
      <c r="E212" s="25"/>
      <c r="F212" s="25"/>
      <c r="G212" s="25"/>
      <c r="H212" s="25"/>
    </row>
    <row r="213">
      <c r="D213" s="25"/>
      <c r="E213" s="25"/>
      <c r="F213" s="25"/>
      <c r="G213" s="25"/>
      <c r="H213" s="25"/>
    </row>
    <row r="214">
      <c r="D214" s="25"/>
      <c r="E214" s="25"/>
      <c r="F214" s="25"/>
      <c r="G214" s="25"/>
      <c r="H214" s="25"/>
    </row>
    <row r="215">
      <c r="D215" s="25"/>
      <c r="E215" s="25"/>
      <c r="F215" s="25"/>
      <c r="G215" s="25"/>
      <c r="H215" s="25"/>
    </row>
    <row r="216">
      <c r="D216" s="25"/>
      <c r="E216" s="25"/>
      <c r="F216" s="25"/>
      <c r="G216" s="25"/>
      <c r="H216" s="25"/>
    </row>
    <row r="217">
      <c r="D217" s="25"/>
      <c r="E217" s="25"/>
      <c r="F217" s="25"/>
      <c r="G217" s="25"/>
      <c r="H217" s="25"/>
    </row>
    <row r="218">
      <c r="D218" s="25"/>
      <c r="E218" s="25"/>
      <c r="F218" s="25"/>
      <c r="G218" s="25"/>
      <c r="H218" s="25"/>
    </row>
    <row r="219">
      <c r="D219" s="25"/>
      <c r="E219" s="25"/>
      <c r="F219" s="25"/>
      <c r="G219" s="25"/>
      <c r="H219" s="25"/>
    </row>
    <row r="220">
      <c r="D220" s="25"/>
      <c r="E220" s="25"/>
      <c r="F220" s="25"/>
      <c r="G220" s="25"/>
      <c r="H220" s="25"/>
    </row>
    <row r="221">
      <c r="D221" s="25"/>
      <c r="E221" s="25"/>
      <c r="F221" s="25"/>
      <c r="G221" s="25"/>
      <c r="H221" s="25"/>
    </row>
    <row r="222">
      <c r="D222" s="25"/>
      <c r="E222" s="25"/>
      <c r="F222" s="25"/>
      <c r="G222" s="25"/>
      <c r="H222" s="25"/>
    </row>
    <row r="223">
      <c r="D223" s="25"/>
      <c r="E223" s="25"/>
      <c r="F223" s="25"/>
      <c r="G223" s="25"/>
      <c r="H223" s="25"/>
    </row>
    <row r="224">
      <c r="D224" s="25"/>
      <c r="E224" s="25"/>
      <c r="F224" s="25"/>
      <c r="G224" s="25"/>
      <c r="H224" s="25"/>
    </row>
    <row r="225">
      <c r="D225" s="25"/>
      <c r="E225" s="25"/>
      <c r="F225" s="25"/>
      <c r="G225" s="25"/>
      <c r="H225" s="25"/>
    </row>
    <row r="226">
      <c r="D226" s="25"/>
      <c r="E226" s="25"/>
      <c r="F226" s="25"/>
      <c r="G226" s="25"/>
      <c r="H226" s="25"/>
    </row>
    <row r="227">
      <c r="D227" s="25"/>
      <c r="E227" s="25"/>
      <c r="F227" s="25"/>
      <c r="G227" s="25"/>
      <c r="H227" s="25"/>
    </row>
    <row r="228">
      <c r="D228" s="25"/>
      <c r="E228" s="25"/>
      <c r="F228" s="25"/>
      <c r="G228" s="25"/>
      <c r="H228" s="25"/>
    </row>
    <row r="229">
      <c r="D229" s="25"/>
      <c r="E229" s="25"/>
      <c r="F229" s="25"/>
      <c r="G229" s="25"/>
      <c r="H229" s="25"/>
    </row>
    <row r="230">
      <c r="D230" s="25"/>
      <c r="E230" s="25"/>
      <c r="F230" s="25"/>
      <c r="G230" s="25"/>
      <c r="H230" s="25"/>
    </row>
    <row r="231">
      <c r="D231" s="25"/>
      <c r="E231" s="25"/>
      <c r="F231" s="25"/>
      <c r="G231" s="25"/>
      <c r="H231" s="25"/>
    </row>
    <row r="232">
      <c r="D232" s="25"/>
      <c r="E232" s="25"/>
      <c r="F232" s="25"/>
      <c r="G232" s="25"/>
      <c r="H232" s="25"/>
    </row>
    <row r="233">
      <c r="D233" s="25"/>
      <c r="E233" s="25"/>
      <c r="F233" s="25"/>
      <c r="G233" s="25"/>
      <c r="H233" s="25"/>
    </row>
    <row r="234">
      <c r="D234" s="25"/>
      <c r="E234" s="25"/>
      <c r="F234" s="25"/>
      <c r="G234" s="25"/>
      <c r="H234" s="25"/>
    </row>
    <row r="235">
      <c r="D235" s="25"/>
      <c r="E235" s="25"/>
      <c r="F235" s="25"/>
      <c r="G235" s="25"/>
      <c r="H235" s="25"/>
    </row>
    <row r="236">
      <c r="D236" s="25"/>
      <c r="E236" s="25"/>
      <c r="F236" s="25"/>
      <c r="G236" s="25"/>
      <c r="H236" s="25"/>
    </row>
    <row r="237">
      <c r="D237" s="25"/>
      <c r="E237" s="25"/>
      <c r="F237" s="25"/>
      <c r="G237" s="25"/>
      <c r="H237" s="25"/>
    </row>
    <row r="238">
      <c r="D238" s="25"/>
      <c r="E238" s="25"/>
      <c r="F238" s="25"/>
      <c r="G238" s="25"/>
      <c r="H238" s="25"/>
    </row>
    <row r="239">
      <c r="D239" s="25"/>
      <c r="E239" s="25"/>
      <c r="F239" s="25"/>
      <c r="G239" s="25"/>
      <c r="H239" s="25"/>
    </row>
    <row r="240">
      <c r="D240" s="25"/>
      <c r="E240" s="25"/>
      <c r="F240" s="25"/>
      <c r="G240" s="25"/>
      <c r="H240" s="25"/>
    </row>
    <row r="241">
      <c r="D241" s="25"/>
      <c r="E241" s="25"/>
      <c r="F241" s="25"/>
      <c r="G241" s="25"/>
      <c r="H241" s="25"/>
    </row>
    <row r="242">
      <c r="D242" s="25"/>
      <c r="E242" s="25"/>
      <c r="F242" s="25"/>
      <c r="G242" s="25"/>
      <c r="H242" s="25"/>
    </row>
    <row r="243">
      <c r="D243" s="25"/>
      <c r="E243" s="25"/>
      <c r="F243" s="25"/>
      <c r="G243" s="25"/>
      <c r="H243" s="25"/>
    </row>
    <row r="244">
      <c r="D244" s="25"/>
      <c r="E244" s="25"/>
      <c r="F244" s="25"/>
      <c r="G244" s="25"/>
      <c r="H244" s="25"/>
    </row>
    <row r="245">
      <c r="D245" s="25"/>
      <c r="E245" s="25"/>
      <c r="F245" s="25"/>
      <c r="G245" s="25"/>
      <c r="H245" s="25"/>
    </row>
    <row r="246">
      <c r="D246" s="25"/>
      <c r="E246" s="25"/>
      <c r="F246" s="25"/>
      <c r="G246" s="25"/>
      <c r="H246" s="25"/>
    </row>
    <row r="247">
      <c r="D247" s="25"/>
      <c r="E247" s="25"/>
      <c r="F247" s="25"/>
      <c r="G247" s="25"/>
      <c r="H247" s="25"/>
    </row>
    <row r="248">
      <c r="D248" s="25"/>
      <c r="E248" s="25"/>
      <c r="F248" s="25"/>
      <c r="G248" s="25"/>
      <c r="H248" s="25"/>
    </row>
    <row r="249">
      <c r="D249" s="25"/>
      <c r="E249" s="25"/>
      <c r="F249" s="25"/>
      <c r="G249" s="25"/>
      <c r="H249" s="25"/>
    </row>
    <row r="250">
      <c r="D250" s="25"/>
      <c r="E250" s="25"/>
      <c r="F250" s="25"/>
      <c r="G250" s="25"/>
      <c r="H250" s="25"/>
    </row>
    <row r="251">
      <c r="D251" s="25"/>
      <c r="E251" s="25"/>
      <c r="F251" s="25"/>
      <c r="G251" s="25"/>
      <c r="H251" s="25"/>
    </row>
    <row r="252">
      <c r="D252" s="25"/>
      <c r="E252" s="25"/>
      <c r="F252" s="25"/>
      <c r="G252" s="25"/>
      <c r="H252" s="25"/>
    </row>
    <row r="253">
      <c r="D253" s="25"/>
      <c r="E253" s="25"/>
      <c r="F253" s="25"/>
      <c r="G253" s="25"/>
      <c r="H253" s="25"/>
    </row>
    <row r="254">
      <c r="D254" s="25"/>
      <c r="E254" s="25"/>
      <c r="F254" s="25"/>
      <c r="G254" s="25"/>
      <c r="H254" s="25"/>
    </row>
    <row r="255">
      <c r="D255" s="25"/>
      <c r="E255" s="25"/>
      <c r="F255" s="25"/>
      <c r="G255" s="25"/>
      <c r="H255" s="25"/>
    </row>
    <row r="256">
      <c r="D256" s="25"/>
      <c r="E256" s="25"/>
      <c r="F256" s="25"/>
      <c r="G256" s="25"/>
      <c r="H256" s="25"/>
    </row>
    <row r="257">
      <c r="D257" s="25"/>
      <c r="E257" s="25"/>
      <c r="F257" s="25"/>
      <c r="G257" s="25"/>
      <c r="H257" s="25"/>
    </row>
    <row r="258">
      <c r="D258" s="25"/>
      <c r="E258" s="25"/>
      <c r="F258" s="25"/>
      <c r="G258" s="25"/>
      <c r="H258" s="25"/>
    </row>
    <row r="259">
      <c r="D259" s="25"/>
      <c r="E259" s="25"/>
      <c r="F259" s="25"/>
      <c r="G259" s="25"/>
      <c r="H259" s="25"/>
    </row>
    <row r="260">
      <c r="D260" s="25"/>
      <c r="E260" s="25"/>
      <c r="F260" s="25"/>
      <c r="G260" s="25"/>
      <c r="H260" s="25"/>
    </row>
    <row r="261">
      <c r="D261" s="25"/>
      <c r="E261" s="25"/>
      <c r="F261" s="25"/>
      <c r="G261" s="25"/>
      <c r="H261" s="25"/>
    </row>
    <row r="262">
      <c r="D262" s="25"/>
      <c r="E262" s="25"/>
      <c r="F262" s="25"/>
      <c r="G262" s="25"/>
      <c r="H262" s="25"/>
    </row>
    <row r="263">
      <c r="D263" s="25"/>
      <c r="E263" s="25"/>
      <c r="F263" s="25"/>
      <c r="G263" s="25"/>
      <c r="H263" s="25"/>
    </row>
    <row r="264">
      <c r="D264" s="25"/>
      <c r="E264" s="25"/>
      <c r="F264" s="25"/>
      <c r="G264" s="25"/>
      <c r="H264" s="25"/>
    </row>
    <row r="265">
      <c r="D265" s="25"/>
      <c r="E265" s="25"/>
      <c r="F265" s="25"/>
      <c r="G265" s="25"/>
      <c r="H265" s="25"/>
    </row>
    <row r="266">
      <c r="D266" s="25"/>
      <c r="E266" s="25"/>
      <c r="F266" s="25"/>
      <c r="G266" s="25"/>
      <c r="H266" s="25"/>
    </row>
    <row r="267">
      <c r="D267" s="25"/>
      <c r="E267" s="25"/>
      <c r="F267" s="25"/>
      <c r="G267" s="25"/>
      <c r="H267" s="25"/>
    </row>
    <row r="268">
      <c r="D268" s="25"/>
      <c r="E268" s="25"/>
      <c r="F268" s="25"/>
      <c r="G268" s="25"/>
      <c r="H268" s="25"/>
    </row>
    <row r="269">
      <c r="D269" s="25"/>
      <c r="E269" s="25"/>
      <c r="F269" s="25"/>
      <c r="G269" s="25"/>
      <c r="H269" s="25"/>
    </row>
    <row r="270">
      <c r="D270" s="25"/>
      <c r="E270" s="25"/>
      <c r="F270" s="25"/>
      <c r="G270" s="25"/>
      <c r="H270" s="25"/>
    </row>
    <row r="271">
      <c r="D271" s="25"/>
      <c r="E271" s="25"/>
      <c r="F271" s="25"/>
      <c r="G271" s="25"/>
      <c r="H271" s="25"/>
    </row>
    <row r="272">
      <c r="D272" s="25"/>
      <c r="E272" s="25"/>
      <c r="F272" s="25"/>
      <c r="G272" s="25"/>
      <c r="H272" s="25"/>
    </row>
    <row r="273">
      <c r="D273" s="25"/>
      <c r="E273" s="25"/>
      <c r="F273" s="25"/>
      <c r="G273" s="25"/>
      <c r="H273" s="25"/>
    </row>
    <row r="274">
      <c r="D274" s="25"/>
      <c r="E274" s="25"/>
      <c r="F274" s="25"/>
      <c r="G274" s="25"/>
      <c r="H274" s="25"/>
    </row>
    <row r="275">
      <c r="D275" s="25"/>
      <c r="E275" s="25"/>
      <c r="F275" s="25"/>
      <c r="G275" s="25"/>
      <c r="H275" s="25"/>
    </row>
    <row r="276">
      <c r="D276" s="25"/>
      <c r="E276" s="25"/>
      <c r="F276" s="25"/>
      <c r="G276" s="25"/>
      <c r="H276" s="25"/>
    </row>
    <row r="277">
      <c r="D277" s="25"/>
      <c r="E277" s="25"/>
      <c r="F277" s="25"/>
      <c r="G277" s="25"/>
      <c r="H277" s="25"/>
    </row>
    <row r="278">
      <c r="D278" s="25"/>
      <c r="E278" s="25"/>
      <c r="F278" s="25"/>
      <c r="G278" s="25"/>
      <c r="H278" s="25"/>
    </row>
    <row r="279">
      <c r="D279" s="25"/>
      <c r="E279" s="25"/>
      <c r="F279" s="25"/>
      <c r="G279" s="25"/>
      <c r="H279" s="25"/>
    </row>
    <row r="280">
      <c r="D280" s="25"/>
      <c r="E280" s="25"/>
      <c r="F280" s="25"/>
      <c r="G280" s="25"/>
      <c r="H280" s="25"/>
    </row>
    <row r="281">
      <c r="D281" s="25"/>
      <c r="E281" s="25"/>
      <c r="F281" s="25"/>
      <c r="G281" s="25"/>
      <c r="H281" s="25"/>
    </row>
    <row r="282">
      <c r="D282" s="25"/>
      <c r="E282" s="25"/>
      <c r="F282" s="25"/>
      <c r="G282" s="25"/>
      <c r="H282" s="25"/>
    </row>
    <row r="283">
      <c r="D283" s="25"/>
      <c r="E283" s="25"/>
      <c r="F283" s="25"/>
      <c r="G283" s="25"/>
      <c r="H283" s="25"/>
    </row>
    <row r="284">
      <c r="D284" s="25"/>
      <c r="E284" s="25"/>
      <c r="F284" s="25"/>
      <c r="G284" s="25"/>
      <c r="H284" s="25"/>
    </row>
    <row r="285">
      <c r="D285" s="25"/>
      <c r="E285" s="25"/>
      <c r="F285" s="25"/>
      <c r="G285" s="25"/>
      <c r="H285" s="25"/>
    </row>
    <row r="286">
      <c r="D286" s="25"/>
      <c r="E286" s="25"/>
      <c r="F286" s="25"/>
      <c r="G286" s="25"/>
      <c r="H286" s="25"/>
    </row>
    <row r="287">
      <c r="D287" s="25"/>
      <c r="E287" s="25"/>
      <c r="F287" s="25"/>
      <c r="G287" s="25"/>
      <c r="H287" s="25"/>
    </row>
    <row r="288">
      <c r="D288" s="25"/>
      <c r="E288" s="25"/>
      <c r="F288" s="25"/>
      <c r="G288" s="25"/>
      <c r="H288" s="25"/>
    </row>
    <row r="289">
      <c r="D289" s="25"/>
      <c r="E289" s="25"/>
      <c r="F289" s="25"/>
      <c r="G289" s="25"/>
      <c r="H289" s="25"/>
    </row>
    <row r="290">
      <c r="D290" s="25"/>
      <c r="E290" s="25"/>
      <c r="F290" s="25"/>
      <c r="G290" s="25"/>
      <c r="H290" s="25"/>
    </row>
    <row r="291">
      <c r="D291" s="25"/>
      <c r="E291" s="25"/>
      <c r="F291" s="25"/>
      <c r="G291" s="25"/>
      <c r="H291" s="25"/>
    </row>
    <row r="292">
      <c r="D292" s="25"/>
      <c r="E292" s="25"/>
      <c r="F292" s="25"/>
      <c r="G292" s="25"/>
      <c r="H292" s="25"/>
    </row>
    <row r="293">
      <c r="D293" s="25"/>
      <c r="E293" s="25"/>
      <c r="F293" s="25"/>
      <c r="G293" s="25"/>
      <c r="H293" s="25"/>
    </row>
    <row r="294">
      <c r="D294" s="25"/>
      <c r="E294" s="25"/>
      <c r="F294" s="25"/>
      <c r="G294" s="25"/>
      <c r="H294" s="25"/>
    </row>
    <row r="295">
      <c r="D295" s="25"/>
      <c r="E295" s="25"/>
      <c r="F295" s="25"/>
      <c r="G295" s="25"/>
      <c r="H295" s="25"/>
    </row>
    <row r="296">
      <c r="D296" s="25"/>
      <c r="E296" s="25"/>
      <c r="F296" s="25"/>
      <c r="G296" s="25"/>
      <c r="H296" s="25"/>
    </row>
    <row r="297">
      <c r="D297" s="25"/>
      <c r="E297" s="25"/>
      <c r="F297" s="25"/>
      <c r="G297" s="25"/>
      <c r="H297" s="25"/>
    </row>
    <row r="298">
      <c r="D298" s="25"/>
      <c r="E298" s="25"/>
      <c r="F298" s="25"/>
      <c r="G298" s="25"/>
      <c r="H298" s="25"/>
    </row>
    <row r="299">
      <c r="D299" s="25"/>
      <c r="E299" s="25"/>
      <c r="F299" s="25"/>
      <c r="G299" s="25"/>
      <c r="H299" s="25"/>
    </row>
    <row r="300">
      <c r="D300" s="25"/>
      <c r="E300" s="25"/>
      <c r="F300" s="25"/>
      <c r="G300" s="25"/>
      <c r="H300" s="25"/>
    </row>
    <row r="301">
      <c r="D301" s="25"/>
      <c r="E301" s="25"/>
      <c r="F301" s="25"/>
      <c r="G301" s="25"/>
      <c r="H301" s="25"/>
    </row>
    <row r="302">
      <c r="D302" s="25"/>
      <c r="E302" s="25"/>
      <c r="F302" s="25"/>
      <c r="G302" s="25"/>
      <c r="H302" s="25"/>
    </row>
    <row r="303">
      <c r="D303" s="25"/>
      <c r="E303" s="25"/>
      <c r="F303" s="25"/>
      <c r="G303" s="25"/>
      <c r="H303" s="25"/>
    </row>
    <row r="304">
      <c r="D304" s="25"/>
      <c r="E304" s="25"/>
      <c r="F304" s="25"/>
      <c r="G304" s="25"/>
      <c r="H304" s="25"/>
    </row>
    <row r="305">
      <c r="D305" s="25"/>
      <c r="E305" s="25"/>
      <c r="F305" s="25"/>
      <c r="G305" s="25"/>
      <c r="H305" s="25"/>
    </row>
    <row r="306">
      <c r="D306" s="25"/>
      <c r="E306" s="25"/>
      <c r="F306" s="25"/>
      <c r="G306" s="25"/>
      <c r="H306" s="25"/>
    </row>
    <row r="307">
      <c r="D307" s="25"/>
      <c r="E307" s="25"/>
      <c r="F307" s="25"/>
      <c r="G307" s="25"/>
      <c r="H307" s="25"/>
    </row>
    <row r="308">
      <c r="D308" s="25"/>
      <c r="E308" s="25"/>
      <c r="F308" s="25"/>
      <c r="G308" s="25"/>
      <c r="H308" s="25"/>
    </row>
    <row r="309">
      <c r="D309" s="25"/>
      <c r="E309" s="25"/>
      <c r="F309" s="25"/>
      <c r="G309" s="25"/>
      <c r="H309" s="25"/>
    </row>
    <row r="310">
      <c r="D310" s="25"/>
      <c r="E310" s="25"/>
      <c r="F310" s="25"/>
      <c r="G310" s="25"/>
      <c r="H310" s="25"/>
    </row>
    <row r="311">
      <c r="D311" s="25"/>
      <c r="E311" s="25"/>
      <c r="F311" s="25"/>
      <c r="G311" s="25"/>
      <c r="H311" s="25"/>
    </row>
    <row r="312">
      <c r="D312" s="25"/>
      <c r="E312" s="25"/>
      <c r="F312" s="25"/>
      <c r="G312" s="25"/>
      <c r="H312" s="25"/>
    </row>
    <row r="313">
      <c r="D313" s="25"/>
      <c r="E313" s="25"/>
      <c r="F313" s="25"/>
      <c r="G313" s="25"/>
      <c r="H313" s="25"/>
    </row>
    <row r="314">
      <c r="D314" s="25"/>
      <c r="E314" s="25"/>
      <c r="F314" s="25"/>
      <c r="G314" s="25"/>
      <c r="H314" s="25"/>
    </row>
    <row r="315">
      <c r="D315" s="25"/>
      <c r="E315" s="25"/>
      <c r="F315" s="25"/>
      <c r="G315" s="25"/>
      <c r="H315" s="25"/>
    </row>
    <row r="316">
      <c r="D316" s="25"/>
      <c r="E316" s="25"/>
      <c r="F316" s="25"/>
      <c r="G316" s="25"/>
      <c r="H316" s="25"/>
    </row>
    <row r="317">
      <c r="D317" s="25"/>
      <c r="E317" s="25"/>
      <c r="F317" s="25"/>
      <c r="G317" s="25"/>
      <c r="H317" s="25"/>
    </row>
    <row r="318">
      <c r="D318" s="25"/>
      <c r="E318" s="25"/>
      <c r="F318" s="25"/>
      <c r="G318" s="25"/>
      <c r="H318" s="25"/>
    </row>
    <row r="319">
      <c r="D319" s="25"/>
      <c r="E319" s="25"/>
      <c r="F319" s="25"/>
      <c r="G319" s="25"/>
      <c r="H319" s="25"/>
    </row>
    <row r="320">
      <c r="D320" s="25"/>
      <c r="E320" s="25"/>
      <c r="F320" s="25"/>
      <c r="G320" s="25"/>
      <c r="H320" s="25"/>
    </row>
    <row r="321">
      <c r="D321" s="25"/>
      <c r="E321" s="25"/>
      <c r="F321" s="25"/>
      <c r="G321" s="25"/>
      <c r="H321" s="25"/>
    </row>
    <row r="322">
      <c r="D322" s="25"/>
      <c r="E322" s="25"/>
      <c r="F322" s="25"/>
      <c r="G322" s="25"/>
      <c r="H322" s="25"/>
    </row>
    <row r="323">
      <c r="D323" s="25"/>
      <c r="E323" s="25"/>
      <c r="F323" s="25"/>
      <c r="G323" s="25"/>
      <c r="H323" s="25"/>
    </row>
    <row r="324">
      <c r="D324" s="25"/>
      <c r="E324" s="25"/>
      <c r="F324" s="25"/>
      <c r="G324" s="25"/>
      <c r="H324" s="25"/>
    </row>
    <row r="325">
      <c r="D325" s="25"/>
      <c r="E325" s="25"/>
      <c r="F325" s="25"/>
      <c r="G325" s="25"/>
      <c r="H325" s="25"/>
    </row>
    <row r="326">
      <c r="D326" s="25"/>
      <c r="E326" s="25"/>
      <c r="F326" s="25"/>
      <c r="G326" s="25"/>
      <c r="H326" s="25"/>
    </row>
    <row r="327">
      <c r="D327" s="25"/>
      <c r="E327" s="25"/>
      <c r="F327" s="25"/>
      <c r="G327" s="25"/>
      <c r="H327" s="25"/>
    </row>
    <row r="328">
      <c r="D328" s="25"/>
      <c r="E328" s="25"/>
      <c r="F328" s="25"/>
      <c r="G328" s="25"/>
      <c r="H328" s="25"/>
    </row>
    <row r="329">
      <c r="D329" s="25"/>
      <c r="E329" s="25"/>
      <c r="F329" s="25"/>
      <c r="G329" s="25"/>
      <c r="H329" s="25"/>
    </row>
    <row r="330">
      <c r="D330" s="25"/>
      <c r="E330" s="25"/>
      <c r="F330" s="25"/>
      <c r="G330" s="25"/>
      <c r="H330" s="25"/>
    </row>
    <row r="331">
      <c r="D331" s="25"/>
      <c r="E331" s="25"/>
      <c r="F331" s="25"/>
      <c r="G331" s="25"/>
      <c r="H331" s="25"/>
    </row>
    <row r="332">
      <c r="D332" s="25"/>
      <c r="E332" s="25"/>
      <c r="F332" s="25"/>
      <c r="G332" s="25"/>
      <c r="H332" s="25"/>
    </row>
    <row r="333">
      <c r="D333" s="25"/>
      <c r="E333" s="25"/>
      <c r="F333" s="25"/>
      <c r="G333" s="25"/>
      <c r="H333" s="25"/>
    </row>
    <row r="334">
      <c r="D334" s="25"/>
      <c r="E334" s="25"/>
      <c r="F334" s="25"/>
      <c r="G334" s="25"/>
      <c r="H334" s="25"/>
    </row>
    <row r="335">
      <c r="D335" s="25"/>
      <c r="E335" s="25"/>
      <c r="F335" s="25"/>
      <c r="G335" s="25"/>
      <c r="H335" s="25"/>
    </row>
    <row r="336">
      <c r="D336" s="25"/>
      <c r="E336" s="25"/>
      <c r="F336" s="25"/>
      <c r="G336" s="25"/>
      <c r="H336" s="25"/>
    </row>
    <row r="337">
      <c r="D337" s="25"/>
      <c r="E337" s="25"/>
      <c r="F337" s="25"/>
      <c r="G337" s="25"/>
      <c r="H337" s="25"/>
    </row>
    <row r="338">
      <c r="D338" s="25"/>
      <c r="E338" s="25"/>
      <c r="F338" s="25"/>
      <c r="G338" s="25"/>
      <c r="H338" s="25"/>
    </row>
    <row r="339">
      <c r="D339" s="25"/>
      <c r="E339" s="25"/>
      <c r="F339" s="25"/>
      <c r="G339" s="25"/>
      <c r="H339" s="25"/>
    </row>
    <row r="340">
      <c r="D340" s="25"/>
      <c r="E340" s="25"/>
      <c r="F340" s="25"/>
      <c r="G340" s="25"/>
      <c r="H340" s="25"/>
    </row>
    <row r="341">
      <c r="D341" s="25"/>
      <c r="E341" s="25"/>
      <c r="F341" s="25"/>
      <c r="G341" s="25"/>
      <c r="H341" s="25"/>
    </row>
    <row r="342">
      <c r="D342" s="25"/>
      <c r="E342" s="25"/>
      <c r="F342" s="25"/>
      <c r="G342" s="25"/>
      <c r="H342" s="25"/>
    </row>
    <row r="343">
      <c r="D343" s="25"/>
      <c r="E343" s="25"/>
      <c r="F343" s="25"/>
      <c r="G343" s="25"/>
      <c r="H343" s="25"/>
    </row>
    <row r="344">
      <c r="D344" s="25"/>
      <c r="E344" s="25"/>
      <c r="F344" s="25"/>
      <c r="G344" s="25"/>
      <c r="H344" s="25"/>
    </row>
    <row r="345">
      <c r="D345" s="25"/>
      <c r="E345" s="25"/>
      <c r="F345" s="25"/>
      <c r="G345" s="25"/>
      <c r="H345" s="25"/>
    </row>
    <row r="346">
      <c r="D346" s="25"/>
      <c r="E346" s="25"/>
      <c r="F346" s="25"/>
      <c r="G346" s="25"/>
      <c r="H346" s="25"/>
    </row>
    <row r="347">
      <c r="D347" s="25"/>
      <c r="E347" s="25"/>
      <c r="F347" s="25"/>
      <c r="G347" s="25"/>
      <c r="H347" s="25"/>
    </row>
    <row r="348">
      <c r="D348" s="25"/>
      <c r="E348" s="25"/>
      <c r="F348" s="25"/>
      <c r="G348" s="25"/>
      <c r="H348" s="25"/>
    </row>
    <row r="349">
      <c r="D349" s="25"/>
      <c r="E349" s="25"/>
      <c r="F349" s="25"/>
      <c r="G349" s="25"/>
      <c r="H349" s="25"/>
    </row>
    <row r="350">
      <c r="D350" s="25"/>
      <c r="E350" s="25"/>
      <c r="F350" s="25"/>
      <c r="G350" s="25"/>
      <c r="H350" s="25"/>
    </row>
    <row r="351">
      <c r="D351" s="25"/>
      <c r="E351" s="25"/>
      <c r="F351" s="25"/>
      <c r="G351" s="25"/>
      <c r="H351" s="25"/>
    </row>
    <row r="352">
      <c r="D352" s="25"/>
      <c r="E352" s="25"/>
      <c r="F352" s="25"/>
      <c r="G352" s="25"/>
      <c r="H352" s="25"/>
    </row>
    <row r="353">
      <c r="D353" s="25"/>
      <c r="E353" s="25"/>
      <c r="F353" s="25"/>
      <c r="G353" s="25"/>
      <c r="H353" s="25"/>
    </row>
    <row r="354">
      <c r="D354" s="25"/>
      <c r="E354" s="25"/>
      <c r="F354" s="25"/>
      <c r="G354" s="25"/>
      <c r="H354" s="25"/>
    </row>
    <row r="355">
      <c r="D355" s="25"/>
      <c r="E355" s="25"/>
      <c r="F355" s="25"/>
      <c r="G355" s="25"/>
      <c r="H355" s="25"/>
    </row>
    <row r="356">
      <c r="D356" s="25"/>
      <c r="E356" s="25"/>
      <c r="F356" s="25"/>
      <c r="G356" s="25"/>
      <c r="H356" s="25"/>
    </row>
    <row r="357">
      <c r="D357" s="25"/>
      <c r="E357" s="25"/>
      <c r="F357" s="25"/>
      <c r="G357" s="25"/>
      <c r="H357" s="25"/>
    </row>
    <row r="358">
      <c r="D358" s="25"/>
      <c r="E358" s="25"/>
      <c r="F358" s="25"/>
      <c r="G358" s="25"/>
      <c r="H358" s="25"/>
    </row>
    <row r="359">
      <c r="D359" s="25"/>
      <c r="E359" s="25"/>
      <c r="F359" s="25"/>
      <c r="G359" s="25"/>
      <c r="H359" s="25"/>
    </row>
    <row r="360">
      <c r="D360" s="25"/>
      <c r="E360" s="25"/>
      <c r="F360" s="25"/>
      <c r="G360" s="25"/>
      <c r="H360" s="25"/>
    </row>
    <row r="361">
      <c r="D361" s="25"/>
      <c r="E361" s="25"/>
      <c r="F361" s="25"/>
      <c r="G361" s="25"/>
      <c r="H361" s="25"/>
    </row>
    <row r="362">
      <c r="D362" s="25"/>
      <c r="E362" s="25"/>
      <c r="F362" s="25"/>
      <c r="G362" s="25"/>
      <c r="H362" s="25"/>
    </row>
    <row r="363">
      <c r="D363" s="25"/>
      <c r="E363" s="25"/>
      <c r="F363" s="25"/>
      <c r="G363" s="25"/>
      <c r="H363" s="25"/>
    </row>
    <row r="364">
      <c r="D364" s="25"/>
      <c r="E364" s="25"/>
      <c r="F364" s="25"/>
      <c r="G364" s="25"/>
      <c r="H364" s="25"/>
    </row>
    <row r="365">
      <c r="D365" s="25"/>
      <c r="E365" s="25"/>
      <c r="F365" s="25"/>
      <c r="G365" s="25"/>
      <c r="H365" s="25"/>
    </row>
    <row r="366">
      <c r="D366" s="25"/>
      <c r="E366" s="25"/>
      <c r="F366" s="25"/>
      <c r="G366" s="25"/>
      <c r="H366" s="25"/>
    </row>
    <row r="367">
      <c r="D367" s="25"/>
      <c r="E367" s="25"/>
      <c r="F367" s="25"/>
      <c r="G367" s="25"/>
      <c r="H367" s="25"/>
    </row>
    <row r="368">
      <c r="D368" s="25"/>
      <c r="E368" s="25"/>
      <c r="F368" s="25"/>
      <c r="G368" s="25"/>
      <c r="H368" s="25"/>
    </row>
    <row r="369">
      <c r="D369" s="25"/>
      <c r="E369" s="25"/>
      <c r="F369" s="25"/>
      <c r="G369" s="25"/>
      <c r="H369" s="25"/>
    </row>
    <row r="370">
      <c r="D370" s="25"/>
      <c r="E370" s="25"/>
      <c r="F370" s="25"/>
      <c r="G370" s="25"/>
      <c r="H370" s="25"/>
    </row>
    <row r="371">
      <c r="D371" s="25"/>
      <c r="E371" s="25"/>
      <c r="F371" s="25"/>
      <c r="G371" s="25"/>
      <c r="H371" s="25"/>
    </row>
    <row r="372">
      <c r="D372" s="25"/>
      <c r="E372" s="25"/>
      <c r="F372" s="25"/>
      <c r="G372" s="25"/>
      <c r="H372" s="25"/>
    </row>
    <row r="373">
      <c r="D373" s="25"/>
      <c r="E373" s="25"/>
      <c r="F373" s="25"/>
      <c r="G373" s="25"/>
      <c r="H373" s="25"/>
    </row>
    <row r="374">
      <c r="D374" s="25"/>
      <c r="E374" s="25"/>
      <c r="F374" s="25"/>
      <c r="G374" s="25"/>
      <c r="H374" s="25"/>
    </row>
    <row r="375">
      <c r="D375" s="25"/>
      <c r="E375" s="25"/>
      <c r="F375" s="25"/>
      <c r="G375" s="25"/>
      <c r="H375" s="25"/>
    </row>
    <row r="376">
      <c r="D376" s="25"/>
      <c r="E376" s="25"/>
      <c r="F376" s="25"/>
      <c r="G376" s="25"/>
      <c r="H376" s="25"/>
    </row>
    <row r="377">
      <c r="D377" s="25"/>
      <c r="E377" s="25"/>
      <c r="F377" s="25"/>
      <c r="G377" s="25"/>
      <c r="H377" s="25"/>
    </row>
    <row r="378">
      <c r="D378" s="25"/>
      <c r="E378" s="25"/>
      <c r="F378" s="25"/>
      <c r="G378" s="25"/>
      <c r="H378" s="25"/>
    </row>
    <row r="379">
      <c r="D379" s="25"/>
      <c r="E379" s="25"/>
      <c r="F379" s="25"/>
      <c r="G379" s="25"/>
      <c r="H379" s="25"/>
    </row>
    <row r="380">
      <c r="D380" s="25"/>
      <c r="E380" s="25"/>
      <c r="F380" s="25"/>
      <c r="G380" s="25"/>
      <c r="H380" s="25"/>
    </row>
    <row r="381">
      <c r="D381" s="25"/>
      <c r="E381" s="25"/>
      <c r="F381" s="25"/>
      <c r="G381" s="25"/>
      <c r="H381" s="25"/>
    </row>
    <row r="382">
      <c r="D382" s="25"/>
      <c r="E382" s="25"/>
      <c r="F382" s="25"/>
      <c r="G382" s="25"/>
      <c r="H382" s="25"/>
    </row>
    <row r="383">
      <c r="D383" s="25"/>
      <c r="E383" s="25"/>
      <c r="F383" s="25"/>
      <c r="G383" s="25"/>
      <c r="H383" s="25"/>
    </row>
    <row r="384">
      <c r="D384" s="25"/>
      <c r="E384" s="25"/>
      <c r="F384" s="25"/>
      <c r="G384" s="25"/>
      <c r="H384" s="25"/>
    </row>
    <row r="385">
      <c r="D385" s="25"/>
      <c r="E385" s="25"/>
      <c r="F385" s="25"/>
      <c r="G385" s="25"/>
      <c r="H385" s="25"/>
    </row>
    <row r="386">
      <c r="D386" s="25"/>
      <c r="E386" s="25"/>
      <c r="F386" s="25"/>
      <c r="G386" s="25"/>
      <c r="H386" s="25"/>
    </row>
    <row r="387">
      <c r="D387" s="25"/>
      <c r="E387" s="25"/>
      <c r="F387" s="25"/>
      <c r="G387" s="25"/>
      <c r="H387" s="25"/>
    </row>
    <row r="388">
      <c r="D388" s="25"/>
      <c r="E388" s="25"/>
      <c r="F388" s="25"/>
      <c r="G388" s="25"/>
      <c r="H388" s="25"/>
    </row>
    <row r="389">
      <c r="D389" s="25"/>
      <c r="E389" s="25"/>
      <c r="F389" s="25"/>
      <c r="G389" s="25"/>
      <c r="H389" s="25"/>
    </row>
    <row r="390">
      <c r="D390" s="25"/>
      <c r="E390" s="25"/>
      <c r="F390" s="25"/>
      <c r="G390" s="25"/>
      <c r="H390" s="25"/>
    </row>
    <row r="391">
      <c r="D391" s="25"/>
      <c r="E391" s="25"/>
      <c r="F391" s="25"/>
      <c r="G391" s="25"/>
      <c r="H391" s="25"/>
    </row>
    <row r="392">
      <c r="D392" s="25"/>
      <c r="E392" s="25"/>
      <c r="F392" s="25"/>
      <c r="G392" s="25"/>
      <c r="H392" s="25"/>
    </row>
    <row r="393">
      <c r="D393" s="25"/>
      <c r="E393" s="25"/>
      <c r="F393" s="25"/>
      <c r="G393" s="25"/>
      <c r="H393" s="25"/>
    </row>
    <row r="394">
      <c r="D394" s="25"/>
      <c r="E394" s="25"/>
      <c r="F394" s="25"/>
      <c r="G394" s="25"/>
      <c r="H394" s="25"/>
    </row>
    <row r="395">
      <c r="D395" s="25"/>
      <c r="E395" s="25"/>
      <c r="F395" s="25"/>
      <c r="G395" s="25"/>
      <c r="H395" s="25"/>
    </row>
    <row r="396">
      <c r="D396" s="25"/>
      <c r="E396" s="25"/>
      <c r="F396" s="25"/>
      <c r="G396" s="25"/>
      <c r="H396" s="25"/>
    </row>
    <row r="397">
      <c r="D397" s="25"/>
      <c r="E397" s="25"/>
      <c r="F397" s="25"/>
      <c r="G397" s="25"/>
      <c r="H397" s="25"/>
    </row>
    <row r="398">
      <c r="D398" s="25"/>
      <c r="E398" s="25"/>
      <c r="F398" s="25"/>
      <c r="G398" s="25"/>
      <c r="H398" s="25"/>
    </row>
    <row r="399">
      <c r="D399" s="25"/>
      <c r="E399" s="25"/>
      <c r="F399" s="25"/>
      <c r="G399" s="25"/>
      <c r="H399" s="25"/>
    </row>
    <row r="400">
      <c r="D400" s="25"/>
      <c r="E400" s="25"/>
      <c r="F400" s="25"/>
      <c r="G400" s="25"/>
      <c r="H400" s="25"/>
    </row>
    <row r="401">
      <c r="D401" s="25"/>
      <c r="E401" s="25"/>
      <c r="F401" s="25"/>
      <c r="G401" s="25"/>
      <c r="H401" s="25"/>
    </row>
    <row r="402">
      <c r="D402" s="25"/>
      <c r="E402" s="25"/>
      <c r="F402" s="25"/>
      <c r="G402" s="25"/>
      <c r="H402" s="25"/>
    </row>
    <row r="403">
      <c r="D403" s="25"/>
      <c r="E403" s="25"/>
      <c r="F403" s="25"/>
      <c r="G403" s="25"/>
      <c r="H403" s="25"/>
    </row>
    <row r="404">
      <c r="D404" s="25"/>
      <c r="E404" s="25"/>
      <c r="F404" s="25"/>
      <c r="G404" s="25"/>
      <c r="H404" s="25"/>
    </row>
    <row r="405">
      <c r="D405" s="25"/>
      <c r="E405" s="25"/>
      <c r="F405" s="25"/>
      <c r="G405" s="25"/>
      <c r="H405" s="25"/>
    </row>
    <row r="406">
      <c r="D406" s="25"/>
      <c r="E406" s="25"/>
      <c r="F406" s="25"/>
      <c r="G406" s="25"/>
      <c r="H406" s="25"/>
    </row>
    <row r="407">
      <c r="D407" s="25"/>
      <c r="E407" s="25"/>
      <c r="F407" s="25"/>
      <c r="G407" s="25"/>
      <c r="H407" s="25"/>
    </row>
    <row r="408">
      <c r="D408" s="25"/>
      <c r="E408" s="25"/>
      <c r="F408" s="25"/>
      <c r="G408" s="25"/>
      <c r="H408" s="25"/>
    </row>
    <row r="409">
      <c r="D409" s="25"/>
      <c r="E409" s="25"/>
      <c r="F409" s="25"/>
      <c r="G409" s="25"/>
      <c r="H409" s="25"/>
    </row>
    <row r="410">
      <c r="D410" s="25"/>
      <c r="E410" s="25"/>
      <c r="F410" s="25"/>
      <c r="G410" s="25"/>
      <c r="H410" s="25"/>
    </row>
    <row r="411">
      <c r="D411" s="25"/>
      <c r="E411" s="25"/>
      <c r="F411" s="25"/>
      <c r="G411" s="25"/>
      <c r="H411" s="25"/>
    </row>
    <row r="412">
      <c r="D412" s="25"/>
      <c r="E412" s="25"/>
      <c r="F412" s="25"/>
      <c r="G412" s="25"/>
      <c r="H412" s="25"/>
    </row>
    <row r="413">
      <c r="D413" s="25"/>
      <c r="E413" s="25"/>
      <c r="F413" s="25"/>
      <c r="G413" s="25"/>
      <c r="H413" s="25"/>
    </row>
    <row r="414">
      <c r="D414" s="25"/>
      <c r="E414" s="25"/>
      <c r="F414" s="25"/>
      <c r="G414" s="25"/>
      <c r="H414" s="25"/>
    </row>
    <row r="415">
      <c r="D415" s="25"/>
      <c r="E415" s="25"/>
      <c r="F415" s="25"/>
      <c r="G415" s="25"/>
      <c r="H415" s="25"/>
    </row>
    <row r="416">
      <c r="D416" s="25"/>
      <c r="E416" s="25"/>
      <c r="F416" s="25"/>
      <c r="G416" s="25"/>
      <c r="H416" s="25"/>
    </row>
    <row r="417">
      <c r="D417" s="25"/>
      <c r="E417" s="25"/>
      <c r="F417" s="25"/>
      <c r="G417" s="25"/>
      <c r="H417" s="25"/>
    </row>
    <row r="418">
      <c r="D418" s="25"/>
      <c r="E418" s="25"/>
      <c r="F418" s="25"/>
      <c r="G418" s="25"/>
      <c r="H418" s="25"/>
    </row>
    <row r="419">
      <c r="D419" s="25"/>
      <c r="E419" s="25"/>
      <c r="F419" s="25"/>
      <c r="G419" s="25"/>
      <c r="H419" s="25"/>
    </row>
    <row r="420">
      <c r="D420" s="25"/>
      <c r="E420" s="25"/>
      <c r="F420" s="25"/>
      <c r="G420" s="25"/>
      <c r="H420" s="25"/>
    </row>
    <row r="421">
      <c r="D421" s="25"/>
      <c r="E421" s="25"/>
      <c r="F421" s="25"/>
      <c r="G421" s="25"/>
      <c r="H421" s="25"/>
    </row>
    <row r="422">
      <c r="D422" s="25"/>
      <c r="E422" s="25"/>
      <c r="F422" s="25"/>
      <c r="G422" s="25"/>
      <c r="H422" s="25"/>
    </row>
    <row r="423">
      <c r="D423" s="25"/>
      <c r="E423" s="25"/>
      <c r="F423" s="25"/>
      <c r="G423" s="25"/>
      <c r="H423" s="25"/>
    </row>
    <row r="424">
      <c r="D424" s="25"/>
      <c r="E424" s="25"/>
      <c r="F424" s="25"/>
      <c r="G424" s="25"/>
      <c r="H424" s="25"/>
    </row>
    <row r="425">
      <c r="D425" s="25"/>
      <c r="E425" s="25"/>
      <c r="F425" s="25"/>
      <c r="G425" s="25"/>
      <c r="H425" s="25"/>
    </row>
    <row r="426">
      <c r="D426" s="25"/>
      <c r="E426" s="25"/>
      <c r="F426" s="25"/>
      <c r="G426" s="25"/>
      <c r="H426" s="25"/>
    </row>
    <row r="427">
      <c r="D427" s="25"/>
      <c r="E427" s="25"/>
      <c r="F427" s="25"/>
      <c r="G427" s="25"/>
      <c r="H427" s="25"/>
    </row>
    <row r="428">
      <c r="D428" s="25"/>
      <c r="E428" s="25"/>
      <c r="F428" s="25"/>
      <c r="G428" s="25"/>
      <c r="H428" s="25"/>
    </row>
    <row r="429">
      <c r="D429" s="25"/>
      <c r="E429" s="25"/>
      <c r="F429" s="25"/>
      <c r="G429" s="25"/>
      <c r="H429" s="25"/>
    </row>
    <row r="430">
      <c r="D430" s="25"/>
      <c r="E430" s="25"/>
      <c r="F430" s="25"/>
      <c r="G430" s="25"/>
      <c r="H430" s="25"/>
    </row>
    <row r="431">
      <c r="D431" s="25"/>
      <c r="E431" s="25"/>
      <c r="F431" s="25"/>
      <c r="G431" s="25"/>
      <c r="H431" s="25"/>
    </row>
    <row r="432">
      <c r="D432" s="25"/>
      <c r="E432" s="25"/>
      <c r="F432" s="25"/>
      <c r="G432" s="25"/>
      <c r="H432" s="25"/>
    </row>
    <row r="433">
      <c r="D433" s="25"/>
      <c r="E433" s="25"/>
      <c r="F433" s="25"/>
      <c r="G433" s="25"/>
      <c r="H433" s="25"/>
    </row>
    <row r="434">
      <c r="D434" s="25"/>
      <c r="E434" s="25"/>
      <c r="F434" s="25"/>
      <c r="G434" s="25"/>
      <c r="H434" s="25"/>
    </row>
    <row r="435">
      <c r="D435" s="25"/>
      <c r="E435" s="25"/>
      <c r="F435" s="25"/>
      <c r="G435" s="25"/>
      <c r="H435" s="25"/>
    </row>
    <row r="436">
      <c r="D436" s="25"/>
      <c r="E436" s="25"/>
      <c r="F436" s="25"/>
      <c r="G436" s="25"/>
      <c r="H436" s="25"/>
    </row>
    <row r="437">
      <c r="D437" s="25"/>
      <c r="E437" s="25"/>
      <c r="F437" s="25"/>
      <c r="G437" s="25"/>
      <c r="H437" s="25"/>
    </row>
    <row r="438">
      <c r="D438" s="25"/>
      <c r="E438" s="25"/>
      <c r="F438" s="25"/>
      <c r="G438" s="25"/>
      <c r="H438" s="25"/>
    </row>
    <row r="439">
      <c r="D439" s="25"/>
      <c r="E439" s="25"/>
      <c r="F439" s="25"/>
      <c r="G439" s="25"/>
      <c r="H439" s="25"/>
    </row>
    <row r="440">
      <c r="D440" s="25"/>
      <c r="E440" s="25"/>
      <c r="F440" s="25"/>
      <c r="G440" s="25"/>
      <c r="H440" s="25"/>
    </row>
    <row r="441">
      <c r="D441" s="25"/>
      <c r="E441" s="25"/>
      <c r="F441" s="25"/>
      <c r="G441" s="25"/>
      <c r="H441" s="25"/>
    </row>
    <row r="442">
      <c r="D442" s="25"/>
      <c r="E442" s="25"/>
      <c r="F442" s="25"/>
      <c r="G442" s="25"/>
      <c r="H442" s="25"/>
    </row>
    <row r="443">
      <c r="D443" s="25"/>
      <c r="E443" s="25"/>
      <c r="F443" s="25"/>
      <c r="G443" s="25"/>
      <c r="H443" s="25"/>
    </row>
    <row r="444">
      <c r="D444" s="25"/>
      <c r="E444" s="25"/>
      <c r="F444" s="25"/>
      <c r="G444" s="25"/>
      <c r="H444" s="25"/>
    </row>
    <row r="445">
      <c r="D445" s="25"/>
      <c r="E445" s="25"/>
      <c r="F445" s="25"/>
      <c r="G445" s="25"/>
      <c r="H445" s="25"/>
    </row>
    <row r="446">
      <c r="D446" s="25"/>
      <c r="E446" s="25"/>
      <c r="F446" s="25"/>
      <c r="G446" s="25"/>
      <c r="H446" s="25"/>
    </row>
    <row r="447">
      <c r="D447" s="25"/>
      <c r="E447" s="25"/>
      <c r="F447" s="25"/>
      <c r="G447" s="25"/>
      <c r="H447" s="25"/>
    </row>
    <row r="448">
      <c r="D448" s="25"/>
      <c r="E448" s="25"/>
      <c r="F448" s="25"/>
      <c r="G448" s="25"/>
      <c r="H448" s="25"/>
    </row>
    <row r="449">
      <c r="D449" s="25"/>
      <c r="E449" s="25"/>
      <c r="F449" s="25"/>
      <c r="G449" s="25"/>
      <c r="H449" s="25"/>
    </row>
    <row r="450">
      <c r="D450" s="25"/>
      <c r="E450" s="25"/>
      <c r="F450" s="25"/>
      <c r="G450" s="25"/>
      <c r="H450" s="25"/>
    </row>
    <row r="451">
      <c r="D451" s="25"/>
      <c r="E451" s="25"/>
      <c r="F451" s="25"/>
      <c r="G451" s="25"/>
      <c r="H451" s="25"/>
    </row>
    <row r="452">
      <c r="D452" s="25"/>
      <c r="E452" s="25"/>
      <c r="F452" s="25"/>
      <c r="G452" s="25"/>
      <c r="H452" s="25"/>
    </row>
    <row r="453">
      <c r="D453" s="25"/>
      <c r="E453" s="25"/>
      <c r="F453" s="25"/>
      <c r="G453" s="25"/>
      <c r="H453" s="25"/>
    </row>
    <row r="454">
      <c r="D454" s="25"/>
      <c r="E454" s="25"/>
      <c r="F454" s="25"/>
      <c r="G454" s="25"/>
      <c r="H454" s="25"/>
    </row>
    <row r="455">
      <c r="D455" s="25"/>
      <c r="E455" s="25"/>
      <c r="F455" s="25"/>
      <c r="G455" s="25"/>
      <c r="H455" s="25"/>
    </row>
    <row r="456">
      <c r="D456" s="25"/>
      <c r="E456" s="25"/>
      <c r="F456" s="25"/>
      <c r="G456" s="25"/>
      <c r="H456" s="25"/>
    </row>
    <row r="457">
      <c r="D457" s="25"/>
      <c r="E457" s="25"/>
      <c r="F457" s="25"/>
      <c r="G457" s="25"/>
      <c r="H457" s="25"/>
    </row>
    <row r="458">
      <c r="D458" s="25"/>
      <c r="E458" s="25"/>
      <c r="F458" s="25"/>
      <c r="G458" s="25"/>
      <c r="H458" s="25"/>
    </row>
    <row r="459">
      <c r="D459" s="25"/>
      <c r="E459" s="25"/>
      <c r="F459" s="25"/>
      <c r="G459" s="25"/>
      <c r="H459" s="25"/>
    </row>
    <row r="460">
      <c r="D460" s="25"/>
      <c r="E460" s="25"/>
      <c r="F460" s="25"/>
      <c r="G460" s="25"/>
      <c r="H460" s="25"/>
    </row>
    <row r="461">
      <c r="D461" s="25"/>
      <c r="E461" s="25"/>
      <c r="F461" s="25"/>
      <c r="G461" s="25"/>
      <c r="H461" s="25"/>
    </row>
    <row r="462">
      <c r="D462" s="25"/>
      <c r="E462" s="25"/>
      <c r="F462" s="25"/>
      <c r="G462" s="25"/>
      <c r="H462" s="25"/>
    </row>
    <row r="463">
      <c r="D463" s="25"/>
      <c r="E463" s="25"/>
      <c r="F463" s="25"/>
      <c r="G463" s="25"/>
      <c r="H463" s="25"/>
    </row>
    <row r="464">
      <c r="D464" s="25"/>
      <c r="E464" s="25"/>
      <c r="F464" s="25"/>
      <c r="G464" s="25"/>
      <c r="H464" s="25"/>
    </row>
    <row r="465">
      <c r="D465" s="25"/>
      <c r="E465" s="25"/>
      <c r="F465" s="25"/>
      <c r="G465" s="25"/>
      <c r="H465" s="25"/>
    </row>
    <row r="466">
      <c r="D466" s="25"/>
      <c r="E466" s="25"/>
      <c r="F466" s="25"/>
      <c r="G466" s="25"/>
      <c r="H466" s="25"/>
    </row>
    <row r="467">
      <c r="D467" s="25"/>
      <c r="E467" s="25"/>
      <c r="F467" s="25"/>
      <c r="G467" s="25"/>
      <c r="H467" s="25"/>
    </row>
    <row r="468">
      <c r="D468" s="25"/>
      <c r="E468" s="25"/>
      <c r="F468" s="25"/>
      <c r="G468" s="25"/>
      <c r="H468" s="25"/>
    </row>
    <row r="469">
      <c r="D469" s="25"/>
      <c r="E469" s="25"/>
      <c r="F469" s="25"/>
      <c r="G469" s="25"/>
      <c r="H469" s="25"/>
    </row>
    <row r="470">
      <c r="D470" s="25"/>
      <c r="E470" s="25"/>
      <c r="F470" s="25"/>
      <c r="G470" s="25"/>
      <c r="H470" s="25"/>
    </row>
    <row r="471">
      <c r="D471" s="25"/>
      <c r="E471" s="25"/>
      <c r="F471" s="25"/>
      <c r="G471" s="25"/>
      <c r="H471" s="25"/>
    </row>
    <row r="472">
      <c r="D472" s="25"/>
      <c r="E472" s="25"/>
      <c r="F472" s="25"/>
      <c r="G472" s="25"/>
      <c r="H472" s="25"/>
    </row>
    <row r="473">
      <c r="D473" s="25"/>
      <c r="E473" s="25"/>
      <c r="F473" s="25"/>
      <c r="G473" s="25"/>
      <c r="H473" s="25"/>
    </row>
    <row r="474">
      <c r="D474" s="25"/>
      <c r="E474" s="25"/>
      <c r="F474" s="25"/>
      <c r="G474" s="25"/>
      <c r="H474" s="25"/>
    </row>
    <row r="475">
      <c r="D475" s="25"/>
      <c r="E475" s="25"/>
      <c r="F475" s="25"/>
      <c r="G475" s="25"/>
      <c r="H475" s="25"/>
    </row>
    <row r="476">
      <c r="D476" s="25"/>
      <c r="E476" s="25"/>
      <c r="F476" s="25"/>
      <c r="G476" s="25"/>
      <c r="H476" s="25"/>
    </row>
    <row r="477">
      <c r="D477" s="25"/>
      <c r="E477" s="25"/>
      <c r="F477" s="25"/>
      <c r="G477" s="25"/>
      <c r="H477" s="25"/>
    </row>
    <row r="478">
      <c r="D478" s="25"/>
      <c r="E478" s="25"/>
      <c r="F478" s="25"/>
      <c r="G478" s="25"/>
      <c r="H478" s="25"/>
    </row>
    <row r="479">
      <c r="D479" s="25"/>
      <c r="E479" s="25"/>
      <c r="F479" s="25"/>
      <c r="G479" s="25"/>
      <c r="H479" s="25"/>
    </row>
    <row r="480">
      <c r="D480" s="25"/>
      <c r="E480" s="25"/>
      <c r="F480" s="25"/>
      <c r="G480" s="25"/>
      <c r="H480" s="25"/>
    </row>
    <row r="481">
      <c r="D481" s="25"/>
      <c r="E481" s="25"/>
      <c r="F481" s="25"/>
      <c r="G481" s="25"/>
      <c r="H481" s="25"/>
    </row>
    <row r="482">
      <c r="D482" s="25"/>
      <c r="E482" s="25"/>
      <c r="F482" s="25"/>
      <c r="G482" s="25"/>
      <c r="H482" s="25"/>
    </row>
    <row r="483">
      <c r="D483" s="25"/>
      <c r="E483" s="25"/>
      <c r="F483" s="25"/>
      <c r="G483" s="25"/>
      <c r="H483" s="25"/>
    </row>
    <row r="484">
      <c r="D484" s="25"/>
      <c r="E484" s="25"/>
      <c r="F484" s="25"/>
      <c r="G484" s="25"/>
      <c r="H484" s="25"/>
    </row>
    <row r="485">
      <c r="D485" s="25"/>
      <c r="E485" s="25"/>
      <c r="F485" s="25"/>
      <c r="G485" s="25"/>
      <c r="H485" s="25"/>
    </row>
    <row r="486">
      <c r="D486" s="25"/>
      <c r="E486" s="25"/>
      <c r="F486" s="25"/>
      <c r="G486" s="25"/>
      <c r="H486" s="25"/>
    </row>
    <row r="487">
      <c r="D487" s="25"/>
      <c r="E487" s="25"/>
      <c r="F487" s="25"/>
      <c r="G487" s="25"/>
      <c r="H487" s="25"/>
    </row>
    <row r="488">
      <c r="D488" s="25"/>
      <c r="E488" s="25"/>
      <c r="F488" s="25"/>
      <c r="G488" s="25"/>
      <c r="H488" s="25"/>
    </row>
    <row r="489">
      <c r="D489" s="25"/>
      <c r="E489" s="25"/>
      <c r="F489" s="25"/>
      <c r="G489" s="25"/>
      <c r="H489" s="25"/>
    </row>
    <row r="490">
      <c r="D490" s="25"/>
      <c r="E490" s="25"/>
      <c r="F490" s="25"/>
      <c r="G490" s="25"/>
      <c r="H490" s="25"/>
    </row>
    <row r="491">
      <c r="D491" s="25"/>
      <c r="E491" s="25"/>
      <c r="F491" s="25"/>
      <c r="G491" s="25"/>
      <c r="H491" s="25"/>
    </row>
    <row r="492">
      <c r="D492" s="25"/>
      <c r="E492" s="25"/>
      <c r="F492" s="25"/>
      <c r="G492" s="25"/>
      <c r="H492" s="25"/>
    </row>
    <row r="493">
      <c r="D493" s="25"/>
      <c r="E493" s="25"/>
      <c r="F493" s="25"/>
      <c r="G493" s="25"/>
      <c r="H493" s="25"/>
    </row>
    <row r="494">
      <c r="D494" s="25"/>
      <c r="E494" s="25"/>
      <c r="F494" s="25"/>
      <c r="G494" s="25"/>
      <c r="H494" s="25"/>
    </row>
    <row r="495">
      <c r="D495" s="25"/>
      <c r="E495" s="25"/>
      <c r="F495" s="25"/>
      <c r="G495" s="25"/>
      <c r="H495" s="25"/>
    </row>
    <row r="496">
      <c r="D496" s="25"/>
      <c r="E496" s="25"/>
      <c r="F496" s="25"/>
      <c r="G496" s="25"/>
      <c r="H496" s="25"/>
    </row>
    <row r="497">
      <c r="D497" s="25"/>
      <c r="E497" s="25"/>
      <c r="F497" s="25"/>
      <c r="G497" s="25"/>
      <c r="H497" s="25"/>
    </row>
    <row r="498">
      <c r="D498" s="25"/>
      <c r="E498" s="25"/>
      <c r="F498" s="25"/>
      <c r="G498" s="25"/>
      <c r="H498" s="25"/>
    </row>
    <row r="499">
      <c r="D499" s="25"/>
      <c r="E499" s="25"/>
      <c r="F499" s="25"/>
      <c r="G499" s="25"/>
      <c r="H499" s="25"/>
    </row>
    <row r="500">
      <c r="D500" s="25"/>
      <c r="E500" s="25"/>
      <c r="F500" s="25"/>
      <c r="G500" s="25"/>
      <c r="H500" s="25"/>
    </row>
    <row r="501">
      <c r="D501" s="25"/>
      <c r="E501" s="25"/>
      <c r="F501" s="25"/>
      <c r="G501" s="25"/>
      <c r="H501" s="25"/>
    </row>
    <row r="502">
      <c r="D502" s="25"/>
      <c r="E502" s="25"/>
      <c r="F502" s="25"/>
      <c r="G502" s="25"/>
      <c r="H502" s="25"/>
    </row>
    <row r="503">
      <c r="D503" s="25"/>
      <c r="E503" s="25"/>
      <c r="F503" s="25"/>
      <c r="G503" s="25"/>
      <c r="H503" s="25"/>
    </row>
    <row r="504">
      <c r="D504" s="25"/>
      <c r="E504" s="25"/>
      <c r="F504" s="25"/>
      <c r="G504" s="25"/>
      <c r="H504" s="25"/>
    </row>
    <row r="505">
      <c r="D505" s="25"/>
      <c r="E505" s="25"/>
      <c r="F505" s="25"/>
      <c r="G505" s="25"/>
      <c r="H505" s="25"/>
    </row>
    <row r="506">
      <c r="D506" s="25"/>
      <c r="E506" s="25"/>
      <c r="F506" s="25"/>
      <c r="G506" s="25"/>
      <c r="H506" s="25"/>
    </row>
    <row r="507">
      <c r="D507" s="25"/>
      <c r="E507" s="25"/>
      <c r="F507" s="25"/>
      <c r="G507" s="25"/>
      <c r="H507" s="25"/>
    </row>
    <row r="508">
      <c r="D508" s="25"/>
      <c r="E508" s="25"/>
      <c r="F508" s="25"/>
      <c r="G508" s="25"/>
      <c r="H508" s="25"/>
    </row>
    <row r="509">
      <c r="D509" s="25"/>
      <c r="E509" s="25"/>
      <c r="F509" s="25"/>
      <c r="G509" s="25"/>
      <c r="H509" s="25"/>
    </row>
    <row r="510">
      <c r="D510" s="25"/>
      <c r="E510" s="25"/>
      <c r="F510" s="25"/>
      <c r="G510" s="25"/>
      <c r="H510" s="25"/>
    </row>
    <row r="511">
      <c r="D511" s="25"/>
      <c r="E511" s="25"/>
      <c r="F511" s="25"/>
      <c r="G511" s="25"/>
      <c r="H511" s="25"/>
    </row>
    <row r="512">
      <c r="D512" s="25"/>
      <c r="E512" s="25"/>
      <c r="F512" s="25"/>
      <c r="G512" s="25"/>
      <c r="H512" s="25"/>
    </row>
    <row r="513">
      <c r="D513" s="25"/>
      <c r="E513" s="25"/>
      <c r="F513" s="25"/>
      <c r="G513" s="25"/>
      <c r="H513" s="25"/>
    </row>
    <row r="514">
      <c r="D514" s="25"/>
      <c r="E514" s="25"/>
      <c r="F514" s="25"/>
      <c r="G514" s="25"/>
      <c r="H514" s="25"/>
    </row>
    <row r="515">
      <c r="D515" s="25"/>
      <c r="E515" s="25"/>
      <c r="F515" s="25"/>
      <c r="G515" s="25"/>
      <c r="H515" s="25"/>
    </row>
    <row r="516">
      <c r="D516" s="25"/>
      <c r="E516" s="25"/>
      <c r="F516" s="25"/>
      <c r="G516" s="25"/>
      <c r="H516" s="25"/>
    </row>
    <row r="517">
      <c r="D517" s="25"/>
      <c r="E517" s="25"/>
      <c r="F517" s="25"/>
      <c r="G517" s="25"/>
      <c r="H517" s="25"/>
    </row>
    <row r="518">
      <c r="D518" s="25"/>
      <c r="E518" s="25"/>
      <c r="F518" s="25"/>
      <c r="G518" s="25"/>
      <c r="H518" s="25"/>
    </row>
    <row r="519">
      <c r="D519" s="25"/>
      <c r="E519" s="25"/>
      <c r="F519" s="25"/>
      <c r="G519" s="25"/>
      <c r="H519" s="25"/>
    </row>
    <row r="520">
      <c r="D520" s="25"/>
      <c r="E520" s="25"/>
      <c r="F520" s="25"/>
      <c r="G520" s="25"/>
      <c r="H520" s="25"/>
    </row>
    <row r="521">
      <c r="D521" s="25"/>
      <c r="E521" s="25"/>
      <c r="F521" s="25"/>
      <c r="G521" s="25"/>
      <c r="H521" s="25"/>
    </row>
    <row r="522">
      <c r="D522" s="25"/>
      <c r="E522" s="25"/>
      <c r="F522" s="25"/>
      <c r="G522" s="25"/>
      <c r="H522" s="25"/>
    </row>
    <row r="523">
      <c r="D523" s="25"/>
      <c r="E523" s="25"/>
      <c r="F523" s="25"/>
      <c r="G523" s="25"/>
      <c r="H523" s="25"/>
    </row>
    <row r="524">
      <c r="D524" s="25"/>
      <c r="E524" s="25"/>
      <c r="F524" s="25"/>
      <c r="G524" s="25"/>
      <c r="H524" s="25"/>
    </row>
    <row r="525">
      <c r="D525" s="25"/>
      <c r="E525" s="25"/>
      <c r="F525" s="25"/>
      <c r="G525" s="25"/>
      <c r="H525" s="25"/>
    </row>
    <row r="526">
      <c r="D526" s="25"/>
      <c r="E526" s="25"/>
      <c r="F526" s="25"/>
      <c r="G526" s="25"/>
      <c r="H526" s="25"/>
    </row>
    <row r="527">
      <c r="D527" s="25"/>
      <c r="E527" s="25"/>
      <c r="F527" s="25"/>
      <c r="G527" s="25"/>
      <c r="H527" s="25"/>
    </row>
    <row r="528">
      <c r="D528" s="25"/>
      <c r="E528" s="25"/>
      <c r="F528" s="25"/>
      <c r="G528" s="25"/>
      <c r="H528" s="25"/>
    </row>
    <row r="529">
      <c r="D529" s="25"/>
      <c r="E529" s="25"/>
      <c r="F529" s="25"/>
      <c r="G529" s="25"/>
      <c r="H529" s="25"/>
    </row>
    <row r="530">
      <c r="D530" s="25"/>
      <c r="E530" s="25"/>
      <c r="F530" s="25"/>
      <c r="G530" s="25"/>
      <c r="H530" s="25"/>
    </row>
    <row r="531">
      <c r="D531" s="25"/>
      <c r="E531" s="25"/>
      <c r="F531" s="25"/>
      <c r="G531" s="25"/>
      <c r="H531" s="25"/>
    </row>
    <row r="532">
      <c r="D532" s="25"/>
      <c r="E532" s="25"/>
      <c r="F532" s="25"/>
      <c r="G532" s="25"/>
      <c r="H532" s="25"/>
    </row>
    <row r="533">
      <c r="D533" s="25"/>
      <c r="E533" s="25"/>
      <c r="F533" s="25"/>
      <c r="G533" s="25"/>
      <c r="H533" s="25"/>
    </row>
    <row r="534">
      <c r="D534" s="25"/>
      <c r="E534" s="25"/>
      <c r="F534" s="25"/>
      <c r="G534" s="25"/>
      <c r="H534" s="25"/>
    </row>
    <row r="535">
      <c r="D535" s="25"/>
      <c r="E535" s="25"/>
      <c r="F535" s="25"/>
      <c r="G535" s="25"/>
      <c r="H535" s="25"/>
    </row>
    <row r="536">
      <c r="D536" s="25"/>
      <c r="E536" s="25"/>
      <c r="F536" s="25"/>
      <c r="G536" s="25"/>
      <c r="H536" s="25"/>
    </row>
    <row r="537">
      <c r="D537" s="25"/>
      <c r="E537" s="25"/>
      <c r="F537" s="25"/>
      <c r="G537" s="25"/>
      <c r="H537" s="25"/>
    </row>
    <row r="538">
      <c r="D538" s="25"/>
      <c r="E538" s="25"/>
      <c r="F538" s="25"/>
      <c r="G538" s="25"/>
      <c r="H538" s="25"/>
    </row>
    <row r="539">
      <c r="D539" s="25"/>
      <c r="E539" s="25"/>
      <c r="F539" s="25"/>
      <c r="G539" s="25"/>
      <c r="H539" s="25"/>
    </row>
    <row r="540">
      <c r="D540" s="25"/>
      <c r="E540" s="25"/>
      <c r="F540" s="25"/>
      <c r="G540" s="25"/>
      <c r="H540" s="25"/>
    </row>
    <row r="541">
      <c r="D541" s="25"/>
      <c r="E541" s="25"/>
      <c r="F541" s="25"/>
      <c r="G541" s="25"/>
      <c r="H541" s="25"/>
    </row>
    <row r="542">
      <c r="D542" s="25"/>
      <c r="E542" s="25"/>
      <c r="F542" s="25"/>
      <c r="G542" s="25"/>
      <c r="H542" s="25"/>
    </row>
    <row r="543">
      <c r="D543" s="25"/>
      <c r="E543" s="25"/>
      <c r="F543" s="25"/>
      <c r="G543" s="25"/>
      <c r="H543" s="25"/>
    </row>
    <row r="544">
      <c r="D544" s="25"/>
      <c r="E544" s="25"/>
      <c r="F544" s="25"/>
      <c r="G544" s="25"/>
      <c r="H544" s="25"/>
    </row>
    <row r="545">
      <c r="D545" s="25"/>
      <c r="E545" s="25"/>
      <c r="F545" s="25"/>
      <c r="G545" s="25"/>
      <c r="H545" s="25"/>
    </row>
    <row r="546">
      <c r="D546" s="25"/>
      <c r="E546" s="25"/>
      <c r="F546" s="25"/>
      <c r="G546" s="25"/>
      <c r="H546" s="25"/>
    </row>
    <row r="547">
      <c r="D547" s="25"/>
      <c r="E547" s="25"/>
      <c r="F547" s="25"/>
      <c r="G547" s="25"/>
      <c r="H547" s="25"/>
    </row>
    <row r="548">
      <c r="D548" s="25"/>
      <c r="E548" s="25"/>
      <c r="F548" s="25"/>
      <c r="G548" s="25"/>
      <c r="H548" s="25"/>
    </row>
    <row r="549">
      <c r="D549" s="25"/>
      <c r="E549" s="25"/>
      <c r="F549" s="25"/>
      <c r="G549" s="25"/>
      <c r="H549" s="25"/>
    </row>
    <row r="550">
      <c r="D550" s="25"/>
      <c r="E550" s="25"/>
      <c r="F550" s="25"/>
      <c r="G550" s="25"/>
      <c r="H550" s="25"/>
    </row>
    <row r="551">
      <c r="D551" s="25"/>
      <c r="E551" s="25"/>
      <c r="F551" s="25"/>
      <c r="G551" s="25"/>
      <c r="H551" s="25"/>
    </row>
    <row r="552">
      <c r="D552" s="25"/>
      <c r="E552" s="25"/>
      <c r="F552" s="25"/>
      <c r="G552" s="25"/>
      <c r="H552" s="25"/>
    </row>
    <row r="553">
      <c r="D553" s="25"/>
      <c r="E553" s="25"/>
      <c r="F553" s="25"/>
      <c r="G553" s="25"/>
      <c r="H553" s="25"/>
    </row>
    <row r="554">
      <c r="D554" s="25"/>
      <c r="E554" s="25"/>
      <c r="F554" s="25"/>
      <c r="G554" s="25"/>
      <c r="H554" s="25"/>
    </row>
    <row r="555">
      <c r="D555" s="25"/>
      <c r="E555" s="25"/>
      <c r="F555" s="25"/>
      <c r="G555" s="25"/>
      <c r="H555" s="25"/>
    </row>
    <row r="556">
      <c r="D556" s="25"/>
      <c r="E556" s="25"/>
      <c r="F556" s="25"/>
      <c r="G556" s="25"/>
      <c r="H556" s="25"/>
    </row>
    <row r="557">
      <c r="D557" s="25"/>
      <c r="E557" s="25"/>
      <c r="F557" s="25"/>
      <c r="G557" s="25"/>
      <c r="H557" s="25"/>
    </row>
    <row r="558">
      <c r="D558" s="25"/>
      <c r="E558" s="25"/>
      <c r="F558" s="25"/>
      <c r="G558" s="25"/>
      <c r="H558" s="25"/>
    </row>
    <row r="559">
      <c r="D559" s="25"/>
      <c r="E559" s="25"/>
      <c r="F559" s="25"/>
      <c r="G559" s="25"/>
      <c r="H559" s="25"/>
    </row>
    <row r="560">
      <c r="D560" s="25"/>
      <c r="E560" s="25"/>
      <c r="F560" s="25"/>
      <c r="G560" s="25"/>
      <c r="H560" s="25"/>
    </row>
    <row r="561">
      <c r="D561" s="25"/>
      <c r="E561" s="25"/>
      <c r="F561" s="25"/>
      <c r="G561" s="25"/>
      <c r="H561" s="25"/>
    </row>
    <row r="562">
      <c r="D562" s="25"/>
      <c r="E562" s="25"/>
      <c r="F562" s="25"/>
      <c r="G562" s="25"/>
      <c r="H562" s="25"/>
    </row>
    <row r="563">
      <c r="D563" s="25"/>
      <c r="E563" s="25"/>
      <c r="F563" s="25"/>
      <c r="G563" s="25"/>
      <c r="H563" s="25"/>
    </row>
    <row r="564">
      <c r="D564" s="25"/>
      <c r="E564" s="25"/>
      <c r="F564" s="25"/>
      <c r="G564" s="25"/>
      <c r="H564" s="25"/>
    </row>
    <row r="565">
      <c r="D565" s="25"/>
      <c r="E565" s="25"/>
      <c r="F565" s="25"/>
      <c r="G565" s="25"/>
      <c r="H565" s="25"/>
    </row>
    <row r="566">
      <c r="D566" s="25"/>
      <c r="E566" s="25"/>
      <c r="F566" s="25"/>
      <c r="G566" s="25"/>
      <c r="H566" s="25"/>
    </row>
    <row r="567">
      <c r="D567" s="25"/>
      <c r="E567" s="25"/>
      <c r="F567" s="25"/>
      <c r="G567" s="25"/>
      <c r="H567" s="25"/>
    </row>
    <row r="568">
      <c r="D568" s="25"/>
      <c r="E568" s="25"/>
      <c r="F568" s="25"/>
      <c r="G568" s="25"/>
      <c r="H568" s="25"/>
    </row>
    <row r="569">
      <c r="D569" s="25"/>
      <c r="E569" s="25"/>
      <c r="F569" s="25"/>
      <c r="G569" s="25"/>
      <c r="H569" s="25"/>
    </row>
    <row r="570">
      <c r="D570" s="25"/>
      <c r="E570" s="25"/>
      <c r="F570" s="25"/>
      <c r="G570" s="25"/>
      <c r="H570" s="25"/>
    </row>
    <row r="571">
      <c r="D571" s="25"/>
      <c r="E571" s="25"/>
      <c r="F571" s="25"/>
      <c r="G571" s="25"/>
      <c r="H571" s="25"/>
    </row>
    <row r="572">
      <c r="D572" s="25"/>
      <c r="E572" s="25"/>
      <c r="F572" s="25"/>
      <c r="G572" s="25"/>
      <c r="H572" s="25"/>
    </row>
    <row r="573">
      <c r="D573" s="25"/>
      <c r="E573" s="25"/>
      <c r="F573" s="25"/>
      <c r="G573" s="25"/>
      <c r="H573" s="25"/>
    </row>
    <row r="574">
      <c r="D574" s="25"/>
      <c r="E574" s="25"/>
      <c r="F574" s="25"/>
      <c r="G574" s="25"/>
      <c r="H574" s="25"/>
    </row>
    <row r="575">
      <c r="D575" s="25"/>
      <c r="E575" s="25"/>
      <c r="F575" s="25"/>
      <c r="G575" s="25"/>
      <c r="H575" s="25"/>
    </row>
    <row r="576">
      <c r="D576" s="25"/>
      <c r="E576" s="25"/>
      <c r="F576" s="25"/>
      <c r="G576" s="25"/>
      <c r="H576" s="25"/>
    </row>
    <row r="577">
      <c r="D577" s="25"/>
      <c r="E577" s="25"/>
      <c r="F577" s="25"/>
      <c r="G577" s="25"/>
      <c r="H577" s="25"/>
    </row>
    <row r="578">
      <c r="D578" s="25"/>
      <c r="E578" s="25"/>
      <c r="F578" s="25"/>
      <c r="G578" s="25"/>
      <c r="H578" s="25"/>
    </row>
    <row r="579">
      <c r="D579" s="25"/>
      <c r="E579" s="25"/>
      <c r="F579" s="25"/>
      <c r="G579" s="25"/>
      <c r="H579" s="25"/>
    </row>
    <row r="580">
      <c r="D580" s="25"/>
      <c r="E580" s="25"/>
      <c r="F580" s="25"/>
      <c r="G580" s="25"/>
      <c r="H580" s="25"/>
    </row>
    <row r="581">
      <c r="D581" s="25"/>
      <c r="E581" s="25"/>
      <c r="F581" s="25"/>
      <c r="G581" s="25"/>
      <c r="H581" s="25"/>
    </row>
    <row r="582">
      <c r="D582" s="25"/>
      <c r="E582" s="25"/>
      <c r="F582" s="25"/>
      <c r="G582" s="25"/>
      <c r="H582" s="25"/>
    </row>
    <row r="583">
      <c r="D583" s="25"/>
      <c r="E583" s="25"/>
      <c r="F583" s="25"/>
      <c r="G583" s="25"/>
      <c r="H583" s="25"/>
    </row>
    <row r="584">
      <c r="D584" s="25"/>
      <c r="E584" s="25"/>
      <c r="F584" s="25"/>
      <c r="G584" s="25"/>
      <c r="H584" s="25"/>
    </row>
    <row r="585">
      <c r="D585" s="25"/>
      <c r="E585" s="25"/>
      <c r="F585" s="25"/>
      <c r="G585" s="25"/>
      <c r="H585" s="25"/>
    </row>
    <row r="586">
      <c r="D586" s="25"/>
      <c r="E586" s="25"/>
      <c r="F586" s="25"/>
      <c r="G586" s="25"/>
      <c r="H586" s="25"/>
    </row>
    <row r="587">
      <c r="D587" s="25"/>
      <c r="E587" s="25"/>
      <c r="F587" s="25"/>
      <c r="G587" s="25"/>
      <c r="H587" s="25"/>
    </row>
    <row r="588">
      <c r="D588" s="25"/>
      <c r="E588" s="25"/>
      <c r="F588" s="25"/>
      <c r="G588" s="25"/>
      <c r="H588" s="25"/>
    </row>
    <row r="589">
      <c r="D589" s="25"/>
      <c r="E589" s="25"/>
      <c r="F589" s="25"/>
      <c r="G589" s="25"/>
      <c r="H589" s="25"/>
    </row>
    <row r="590">
      <c r="D590" s="25"/>
      <c r="E590" s="25"/>
      <c r="F590" s="25"/>
      <c r="G590" s="25"/>
      <c r="H590" s="25"/>
    </row>
    <row r="591">
      <c r="D591" s="25"/>
      <c r="E591" s="25"/>
      <c r="F591" s="25"/>
      <c r="G591" s="25"/>
      <c r="H591" s="25"/>
    </row>
    <row r="592">
      <c r="D592" s="25"/>
      <c r="E592" s="25"/>
      <c r="F592" s="25"/>
      <c r="G592" s="25"/>
      <c r="H592" s="25"/>
    </row>
    <row r="593">
      <c r="D593" s="25"/>
      <c r="E593" s="25"/>
      <c r="F593" s="25"/>
      <c r="G593" s="25"/>
      <c r="H593" s="25"/>
    </row>
    <row r="594">
      <c r="D594" s="25"/>
      <c r="E594" s="25"/>
      <c r="F594" s="25"/>
      <c r="G594" s="25"/>
      <c r="H594" s="25"/>
    </row>
    <row r="595">
      <c r="D595" s="25"/>
      <c r="E595" s="25"/>
      <c r="F595" s="25"/>
      <c r="G595" s="25"/>
      <c r="H595" s="25"/>
    </row>
    <row r="596">
      <c r="D596" s="25"/>
      <c r="E596" s="25"/>
      <c r="F596" s="25"/>
      <c r="G596" s="25"/>
      <c r="H596" s="25"/>
    </row>
    <row r="597">
      <c r="D597" s="25"/>
      <c r="E597" s="25"/>
      <c r="F597" s="25"/>
      <c r="G597" s="25"/>
      <c r="H597" s="25"/>
    </row>
    <row r="598">
      <c r="D598" s="25"/>
      <c r="E598" s="25"/>
      <c r="F598" s="25"/>
      <c r="G598" s="25"/>
      <c r="H598" s="25"/>
    </row>
    <row r="599">
      <c r="D599" s="25"/>
      <c r="E599" s="25"/>
      <c r="F599" s="25"/>
      <c r="G599" s="25"/>
      <c r="H599" s="25"/>
    </row>
    <row r="600">
      <c r="D600" s="25"/>
      <c r="E600" s="25"/>
      <c r="F600" s="25"/>
      <c r="G600" s="25"/>
      <c r="H600" s="25"/>
    </row>
    <row r="601">
      <c r="D601" s="25"/>
      <c r="E601" s="25"/>
      <c r="F601" s="25"/>
      <c r="G601" s="25"/>
      <c r="H601" s="25"/>
    </row>
    <row r="602">
      <c r="D602" s="25"/>
      <c r="E602" s="25"/>
      <c r="F602" s="25"/>
      <c r="G602" s="25"/>
      <c r="H602" s="25"/>
    </row>
    <row r="603">
      <c r="D603" s="25"/>
      <c r="E603" s="25"/>
      <c r="F603" s="25"/>
      <c r="G603" s="25"/>
      <c r="H603" s="25"/>
    </row>
    <row r="604">
      <c r="D604" s="25"/>
      <c r="E604" s="25"/>
      <c r="F604" s="25"/>
      <c r="G604" s="25"/>
      <c r="H604" s="25"/>
    </row>
    <row r="605">
      <c r="D605" s="25"/>
      <c r="E605" s="25"/>
      <c r="F605" s="25"/>
      <c r="G605" s="25"/>
      <c r="H605" s="25"/>
    </row>
    <row r="606">
      <c r="D606" s="25"/>
      <c r="E606" s="25"/>
      <c r="F606" s="25"/>
      <c r="G606" s="25"/>
      <c r="H606" s="25"/>
    </row>
    <row r="607">
      <c r="D607" s="25"/>
      <c r="E607" s="25"/>
      <c r="F607" s="25"/>
      <c r="G607" s="25"/>
      <c r="H607" s="25"/>
    </row>
    <row r="608">
      <c r="D608" s="25"/>
      <c r="E608" s="25"/>
      <c r="F608" s="25"/>
      <c r="G608" s="25"/>
      <c r="H608" s="25"/>
    </row>
    <row r="609">
      <c r="D609" s="25"/>
      <c r="E609" s="25"/>
      <c r="F609" s="25"/>
      <c r="G609" s="25"/>
      <c r="H609" s="25"/>
    </row>
    <row r="610">
      <c r="D610" s="25"/>
      <c r="E610" s="25"/>
      <c r="F610" s="25"/>
      <c r="G610" s="25"/>
      <c r="H610" s="25"/>
    </row>
    <row r="611">
      <c r="D611" s="25"/>
      <c r="E611" s="25"/>
      <c r="F611" s="25"/>
      <c r="G611" s="25"/>
      <c r="H611" s="25"/>
    </row>
    <row r="612">
      <c r="D612" s="25"/>
      <c r="E612" s="25"/>
      <c r="F612" s="25"/>
      <c r="G612" s="25"/>
      <c r="H612" s="25"/>
    </row>
    <row r="613">
      <c r="D613" s="25"/>
      <c r="E613" s="25"/>
      <c r="F613" s="25"/>
      <c r="G613" s="25"/>
      <c r="H613" s="25"/>
    </row>
    <row r="614">
      <c r="D614" s="25"/>
      <c r="E614" s="25"/>
      <c r="F614" s="25"/>
      <c r="G614" s="25"/>
      <c r="H614" s="25"/>
    </row>
    <row r="615">
      <c r="D615" s="25"/>
      <c r="E615" s="25"/>
      <c r="F615" s="25"/>
      <c r="G615" s="25"/>
      <c r="H615" s="25"/>
    </row>
    <row r="616">
      <c r="D616" s="25"/>
      <c r="E616" s="25"/>
      <c r="F616" s="25"/>
      <c r="G616" s="25"/>
      <c r="H616" s="25"/>
    </row>
    <row r="617">
      <c r="D617" s="25"/>
      <c r="E617" s="25"/>
      <c r="F617" s="25"/>
      <c r="G617" s="25"/>
      <c r="H617" s="25"/>
    </row>
    <row r="618">
      <c r="D618" s="25"/>
      <c r="E618" s="25"/>
      <c r="F618" s="25"/>
      <c r="G618" s="25"/>
      <c r="H618" s="25"/>
    </row>
    <row r="619">
      <c r="D619" s="25"/>
      <c r="E619" s="25"/>
      <c r="F619" s="25"/>
      <c r="G619" s="25"/>
      <c r="H619" s="25"/>
    </row>
    <row r="620">
      <c r="D620" s="25"/>
      <c r="E620" s="25"/>
      <c r="F620" s="25"/>
      <c r="G620" s="25"/>
      <c r="H620" s="25"/>
    </row>
    <row r="621">
      <c r="D621" s="25"/>
      <c r="E621" s="25"/>
      <c r="F621" s="25"/>
      <c r="G621" s="25"/>
      <c r="H621" s="25"/>
    </row>
    <row r="622">
      <c r="D622" s="25"/>
      <c r="E622" s="25"/>
      <c r="F622" s="25"/>
      <c r="G622" s="25"/>
      <c r="H622" s="25"/>
    </row>
    <row r="623">
      <c r="D623" s="25"/>
      <c r="E623" s="25"/>
      <c r="F623" s="25"/>
      <c r="G623" s="25"/>
      <c r="H623" s="25"/>
    </row>
    <row r="624">
      <c r="D624" s="25"/>
      <c r="E624" s="25"/>
      <c r="F624" s="25"/>
      <c r="G624" s="25"/>
      <c r="H624" s="25"/>
    </row>
    <row r="625">
      <c r="D625" s="25"/>
      <c r="E625" s="25"/>
      <c r="F625" s="25"/>
      <c r="G625" s="25"/>
      <c r="H625" s="25"/>
    </row>
    <row r="626">
      <c r="D626" s="25"/>
      <c r="E626" s="25"/>
      <c r="F626" s="25"/>
      <c r="G626" s="25"/>
      <c r="H626" s="25"/>
    </row>
    <row r="627">
      <c r="D627" s="25"/>
      <c r="E627" s="25"/>
      <c r="F627" s="25"/>
      <c r="G627" s="25"/>
      <c r="H627" s="25"/>
    </row>
    <row r="628">
      <c r="D628" s="25"/>
      <c r="E628" s="25"/>
      <c r="F628" s="25"/>
      <c r="G628" s="25"/>
      <c r="H628" s="25"/>
    </row>
    <row r="629">
      <c r="D629" s="25"/>
      <c r="E629" s="25"/>
      <c r="F629" s="25"/>
      <c r="G629" s="25"/>
      <c r="H629" s="25"/>
    </row>
    <row r="630">
      <c r="D630" s="25"/>
      <c r="E630" s="25"/>
      <c r="F630" s="25"/>
      <c r="G630" s="25"/>
      <c r="H630" s="25"/>
    </row>
    <row r="631">
      <c r="D631" s="25"/>
      <c r="E631" s="25"/>
      <c r="F631" s="25"/>
      <c r="G631" s="25"/>
      <c r="H631" s="25"/>
    </row>
    <row r="632">
      <c r="D632" s="25"/>
      <c r="E632" s="25"/>
      <c r="F632" s="25"/>
      <c r="G632" s="25"/>
      <c r="H632" s="25"/>
    </row>
    <row r="633">
      <c r="D633" s="25"/>
      <c r="E633" s="25"/>
      <c r="F633" s="25"/>
      <c r="G633" s="25"/>
      <c r="H633" s="25"/>
    </row>
    <row r="634">
      <c r="D634" s="25"/>
      <c r="E634" s="25"/>
      <c r="F634" s="25"/>
      <c r="G634" s="25"/>
      <c r="H634" s="25"/>
    </row>
    <row r="635">
      <c r="D635" s="25"/>
      <c r="E635" s="25"/>
      <c r="F635" s="25"/>
      <c r="G635" s="25"/>
      <c r="H635" s="25"/>
    </row>
    <row r="636">
      <c r="D636" s="25"/>
      <c r="E636" s="25"/>
      <c r="F636" s="25"/>
      <c r="G636" s="25"/>
      <c r="H636" s="25"/>
    </row>
    <row r="637">
      <c r="D637" s="25"/>
      <c r="E637" s="25"/>
      <c r="F637" s="25"/>
      <c r="G637" s="25"/>
      <c r="H637" s="25"/>
    </row>
    <row r="638">
      <c r="D638" s="25"/>
      <c r="E638" s="25"/>
      <c r="F638" s="25"/>
      <c r="G638" s="25"/>
      <c r="H638" s="25"/>
    </row>
    <row r="639">
      <c r="D639" s="25"/>
      <c r="E639" s="25"/>
      <c r="F639" s="25"/>
      <c r="G639" s="25"/>
      <c r="H639" s="25"/>
    </row>
    <row r="640">
      <c r="D640" s="25"/>
      <c r="E640" s="25"/>
      <c r="F640" s="25"/>
      <c r="G640" s="25"/>
      <c r="H640" s="25"/>
    </row>
    <row r="641">
      <c r="D641" s="25"/>
      <c r="E641" s="25"/>
      <c r="F641" s="25"/>
      <c r="G641" s="25"/>
      <c r="H641" s="25"/>
    </row>
    <row r="642">
      <c r="D642" s="25"/>
      <c r="E642" s="25"/>
      <c r="F642" s="25"/>
      <c r="G642" s="25"/>
      <c r="H642" s="25"/>
    </row>
    <row r="643">
      <c r="D643" s="25"/>
      <c r="E643" s="25"/>
      <c r="F643" s="25"/>
      <c r="G643" s="25"/>
      <c r="H643" s="25"/>
    </row>
    <row r="644">
      <c r="D644" s="25"/>
      <c r="E644" s="25"/>
      <c r="F644" s="25"/>
      <c r="G644" s="25"/>
      <c r="H644" s="25"/>
    </row>
    <row r="645">
      <c r="D645" s="25"/>
      <c r="E645" s="25"/>
      <c r="F645" s="25"/>
      <c r="G645" s="25"/>
      <c r="H645" s="25"/>
    </row>
    <row r="646">
      <c r="D646" s="25"/>
      <c r="E646" s="25"/>
      <c r="F646" s="25"/>
      <c r="G646" s="25"/>
      <c r="H646" s="25"/>
    </row>
    <row r="647">
      <c r="D647" s="25"/>
      <c r="E647" s="25"/>
      <c r="F647" s="25"/>
      <c r="G647" s="25"/>
      <c r="H647" s="25"/>
    </row>
    <row r="648">
      <c r="D648" s="25"/>
      <c r="E648" s="25"/>
      <c r="F648" s="25"/>
      <c r="G648" s="25"/>
      <c r="H648" s="25"/>
    </row>
    <row r="649">
      <c r="D649" s="25"/>
      <c r="E649" s="25"/>
      <c r="F649" s="25"/>
      <c r="G649" s="25"/>
      <c r="H649" s="25"/>
    </row>
    <row r="650">
      <c r="D650" s="25"/>
      <c r="E650" s="25"/>
      <c r="F650" s="25"/>
      <c r="G650" s="25"/>
      <c r="H650" s="25"/>
    </row>
    <row r="651">
      <c r="D651" s="25"/>
      <c r="E651" s="25"/>
      <c r="F651" s="25"/>
      <c r="G651" s="25"/>
      <c r="H651" s="25"/>
    </row>
    <row r="652">
      <c r="D652" s="25"/>
      <c r="E652" s="25"/>
      <c r="F652" s="25"/>
      <c r="G652" s="25"/>
      <c r="H652" s="25"/>
    </row>
    <row r="653">
      <c r="D653" s="25"/>
      <c r="E653" s="25"/>
      <c r="F653" s="25"/>
      <c r="G653" s="25"/>
      <c r="H653" s="25"/>
    </row>
    <row r="654">
      <c r="D654" s="25"/>
      <c r="E654" s="25"/>
      <c r="F654" s="25"/>
      <c r="G654" s="25"/>
      <c r="H654" s="25"/>
    </row>
    <row r="655">
      <c r="D655" s="25"/>
      <c r="E655" s="25"/>
      <c r="F655" s="25"/>
      <c r="G655" s="25"/>
      <c r="H655" s="25"/>
    </row>
    <row r="656">
      <c r="D656" s="25"/>
      <c r="E656" s="25"/>
      <c r="F656" s="25"/>
      <c r="G656" s="25"/>
      <c r="H656" s="25"/>
    </row>
    <row r="657">
      <c r="D657" s="25"/>
      <c r="E657" s="25"/>
      <c r="F657" s="25"/>
      <c r="G657" s="25"/>
      <c r="H657" s="25"/>
    </row>
    <row r="658">
      <c r="D658" s="25"/>
      <c r="E658" s="25"/>
      <c r="F658" s="25"/>
      <c r="G658" s="25"/>
      <c r="H658" s="25"/>
    </row>
    <row r="659">
      <c r="D659" s="25"/>
      <c r="E659" s="25"/>
      <c r="F659" s="25"/>
      <c r="G659" s="25"/>
      <c r="H659" s="25"/>
    </row>
    <row r="660">
      <c r="D660" s="25"/>
      <c r="E660" s="25"/>
      <c r="F660" s="25"/>
      <c r="G660" s="25"/>
      <c r="H660" s="25"/>
    </row>
    <row r="661">
      <c r="D661" s="25"/>
      <c r="E661" s="25"/>
      <c r="F661" s="25"/>
      <c r="G661" s="25"/>
      <c r="H661" s="25"/>
    </row>
    <row r="662">
      <c r="D662" s="25"/>
      <c r="E662" s="25"/>
      <c r="F662" s="25"/>
      <c r="G662" s="25"/>
      <c r="H662" s="25"/>
    </row>
    <row r="663">
      <c r="D663" s="25"/>
      <c r="E663" s="25"/>
      <c r="F663" s="25"/>
      <c r="G663" s="25"/>
      <c r="H663" s="25"/>
    </row>
    <row r="664">
      <c r="D664" s="25"/>
      <c r="E664" s="25"/>
      <c r="F664" s="25"/>
      <c r="G664" s="25"/>
      <c r="H664" s="25"/>
    </row>
    <row r="665">
      <c r="D665" s="25"/>
      <c r="E665" s="25"/>
      <c r="F665" s="25"/>
      <c r="G665" s="25"/>
      <c r="H665" s="25"/>
    </row>
    <row r="666">
      <c r="D666" s="25"/>
      <c r="E666" s="25"/>
      <c r="F666" s="25"/>
      <c r="G666" s="25"/>
      <c r="H666" s="25"/>
    </row>
    <row r="667">
      <c r="D667" s="25"/>
      <c r="E667" s="25"/>
      <c r="F667" s="25"/>
      <c r="G667" s="25"/>
      <c r="H667" s="25"/>
    </row>
    <row r="668">
      <c r="D668" s="25"/>
      <c r="E668" s="25"/>
      <c r="F668" s="25"/>
      <c r="G668" s="25"/>
      <c r="H668" s="25"/>
    </row>
    <row r="669">
      <c r="D669" s="25"/>
      <c r="E669" s="25"/>
      <c r="F669" s="25"/>
      <c r="G669" s="25"/>
      <c r="H669" s="25"/>
    </row>
    <row r="670">
      <c r="D670" s="25"/>
      <c r="E670" s="25"/>
      <c r="F670" s="25"/>
      <c r="G670" s="25"/>
      <c r="H670" s="25"/>
    </row>
    <row r="671">
      <c r="D671" s="25"/>
      <c r="E671" s="25"/>
      <c r="F671" s="25"/>
      <c r="G671" s="25"/>
      <c r="H671" s="25"/>
    </row>
    <row r="672">
      <c r="D672" s="25"/>
      <c r="E672" s="25"/>
      <c r="F672" s="25"/>
      <c r="G672" s="25"/>
      <c r="H672" s="25"/>
    </row>
    <row r="673">
      <c r="D673" s="25"/>
      <c r="E673" s="25"/>
      <c r="F673" s="25"/>
      <c r="G673" s="25"/>
      <c r="H673" s="25"/>
    </row>
    <row r="674">
      <c r="D674" s="25"/>
      <c r="E674" s="25"/>
      <c r="F674" s="25"/>
      <c r="G674" s="25"/>
      <c r="H674" s="25"/>
    </row>
    <row r="675">
      <c r="D675" s="25"/>
      <c r="E675" s="25"/>
      <c r="F675" s="25"/>
      <c r="G675" s="25"/>
      <c r="H675" s="25"/>
    </row>
    <row r="676">
      <c r="D676" s="25"/>
      <c r="E676" s="25"/>
      <c r="F676" s="25"/>
      <c r="G676" s="25"/>
      <c r="H676" s="25"/>
    </row>
    <row r="677">
      <c r="D677" s="25"/>
      <c r="E677" s="25"/>
      <c r="F677" s="25"/>
      <c r="G677" s="25"/>
      <c r="H677" s="25"/>
    </row>
    <row r="678">
      <c r="D678" s="25"/>
      <c r="E678" s="25"/>
      <c r="F678" s="25"/>
      <c r="G678" s="25"/>
      <c r="H678" s="25"/>
    </row>
    <row r="679">
      <c r="D679" s="25"/>
      <c r="E679" s="25"/>
      <c r="F679" s="25"/>
      <c r="G679" s="25"/>
      <c r="H679" s="25"/>
    </row>
    <row r="680">
      <c r="D680" s="25"/>
      <c r="E680" s="25"/>
      <c r="F680" s="25"/>
      <c r="G680" s="25"/>
      <c r="H680" s="25"/>
    </row>
    <row r="681">
      <c r="D681" s="25"/>
      <c r="E681" s="25"/>
      <c r="F681" s="25"/>
      <c r="G681" s="25"/>
      <c r="H681" s="25"/>
    </row>
    <row r="682">
      <c r="D682" s="25"/>
      <c r="E682" s="25"/>
      <c r="F682" s="25"/>
      <c r="G682" s="25"/>
      <c r="H682" s="25"/>
    </row>
    <row r="683">
      <c r="D683" s="25"/>
      <c r="E683" s="25"/>
      <c r="F683" s="25"/>
      <c r="G683" s="25"/>
      <c r="H683" s="25"/>
    </row>
    <row r="684">
      <c r="D684" s="25"/>
      <c r="E684" s="25"/>
      <c r="F684" s="25"/>
      <c r="G684" s="25"/>
      <c r="H684" s="25"/>
    </row>
    <row r="685">
      <c r="D685" s="25"/>
      <c r="E685" s="25"/>
      <c r="F685" s="25"/>
      <c r="G685" s="25"/>
      <c r="H685" s="25"/>
    </row>
    <row r="686">
      <c r="D686" s="25"/>
      <c r="E686" s="25"/>
      <c r="F686" s="25"/>
      <c r="G686" s="25"/>
      <c r="H686" s="25"/>
    </row>
    <row r="687">
      <c r="D687" s="25"/>
      <c r="E687" s="25"/>
      <c r="F687" s="25"/>
      <c r="G687" s="25"/>
      <c r="H687" s="25"/>
    </row>
    <row r="688">
      <c r="D688" s="25"/>
      <c r="E688" s="25"/>
      <c r="F688" s="25"/>
      <c r="G688" s="25"/>
      <c r="H688" s="25"/>
    </row>
    <row r="689">
      <c r="D689" s="25"/>
      <c r="E689" s="25"/>
      <c r="F689" s="25"/>
      <c r="G689" s="25"/>
      <c r="H689" s="25"/>
    </row>
    <row r="690">
      <c r="D690" s="25"/>
      <c r="E690" s="25"/>
      <c r="F690" s="25"/>
      <c r="G690" s="25"/>
      <c r="H690" s="25"/>
    </row>
    <row r="691">
      <c r="D691" s="25"/>
      <c r="E691" s="25"/>
      <c r="F691" s="25"/>
      <c r="G691" s="25"/>
      <c r="H691" s="25"/>
    </row>
    <row r="692">
      <c r="D692" s="25"/>
      <c r="E692" s="25"/>
      <c r="F692" s="25"/>
      <c r="G692" s="25"/>
      <c r="H692" s="25"/>
    </row>
    <row r="693">
      <c r="D693" s="25"/>
      <c r="E693" s="25"/>
      <c r="F693" s="25"/>
      <c r="G693" s="25"/>
      <c r="H693" s="25"/>
    </row>
    <row r="694">
      <c r="D694" s="25"/>
      <c r="E694" s="25"/>
      <c r="F694" s="25"/>
      <c r="G694" s="25"/>
      <c r="H694" s="25"/>
    </row>
    <row r="695">
      <c r="D695" s="25"/>
      <c r="E695" s="25"/>
      <c r="F695" s="25"/>
      <c r="G695" s="25"/>
      <c r="H695" s="25"/>
    </row>
    <row r="696">
      <c r="D696" s="25"/>
      <c r="E696" s="25"/>
      <c r="F696" s="25"/>
      <c r="G696" s="25"/>
      <c r="H696" s="25"/>
    </row>
    <row r="697">
      <c r="D697" s="25"/>
      <c r="E697" s="25"/>
      <c r="F697" s="25"/>
      <c r="G697" s="25"/>
      <c r="H697" s="25"/>
    </row>
    <row r="698">
      <c r="D698" s="25"/>
      <c r="E698" s="25"/>
      <c r="F698" s="25"/>
      <c r="G698" s="25"/>
      <c r="H698" s="25"/>
    </row>
    <row r="699">
      <c r="D699" s="25"/>
      <c r="E699" s="25"/>
      <c r="F699" s="25"/>
      <c r="G699" s="25"/>
      <c r="H699" s="25"/>
    </row>
    <row r="700">
      <c r="D700" s="25"/>
      <c r="E700" s="25"/>
      <c r="F700" s="25"/>
      <c r="G700" s="25"/>
      <c r="H700" s="25"/>
    </row>
    <row r="701">
      <c r="D701" s="25"/>
      <c r="E701" s="25"/>
      <c r="F701" s="25"/>
      <c r="G701" s="25"/>
      <c r="H701" s="25"/>
    </row>
    <row r="702">
      <c r="D702" s="25"/>
      <c r="E702" s="25"/>
      <c r="F702" s="25"/>
      <c r="G702" s="25"/>
      <c r="H702" s="25"/>
    </row>
    <row r="703">
      <c r="D703" s="25"/>
      <c r="E703" s="25"/>
      <c r="F703" s="25"/>
      <c r="G703" s="25"/>
      <c r="H703" s="25"/>
    </row>
    <row r="704">
      <c r="D704" s="25"/>
      <c r="E704" s="25"/>
      <c r="F704" s="25"/>
      <c r="G704" s="25"/>
      <c r="H704" s="25"/>
    </row>
    <row r="705">
      <c r="D705" s="25"/>
      <c r="E705" s="25"/>
      <c r="F705" s="25"/>
      <c r="G705" s="25"/>
      <c r="H705" s="25"/>
    </row>
    <row r="706">
      <c r="D706" s="25"/>
      <c r="E706" s="25"/>
      <c r="F706" s="25"/>
      <c r="G706" s="25"/>
      <c r="H706" s="25"/>
    </row>
    <row r="707">
      <c r="D707" s="25"/>
      <c r="E707" s="25"/>
      <c r="F707" s="25"/>
      <c r="G707" s="25"/>
      <c r="H707" s="25"/>
    </row>
    <row r="708">
      <c r="D708" s="25"/>
      <c r="E708" s="25"/>
      <c r="F708" s="25"/>
      <c r="G708" s="25"/>
      <c r="H708" s="25"/>
    </row>
    <row r="709">
      <c r="D709" s="25"/>
      <c r="E709" s="25"/>
      <c r="F709" s="25"/>
      <c r="G709" s="25"/>
      <c r="H709" s="25"/>
    </row>
    <row r="710">
      <c r="D710" s="25"/>
      <c r="E710" s="25"/>
      <c r="F710" s="25"/>
      <c r="G710" s="25"/>
      <c r="H710" s="25"/>
    </row>
    <row r="711">
      <c r="D711" s="25"/>
      <c r="E711" s="25"/>
      <c r="F711" s="25"/>
      <c r="G711" s="25"/>
      <c r="H711" s="25"/>
    </row>
    <row r="712">
      <c r="D712" s="25"/>
      <c r="E712" s="25"/>
      <c r="F712" s="25"/>
      <c r="G712" s="25"/>
      <c r="H712" s="25"/>
    </row>
    <row r="713">
      <c r="D713" s="25"/>
      <c r="E713" s="25"/>
      <c r="F713" s="25"/>
      <c r="G713" s="25"/>
      <c r="H713" s="25"/>
    </row>
    <row r="714">
      <c r="D714" s="25"/>
      <c r="E714" s="25"/>
      <c r="F714" s="25"/>
      <c r="G714" s="25"/>
      <c r="H714" s="25"/>
    </row>
    <row r="715">
      <c r="D715" s="25"/>
      <c r="E715" s="25"/>
      <c r="F715" s="25"/>
      <c r="G715" s="25"/>
      <c r="H715" s="25"/>
    </row>
    <row r="716">
      <c r="D716" s="25"/>
      <c r="E716" s="25"/>
      <c r="F716" s="25"/>
      <c r="G716" s="25"/>
      <c r="H716" s="25"/>
    </row>
    <row r="717">
      <c r="D717" s="25"/>
      <c r="E717" s="25"/>
      <c r="F717" s="25"/>
      <c r="G717" s="25"/>
      <c r="H717" s="25"/>
    </row>
    <row r="718">
      <c r="D718" s="25"/>
      <c r="E718" s="25"/>
      <c r="F718" s="25"/>
      <c r="G718" s="25"/>
      <c r="H718" s="25"/>
    </row>
    <row r="719">
      <c r="D719" s="25"/>
      <c r="E719" s="25"/>
      <c r="F719" s="25"/>
      <c r="G719" s="25"/>
      <c r="H719" s="25"/>
    </row>
    <row r="720">
      <c r="D720" s="25"/>
      <c r="E720" s="25"/>
      <c r="F720" s="25"/>
      <c r="G720" s="25"/>
      <c r="H720" s="25"/>
    </row>
    <row r="721">
      <c r="D721" s="25"/>
      <c r="E721" s="25"/>
      <c r="F721" s="25"/>
      <c r="G721" s="25"/>
      <c r="H721" s="25"/>
    </row>
    <row r="722">
      <c r="D722" s="25"/>
      <c r="E722" s="25"/>
      <c r="F722" s="25"/>
      <c r="G722" s="25"/>
      <c r="H722" s="25"/>
    </row>
    <row r="723">
      <c r="D723" s="25"/>
      <c r="E723" s="25"/>
      <c r="F723" s="25"/>
      <c r="G723" s="25"/>
      <c r="H723" s="25"/>
    </row>
    <row r="724">
      <c r="D724" s="25"/>
      <c r="E724" s="25"/>
      <c r="F724" s="25"/>
      <c r="G724" s="25"/>
      <c r="H724" s="25"/>
    </row>
    <row r="725">
      <c r="D725" s="25"/>
      <c r="E725" s="25"/>
      <c r="F725" s="25"/>
      <c r="G725" s="25"/>
      <c r="H725" s="25"/>
    </row>
    <row r="726">
      <c r="D726" s="25"/>
      <c r="E726" s="25"/>
      <c r="F726" s="25"/>
      <c r="G726" s="25"/>
      <c r="H726" s="25"/>
    </row>
    <row r="727">
      <c r="D727" s="25"/>
      <c r="E727" s="25"/>
      <c r="F727" s="25"/>
      <c r="G727" s="25"/>
      <c r="H727" s="25"/>
    </row>
    <row r="728">
      <c r="D728" s="25"/>
      <c r="E728" s="25"/>
      <c r="F728" s="25"/>
      <c r="G728" s="25"/>
      <c r="H728" s="25"/>
    </row>
    <row r="729">
      <c r="D729" s="25"/>
      <c r="E729" s="25"/>
      <c r="F729" s="25"/>
      <c r="G729" s="25"/>
      <c r="H729" s="25"/>
    </row>
    <row r="730">
      <c r="D730" s="25"/>
      <c r="E730" s="25"/>
      <c r="F730" s="25"/>
      <c r="G730" s="25"/>
      <c r="H730" s="25"/>
    </row>
    <row r="731">
      <c r="D731" s="25"/>
      <c r="E731" s="25"/>
      <c r="F731" s="25"/>
      <c r="G731" s="25"/>
      <c r="H731" s="25"/>
    </row>
    <row r="732">
      <c r="D732" s="25"/>
      <c r="E732" s="25"/>
      <c r="F732" s="25"/>
      <c r="G732" s="25"/>
      <c r="H732" s="25"/>
    </row>
    <row r="733">
      <c r="D733" s="25"/>
      <c r="E733" s="25"/>
      <c r="F733" s="25"/>
      <c r="G733" s="25"/>
      <c r="H733" s="25"/>
    </row>
    <row r="734">
      <c r="D734" s="25"/>
      <c r="E734" s="25"/>
      <c r="F734" s="25"/>
      <c r="G734" s="25"/>
      <c r="H734" s="25"/>
    </row>
    <row r="735">
      <c r="D735" s="25"/>
      <c r="E735" s="25"/>
      <c r="F735" s="25"/>
      <c r="G735" s="25"/>
      <c r="H735" s="25"/>
    </row>
    <row r="736">
      <c r="D736" s="25"/>
      <c r="E736" s="25"/>
      <c r="F736" s="25"/>
      <c r="G736" s="25"/>
      <c r="H736" s="25"/>
    </row>
    <row r="737">
      <c r="D737" s="25"/>
      <c r="E737" s="25"/>
      <c r="F737" s="25"/>
      <c r="G737" s="25"/>
      <c r="H737" s="25"/>
    </row>
    <row r="738">
      <c r="D738" s="25"/>
      <c r="E738" s="25"/>
      <c r="F738" s="25"/>
      <c r="G738" s="25"/>
      <c r="H738" s="25"/>
    </row>
    <row r="739">
      <c r="D739" s="25"/>
      <c r="E739" s="25"/>
      <c r="F739" s="25"/>
      <c r="G739" s="25"/>
      <c r="H739" s="25"/>
    </row>
    <row r="740">
      <c r="D740" s="25"/>
      <c r="E740" s="25"/>
      <c r="F740" s="25"/>
      <c r="G740" s="25"/>
      <c r="H740" s="25"/>
    </row>
    <row r="741">
      <c r="D741" s="25"/>
      <c r="E741" s="25"/>
      <c r="F741" s="25"/>
      <c r="G741" s="25"/>
      <c r="H741" s="25"/>
    </row>
    <row r="742">
      <c r="D742" s="25"/>
      <c r="E742" s="25"/>
      <c r="F742" s="25"/>
      <c r="G742" s="25"/>
      <c r="H742" s="25"/>
    </row>
    <row r="743">
      <c r="D743" s="25"/>
      <c r="E743" s="25"/>
      <c r="F743" s="25"/>
      <c r="G743" s="25"/>
      <c r="H743" s="25"/>
    </row>
    <row r="744">
      <c r="D744" s="25"/>
      <c r="E744" s="25"/>
      <c r="F744" s="25"/>
      <c r="G744" s="25"/>
      <c r="H744" s="25"/>
    </row>
    <row r="745">
      <c r="D745" s="25"/>
      <c r="E745" s="25"/>
      <c r="F745" s="25"/>
      <c r="G745" s="25"/>
      <c r="H745" s="25"/>
    </row>
    <row r="746">
      <c r="D746" s="25"/>
      <c r="E746" s="25"/>
      <c r="F746" s="25"/>
      <c r="G746" s="25"/>
      <c r="H746" s="25"/>
    </row>
    <row r="747">
      <c r="D747" s="25"/>
      <c r="E747" s="25"/>
      <c r="F747" s="25"/>
      <c r="G747" s="25"/>
      <c r="H747" s="25"/>
    </row>
    <row r="748">
      <c r="D748" s="25"/>
      <c r="E748" s="25"/>
      <c r="F748" s="25"/>
      <c r="G748" s="25"/>
      <c r="H748" s="25"/>
    </row>
    <row r="749">
      <c r="D749" s="25"/>
      <c r="E749" s="25"/>
      <c r="F749" s="25"/>
      <c r="G749" s="25"/>
      <c r="H749" s="25"/>
    </row>
    <row r="750">
      <c r="D750" s="25"/>
      <c r="E750" s="25"/>
      <c r="F750" s="25"/>
      <c r="G750" s="25"/>
      <c r="H750" s="25"/>
    </row>
    <row r="751">
      <c r="D751" s="25"/>
      <c r="E751" s="25"/>
      <c r="F751" s="25"/>
      <c r="G751" s="25"/>
      <c r="H751" s="25"/>
    </row>
    <row r="752">
      <c r="D752" s="25"/>
      <c r="E752" s="25"/>
      <c r="F752" s="25"/>
      <c r="G752" s="25"/>
      <c r="H752" s="25"/>
    </row>
    <row r="753">
      <c r="D753" s="25"/>
      <c r="E753" s="25"/>
      <c r="F753" s="25"/>
      <c r="G753" s="25"/>
      <c r="H753" s="25"/>
    </row>
    <row r="754">
      <c r="D754" s="25"/>
      <c r="E754" s="25"/>
      <c r="F754" s="25"/>
      <c r="G754" s="25"/>
      <c r="H754" s="25"/>
    </row>
    <row r="755">
      <c r="D755" s="25"/>
      <c r="E755" s="25"/>
      <c r="F755" s="25"/>
      <c r="G755" s="25"/>
      <c r="H755" s="25"/>
    </row>
    <row r="756">
      <c r="D756" s="25"/>
      <c r="E756" s="25"/>
      <c r="F756" s="25"/>
      <c r="G756" s="25"/>
      <c r="H756" s="25"/>
    </row>
    <row r="757">
      <c r="D757" s="25"/>
      <c r="E757" s="25"/>
      <c r="F757" s="25"/>
      <c r="G757" s="25"/>
      <c r="H757" s="25"/>
    </row>
    <row r="758">
      <c r="D758" s="25"/>
      <c r="E758" s="25"/>
      <c r="F758" s="25"/>
      <c r="G758" s="25"/>
      <c r="H758" s="25"/>
    </row>
    <row r="759">
      <c r="D759" s="25"/>
      <c r="E759" s="25"/>
      <c r="F759" s="25"/>
      <c r="G759" s="25"/>
      <c r="H759" s="25"/>
    </row>
    <row r="760">
      <c r="D760" s="25"/>
      <c r="E760" s="25"/>
      <c r="F760" s="25"/>
      <c r="G760" s="25"/>
      <c r="H760" s="25"/>
    </row>
    <row r="761">
      <c r="D761" s="25"/>
      <c r="E761" s="25"/>
      <c r="F761" s="25"/>
      <c r="G761" s="25"/>
      <c r="H761" s="25"/>
    </row>
    <row r="762">
      <c r="D762" s="25"/>
      <c r="E762" s="25"/>
      <c r="F762" s="25"/>
      <c r="G762" s="25"/>
      <c r="H762" s="25"/>
    </row>
    <row r="763">
      <c r="D763" s="25"/>
      <c r="E763" s="25"/>
      <c r="F763" s="25"/>
      <c r="G763" s="25"/>
      <c r="H763" s="25"/>
    </row>
    <row r="764">
      <c r="D764" s="25"/>
      <c r="E764" s="25"/>
      <c r="F764" s="25"/>
      <c r="G764" s="25"/>
      <c r="H764" s="25"/>
    </row>
    <row r="765">
      <c r="D765" s="25"/>
      <c r="E765" s="25"/>
      <c r="F765" s="25"/>
      <c r="G765" s="25"/>
      <c r="H765" s="25"/>
    </row>
    <row r="766">
      <c r="D766" s="25"/>
      <c r="E766" s="25"/>
      <c r="F766" s="25"/>
      <c r="G766" s="25"/>
      <c r="H766" s="25"/>
    </row>
    <row r="767">
      <c r="D767" s="25"/>
      <c r="E767" s="25"/>
      <c r="F767" s="25"/>
      <c r="G767" s="25"/>
      <c r="H767" s="25"/>
    </row>
    <row r="768">
      <c r="D768" s="25"/>
      <c r="E768" s="25"/>
      <c r="F768" s="25"/>
      <c r="G768" s="25"/>
      <c r="H768" s="25"/>
    </row>
    <row r="769">
      <c r="D769" s="25"/>
      <c r="E769" s="25"/>
      <c r="F769" s="25"/>
      <c r="G769" s="25"/>
      <c r="H769" s="25"/>
    </row>
    <row r="770">
      <c r="D770" s="25"/>
      <c r="E770" s="25"/>
      <c r="F770" s="25"/>
      <c r="G770" s="25"/>
      <c r="H770" s="25"/>
    </row>
    <row r="771">
      <c r="D771" s="25"/>
      <c r="E771" s="25"/>
      <c r="F771" s="25"/>
      <c r="G771" s="25"/>
      <c r="H771" s="25"/>
    </row>
    <row r="772">
      <c r="D772" s="25"/>
      <c r="E772" s="25"/>
      <c r="F772" s="25"/>
      <c r="G772" s="25"/>
      <c r="H772" s="25"/>
    </row>
    <row r="773">
      <c r="D773" s="25"/>
      <c r="E773" s="25"/>
      <c r="F773" s="25"/>
      <c r="G773" s="25"/>
      <c r="H773" s="25"/>
    </row>
    <row r="774">
      <c r="D774" s="25"/>
      <c r="E774" s="25"/>
      <c r="F774" s="25"/>
      <c r="G774" s="25"/>
      <c r="H774" s="25"/>
    </row>
    <row r="775">
      <c r="D775" s="25"/>
      <c r="E775" s="25"/>
      <c r="F775" s="25"/>
      <c r="G775" s="25"/>
      <c r="H775" s="25"/>
    </row>
    <row r="776">
      <c r="D776" s="25"/>
      <c r="E776" s="25"/>
      <c r="F776" s="25"/>
      <c r="G776" s="25"/>
      <c r="H776" s="25"/>
    </row>
    <row r="777">
      <c r="D777" s="25"/>
      <c r="E777" s="25"/>
      <c r="F777" s="25"/>
      <c r="G777" s="25"/>
      <c r="H777" s="25"/>
    </row>
    <row r="778">
      <c r="D778" s="25"/>
      <c r="E778" s="25"/>
      <c r="F778" s="25"/>
      <c r="G778" s="25"/>
      <c r="H778" s="25"/>
    </row>
    <row r="779">
      <c r="D779" s="25"/>
      <c r="E779" s="25"/>
      <c r="F779" s="25"/>
      <c r="G779" s="25"/>
      <c r="H779" s="25"/>
    </row>
    <row r="780">
      <c r="D780" s="25"/>
      <c r="E780" s="25"/>
      <c r="F780" s="25"/>
      <c r="G780" s="25"/>
      <c r="H780" s="25"/>
    </row>
    <row r="781">
      <c r="D781" s="25"/>
      <c r="E781" s="25"/>
      <c r="F781" s="25"/>
      <c r="G781" s="25"/>
      <c r="H781" s="25"/>
    </row>
    <row r="782">
      <c r="D782" s="25"/>
      <c r="E782" s="25"/>
      <c r="F782" s="25"/>
      <c r="G782" s="25"/>
      <c r="H782" s="25"/>
    </row>
    <row r="783">
      <c r="D783" s="25"/>
      <c r="E783" s="25"/>
      <c r="F783" s="25"/>
      <c r="G783" s="25"/>
      <c r="H783" s="25"/>
    </row>
    <row r="784">
      <c r="D784" s="25"/>
      <c r="E784" s="25"/>
      <c r="F784" s="25"/>
      <c r="G784" s="25"/>
      <c r="H784" s="25"/>
    </row>
    <row r="785">
      <c r="D785" s="25"/>
      <c r="E785" s="25"/>
      <c r="F785" s="25"/>
      <c r="G785" s="25"/>
      <c r="H785" s="25"/>
    </row>
    <row r="786">
      <c r="D786" s="25"/>
      <c r="E786" s="25"/>
      <c r="F786" s="25"/>
      <c r="G786" s="25"/>
      <c r="H786" s="25"/>
    </row>
    <row r="787">
      <c r="D787" s="25"/>
      <c r="E787" s="25"/>
      <c r="F787" s="25"/>
      <c r="G787" s="25"/>
      <c r="H787" s="25"/>
    </row>
    <row r="788">
      <c r="D788" s="25"/>
      <c r="E788" s="25"/>
      <c r="F788" s="25"/>
      <c r="G788" s="25"/>
      <c r="H788" s="25"/>
    </row>
    <row r="789">
      <c r="D789" s="25"/>
      <c r="E789" s="25"/>
      <c r="F789" s="25"/>
      <c r="G789" s="25"/>
      <c r="H789" s="25"/>
    </row>
    <row r="790">
      <c r="D790" s="25"/>
      <c r="E790" s="25"/>
      <c r="F790" s="25"/>
      <c r="G790" s="25"/>
      <c r="H790" s="25"/>
    </row>
    <row r="791">
      <c r="D791" s="25"/>
      <c r="E791" s="25"/>
      <c r="F791" s="25"/>
      <c r="G791" s="25"/>
      <c r="H791" s="25"/>
    </row>
    <row r="792">
      <c r="D792" s="25"/>
      <c r="E792" s="25"/>
      <c r="F792" s="25"/>
      <c r="G792" s="25"/>
      <c r="H792" s="25"/>
    </row>
    <row r="793">
      <c r="D793" s="25"/>
      <c r="E793" s="25"/>
      <c r="F793" s="25"/>
      <c r="G793" s="25"/>
      <c r="H793" s="25"/>
    </row>
    <row r="794">
      <c r="D794" s="25"/>
      <c r="E794" s="25"/>
      <c r="F794" s="25"/>
      <c r="G794" s="25"/>
      <c r="H794" s="25"/>
    </row>
    <row r="795">
      <c r="D795" s="25"/>
      <c r="E795" s="25"/>
      <c r="F795" s="25"/>
      <c r="G795" s="25"/>
      <c r="H795" s="25"/>
    </row>
    <row r="796">
      <c r="D796" s="25"/>
      <c r="E796" s="25"/>
      <c r="F796" s="25"/>
      <c r="G796" s="25"/>
      <c r="H796" s="25"/>
    </row>
    <row r="797">
      <c r="D797" s="25"/>
      <c r="E797" s="25"/>
      <c r="F797" s="25"/>
      <c r="G797" s="25"/>
      <c r="H797" s="25"/>
    </row>
    <row r="798">
      <c r="D798" s="25"/>
      <c r="E798" s="25"/>
      <c r="F798" s="25"/>
      <c r="G798" s="25"/>
      <c r="H798" s="25"/>
    </row>
    <row r="799">
      <c r="D799" s="25"/>
      <c r="E799" s="25"/>
      <c r="F799" s="25"/>
      <c r="G799" s="25"/>
      <c r="H799" s="25"/>
    </row>
    <row r="800">
      <c r="D800" s="25"/>
      <c r="E800" s="25"/>
      <c r="F800" s="25"/>
      <c r="G800" s="25"/>
      <c r="H800" s="25"/>
    </row>
    <row r="801">
      <c r="D801" s="25"/>
      <c r="E801" s="25"/>
      <c r="F801" s="25"/>
      <c r="G801" s="25"/>
      <c r="H801" s="25"/>
    </row>
    <row r="802">
      <c r="D802" s="25"/>
      <c r="E802" s="25"/>
      <c r="F802" s="25"/>
      <c r="G802" s="25"/>
      <c r="H802" s="25"/>
    </row>
    <row r="803">
      <c r="D803" s="25"/>
      <c r="E803" s="25"/>
      <c r="F803" s="25"/>
      <c r="G803" s="25"/>
      <c r="H803" s="25"/>
    </row>
    <row r="804">
      <c r="D804" s="25"/>
      <c r="E804" s="25"/>
      <c r="F804" s="25"/>
      <c r="G804" s="25"/>
      <c r="H804" s="25"/>
    </row>
    <row r="805">
      <c r="D805" s="25"/>
      <c r="E805" s="25"/>
      <c r="F805" s="25"/>
      <c r="G805" s="25"/>
      <c r="H805" s="25"/>
    </row>
    <row r="806">
      <c r="D806" s="25"/>
      <c r="E806" s="25"/>
      <c r="F806" s="25"/>
      <c r="G806" s="25"/>
      <c r="H806" s="25"/>
    </row>
    <row r="807">
      <c r="D807" s="25"/>
      <c r="E807" s="25"/>
      <c r="F807" s="25"/>
      <c r="G807" s="25"/>
      <c r="H807" s="25"/>
    </row>
    <row r="808">
      <c r="D808" s="25"/>
      <c r="E808" s="25"/>
      <c r="F808" s="25"/>
      <c r="G808" s="25"/>
      <c r="H808" s="25"/>
    </row>
    <row r="809">
      <c r="D809" s="25"/>
      <c r="E809" s="25"/>
      <c r="F809" s="25"/>
      <c r="G809" s="25"/>
      <c r="H809" s="25"/>
    </row>
    <row r="810">
      <c r="D810" s="25"/>
      <c r="E810" s="25"/>
      <c r="F810" s="25"/>
      <c r="G810" s="25"/>
      <c r="H810" s="25"/>
    </row>
    <row r="811">
      <c r="D811" s="25"/>
      <c r="E811" s="25"/>
      <c r="F811" s="25"/>
      <c r="G811" s="25"/>
      <c r="H811" s="25"/>
    </row>
    <row r="812">
      <c r="D812" s="25"/>
      <c r="E812" s="25"/>
      <c r="F812" s="25"/>
      <c r="G812" s="25"/>
      <c r="H812" s="25"/>
    </row>
    <row r="813">
      <c r="D813" s="25"/>
      <c r="E813" s="25"/>
      <c r="F813" s="25"/>
      <c r="G813" s="25"/>
      <c r="H813" s="25"/>
    </row>
    <row r="814">
      <c r="D814" s="25"/>
      <c r="E814" s="25"/>
      <c r="F814" s="25"/>
      <c r="G814" s="25"/>
      <c r="H814" s="25"/>
    </row>
    <row r="815">
      <c r="D815" s="25"/>
      <c r="E815" s="25"/>
      <c r="F815" s="25"/>
      <c r="G815" s="25"/>
      <c r="H815" s="25"/>
    </row>
    <row r="816">
      <c r="D816" s="25"/>
      <c r="E816" s="25"/>
      <c r="F816" s="25"/>
      <c r="G816" s="25"/>
      <c r="H816" s="25"/>
    </row>
    <row r="817">
      <c r="D817" s="25"/>
      <c r="E817" s="25"/>
      <c r="F817" s="25"/>
      <c r="G817" s="25"/>
      <c r="H817" s="25"/>
    </row>
    <row r="818">
      <c r="D818" s="25"/>
      <c r="E818" s="25"/>
      <c r="F818" s="25"/>
      <c r="G818" s="25"/>
      <c r="H818" s="25"/>
    </row>
    <row r="819">
      <c r="D819" s="25"/>
      <c r="E819" s="25"/>
      <c r="F819" s="25"/>
      <c r="G819" s="25"/>
      <c r="H819" s="25"/>
    </row>
    <row r="820">
      <c r="D820" s="25"/>
      <c r="E820" s="25"/>
      <c r="F820" s="25"/>
      <c r="G820" s="25"/>
      <c r="H820" s="25"/>
    </row>
    <row r="821">
      <c r="D821" s="25"/>
      <c r="E821" s="25"/>
      <c r="F821" s="25"/>
      <c r="G821" s="25"/>
      <c r="H821" s="25"/>
    </row>
    <row r="822">
      <c r="D822" s="25"/>
      <c r="E822" s="25"/>
      <c r="F822" s="25"/>
      <c r="G822" s="25"/>
      <c r="H822" s="25"/>
    </row>
    <row r="823">
      <c r="D823" s="25"/>
      <c r="E823" s="25"/>
      <c r="F823" s="25"/>
      <c r="G823" s="25"/>
      <c r="H823" s="25"/>
    </row>
    <row r="824">
      <c r="D824" s="25"/>
      <c r="E824" s="25"/>
      <c r="F824" s="25"/>
      <c r="G824" s="25"/>
      <c r="H824" s="25"/>
    </row>
    <row r="825">
      <c r="D825" s="25"/>
      <c r="E825" s="25"/>
      <c r="F825" s="25"/>
      <c r="G825" s="25"/>
      <c r="H825" s="25"/>
    </row>
    <row r="826">
      <c r="D826" s="25"/>
      <c r="E826" s="25"/>
      <c r="F826" s="25"/>
      <c r="G826" s="25"/>
      <c r="H826" s="25"/>
    </row>
    <row r="827">
      <c r="D827" s="25"/>
      <c r="E827" s="25"/>
      <c r="F827" s="25"/>
      <c r="G827" s="25"/>
      <c r="H827" s="25"/>
    </row>
    <row r="828">
      <c r="D828" s="25"/>
      <c r="E828" s="25"/>
      <c r="F828" s="25"/>
      <c r="G828" s="25"/>
      <c r="H828" s="25"/>
    </row>
    <row r="829">
      <c r="D829" s="25"/>
      <c r="E829" s="25"/>
      <c r="F829" s="25"/>
      <c r="G829" s="25"/>
      <c r="H829" s="25"/>
    </row>
    <row r="830">
      <c r="D830" s="25"/>
      <c r="E830" s="25"/>
      <c r="F830" s="25"/>
      <c r="G830" s="25"/>
      <c r="H830" s="25"/>
    </row>
    <row r="831">
      <c r="D831" s="25"/>
      <c r="E831" s="25"/>
      <c r="F831" s="25"/>
      <c r="G831" s="25"/>
      <c r="H831" s="25"/>
    </row>
    <row r="832">
      <c r="D832" s="25"/>
      <c r="E832" s="25"/>
      <c r="F832" s="25"/>
      <c r="G832" s="25"/>
      <c r="H832" s="25"/>
    </row>
    <row r="833">
      <c r="D833" s="25"/>
      <c r="E833" s="25"/>
      <c r="F833" s="25"/>
      <c r="G833" s="25"/>
      <c r="H833" s="25"/>
    </row>
    <row r="834">
      <c r="D834" s="25"/>
      <c r="E834" s="25"/>
      <c r="F834" s="25"/>
      <c r="G834" s="25"/>
      <c r="H834" s="25"/>
    </row>
    <row r="835">
      <c r="D835" s="25"/>
      <c r="E835" s="25"/>
      <c r="F835" s="25"/>
      <c r="G835" s="25"/>
      <c r="H835" s="25"/>
    </row>
    <row r="836">
      <c r="D836" s="25"/>
      <c r="E836" s="25"/>
      <c r="F836" s="25"/>
      <c r="G836" s="25"/>
      <c r="H836" s="25"/>
    </row>
    <row r="837">
      <c r="D837" s="25"/>
      <c r="E837" s="25"/>
      <c r="F837" s="25"/>
      <c r="G837" s="25"/>
      <c r="H837" s="25"/>
    </row>
    <row r="838">
      <c r="D838" s="25"/>
      <c r="E838" s="25"/>
      <c r="F838" s="25"/>
      <c r="G838" s="25"/>
      <c r="H838" s="25"/>
    </row>
    <row r="839">
      <c r="D839" s="25"/>
      <c r="E839" s="25"/>
      <c r="F839" s="25"/>
      <c r="G839" s="25"/>
      <c r="H839" s="25"/>
    </row>
    <row r="840">
      <c r="D840" s="25"/>
      <c r="E840" s="25"/>
      <c r="F840" s="25"/>
      <c r="G840" s="25"/>
      <c r="H840" s="25"/>
    </row>
    <row r="841">
      <c r="D841" s="25"/>
      <c r="E841" s="25"/>
      <c r="F841" s="25"/>
      <c r="G841" s="25"/>
      <c r="H841" s="25"/>
    </row>
    <row r="842">
      <c r="D842" s="25"/>
      <c r="E842" s="25"/>
      <c r="F842" s="25"/>
      <c r="G842" s="25"/>
      <c r="H842" s="25"/>
    </row>
    <row r="843">
      <c r="D843" s="25"/>
      <c r="E843" s="25"/>
      <c r="F843" s="25"/>
      <c r="G843" s="25"/>
      <c r="H843" s="25"/>
    </row>
    <row r="844">
      <c r="D844" s="25"/>
      <c r="E844" s="25"/>
      <c r="F844" s="25"/>
      <c r="G844" s="25"/>
      <c r="H844" s="25"/>
    </row>
    <row r="845">
      <c r="D845" s="25"/>
      <c r="E845" s="25"/>
      <c r="F845" s="25"/>
      <c r="G845" s="25"/>
      <c r="H845" s="25"/>
    </row>
    <row r="846">
      <c r="D846" s="25"/>
      <c r="E846" s="25"/>
      <c r="F846" s="25"/>
      <c r="G846" s="25"/>
      <c r="H846" s="25"/>
    </row>
    <row r="847">
      <c r="D847" s="25"/>
      <c r="E847" s="25"/>
      <c r="F847" s="25"/>
      <c r="G847" s="25"/>
      <c r="H847" s="25"/>
    </row>
    <row r="848">
      <c r="D848" s="25"/>
      <c r="E848" s="25"/>
      <c r="F848" s="25"/>
      <c r="G848" s="25"/>
      <c r="H848" s="25"/>
    </row>
    <row r="849">
      <c r="D849" s="25"/>
      <c r="E849" s="25"/>
      <c r="F849" s="25"/>
      <c r="G849" s="25"/>
      <c r="H849" s="25"/>
    </row>
    <row r="850">
      <c r="D850" s="25"/>
      <c r="E850" s="25"/>
      <c r="F850" s="25"/>
      <c r="G850" s="25"/>
      <c r="H850" s="25"/>
    </row>
    <row r="851">
      <c r="D851" s="25"/>
      <c r="E851" s="25"/>
      <c r="F851" s="25"/>
      <c r="G851" s="25"/>
      <c r="H851" s="25"/>
    </row>
    <row r="852">
      <c r="D852" s="25"/>
      <c r="E852" s="25"/>
      <c r="F852" s="25"/>
      <c r="G852" s="25"/>
      <c r="H852" s="25"/>
    </row>
    <row r="853">
      <c r="D853" s="25"/>
      <c r="E853" s="25"/>
      <c r="F853" s="25"/>
      <c r="G853" s="25"/>
      <c r="H853" s="25"/>
    </row>
    <row r="854">
      <c r="D854" s="25"/>
      <c r="E854" s="25"/>
      <c r="F854" s="25"/>
      <c r="G854" s="25"/>
      <c r="H854" s="25"/>
    </row>
    <row r="855">
      <c r="D855" s="25"/>
      <c r="E855" s="25"/>
      <c r="F855" s="25"/>
      <c r="G855" s="25"/>
      <c r="H855" s="25"/>
    </row>
    <row r="856">
      <c r="D856" s="25"/>
      <c r="E856" s="25"/>
      <c r="F856" s="25"/>
      <c r="G856" s="25"/>
      <c r="H856" s="25"/>
    </row>
    <row r="857">
      <c r="D857" s="25"/>
      <c r="E857" s="25"/>
      <c r="F857" s="25"/>
      <c r="G857" s="25"/>
      <c r="H857" s="25"/>
    </row>
    <row r="858">
      <c r="D858" s="25"/>
      <c r="E858" s="25"/>
      <c r="F858" s="25"/>
      <c r="G858" s="25"/>
      <c r="H858" s="25"/>
    </row>
    <row r="859">
      <c r="D859" s="25"/>
      <c r="E859" s="25"/>
      <c r="F859" s="25"/>
      <c r="G859" s="25"/>
      <c r="H859" s="25"/>
    </row>
    <row r="860">
      <c r="D860" s="25"/>
      <c r="E860" s="25"/>
      <c r="F860" s="25"/>
      <c r="G860" s="25"/>
      <c r="H860" s="25"/>
    </row>
    <row r="861">
      <c r="D861" s="25"/>
      <c r="E861" s="25"/>
      <c r="F861" s="25"/>
      <c r="G861" s="25"/>
      <c r="H861" s="25"/>
    </row>
    <row r="862">
      <c r="D862" s="25"/>
      <c r="E862" s="25"/>
      <c r="F862" s="25"/>
      <c r="G862" s="25"/>
      <c r="H862" s="25"/>
    </row>
    <row r="863">
      <c r="D863" s="25"/>
      <c r="E863" s="25"/>
      <c r="F863" s="25"/>
      <c r="G863" s="25"/>
      <c r="H863" s="25"/>
    </row>
    <row r="864">
      <c r="D864" s="25"/>
      <c r="E864" s="25"/>
      <c r="F864" s="25"/>
      <c r="G864" s="25"/>
      <c r="H864" s="25"/>
    </row>
    <row r="865">
      <c r="D865" s="25"/>
      <c r="E865" s="25"/>
      <c r="F865" s="25"/>
      <c r="G865" s="25"/>
      <c r="H865" s="25"/>
    </row>
    <row r="866">
      <c r="D866" s="25"/>
      <c r="E866" s="25"/>
      <c r="F866" s="25"/>
      <c r="G866" s="25"/>
      <c r="H866" s="25"/>
    </row>
    <row r="867">
      <c r="D867" s="25"/>
      <c r="E867" s="25"/>
      <c r="F867" s="25"/>
      <c r="G867" s="25"/>
      <c r="H867" s="25"/>
    </row>
    <row r="868">
      <c r="D868" s="25"/>
      <c r="E868" s="25"/>
      <c r="F868" s="25"/>
      <c r="G868" s="25"/>
      <c r="H868" s="25"/>
    </row>
    <row r="869">
      <c r="D869" s="25"/>
      <c r="E869" s="25"/>
      <c r="F869" s="25"/>
      <c r="G869" s="25"/>
      <c r="H869" s="25"/>
    </row>
    <row r="870">
      <c r="D870" s="25"/>
      <c r="E870" s="25"/>
      <c r="F870" s="25"/>
      <c r="G870" s="25"/>
      <c r="H870" s="25"/>
    </row>
    <row r="871">
      <c r="D871" s="25"/>
      <c r="E871" s="25"/>
      <c r="F871" s="25"/>
      <c r="G871" s="25"/>
      <c r="H871" s="25"/>
    </row>
    <row r="872">
      <c r="D872" s="25"/>
      <c r="E872" s="25"/>
      <c r="F872" s="25"/>
      <c r="G872" s="25"/>
      <c r="H872" s="25"/>
    </row>
    <row r="873">
      <c r="D873" s="25"/>
      <c r="E873" s="25"/>
      <c r="F873" s="25"/>
      <c r="G873" s="25"/>
      <c r="H873" s="25"/>
    </row>
    <row r="874">
      <c r="D874" s="25"/>
      <c r="E874" s="25"/>
      <c r="F874" s="25"/>
      <c r="G874" s="25"/>
      <c r="H874" s="25"/>
    </row>
    <row r="875">
      <c r="D875" s="25"/>
      <c r="E875" s="25"/>
      <c r="F875" s="25"/>
      <c r="G875" s="25"/>
      <c r="H875" s="25"/>
    </row>
    <row r="876">
      <c r="D876" s="25"/>
      <c r="E876" s="25"/>
      <c r="F876" s="25"/>
      <c r="G876" s="25"/>
      <c r="H876" s="25"/>
    </row>
    <row r="877">
      <c r="D877" s="25"/>
      <c r="E877" s="25"/>
      <c r="F877" s="25"/>
      <c r="G877" s="25"/>
      <c r="H877" s="25"/>
    </row>
    <row r="878">
      <c r="D878" s="25"/>
      <c r="E878" s="25"/>
      <c r="F878" s="25"/>
      <c r="G878" s="25"/>
      <c r="H878" s="25"/>
    </row>
    <row r="879">
      <c r="D879" s="25"/>
      <c r="E879" s="25"/>
      <c r="F879" s="25"/>
      <c r="G879" s="25"/>
      <c r="H879" s="25"/>
    </row>
    <row r="880">
      <c r="D880" s="25"/>
      <c r="E880" s="25"/>
      <c r="F880" s="25"/>
      <c r="G880" s="25"/>
      <c r="H880" s="25"/>
    </row>
    <row r="881">
      <c r="D881" s="25"/>
      <c r="E881" s="25"/>
      <c r="F881" s="25"/>
      <c r="G881" s="25"/>
      <c r="H881" s="25"/>
    </row>
    <row r="882">
      <c r="D882" s="25"/>
      <c r="E882" s="25"/>
      <c r="F882" s="25"/>
      <c r="G882" s="25"/>
      <c r="H882" s="25"/>
    </row>
    <row r="883">
      <c r="D883" s="25"/>
      <c r="E883" s="25"/>
      <c r="F883" s="25"/>
      <c r="G883" s="25"/>
      <c r="H883" s="25"/>
    </row>
    <row r="884">
      <c r="D884" s="25"/>
      <c r="E884" s="25"/>
      <c r="F884" s="25"/>
      <c r="G884" s="25"/>
      <c r="H884" s="25"/>
    </row>
    <row r="885">
      <c r="D885" s="25"/>
      <c r="E885" s="25"/>
      <c r="F885" s="25"/>
      <c r="G885" s="25"/>
      <c r="H885" s="25"/>
    </row>
    <row r="886">
      <c r="D886" s="25"/>
      <c r="E886" s="25"/>
      <c r="F886" s="25"/>
      <c r="G886" s="25"/>
      <c r="H886" s="25"/>
    </row>
    <row r="887">
      <c r="D887" s="25"/>
      <c r="E887" s="25"/>
      <c r="F887" s="25"/>
      <c r="G887" s="25"/>
      <c r="H887" s="25"/>
    </row>
    <row r="888">
      <c r="D888" s="25"/>
      <c r="E888" s="25"/>
      <c r="F888" s="25"/>
      <c r="G888" s="25"/>
      <c r="H888" s="25"/>
    </row>
    <row r="889">
      <c r="D889" s="25"/>
      <c r="E889" s="25"/>
      <c r="F889" s="25"/>
      <c r="G889" s="25"/>
      <c r="H889" s="25"/>
    </row>
    <row r="890">
      <c r="D890" s="25"/>
      <c r="E890" s="25"/>
      <c r="F890" s="25"/>
      <c r="G890" s="25"/>
      <c r="H890" s="25"/>
    </row>
    <row r="891">
      <c r="D891" s="25"/>
      <c r="E891" s="25"/>
      <c r="F891" s="25"/>
      <c r="G891" s="25"/>
      <c r="H891" s="25"/>
    </row>
    <row r="892">
      <c r="D892" s="25"/>
      <c r="E892" s="25"/>
      <c r="F892" s="25"/>
      <c r="G892" s="25"/>
      <c r="H892" s="25"/>
    </row>
    <row r="893">
      <c r="D893" s="25"/>
      <c r="E893" s="25"/>
      <c r="F893" s="25"/>
      <c r="G893" s="25"/>
      <c r="H893" s="25"/>
    </row>
    <row r="894">
      <c r="D894" s="25"/>
      <c r="E894" s="25"/>
      <c r="F894" s="25"/>
      <c r="G894" s="25"/>
      <c r="H894" s="25"/>
    </row>
    <row r="895">
      <c r="D895" s="25"/>
      <c r="E895" s="25"/>
      <c r="F895" s="25"/>
      <c r="G895" s="25"/>
      <c r="H895" s="25"/>
    </row>
    <row r="896">
      <c r="D896" s="25"/>
      <c r="E896" s="25"/>
      <c r="F896" s="25"/>
      <c r="G896" s="25"/>
      <c r="H896" s="25"/>
    </row>
    <row r="897">
      <c r="D897" s="25"/>
      <c r="E897" s="25"/>
      <c r="F897" s="25"/>
      <c r="G897" s="25"/>
      <c r="H897" s="25"/>
    </row>
    <row r="898">
      <c r="D898" s="25"/>
      <c r="E898" s="25"/>
      <c r="F898" s="25"/>
      <c r="G898" s="25"/>
      <c r="H898" s="25"/>
    </row>
    <row r="899">
      <c r="D899" s="25"/>
      <c r="E899" s="25"/>
      <c r="F899" s="25"/>
      <c r="G899" s="25"/>
      <c r="H899" s="25"/>
    </row>
    <row r="900">
      <c r="D900" s="25"/>
      <c r="E900" s="25"/>
      <c r="F900" s="25"/>
      <c r="G900" s="25"/>
      <c r="H900" s="25"/>
    </row>
    <row r="901">
      <c r="D901" s="25"/>
      <c r="E901" s="25"/>
      <c r="F901" s="25"/>
      <c r="G901" s="25"/>
      <c r="H901" s="25"/>
    </row>
    <row r="902">
      <c r="D902" s="25"/>
      <c r="E902" s="25"/>
      <c r="F902" s="25"/>
      <c r="G902" s="25"/>
      <c r="H902" s="25"/>
    </row>
    <row r="903">
      <c r="D903" s="25"/>
      <c r="E903" s="25"/>
      <c r="F903" s="25"/>
      <c r="G903" s="25"/>
      <c r="H903" s="25"/>
    </row>
    <row r="904">
      <c r="D904" s="25"/>
      <c r="E904" s="25"/>
      <c r="F904" s="25"/>
      <c r="G904" s="25"/>
      <c r="H904" s="25"/>
    </row>
    <row r="905">
      <c r="D905" s="25"/>
      <c r="E905" s="25"/>
      <c r="F905" s="25"/>
      <c r="G905" s="25"/>
      <c r="H905" s="25"/>
    </row>
    <row r="906">
      <c r="D906" s="25"/>
      <c r="E906" s="25"/>
      <c r="F906" s="25"/>
      <c r="G906" s="25"/>
      <c r="H906" s="25"/>
    </row>
    <row r="907">
      <c r="D907" s="25"/>
      <c r="E907" s="25"/>
      <c r="F907" s="25"/>
      <c r="G907" s="25"/>
      <c r="H907" s="25"/>
    </row>
    <row r="908">
      <c r="D908" s="25"/>
      <c r="E908" s="25"/>
      <c r="F908" s="25"/>
      <c r="G908" s="25"/>
      <c r="H908" s="25"/>
    </row>
    <row r="909">
      <c r="D909" s="25"/>
      <c r="E909" s="25"/>
      <c r="F909" s="25"/>
      <c r="G909" s="25"/>
      <c r="H909" s="25"/>
    </row>
    <row r="910">
      <c r="D910" s="25"/>
      <c r="E910" s="25"/>
      <c r="F910" s="25"/>
      <c r="G910" s="25"/>
      <c r="H910" s="25"/>
    </row>
    <row r="911">
      <c r="D911" s="25"/>
      <c r="E911" s="25"/>
      <c r="F911" s="25"/>
      <c r="G911" s="25"/>
      <c r="H911" s="25"/>
    </row>
    <row r="912">
      <c r="D912" s="25"/>
      <c r="E912" s="25"/>
      <c r="F912" s="25"/>
      <c r="G912" s="25"/>
      <c r="H912" s="25"/>
    </row>
    <row r="913">
      <c r="D913" s="25"/>
      <c r="E913" s="25"/>
      <c r="F913" s="25"/>
      <c r="G913" s="25"/>
      <c r="H913" s="25"/>
    </row>
    <row r="914">
      <c r="D914" s="25"/>
      <c r="E914" s="25"/>
      <c r="F914" s="25"/>
      <c r="G914" s="25"/>
      <c r="H914" s="25"/>
    </row>
    <row r="915">
      <c r="D915" s="25"/>
      <c r="E915" s="25"/>
      <c r="F915" s="25"/>
      <c r="G915" s="25"/>
      <c r="H915" s="25"/>
    </row>
    <row r="916">
      <c r="D916" s="25"/>
      <c r="E916" s="25"/>
      <c r="F916" s="25"/>
      <c r="G916" s="25"/>
      <c r="H916" s="25"/>
    </row>
    <row r="917">
      <c r="D917" s="25"/>
      <c r="E917" s="25"/>
      <c r="F917" s="25"/>
      <c r="G917" s="25"/>
      <c r="H917" s="25"/>
    </row>
    <row r="918">
      <c r="D918" s="25"/>
      <c r="E918" s="25"/>
      <c r="F918" s="25"/>
      <c r="G918" s="25"/>
      <c r="H918" s="25"/>
    </row>
    <row r="919">
      <c r="D919" s="25"/>
      <c r="E919" s="25"/>
      <c r="F919" s="25"/>
      <c r="G919" s="25"/>
      <c r="H919" s="25"/>
    </row>
    <row r="920">
      <c r="D920" s="25"/>
      <c r="E920" s="25"/>
      <c r="F920" s="25"/>
      <c r="G920" s="25"/>
      <c r="H920" s="25"/>
    </row>
    <row r="921">
      <c r="D921" s="25"/>
      <c r="E921" s="25"/>
      <c r="F921" s="25"/>
      <c r="G921" s="25"/>
      <c r="H921" s="25"/>
    </row>
    <row r="922">
      <c r="D922" s="25"/>
      <c r="E922" s="25"/>
      <c r="F922" s="25"/>
      <c r="G922" s="25"/>
      <c r="H922" s="25"/>
    </row>
    <row r="923">
      <c r="D923" s="25"/>
      <c r="E923" s="25"/>
      <c r="F923" s="25"/>
      <c r="G923" s="25"/>
      <c r="H923" s="25"/>
    </row>
    <row r="924">
      <c r="D924" s="25"/>
      <c r="E924" s="25"/>
      <c r="F924" s="25"/>
      <c r="G924" s="25"/>
      <c r="H924" s="25"/>
    </row>
    <row r="925">
      <c r="D925" s="25"/>
      <c r="E925" s="25"/>
      <c r="F925" s="25"/>
      <c r="G925" s="25"/>
      <c r="H925" s="25"/>
    </row>
    <row r="926">
      <c r="D926" s="25"/>
      <c r="E926" s="25"/>
      <c r="F926" s="25"/>
      <c r="G926" s="25"/>
      <c r="H926" s="25"/>
    </row>
    <row r="927">
      <c r="D927" s="25"/>
      <c r="E927" s="25"/>
      <c r="F927" s="25"/>
      <c r="G927" s="25"/>
      <c r="H927" s="25"/>
    </row>
    <row r="928">
      <c r="D928" s="25"/>
      <c r="E928" s="25"/>
      <c r="F928" s="25"/>
      <c r="G928" s="25"/>
      <c r="H928" s="25"/>
    </row>
    <row r="929">
      <c r="D929" s="25"/>
      <c r="E929" s="25"/>
      <c r="F929" s="25"/>
      <c r="G929" s="25"/>
      <c r="H929" s="25"/>
    </row>
    <row r="930">
      <c r="D930" s="25"/>
      <c r="E930" s="25"/>
      <c r="F930" s="25"/>
      <c r="G930" s="25"/>
      <c r="H930" s="25"/>
    </row>
    <row r="931">
      <c r="D931" s="25"/>
      <c r="E931" s="25"/>
      <c r="F931" s="25"/>
      <c r="G931" s="25"/>
      <c r="H931" s="25"/>
    </row>
    <row r="932">
      <c r="D932" s="25"/>
      <c r="E932" s="25"/>
      <c r="F932" s="25"/>
      <c r="G932" s="25"/>
      <c r="H932" s="25"/>
    </row>
    <row r="933">
      <c r="D933" s="25"/>
      <c r="E933" s="25"/>
      <c r="F933" s="25"/>
      <c r="G933" s="25"/>
      <c r="H933" s="25"/>
    </row>
    <row r="934">
      <c r="D934" s="25"/>
      <c r="E934" s="25"/>
      <c r="F934" s="25"/>
      <c r="G934" s="25"/>
      <c r="H934" s="25"/>
    </row>
    <row r="935">
      <c r="D935" s="25"/>
      <c r="E935" s="25"/>
      <c r="F935" s="25"/>
      <c r="G935" s="25"/>
      <c r="H935" s="25"/>
    </row>
    <row r="936">
      <c r="D936" s="25"/>
      <c r="E936" s="25"/>
      <c r="F936" s="25"/>
      <c r="G936" s="25"/>
      <c r="H936" s="25"/>
    </row>
    <row r="937">
      <c r="D937" s="25"/>
      <c r="E937" s="25"/>
      <c r="F937" s="25"/>
      <c r="G937" s="25"/>
      <c r="H937" s="25"/>
    </row>
    <row r="938">
      <c r="D938" s="25"/>
      <c r="E938" s="25"/>
      <c r="F938" s="25"/>
      <c r="G938" s="25"/>
      <c r="H938" s="25"/>
    </row>
    <row r="939">
      <c r="D939" s="25"/>
      <c r="E939" s="25"/>
      <c r="F939" s="25"/>
      <c r="G939" s="25"/>
      <c r="H939" s="25"/>
    </row>
    <row r="940">
      <c r="D940" s="25"/>
      <c r="E940" s="25"/>
      <c r="F940" s="25"/>
      <c r="G940" s="25"/>
      <c r="H940" s="25"/>
    </row>
    <row r="941">
      <c r="D941" s="25"/>
      <c r="E941" s="25"/>
      <c r="F941" s="25"/>
      <c r="G941" s="25"/>
      <c r="H941" s="25"/>
    </row>
    <row r="942">
      <c r="D942" s="25"/>
      <c r="E942" s="25"/>
      <c r="F942" s="25"/>
      <c r="G942" s="25"/>
      <c r="H942" s="25"/>
    </row>
    <row r="943">
      <c r="D943" s="25"/>
      <c r="E943" s="25"/>
      <c r="F943" s="25"/>
      <c r="G943" s="25"/>
      <c r="H943" s="25"/>
    </row>
    <row r="944">
      <c r="D944" s="25"/>
      <c r="E944" s="25"/>
      <c r="F944" s="25"/>
      <c r="G944" s="25"/>
      <c r="H944" s="25"/>
    </row>
    <row r="945">
      <c r="D945" s="25"/>
      <c r="E945" s="25"/>
      <c r="F945" s="25"/>
      <c r="G945" s="25"/>
      <c r="H945" s="25"/>
    </row>
    <row r="946">
      <c r="D946" s="25"/>
      <c r="E946" s="25"/>
      <c r="F946" s="25"/>
      <c r="G946" s="25"/>
      <c r="H946" s="25"/>
    </row>
    <row r="947">
      <c r="D947" s="25"/>
      <c r="E947" s="25"/>
      <c r="F947" s="25"/>
      <c r="G947" s="25"/>
      <c r="H947" s="25"/>
    </row>
    <row r="948">
      <c r="D948" s="25"/>
      <c r="E948" s="25"/>
      <c r="F948" s="25"/>
      <c r="G948" s="25"/>
      <c r="H948" s="25"/>
    </row>
    <row r="949">
      <c r="D949" s="25"/>
      <c r="E949" s="25"/>
      <c r="F949" s="25"/>
      <c r="G949" s="25"/>
      <c r="H949" s="25"/>
    </row>
    <row r="950">
      <c r="D950" s="25"/>
      <c r="E950" s="25"/>
      <c r="F950" s="25"/>
      <c r="G950" s="25"/>
      <c r="H950" s="25"/>
    </row>
    <row r="951">
      <c r="D951" s="25"/>
      <c r="E951" s="25"/>
      <c r="F951" s="25"/>
      <c r="G951" s="25"/>
      <c r="H951" s="25"/>
    </row>
    <row r="952">
      <c r="D952" s="25"/>
      <c r="E952" s="25"/>
      <c r="F952" s="25"/>
      <c r="G952" s="25"/>
      <c r="H952" s="25"/>
    </row>
    <row r="953">
      <c r="D953" s="25"/>
      <c r="E953" s="25"/>
      <c r="F953" s="25"/>
      <c r="G953" s="25"/>
      <c r="H953" s="25"/>
    </row>
    <row r="954">
      <c r="D954" s="25"/>
      <c r="E954" s="25"/>
      <c r="F954" s="25"/>
      <c r="G954" s="25"/>
      <c r="H954" s="25"/>
    </row>
    <row r="955">
      <c r="D955" s="25"/>
      <c r="E955" s="25"/>
      <c r="F955" s="25"/>
      <c r="G955" s="25"/>
      <c r="H955" s="25"/>
    </row>
    <row r="956">
      <c r="D956" s="25"/>
      <c r="E956" s="25"/>
      <c r="F956" s="25"/>
      <c r="G956" s="25"/>
      <c r="H956" s="25"/>
    </row>
    <row r="957">
      <c r="D957" s="25"/>
      <c r="E957" s="25"/>
      <c r="F957" s="25"/>
      <c r="G957" s="25"/>
      <c r="H957" s="25"/>
    </row>
    <row r="958">
      <c r="D958" s="25"/>
      <c r="E958" s="25"/>
      <c r="F958" s="25"/>
      <c r="G958" s="25"/>
      <c r="H958" s="25"/>
    </row>
    <row r="959">
      <c r="D959" s="25"/>
      <c r="E959" s="25"/>
      <c r="F959" s="25"/>
      <c r="G959" s="25"/>
      <c r="H959" s="25"/>
    </row>
    <row r="960">
      <c r="D960" s="25"/>
      <c r="E960" s="25"/>
      <c r="F960" s="25"/>
      <c r="G960" s="25"/>
      <c r="H960" s="25"/>
    </row>
    <row r="961">
      <c r="D961" s="25"/>
      <c r="E961" s="25"/>
      <c r="F961" s="25"/>
      <c r="G961" s="25"/>
      <c r="H961" s="25"/>
    </row>
    <row r="962">
      <c r="D962" s="25"/>
      <c r="E962" s="25"/>
      <c r="F962" s="25"/>
      <c r="G962" s="25"/>
      <c r="H962" s="25"/>
    </row>
    <row r="963">
      <c r="D963" s="25"/>
      <c r="E963" s="25"/>
      <c r="F963" s="25"/>
      <c r="G963" s="25"/>
      <c r="H963" s="25"/>
    </row>
    <row r="964">
      <c r="D964" s="25"/>
      <c r="E964" s="25"/>
      <c r="F964" s="25"/>
      <c r="G964" s="25"/>
      <c r="H964" s="25"/>
    </row>
    <row r="965">
      <c r="D965" s="25"/>
      <c r="E965" s="25"/>
      <c r="F965" s="25"/>
      <c r="G965" s="25"/>
      <c r="H965" s="25"/>
    </row>
    <row r="966">
      <c r="D966" s="25"/>
      <c r="E966" s="25"/>
      <c r="F966" s="25"/>
      <c r="G966" s="25"/>
      <c r="H966" s="25"/>
    </row>
    <row r="967">
      <c r="D967" s="25"/>
      <c r="E967" s="25"/>
      <c r="F967" s="25"/>
      <c r="G967" s="25"/>
      <c r="H967" s="25"/>
    </row>
    <row r="968">
      <c r="D968" s="25"/>
      <c r="E968" s="25"/>
      <c r="F968" s="25"/>
      <c r="G968" s="25"/>
      <c r="H968" s="25"/>
    </row>
    <row r="969">
      <c r="D969" s="25"/>
      <c r="E969" s="25"/>
      <c r="F969" s="25"/>
      <c r="G969" s="25"/>
      <c r="H969" s="25"/>
    </row>
    <row r="970">
      <c r="D970" s="25"/>
      <c r="E970" s="25"/>
      <c r="F970" s="25"/>
      <c r="G970" s="25"/>
      <c r="H970" s="25"/>
    </row>
    <row r="971">
      <c r="D971" s="25"/>
      <c r="E971" s="25"/>
      <c r="F971" s="25"/>
      <c r="G971" s="25"/>
      <c r="H971" s="25"/>
    </row>
    <row r="972">
      <c r="D972" s="25"/>
      <c r="E972" s="25"/>
      <c r="F972" s="25"/>
      <c r="G972" s="25"/>
      <c r="H972" s="25"/>
    </row>
    <row r="973">
      <c r="D973" s="25"/>
      <c r="E973" s="25"/>
      <c r="F973" s="25"/>
      <c r="G973" s="25"/>
      <c r="H973" s="25"/>
    </row>
    <row r="974">
      <c r="D974" s="25"/>
      <c r="E974" s="25"/>
      <c r="F974" s="25"/>
      <c r="G974" s="25"/>
      <c r="H974" s="25"/>
    </row>
    <row r="975">
      <c r="D975" s="25"/>
      <c r="E975" s="25"/>
      <c r="F975" s="25"/>
      <c r="G975" s="25"/>
      <c r="H975" s="25"/>
    </row>
    <row r="976">
      <c r="D976" s="25"/>
      <c r="E976" s="25"/>
      <c r="F976" s="25"/>
      <c r="G976" s="25"/>
      <c r="H976" s="25"/>
    </row>
    <row r="977">
      <c r="D977" s="25"/>
      <c r="E977" s="25"/>
      <c r="F977" s="25"/>
      <c r="G977" s="25"/>
      <c r="H977" s="25"/>
    </row>
    <row r="978">
      <c r="D978" s="25"/>
      <c r="E978" s="25"/>
      <c r="F978" s="25"/>
      <c r="G978" s="25"/>
      <c r="H978" s="25"/>
    </row>
    <row r="979">
      <c r="D979" s="25"/>
      <c r="E979" s="25"/>
      <c r="F979" s="25"/>
      <c r="G979" s="25"/>
      <c r="H979" s="25"/>
    </row>
    <row r="980">
      <c r="D980" s="25"/>
      <c r="E980" s="25"/>
      <c r="F980" s="25"/>
      <c r="G980" s="25"/>
      <c r="H980" s="25"/>
    </row>
    <row r="981">
      <c r="D981" s="25"/>
      <c r="E981" s="25"/>
      <c r="F981" s="25"/>
      <c r="G981" s="25"/>
      <c r="H981" s="25"/>
    </row>
    <row r="982">
      <c r="D982" s="25"/>
      <c r="E982" s="25"/>
      <c r="F982" s="25"/>
      <c r="G982" s="25"/>
      <c r="H982" s="25"/>
    </row>
    <row r="983">
      <c r="D983" s="25"/>
      <c r="E983" s="25"/>
      <c r="F983" s="25"/>
      <c r="G983" s="25"/>
      <c r="H983" s="25"/>
    </row>
    <row r="984">
      <c r="D984" s="25"/>
      <c r="E984" s="25"/>
      <c r="F984" s="25"/>
      <c r="G984" s="25"/>
      <c r="H984" s="25"/>
    </row>
    <row r="985">
      <c r="D985" s="25"/>
      <c r="E985" s="25"/>
      <c r="F985" s="25"/>
      <c r="G985" s="25"/>
      <c r="H985" s="25"/>
    </row>
    <row r="986">
      <c r="D986" s="25"/>
      <c r="E986" s="25"/>
      <c r="F986" s="25"/>
      <c r="G986" s="25"/>
      <c r="H986" s="25"/>
    </row>
    <row r="987">
      <c r="D987" s="25"/>
      <c r="E987" s="25"/>
      <c r="F987" s="25"/>
      <c r="G987" s="25"/>
      <c r="H987" s="25"/>
    </row>
    <row r="988">
      <c r="D988" s="25"/>
      <c r="E988" s="25"/>
      <c r="F988" s="25"/>
      <c r="G988" s="25"/>
      <c r="H988" s="25"/>
    </row>
    <row r="989">
      <c r="D989" s="25"/>
      <c r="E989" s="25"/>
      <c r="F989" s="25"/>
      <c r="G989" s="25"/>
      <c r="H989" s="25"/>
    </row>
    <row r="990">
      <c r="D990" s="25"/>
      <c r="E990" s="25"/>
      <c r="F990" s="25"/>
      <c r="G990" s="25"/>
      <c r="H990" s="25"/>
    </row>
    <row r="991">
      <c r="D991" s="25"/>
      <c r="E991" s="25"/>
      <c r="F991" s="25"/>
      <c r="G991" s="25"/>
      <c r="H991" s="25"/>
    </row>
    <row r="992">
      <c r="D992" s="25"/>
      <c r="E992" s="25"/>
      <c r="F992" s="25"/>
      <c r="G992" s="25"/>
      <c r="H992" s="25"/>
    </row>
    <row r="993">
      <c r="D993" s="25"/>
      <c r="E993" s="25"/>
      <c r="F993" s="25"/>
      <c r="G993" s="25"/>
      <c r="H993" s="25"/>
    </row>
    <row r="994">
      <c r="D994" s="25"/>
      <c r="E994" s="25"/>
      <c r="F994" s="25"/>
      <c r="G994" s="25"/>
      <c r="H994" s="25"/>
    </row>
    <row r="995">
      <c r="D995" s="25"/>
      <c r="E995" s="25"/>
      <c r="F995" s="25"/>
      <c r="G995" s="25"/>
      <c r="H995" s="25"/>
    </row>
    <row r="996">
      <c r="D996" s="25"/>
      <c r="E996" s="25"/>
      <c r="F996" s="25"/>
      <c r="G996" s="25"/>
      <c r="H996" s="25"/>
    </row>
    <row r="997">
      <c r="D997" s="25"/>
      <c r="E997" s="25"/>
      <c r="F997" s="25"/>
      <c r="G997" s="25"/>
      <c r="H997" s="25"/>
    </row>
    <row r="998">
      <c r="D998" s="25"/>
      <c r="E998" s="25"/>
      <c r="F998" s="25"/>
      <c r="G998" s="25"/>
      <c r="H998" s="25"/>
    </row>
    <row r="999">
      <c r="D999" s="25"/>
      <c r="E999" s="25"/>
      <c r="F999" s="25"/>
      <c r="G999" s="25"/>
      <c r="H999" s="25"/>
    </row>
    <row r="1000">
      <c r="D1000" s="25"/>
      <c r="E1000" s="25"/>
      <c r="F1000" s="25"/>
      <c r="G1000" s="25"/>
      <c r="H1000" s="25"/>
    </row>
    <row r="1001">
      <c r="D1001" s="25"/>
      <c r="E1001" s="25"/>
      <c r="F1001" s="25"/>
      <c r="G1001" s="25"/>
      <c r="H1001" s="25"/>
    </row>
    <row r="1002">
      <c r="D1002" s="25"/>
      <c r="E1002" s="25"/>
      <c r="F1002" s="25"/>
      <c r="G1002" s="25"/>
      <c r="H1002" s="25"/>
    </row>
    <row r="1003">
      <c r="D1003" s="25"/>
      <c r="E1003" s="25"/>
      <c r="F1003" s="25"/>
      <c r="G1003" s="25"/>
      <c r="H1003" s="25"/>
    </row>
    <row r="1004">
      <c r="D1004" s="25"/>
      <c r="E1004" s="25"/>
      <c r="F1004" s="25"/>
      <c r="G1004" s="25"/>
      <c r="H1004" s="25"/>
    </row>
    <row r="1005">
      <c r="D1005" s="25"/>
      <c r="E1005" s="25"/>
      <c r="F1005" s="25"/>
      <c r="G1005" s="25"/>
      <c r="H1005" s="25"/>
    </row>
    <row r="1006">
      <c r="D1006" s="25"/>
      <c r="E1006" s="25"/>
      <c r="F1006" s="25"/>
      <c r="G1006" s="25"/>
      <c r="H1006" s="25"/>
    </row>
    <row r="1007">
      <c r="D1007" s="25"/>
      <c r="E1007" s="25"/>
      <c r="F1007" s="25"/>
      <c r="G1007" s="25"/>
      <c r="H1007" s="25"/>
    </row>
    <row r="1008">
      <c r="D1008" s="25"/>
      <c r="E1008" s="25"/>
      <c r="F1008" s="25"/>
      <c r="G1008" s="25"/>
      <c r="H1008" s="25"/>
    </row>
    <row r="1009">
      <c r="D1009" s="25"/>
      <c r="E1009" s="25"/>
      <c r="F1009" s="25"/>
      <c r="G1009" s="25"/>
      <c r="H1009" s="25"/>
    </row>
    <row r="1010">
      <c r="D1010" s="25"/>
      <c r="E1010" s="25"/>
      <c r="F1010" s="25"/>
      <c r="G1010" s="25"/>
      <c r="H1010" s="25"/>
    </row>
    <row r="1011">
      <c r="D1011" s="25"/>
      <c r="E1011" s="25"/>
      <c r="F1011" s="25"/>
      <c r="G1011" s="25"/>
      <c r="H1011" s="25"/>
    </row>
    <row r="1012">
      <c r="D1012" s="25"/>
      <c r="E1012" s="25"/>
      <c r="F1012" s="25"/>
      <c r="G1012" s="25"/>
      <c r="H1012" s="25"/>
    </row>
    <row r="1013">
      <c r="D1013" s="25"/>
      <c r="E1013" s="25"/>
      <c r="F1013" s="25"/>
      <c r="G1013" s="25"/>
      <c r="H1013" s="25"/>
    </row>
    <row r="1014">
      <c r="D1014" s="25"/>
      <c r="E1014" s="25"/>
      <c r="F1014" s="25"/>
      <c r="G1014" s="25"/>
      <c r="H1014" s="25"/>
    </row>
    <row r="1015">
      <c r="D1015" s="25"/>
      <c r="E1015" s="25"/>
      <c r="F1015" s="25"/>
      <c r="G1015" s="25"/>
      <c r="H1015" s="25"/>
    </row>
    <row r="1016">
      <c r="D1016" s="25"/>
      <c r="E1016" s="25"/>
      <c r="F1016" s="25"/>
      <c r="G1016" s="25"/>
      <c r="H1016" s="25"/>
    </row>
    <row r="1017">
      <c r="D1017" s="25"/>
      <c r="E1017" s="25"/>
      <c r="F1017" s="25"/>
      <c r="G1017" s="25"/>
      <c r="H1017" s="25"/>
    </row>
    <row r="1018">
      <c r="D1018" s="25"/>
      <c r="E1018" s="25"/>
      <c r="F1018" s="25"/>
      <c r="G1018" s="25"/>
      <c r="H1018" s="25"/>
    </row>
    <row r="1019">
      <c r="D1019" s="25"/>
      <c r="E1019" s="25"/>
      <c r="F1019" s="25"/>
      <c r="G1019" s="25"/>
      <c r="H1019" s="25"/>
    </row>
    <row r="1020">
      <c r="D1020" s="25"/>
      <c r="E1020" s="25"/>
      <c r="F1020" s="25"/>
      <c r="G1020" s="25"/>
      <c r="H1020" s="25"/>
    </row>
    <row r="1021">
      <c r="D1021" s="25"/>
      <c r="E1021" s="25"/>
      <c r="F1021" s="25"/>
      <c r="G1021" s="25"/>
      <c r="H1021" s="25"/>
    </row>
    <row r="1022">
      <c r="D1022" s="25"/>
      <c r="E1022" s="25"/>
      <c r="F1022" s="25"/>
      <c r="G1022" s="25"/>
      <c r="H1022" s="25"/>
    </row>
    <row r="1023">
      <c r="D1023" s="25"/>
      <c r="E1023" s="25"/>
      <c r="F1023" s="25"/>
      <c r="G1023" s="25"/>
      <c r="H1023" s="25"/>
    </row>
    <row r="1024">
      <c r="D1024" s="25"/>
      <c r="E1024" s="25"/>
      <c r="F1024" s="25"/>
      <c r="G1024" s="25"/>
      <c r="H1024" s="25"/>
    </row>
    <row r="1025">
      <c r="D1025" s="25"/>
      <c r="E1025" s="25"/>
      <c r="F1025" s="25"/>
      <c r="G1025" s="25"/>
      <c r="H1025" s="25"/>
    </row>
    <row r="1026">
      <c r="D1026" s="25"/>
      <c r="E1026" s="25"/>
      <c r="F1026" s="25"/>
      <c r="G1026" s="25"/>
      <c r="H1026" s="25"/>
    </row>
    <row r="1027">
      <c r="D1027" s="25"/>
      <c r="E1027" s="25"/>
      <c r="F1027" s="25"/>
      <c r="G1027" s="25"/>
      <c r="H1027" s="25"/>
    </row>
    <row r="1028">
      <c r="D1028" s="25"/>
      <c r="E1028" s="25"/>
      <c r="F1028" s="25"/>
      <c r="G1028" s="25"/>
      <c r="H1028" s="25"/>
    </row>
    <row r="1029">
      <c r="D1029" s="25"/>
      <c r="E1029" s="25"/>
      <c r="F1029" s="25"/>
      <c r="G1029" s="25"/>
      <c r="H1029" s="25"/>
    </row>
    <row r="1030">
      <c r="D1030" s="25"/>
      <c r="E1030" s="25"/>
      <c r="F1030" s="25"/>
      <c r="G1030" s="25"/>
      <c r="H1030" s="25"/>
    </row>
    <row r="1031">
      <c r="D1031" s="25"/>
      <c r="E1031" s="25"/>
      <c r="F1031" s="25"/>
      <c r="G1031" s="25"/>
      <c r="H1031" s="25"/>
    </row>
    <row r="1032">
      <c r="D1032" s="25"/>
      <c r="E1032" s="25"/>
      <c r="F1032" s="25"/>
      <c r="G1032" s="25"/>
      <c r="H1032" s="25"/>
    </row>
    <row r="1033">
      <c r="D1033" s="25"/>
      <c r="E1033" s="25"/>
      <c r="F1033" s="25"/>
      <c r="G1033" s="25"/>
      <c r="H1033" s="25"/>
    </row>
    <row r="1034">
      <c r="D1034" s="25"/>
      <c r="E1034" s="25"/>
      <c r="F1034" s="25"/>
      <c r="G1034" s="25"/>
      <c r="H1034" s="25"/>
    </row>
    <row r="1035">
      <c r="D1035" s="25"/>
      <c r="E1035" s="25"/>
      <c r="F1035" s="25"/>
      <c r="G1035" s="25"/>
      <c r="H1035" s="25"/>
    </row>
    <row r="1036">
      <c r="D1036" s="25"/>
      <c r="E1036" s="25"/>
      <c r="F1036" s="25"/>
      <c r="G1036" s="25"/>
      <c r="H1036" s="25"/>
    </row>
    <row r="1037">
      <c r="D1037" s="25"/>
      <c r="E1037" s="25"/>
      <c r="F1037" s="25"/>
      <c r="G1037" s="25"/>
      <c r="H1037" s="25"/>
    </row>
    <row r="1038">
      <c r="D1038" s="25"/>
      <c r="E1038" s="25"/>
      <c r="F1038" s="25"/>
      <c r="G1038" s="25"/>
      <c r="H1038" s="25"/>
    </row>
    <row r="1039">
      <c r="D1039" s="25"/>
      <c r="E1039" s="25"/>
      <c r="F1039" s="25"/>
      <c r="G1039" s="25"/>
      <c r="H1039" s="25"/>
    </row>
    <row r="1040">
      <c r="D1040" s="25"/>
      <c r="E1040" s="25"/>
      <c r="F1040" s="25"/>
      <c r="G1040" s="25"/>
      <c r="H1040" s="25"/>
    </row>
    <row r="1041">
      <c r="D1041" s="25"/>
      <c r="E1041" s="25"/>
      <c r="F1041" s="25"/>
      <c r="G1041" s="25"/>
      <c r="H1041" s="25"/>
    </row>
    <row r="1042">
      <c r="D1042" s="25"/>
      <c r="E1042" s="25"/>
      <c r="F1042" s="25"/>
      <c r="G1042" s="25"/>
      <c r="H1042" s="25"/>
    </row>
    <row r="1043">
      <c r="D1043" s="25"/>
      <c r="E1043" s="25"/>
      <c r="F1043" s="25"/>
      <c r="G1043" s="25"/>
      <c r="H1043" s="25"/>
    </row>
    <row r="1044">
      <c r="D1044" s="25"/>
      <c r="E1044" s="25"/>
      <c r="F1044" s="25"/>
      <c r="G1044" s="25"/>
      <c r="H1044" s="25"/>
    </row>
    <row r="1045">
      <c r="D1045" s="25"/>
      <c r="E1045" s="25"/>
      <c r="F1045" s="25"/>
      <c r="G1045" s="25"/>
      <c r="H1045" s="25"/>
    </row>
    <row r="1046">
      <c r="D1046" s="25"/>
      <c r="E1046" s="25"/>
      <c r="F1046" s="25"/>
      <c r="G1046" s="25"/>
      <c r="H1046" s="25"/>
    </row>
    <row r="1047">
      <c r="D1047" s="25"/>
      <c r="E1047" s="25"/>
      <c r="F1047" s="25"/>
      <c r="G1047" s="25"/>
      <c r="H1047" s="25"/>
    </row>
    <row r="1048">
      <c r="D1048" s="25"/>
      <c r="E1048" s="25"/>
      <c r="F1048" s="25"/>
      <c r="G1048" s="25"/>
      <c r="H1048" s="25"/>
    </row>
    <row r="1049">
      <c r="D1049" s="25"/>
      <c r="E1049" s="25"/>
      <c r="F1049" s="25"/>
      <c r="G1049" s="25"/>
      <c r="H1049" s="25"/>
    </row>
    <row r="1050">
      <c r="D1050" s="25"/>
      <c r="E1050" s="25"/>
      <c r="F1050" s="25"/>
      <c r="G1050" s="25"/>
      <c r="H1050" s="25"/>
    </row>
    <row r="1051">
      <c r="D1051" s="25"/>
      <c r="E1051" s="25"/>
      <c r="F1051" s="25"/>
      <c r="G1051" s="25"/>
      <c r="H1051" s="25"/>
    </row>
    <row r="1052">
      <c r="D1052" s="25"/>
      <c r="E1052" s="25"/>
      <c r="F1052" s="25"/>
      <c r="G1052" s="25"/>
      <c r="H1052" s="25"/>
    </row>
    <row r="1053">
      <c r="D1053" s="25"/>
      <c r="E1053" s="25"/>
      <c r="F1053" s="25"/>
      <c r="G1053" s="25"/>
      <c r="H1053" s="25"/>
    </row>
    <row r="1054">
      <c r="D1054" s="25"/>
      <c r="E1054" s="25"/>
      <c r="F1054" s="25"/>
      <c r="G1054" s="25"/>
      <c r="H1054" s="25"/>
    </row>
    <row r="1055">
      <c r="D1055" s="25"/>
      <c r="E1055" s="25"/>
      <c r="F1055" s="25"/>
      <c r="G1055" s="25"/>
      <c r="H1055" s="25"/>
    </row>
    <row r="1056">
      <c r="D1056" s="25"/>
      <c r="E1056" s="25"/>
      <c r="F1056" s="25"/>
      <c r="G1056" s="25"/>
      <c r="H1056" s="25"/>
    </row>
    <row r="1057">
      <c r="D1057" s="25"/>
      <c r="E1057" s="25"/>
      <c r="F1057" s="25"/>
      <c r="G1057" s="25"/>
      <c r="H1057" s="25"/>
    </row>
    <row r="1058">
      <c r="D1058" s="25"/>
      <c r="E1058" s="25"/>
      <c r="F1058" s="25"/>
      <c r="G1058" s="25"/>
      <c r="H1058" s="25"/>
    </row>
    <row r="1059">
      <c r="D1059" s="25"/>
      <c r="E1059" s="25"/>
      <c r="F1059" s="25"/>
      <c r="G1059" s="25"/>
      <c r="H1059" s="25"/>
    </row>
    <row r="1060">
      <c r="D1060" s="25"/>
      <c r="E1060" s="25"/>
      <c r="F1060" s="25"/>
      <c r="G1060" s="25"/>
      <c r="H1060" s="25"/>
    </row>
    <row r="1061">
      <c r="D1061" s="25"/>
      <c r="E1061" s="25"/>
      <c r="F1061" s="25"/>
      <c r="G1061" s="25"/>
      <c r="H1061" s="25"/>
    </row>
    <row r="1062">
      <c r="D1062" s="25"/>
      <c r="E1062" s="25"/>
      <c r="F1062" s="25"/>
      <c r="G1062" s="25"/>
      <c r="H1062" s="25"/>
    </row>
    <row r="1063">
      <c r="D1063" s="25"/>
      <c r="E1063" s="25"/>
      <c r="F1063" s="25"/>
      <c r="G1063" s="25"/>
      <c r="H1063" s="25"/>
    </row>
    <row r="1064">
      <c r="D1064" s="25"/>
      <c r="E1064" s="25"/>
      <c r="F1064" s="25"/>
      <c r="G1064" s="25"/>
      <c r="H1064" s="25"/>
    </row>
    <row r="1065">
      <c r="D1065" s="25"/>
      <c r="E1065" s="25"/>
      <c r="F1065" s="25"/>
      <c r="G1065" s="25"/>
      <c r="H1065" s="25"/>
    </row>
    <row r="1066">
      <c r="D1066" s="25"/>
      <c r="E1066" s="25"/>
      <c r="F1066" s="25"/>
      <c r="G1066" s="25"/>
      <c r="H1066" s="25"/>
    </row>
    <row r="1067">
      <c r="D1067" s="25"/>
      <c r="E1067" s="25"/>
      <c r="F1067" s="25"/>
      <c r="G1067" s="25"/>
      <c r="H1067" s="25"/>
    </row>
    <row r="1068">
      <c r="D1068" s="25"/>
      <c r="E1068" s="25"/>
      <c r="F1068" s="25"/>
      <c r="G1068" s="25"/>
      <c r="H1068" s="25"/>
    </row>
    <row r="1069">
      <c r="D1069" s="25"/>
      <c r="E1069" s="25"/>
      <c r="F1069" s="25"/>
      <c r="G1069" s="25"/>
      <c r="H1069" s="25"/>
    </row>
    <row r="1070">
      <c r="D1070" s="25"/>
      <c r="E1070" s="25"/>
      <c r="F1070" s="25"/>
      <c r="G1070" s="25"/>
      <c r="H1070" s="25"/>
    </row>
    <row r="1071">
      <c r="D1071" s="25"/>
      <c r="E1071" s="25"/>
      <c r="F1071" s="25"/>
      <c r="G1071" s="25"/>
      <c r="H1071" s="25"/>
    </row>
    <row r="1072">
      <c r="D1072" s="25"/>
      <c r="E1072" s="25"/>
      <c r="F1072" s="25"/>
      <c r="G1072" s="25"/>
      <c r="H1072" s="25"/>
    </row>
    <row r="1073">
      <c r="D1073" s="25"/>
      <c r="E1073" s="25"/>
      <c r="F1073" s="25"/>
      <c r="G1073" s="25"/>
      <c r="H1073" s="25"/>
    </row>
    <row r="1074">
      <c r="D1074" s="25"/>
      <c r="E1074" s="25"/>
      <c r="F1074" s="25"/>
      <c r="G1074" s="25"/>
      <c r="H1074" s="25"/>
    </row>
    <row r="1075">
      <c r="D1075" s="25"/>
      <c r="E1075" s="25"/>
      <c r="F1075" s="25"/>
      <c r="G1075" s="25"/>
      <c r="H1075" s="25"/>
    </row>
    <row r="1076">
      <c r="D1076" s="25"/>
      <c r="E1076" s="25"/>
      <c r="F1076" s="25"/>
      <c r="G1076" s="25"/>
      <c r="H1076" s="25"/>
    </row>
    <row r="1077">
      <c r="D1077" s="25"/>
      <c r="E1077" s="25"/>
      <c r="F1077" s="25"/>
      <c r="G1077" s="25"/>
      <c r="H1077" s="25"/>
    </row>
    <row r="1078">
      <c r="D1078" s="25"/>
      <c r="E1078" s="25"/>
      <c r="F1078" s="25"/>
      <c r="G1078" s="25"/>
      <c r="H1078" s="25"/>
    </row>
    <row r="1079">
      <c r="D1079" s="25"/>
      <c r="E1079" s="25"/>
      <c r="F1079" s="25"/>
      <c r="G1079" s="25"/>
      <c r="H1079" s="25"/>
    </row>
    <row r="1080">
      <c r="D1080" s="25"/>
      <c r="E1080" s="25"/>
      <c r="F1080" s="25"/>
      <c r="G1080" s="25"/>
      <c r="H1080" s="25"/>
    </row>
    <row r="1081">
      <c r="D1081" s="25"/>
      <c r="E1081" s="25"/>
      <c r="F1081" s="25"/>
      <c r="G1081" s="25"/>
      <c r="H1081" s="25"/>
    </row>
    <row r="1082">
      <c r="D1082" s="25"/>
      <c r="E1082" s="25"/>
      <c r="F1082" s="25"/>
      <c r="G1082" s="25"/>
      <c r="H1082" s="25"/>
    </row>
    <row r="1083">
      <c r="D1083" s="25"/>
      <c r="E1083" s="25"/>
      <c r="F1083" s="25"/>
      <c r="G1083" s="25"/>
      <c r="H1083" s="25"/>
    </row>
    <row r="1084">
      <c r="D1084" s="25"/>
      <c r="E1084" s="25"/>
      <c r="F1084" s="25"/>
      <c r="G1084" s="25"/>
      <c r="H1084" s="25"/>
    </row>
    <row r="1085">
      <c r="D1085" s="25"/>
      <c r="E1085" s="25"/>
      <c r="F1085" s="25"/>
      <c r="G1085" s="25"/>
      <c r="H1085" s="25"/>
    </row>
    <row r="1086">
      <c r="D1086" s="25"/>
      <c r="E1086" s="25"/>
      <c r="F1086" s="25"/>
      <c r="G1086" s="25"/>
      <c r="H1086" s="25"/>
    </row>
    <row r="1087">
      <c r="D1087" s="25"/>
      <c r="E1087" s="25"/>
      <c r="F1087" s="25"/>
      <c r="G1087" s="25"/>
      <c r="H1087" s="25"/>
    </row>
    <row r="1088">
      <c r="D1088" s="25"/>
      <c r="E1088" s="25"/>
      <c r="F1088" s="25"/>
      <c r="G1088" s="25"/>
      <c r="H1088" s="25"/>
    </row>
    <row r="1089">
      <c r="D1089" s="25"/>
      <c r="E1089" s="25"/>
      <c r="F1089" s="25"/>
      <c r="G1089" s="25"/>
      <c r="H1089" s="25"/>
    </row>
    <row r="1090">
      <c r="D1090" s="25"/>
      <c r="E1090" s="25"/>
      <c r="F1090" s="25"/>
      <c r="G1090" s="25"/>
      <c r="H1090" s="25"/>
    </row>
    <row r="1091">
      <c r="D1091" s="25"/>
      <c r="E1091" s="25"/>
      <c r="F1091" s="25"/>
      <c r="G1091" s="25"/>
      <c r="H1091" s="25"/>
    </row>
    <row r="1092">
      <c r="D1092" s="25"/>
      <c r="E1092" s="25"/>
      <c r="F1092" s="25"/>
      <c r="G1092" s="25"/>
      <c r="H1092" s="25"/>
    </row>
    <row r="1093">
      <c r="D1093" s="25"/>
      <c r="E1093" s="25"/>
      <c r="F1093" s="25"/>
      <c r="G1093" s="25"/>
      <c r="H1093" s="25"/>
    </row>
    <row r="1094">
      <c r="D1094" s="25"/>
      <c r="E1094" s="25"/>
      <c r="F1094" s="25"/>
      <c r="G1094" s="25"/>
      <c r="H1094" s="25"/>
    </row>
    <row r="1095">
      <c r="D1095" s="25"/>
      <c r="E1095" s="25"/>
      <c r="F1095" s="25"/>
      <c r="G1095" s="25"/>
      <c r="H1095" s="25"/>
    </row>
    <row r="1096">
      <c r="D1096" s="25"/>
      <c r="E1096" s="25"/>
      <c r="F1096" s="25"/>
      <c r="G1096" s="25"/>
      <c r="H1096" s="25"/>
    </row>
    <row r="1097">
      <c r="D1097" s="25"/>
      <c r="E1097" s="25"/>
      <c r="F1097" s="25"/>
      <c r="G1097" s="25"/>
      <c r="H1097" s="25"/>
    </row>
    <row r="1098">
      <c r="D1098" s="25"/>
      <c r="E1098" s="25"/>
      <c r="F1098" s="25"/>
      <c r="G1098" s="25"/>
      <c r="H1098" s="25"/>
    </row>
    <row r="1099">
      <c r="D1099" s="25"/>
      <c r="E1099" s="25"/>
      <c r="F1099" s="25"/>
      <c r="G1099" s="25"/>
      <c r="H1099" s="25"/>
    </row>
    <row r="1100">
      <c r="D1100" s="25"/>
      <c r="E1100" s="25"/>
      <c r="F1100" s="25"/>
      <c r="G1100" s="25"/>
      <c r="H1100" s="25"/>
    </row>
    <row r="1101">
      <c r="D1101" s="25"/>
      <c r="E1101" s="25"/>
      <c r="F1101" s="25"/>
      <c r="G1101" s="25"/>
      <c r="H1101" s="25"/>
    </row>
    <row r="1102">
      <c r="D1102" s="25"/>
      <c r="E1102" s="25"/>
      <c r="F1102" s="25"/>
      <c r="G1102" s="25"/>
      <c r="H1102" s="25"/>
    </row>
    <row r="1103">
      <c r="D1103" s="25"/>
      <c r="E1103" s="25"/>
      <c r="F1103" s="25"/>
      <c r="G1103" s="25"/>
      <c r="H1103" s="25"/>
    </row>
    <row r="1104">
      <c r="D1104" s="25"/>
      <c r="E1104" s="25"/>
      <c r="F1104" s="25"/>
      <c r="G1104" s="25"/>
      <c r="H1104" s="25"/>
    </row>
    <row r="1105">
      <c r="D1105" s="25"/>
      <c r="E1105" s="25"/>
      <c r="F1105" s="25"/>
      <c r="G1105" s="25"/>
      <c r="H1105" s="25"/>
    </row>
    <row r="1106">
      <c r="D1106" s="25"/>
      <c r="E1106" s="25"/>
      <c r="F1106" s="25"/>
      <c r="G1106" s="25"/>
      <c r="H1106" s="25"/>
    </row>
    <row r="1107">
      <c r="D1107" s="25"/>
      <c r="E1107" s="25"/>
      <c r="F1107" s="25"/>
      <c r="G1107" s="25"/>
      <c r="H1107" s="25"/>
    </row>
    <row r="1108">
      <c r="D1108" s="25"/>
      <c r="E1108" s="25"/>
      <c r="F1108" s="25"/>
      <c r="G1108" s="25"/>
      <c r="H1108" s="25"/>
    </row>
    <row r="1109">
      <c r="D1109" s="25"/>
      <c r="E1109" s="25"/>
      <c r="F1109" s="25"/>
      <c r="G1109" s="25"/>
      <c r="H1109" s="25"/>
    </row>
    <row r="1110">
      <c r="D1110" s="25"/>
      <c r="E1110" s="25"/>
      <c r="F1110" s="25"/>
      <c r="G1110" s="25"/>
      <c r="H1110" s="25"/>
    </row>
    <row r="1111">
      <c r="D1111" s="25"/>
      <c r="E1111" s="25"/>
      <c r="F1111" s="25"/>
      <c r="G1111" s="25"/>
      <c r="H1111" s="25"/>
    </row>
    <row r="1112">
      <c r="D1112" s="25"/>
      <c r="E1112" s="25"/>
      <c r="F1112" s="25"/>
      <c r="G1112" s="25"/>
      <c r="H1112" s="25"/>
    </row>
    <row r="1113">
      <c r="D1113" s="25"/>
      <c r="E1113" s="25"/>
      <c r="F1113" s="25"/>
      <c r="G1113" s="25"/>
      <c r="H1113" s="25"/>
    </row>
    <row r="1114">
      <c r="D1114" s="25"/>
      <c r="E1114" s="25"/>
      <c r="F1114" s="25"/>
      <c r="G1114" s="25"/>
      <c r="H1114" s="25"/>
    </row>
    <row r="1115">
      <c r="D1115" s="25"/>
      <c r="E1115" s="25"/>
      <c r="F1115" s="25"/>
      <c r="G1115" s="25"/>
      <c r="H1115" s="25"/>
    </row>
    <row r="1116">
      <c r="D1116" s="25"/>
      <c r="E1116" s="25"/>
      <c r="F1116" s="25"/>
      <c r="G1116" s="25"/>
      <c r="H1116" s="25"/>
    </row>
    <row r="1117">
      <c r="D1117" s="25"/>
      <c r="E1117" s="25"/>
      <c r="F1117" s="25"/>
      <c r="G1117" s="25"/>
      <c r="H1117" s="25"/>
    </row>
    <row r="1118">
      <c r="D1118" s="25"/>
      <c r="E1118" s="25"/>
      <c r="F1118" s="25"/>
      <c r="G1118" s="25"/>
      <c r="H1118" s="25"/>
    </row>
    <row r="1119">
      <c r="D1119" s="25"/>
      <c r="E1119" s="25"/>
      <c r="F1119" s="25"/>
      <c r="G1119" s="25"/>
      <c r="H1119" s="25"/>
    </row>
    <row r="1120">
      <c r="D1120" s="25"/>
      <c r="E1120" s="25"/>
      <c r="F1120" s="25"/>
      <c r="G1120" s="25"/>
      <c r="H1120" s="25"/>
    </row>
    <row r="1121">
      <c r="D1121" s="25"/>
      <c r="E1121" s="25"/>
      <c r="F1121" s="25"/>
      <c r="G1121" s="25"/>
      <c r="H1121" s="25"/>
    </row>
    <row r="1122">
      <c r="D1122" s="25"/>
      <c r="E1122" s="25"/>
      <c r="F1122" s="25"/>
      <c r="G1122" s="25"/>
      <c r="H1122" s="25"/>
    </row>
    <row r="1123">
      <c r="D1123" s="25"/>
      <c r="E1123" s="25"/>
      <c r="F1123" s="25"/>
      <c r="G1123" s="25"/>
      <c r="H1123" s="25"/>
    </row>
    <row r="1124">
      <c r="D1124" s="25"/>
      <c r="E1124" s="25"/>
      <c r="F1124" s="25"/>
      <c r="G1124" s="25"/>
      <c r="H1124" s="25"/>
    </row>
    <row r="1125">
      <c r="D1125" s="25"/>
      <c r="E1125" s="25"/>
      <c r="F1125" s="25"/>
      <c r="G1125" s="25"/>
      <c r="H1125" s="25"/>
    </row>
    <row r="1126">
      <c r="D1126" s="25"/>
      <c r="E1126" s="25"/>
      <c r="F1126" s="25"/>
      <c r="G1126" s="25"/>
      <c r="H1126" s="25"/>
    </row>
    <row r="1127">
      <c r="D1127" s="25"/>
      <c r="E1127" s="25"/>
      <c r="F1127" s="25"/>
      <c r="G1127" s="25"/>
      <c r="H1127" s="25"/>
    </row>
    <row r="1128">
      <c r="D1128" s="25"/>
      <c r="E1128" s="25"/>
      <c r="F1128" s="25"/>
      <c r="G1128" s="25"/>
      <c r="H1128" s="25"/>
    </row>
    <row r="1129">
      <c r="D1129" s="25"/>
      <c r="E1129" s="25"/>
      <c r="F1129" s="25"/>
      <c r="G1129" s="25"/>
      <c r="H1129" s="25"/>
    </row>
    <row r="1130">
      <c r="D1130" s="25"/>
      <c r="E1130" s="25"/>
      <c r="F1130" s="25"/>
      <c r="G1130" s="25"/>
      <c r="H1130" s="25"/>
    </row>
    <row r="1131">
      <c r="D1131" s="25"/>
      <c r="E1131" s="25"/>
      <c r="F1131" s="25"/>
      <c r="G1131" s="25"/>
      <c r="H1131" s="25"/>
    </row>
    <row r="1132">
      <c r="D1132" s="25"/>
      <c r="E1132" s="25"/>
      <c r="F1132" s="25"/>
      <c r="G1132" s="25"/>
      <c r="H1132" s="25"/>
    </row>
    <row r="1133">
      <c r="D1133" s="25"/>
      <c r="E1133" s="25"/>
      <c r="F1133" s="25"/>
      <c r="G1133" s="25"/>
      <c r="H1133" s="25"/>
    </row>
    <row r="1134">
      <c r="D1134" s="25"/>
      <c r="E1134" s="25"/>
      <c r="F1134" s="25"/>
      <c r="G1134" s="25"/>
      <c r="H1134" s="25"/>
    </row>
    <row r="1135">
      <c r="D1135" s="25"/>
      <c r="E1135" s="25"/>
      <c r="F1135" s="25"/>
      <c r="G1135" s="25"/>
      <c r="H1135" s="25"/>
    </row>
    <row r="1136">
      <c r="D1136" s="25"/>
      <c r="E1136" s="25"/>
      <c r="F1136" s="25"/>
      <c r="G1136" s="25"/>
      <c r="H1136" s="25"/>
    </row>
    <row r="1137">
      <c r="D1137" s="25"/>
      <c r="E1137" s="25"/>
      <c r="F1137" s="25"/>
      <c r="G1137" s="25"/>
      <c r="H1137" s="25"/>
    </row>
    <row r="1138">
      <c r="D1138" s="25"/>
      <c r="E1138" s="25"/>
      <c r="F1138" s="25"/>
      <c r="G1138" s="25"/>
      <c r="H1138" s="25"/>
    </row>
    <row r="1139">
      <c r="D1139" s="25"/>
      <c r="E1139" s="25"/>
      <c r="F1139" s="25"/>
      <c r="G1139" s="25"/>
      <c r="H1139" s="25"/>
    </row>
    <row r="1140">
      <c r="D1140" s="25"/>
      <c r="E1140" s="25"/>
      <c r="F1140" s="25"/>
      <c r="G1140" s="25"/>
      <c r="H1140" s="25"/>
    </row>
    <row r="1141">
      <c r="D1141" s="25"/>
      <c r="E1141" s="25"/>
      <c r="F1141" s="25"/>
      <c r="G1141" s="25"/>
      <c r="H1141" s="25"/>
    </row>
    <row r="1142">
      <c r="D1142" s="25"/>
      <c r="E1142" s="25"/>
      <c r="F1142" s="25"/>
      <c r="G1142" s="25"/>
      <c r="H1142" s="25"/>
    </row>
    <row r="1143">
      <c r="D1143" s="25"/>
      <c r="E1143" s="25"/>
      <c r="F1143" s="25"/>
      <c r="G1143" s="25"/>
      <c r="H1143" s="25"/>
    </row>
    <row r="1144">
      <c r="D1144" s="25"/>
      <c r="E1144" s="25"/>
      <c r="F1144" s="25"/>
      <c r="G1144" s="25"/>
      <c r="H1144" s="25"/>
    </row>
    <row r="1145">
      <c r="D1145" s="25"/>
      <c r="E1145" s="25"/>
      <c r="F1145" s="25"/>
      <c r="G1145" s="25"/>
      <c r="H1145" s="25"/>
    </row>
    <row r="1146">
      <c r="D1146" s="25"/>
      <c r="E1146" s="25"/>
      <c r="F1146" s="25"/>
      <c r="G1146" s="25"/>
      <c r="H1146" s="25"/>
    </row>
    <row r="1147">
      <c r="D1147" s="25"/>
      <c r="E1147" s="25"/>
      <c r="F1147" s="25"/>
      <c r="G1147" s="25"/>
      <c r="H1147" s="25"/>
    </row>
    <row r="1148">
      <c r="D1148" s="25"/>
      <c r="E1148" s="25"/>
      <c r="F1148" s="25"/>
      <c r="G1148" s="25"/>
      <c r="H1148" s="25"/>
    </row>
    <row r="1149">
      <c r="D1149" s="25"/>
      <c r="E1149" s="25"/>
      <c r="F1149" s="25"/>
      <c r="G1149" s="25"/>
      <c r="H1149" s="25"/>
    </row>
    <row r="1150">
      <c r="D1150" s="25"/>
      <c r="E1150" s="25"/>
      <c r="F1150" s="25"/>
      <c r="G1150" s="25"/>
      <c r="H1150" s="25"/>
    </row>
    <row r="1151">
      <c r="D1151" s="25"/>
      <c r="E1151" s="25"/>
      <c r="F1151" s="25"/>
      <c r="G1151" s="25"/>
      <c r="H1151" s="25"/>
    </row>
    <row r="1152">
      <c r="D1152" s="25"/>
      <c r="E1152" s="25"/>
      <c r="F1152" s="25"/>
      <c r="G1152" s="25"/>
      <c r="H1152" s="25"/>
    </row>
    <row r="1153">
      <c r="D1153" s="25"/>
      <c r="E1153" s="25"/>
      <c r="F1153" s="25"/>
      <c r="G1153" s="25"/>
      <c r="H1153" s="25"/>
    </row>
    <row r="1154">
      <c r="D1154" s="25"/>
      <c r="E1154" s="25"/>
      <c r="F1154" s="25"/>
      <c r="G1154" s="25"/>
      <c r="H1154" s="25"/>
    </row>
    <row r="1155">
      <c r="D1155" s="25"/>
      <c r="E1155" s="25"/>
      <c r="F1155" s="25"/>
      <c r="G1155" s="25"/>
      <c r="H1155" s="25"/>
    </row>
    <row r="1156">
      <c r="D1156" s="25"/>
      <c r="E1156" s="25"/>
      <c r="F1156" s="25"/>
      <c r="G1156" s="25"/>
      <c r="H1156" s="25"/>
    </row>
    <row r="1157">
      <c r="D1157" s="25"/>
      <c r="E1157" s="25"/>
      <c r="F1157" s="25"/>
      <c r="G1157" s="25"/>
      <c r="H1157" s="25"/>
    </row>
    <row r="1158">
      <c r="D1158" s="25"/>
      <c r="E1158" s="25"/>
      <c r="F1158" s="25"/>
      <c r="G1158" s="25"/>
      <c r="H1158" s="25"/>
    </row>
    <row r="1159">
      <c r="D1159" s="25"/>
      <c r="E1159" s="25"/>
      <c r="F1159" s="25"/>
      <c r="G1159" s="25"/>
      <c r="H1159" s="25"/>
    </row>
    <row r="1160">
      <c r="D1160" s="25"/>
      <c r="E1160" s="25"/>
      <c r="F1160" s="25"/>
      <c r="G1160" s="25"/>
      <c r="H1160" s="25"/>
    </row>
    <row r="1161">
      <c r="D1161" s="25"/>
      <c r="E1161" s="25"/>
      <c r="F1161" s="25"/>
      <c r="G1161" s="25"/>
      <c r="H1161" s="25"/>
    </row>
    <row r="1162">
      <c r="D1162" s="25"/>
      <c r="E1162" s="25"/>
      <c r="F1162" s="25"/>
      <c r="G1162" s="25"/>
      <c r="H1162" s="25"/>
    </row>
    <row r="1163">
      <c r="D1163" s="25"/>
      <c r="E1163" s="25"/>
      <c r="F1163" s="25"/>
      <c r="G1163" s="25"/>
      <c r="H1163" s="25"/>
    </row>
    <row r="1164">
      <c r="D1164" s="25"/>
      <c r="E1164" s="25"/>
      <c r="F1164" s="25"/>
      <c r="G1164" s="25"/>
      <c r="H1164" s="25"/>
    </row>
    <row r="1165">
      <c r="D1165" s="25"/>
      <c r="E1165" s="25"/>
      <c r="F1165" s="25"/>
      <c r="G1165" s="25"/>
      <c r="H1165" s="25"/>
    </row>
    <row r="1166">
      <c r="D1166" s="25"/>
      <c r="E1166" s="25"/>
      <c r="F1166" s="25"/>
      <c r="G1166" s="25"/>
      <c r="H1166" s="25"/>
    </row>
    <row r="1167">
      <c r="D1167" s="25"/>
      <c r="E1167" s="25"/>
      <c r="F1167" s="25"/>
      <c r="G1167" s="25"/>
      <c r="H1167" s="25"/>
    </row>
    <row r="1168">
      <c r="D1168" s="25"/>
      <c r="E1168" s="25"/>
      <c r="F1168" s="25"/>
      <c r="G1168" s="25"/>
      <c r="H1168" s="25"/>
    </row>
    <row r="1169">
      <c r="D1169" s="25"/>
      <c r="E1169" s="25"/>
      <c r="F1169" s="25"/>
      <c r="G1169" s="25"/>
      <c r="H1169" s="25"/>
    </row>
    <row r="1170">
      <c r="D1170" s="25"/>
      <c r="E1170" s="25"/>
      <c r="F1170" s="25"/>
      <c r="G1170" s="25"/>
      <c r="H1170" s="25"/>
    </row>
    <row r="1171">
      <c r="D1171" s="25"/>
      <c r="E1171" s="25"/>
      <c r="F1171" s="25"/>
      <c r="G1171" s="25"/>
      <c r="H1171" s="25"/>
    </row>
    <row r="1172">
      <c r="D1172" s="25"/>
      <c r="E1172" s="25"/>
      <c r="F1172" s="25"/>
      <c r="G1172" s="25"/>
      <c r="H1172" s="25"/>
    </row>
    <row r="1173">
      <c r="D1173" s="25"/>
      <c r="E1173" s="25"/>
      <c r="F1173" s="25"/>
      <c r="G1173" s="25"/>
      <c r="H1173" s="25"/>
    </row>
    <row r="1174">
      <c r="D1174" s="25"/>
      <c r="E1174" s="25"/>
      <c r="F1174" s="25"/>
      <c r="G1174" s="25"/>
      <c r="H1174" s="25"/>
    </row>
    <row r="1175">
      <c r="D1175" s="25"/>
      <c r="E1175" s="25"/>
      <c r="F1175" s="25"/>
      <c r="G1175" s="25"/>
      <c r="H1175" s="25"/>
    </row>
    <row r="1176">
      <c r="D1176" s="25"/>
      <c r="E1176" s="25"/>
      <c r="F1176" s="25"/>
      <c r="G1176" s="25"/>
      <c r="H1176" s="25"/>
    </row>
    <row r="1177">
      <c r="D1177" s="25"/>
      <c r="E1177" s="25"/>
      <c r="F1177" s="25"/>
      <c r="G1177" s="25"/>
      <c r="H1177" s="25"/>
    </row>
    <row r="1178">
      <c r="D1178" s="25"/>
      <c r="E1178" s="25"/>
      <c r="F1178" s="25"/>
      <c r="G1178" s="25"/>
      <c r="H1178" s="25"/>
    </row>
    <row r="1179">
      <c r="D1179" s="25"/>
      <c r="E1179" s="25"/>
      <c r="F1179" s="25"/>
      <c r="G1179" s="25"/>
      <c r="H1179" s="25"/>
    </row>
    <row r="1180">
      <c r="D1180" s="25"/>
      <c r="E1180" s="25"/>
      <c r="F1180" s="25"/>
      <c r="G1180" s="25"/>
      <c r="H1180" s="25"/>
    </row>
    <row r="1181">
      <c r="D1181" s="25"/>
      <c r="E1181" s="25"/>
      <c r="F1181" s="25"/>
      <c r="G1181" s="25"/>
      <c r="H1181" s="25"/>
    </row>
    <row r="1182">
      <c r="D1182" s="25"/>
      <c r="E1182" s="25"/>
      <c r="F1182" s="25"/>
      <c r="G1182" s="25"/>
      <c r="H1182" s="25"/>
    </row>
    <row r="1183">
      <c r="D1183" s="25"/>
      <c r="E1183" s="25"/>
      <c r="F1183" s="25"/>
      <c r="G1183" s="25"/>
      <c r="H1183" s="25"/>
    </row>
    <row r="1184">
      <c r="D1184" s="25"/>
      <c r="E1184" s="25"/>
      <c r="F1184" s="25"/>
      <c r="G1184" s="25"/>
      <c r="H1184" s="25"/>
    </row>
    <row r="1185">
      <c r="D1185" s="25"/>
      <c r="E1185" s="25"/>
      <c r="F1185" s="25"/>
      <c r="G1185" s="25"/>
      <c r="H1185" s="25"/>
    </row>
    <row r="1186">
      <c r="D1186" s="25"/>
      <c r="E1186" s="25"/>
      <c r="F1186" s="25"/>
      <c r="G1186" s="25"/>
      <c r="H1186" s="25"/>
    </row>
    <row r="1187">
      <c r="D1187" s="25"/>
      <c r="E1187" s="25"/>
      <c r="F1187" s="25"/>
      <c r="G1187" s="25"/>
      <c r="H1187" s="25"/>
    </row>
    <row r="1188">
      <c r="D1188" s="25"/>
      <c r="E1188" s="25"/>
      <c r="F1188" s="25"/>
      <c r="G1188" s="25"/>
      <c r="H1188" s="25"/>
    </row>
    <row r="1189">
      <c r="D1189" s="25"/>
      <c r="E1189" s="25"/>
      <c r="F1189" s="25"/>
      <c r="G1189" s="25"/>
      <c r="H1189" s="25"/>
    </row>
    <row r="1190">
      <c r="D1190" s="25"/>
      <c r="E1190" s="25"/>
      <c r="F1190" s="25"/>
      <c r="G1190" s="25"/>
      <c r="H1190" s="25"/>
    </row>
    <row r="1191">
      <c r="D1191" s="25"/>
      <c r="E1191" s="25"/>
      <c r="F1191" s="25"/>
      <c r="G1191" s="25"/>
      <c r="H1191" s="25"/>
    </row>
    <row r="1192">
      <c r="D1192" s="25"/>
      <c r="E1192" s="25"/>
      <c r="F1192" s="25"/>
      <c r="G1192" s="25"/>
      <c r="H1192" s="25"/>
    </row>
    <row r="1193">
      <c r="D1193" s="25"/>
      <c r="E1193" s="25"/>
      <c r="F1193" s="25"/>
      <c r="G1193" s="25"/>
      <c r="H1193" s="25"/>
    </row>
    <row r="1194">
      <c r="D1194" s="25"/>
      <c r="E1194" s="25"/>
      <c r="F1194" s="25"/>
      <c r="G1194" s="25"/>
      <c r="H1194" s="25"/>
    </row>
    <row r="1195">
      <c r="D1195" s="25"/>
      <c r="E1195" s="25"/>
      <c r="F1195" s="25"/>
      <c r="G1195" s="25"/>
      <c r="H1195" s="25"/>
    </row>
    <row r="1196">
      <c r="D1196" s="25"/>
      <c r="E1196" s="25"/>
      <c r="F1196" s="25"/>
      <c r="G1196" s="25"/>
      <c r="H1196" s="25"/>
    </row>
    <row r="1197">
      <c r="D1197" s="25"/>
      <c r="E1197" s="25"/>
      <c r="F1197" s="25"/>
      <c r="G1197" s="25"/>
      <c r="H1197" s="25"/>
    </row>
    <row r="1198">
      <c r="D1198" s="25"/>
      <c r="E1198" s="25"/>
      <c r="F1198" s="25"/>
      <c r="G1198" s="25"/>
      <c r="H1198" s="25"/>
    </row>
    <row r="1199">
      <c r="D1199" s="25"/>
      <c r="E1199" s="25"/>
      <c r="F1199" s="25"/>
      <c r="G1199" s="25"/>
      <c r="H1199" s="25"/>
    </row>
    <row r="1200">
      <c r="D1200" s="25"/>
      <c r="E1200" s="25"/>
      <c r="F1200" s="25"/>
      <c r="G1200" s="25"/>
      <c r="H1200" s="25"/>
    </row>
    <row r="1201">
      <c r="D1201" s="25"/>
      <c r="E1201" s="25"/>
      <c r="F1201" s="25"/>
      <c r="G1201" s="25"/>
      <c r="H1201" s="25"/>
    </row>
    <row r="1202">
      <c r="D1202" s="25"/>
      <c r="E1202" s="25"/>
      <c r="F1202" s="25"/>
      <c r="G1202" s="25"/>
      <c r="H1202" s="25"/>
    </row>
    <row r="1203">
      <c r="D1203" s="25"/>
      <c r="E1203" s="25"/>
      <c r="F1203" s="25"/>
      <c r="G1203" s="25"/>
      <c r="H1203" s="25"/>
    </row>
    <row r="1204">
      <c r="D1204" s="25"/>
      <c r="E1204" s="25"/>
      <c r="F1204" s="25"/>
      <c r="G1204" s="25"/>
      <c r="H1204" s="25"/>
    </row>
    <row r="1205">
      <c r="D1205" s="25"/>
      <c r="E1205" s="25"/>
      <c r="F1205" s="25"/>
      <c r="G1205" s="25"/>
      <c r="H1205" s="25"/>
    </row>
    <row r="1206">
      <c r="D1206" s="25"/>
      <c r="E1206" s="25"/>
      <c r="F1206" s="25"/>
      <c r="G1206" s="25"/>
      <c r="H1206" s="25"/>
    </row>
    <row r="1207">
      <c r="D1207" s="25"/>
      <c r="E1207" s="25"/>
      <c r="F1207" s="25"/>
      <c r="G1207" s="25"/>
      <c r="H1207" s="25"/>
    </row>
    <row r="1208">
      <c r="D1208" s="25"/>
      <c r="E1208" s="25"/>
      <c r="F1208" s="25"/>
      <c r="G1208" s="25"/>
      <c r="H1208" s="25"/>
    </row>
    <row r="1209">
      <c r="D1209" s="25"/>
      <c r="E1209" s="25"/>
      <c r="F1209" s="25"/>
      <c r="G1209" s="25"/>
      <c r="H1209" s="25"/>
    </row>
    <row r="1210">
      <c r="D1210" s="25"/>
      <c r="E1210" s="25"/>
      <c r="F1210" s="25"/>
      <c r="G1210" s="25"/>
      <c r="H1210" s="25"/>
    </row>
    <row r="1211">
      <c r="D1211" s="25"/>
      <c r="E1211" s="25"/>
      <c r="F1211" s="25"/>
      <c r="G1211" s="25"/>
      <c r="H1211" s="25"/>
    </row>
    <row r="1212">
      <c r="D1212" s="25"/>
      <c r="E1212" s="25"/>
      <c r="F1212" s="25"/>
      <c r="G1212" s="25"/>
      <c r="H1212" s="25"/>
    </row>
    <row r="1213">
      <c r="D1213" s="25"/>
      <c r="E1213" s="25"/>
      <c r="F1213" s="25"/>
      <c r="G1213" s="25"/>
      <c r="H1213" s="25"/>
    </row>
    <row r="1214">
      <c r="D1214" s="25"/>
      <c r="E1214" s="25"/>
      <c r="F1214" s="25"/>
      <c r="G1214" s="25"/>
      <c r="H1214" s="25"/>
    </row>
    <row r="1215">
      <c r="D1215" s="25"/>
      <c r="E1215" s="25"/>
      <c r="F1215" s="25"/>
      <c r="G1215" s="25"/>
      <c r="H1215" s="25"/>
    </row>
    <row r="1216">
      <c r="D1216" s="25"/>
      <c r="E1216" s="25"/>
      <c r="F1216" s="25"/>
      <c r="G1216" s="25"/>
      <c r="H1216" s="25"/>
    </row>
    <row r="1217">
      <c r="D1217" s="25"/>
      <c r="E1217" s="25"/>
      <c r="F1217" s="25"/>
      <c r="G1217" s="25"/>
      <c r="H1217" s="25"/>
    </row>
    <row r="1218">
      <c r="D1218" s="25"/>
      <c r="E1218" s="25"/>
      <c r="F1218" s="25"/>
      <c r="G1218" s="25"/>
      <c r="H1218" s="25"/>
    </row>
    <row r="1219">
      <c r="D1219" s="25"/>
      <c r="E1219" s="25"/>
      <c r="F1219" s="25"/>
      <c r="G1219" s="25"/>
      <c r="H1219" s="25"/>
    </row>
    <row r="1220">
      <c r="D1220" s="25"/>
      <c r="E1220" s="25"/>
      <c r="F1220" s="25"/>
      <c r="G1220" s="25"/>
      <c r="H1220" s="25"/>
    </row>
    <row r="1221">
      <c r="D1221" s="25"/>
      <c r="E1221" s="25"/>
      <c r="F1221" s="25"/>
      <c r="G1221" s="25"/>
      <c r="H1221" s="25"/>
    </row>
    <row r="1222">
      <c r="D1222" s="25"/>
      <c r="E1222" s="25"/>
      <c r="F1222" s="25"/>
      <c r="G1222" s="25"/>
      <c r="H1222" s="25"/>
    </row>
    <row r="1223">
      <c r="D1223" s="25"/>
      <c r="E1223" s="25"/>
      <c r="F1223" s="25"/>
      <c r="G1223" s="25"/>
      <c r="H1223" s="25"/>
    </row>
    <row r="1224">
      <c r="D1224" s="25"/>
      <c r="E1224" s="25"/>
      <c r="F1224" s="25"/>
      <c r="G1224" s="25"/>
      <c r="H1224" s="25"/>
    </row>
    <row r="1225">
      <c r="D1225" s="25"/>
      <c r="E1225" s="25"/>
      <c r="F1225" s="25"/>
      <c r="G1225" s="25"/>
      <c r="H1225" s="25"/>
    </row>
    <row r="1226">
      <c r="D1226" s="25"/>
      <c r="E1226" s="25"/>
      <c r="F1226" s="25"/>
      <c r="G1226" s="25"/>
      <c r="H1226" s="25"/>
    </row>
    <row r="1227">
      <c r="D1227" s="25"/>
      <c r="E1227" s="25"/>
      <c r="F1227" s="25"/>
      <c r="G1227" s="25"/>
      <c r="H1227" s="25"/>
    </row>
    <row r="1228">
      <c r="D1228" s="25"/>
      <c r="E1228" s="25"/>
      <c r="F1228" s="25"/>
      <c r="G1228" s="25"/>
      <c r="H1228" s="25"/>
    </row>
    <row r="1229">
      <c r="D1229" s="25"/>
      <c r="E1229" s="25"/>
      <c r="F1229" s="25"/>
      <c r="G1229" s="25"/>
      <c r="H1229" s="25"/>
    </row>
    <row r="1230">
      <c r="D1230" s="25"/>
      <c r="E1230" s="25"/>
      <c r="F1230" s="25"/>
      <c r="G1230" s="25"/>
      <c r="H1230" s="25"/>
    </row>
    <row r="1231">
      <c r="D1231" s="25"/>
      <c r="E1231" s="25"/>
      <c r="F1231" s="25"/>
      <c r="G1231" s="25"/>
      <c r="H1231" s="25"/>
    </row>
    <row r="1232">
      <c r="D1232" s="25"/>
      <c r="E1232" s="25"/>
      <c r="F1232" s="25"/>
      <c r="G1232" s="25"/>
      <c r="H1232" s="25"/>
    </row>
    <row r="1233">
      <c r="D1233" s="25"/>
      <c r="E1233" s="25"/>
      <c r="F1233" s="25"/>
      <c r="G1233" s="25"/>
      <c r="H1233" s="25"/>
    </row>
    <row r="1234">
      <c r="D1234" s="25"/>
      <c r="E1234" s="25"/>
      <c r="F1234" s="25"/>
      <c r="G1234" s="25"/>
      <c r="H1234" s="25"/>
    </row>
    <row r="1235">
      <c r="D1235" s="25"/>
      <c r="E1235" s="25"/>
      <c r="F1235" s="25"/>
      <c r="G1235" s="25"/>
      <c r="H1235" s="25"/>
    </row>
    <row r="1236">
      <c r="D1236" s="25"/>
      <c r="E1236" s="25"/>
      <c r="F1236" s="25"/>
      <c r="G1236" s="25"/>
      <c r="H1236" s="25"/>
    </row>
    <row r="1237">
      <c r="D1237" s="25"/>
      <c r="E1237" s="25"/>
      <c r="F1237" s="25"/>
      <c r="G1237" s="25"/>
      <c r="H1237" s="25"/>
    </row>
    <row r="1238">
      <c r="D1238" s="25"/>
      <c r="E1238" s="25"/>
      <c r="F1238" s="25"/>
      <c r="G1238" s="25"/>
      <c r="H1238" s="25"/>
    </row>
    <row r="1239">
      <c r="D1239" s="25"/>
      <c r="E1239" s="25"/>
      <c r="F1239" s="25"/>
      <c r="G1239" s="25"/>
      <c r="H1239" s="25"/>
    </row>
    <row r="1240">
      <c r="D1240" s="25"/>
      <c r="E1240" s="25"/>
      <c r="F1240" s="25"/>
      <c r="G1240" s="25"/>
      <c r="H1240" s="25"/>
    </row>
    <row r="1241">
      <c r="D1241" s="25"/>
      <c r="E1241" s="25"/>
      <c r="F1241" s="25"/>
      <c r="G1241" s="25"/>
      <c r="H1241" s="25"/>
    </row>
    <row r="1242">
      <c r="D1242" s="25"/>
      <c r="E1242" s="25"/>
      <c r="F1242" s="25"/>
      <c r="G1242" s="25"/>
      <c r="H1242" s="25"/>
    </row>
    <row r="1243">
      <c r="D1243" s="25"/>
      <c r="E1243" s="25"/>
      <c r="F1243" s="25"/>
      <c r="G1243" s="25"/>
      <c r="H1243" s="25"/>
    </row>
    <row r="1244">
      <c r="D1244" s="25"/>
      <c r="E1244" s="25"/>
      <c r="F1244" s="25"/>
      <c r="G1244" s="25"/>
      <c r="H1244" s="25"/>
    </row>
    <row r="1245">
      <c r="D1245" s="25"/>
      <c r="E1245" s="25"/>
      <c r="F1245" s="25"/>
      <c r="G1245" s="25"/>
      <c r="H1245" s="25"/>
    </row>
    <row r="1246">
      <c r="D1246" s="25"/>
      <c r="E1246" s="25"/>
      <c r="F1246" s="25"/>
      <c r="G1246" s="25"/>
      <c r="H1246" s="25"/>
    </row>
    <row r="1247">
      <c r="D1247" s="25"/>
      <c r="E1247" s="25"/>
      <c r="F1247" s="25"/>
      <c r="G1247" s="25"/>
      <c r="H1247" s="25"/>
    </row>
    <row r="1248">
      <c r="D1248" s="25"/>
      <c r="E1248" s="25"/>
      <c r="F1248" s="25"/>
      <c r="G1248" s="25"/>
      <c r="H1248" s="25"/>
    </row>
    <row r="1249">
      <c r="D1249" s="25"/>
      <c r="E1249" s="25"/>
      <c r="F1249" s="25"/>
      <c r="G1249" s="25"/>
      <c r="H1249" s="25"/>
    </row>
    <row r="1250">
      <c r="D1250" s="25"/>
      <c r="E1250" s="25"/>
      <c r="F1250" s="25"/>
      <c r="G1250" s="25"/>
      <c r="H1250" s="25"/>
    </row>
    <row r="1251">
      <c r="D1251" s="25"/>
      <c r="E1251" s="25"/>
      <c r="F1251" s="25"/>
      <c r="G1251" s="25"/>
      <c r="H1251" s="25"/>
    </row>
    <row r="1252">
      <c r="D1252" s="25"/>
      <c r="E1252" s="25"/>
      <c r="F1252" s="25"/>
      <c r="G1252" s="25"/>
      <c r="H1252" s="25"/>
    </row>
    <row r="1253">
      <c r="D1253" s="25"/>
      <c r="E1253" s="25"/>
      <c r="F1253" s="25"/>
      <c r="G1253" s="25"/>
      <c r="H1253" s="25"/>
    </row>
    <row r="1254">
      <c r="D1254" s="25"/>
      <c r="E1254" s="25"/>
      <c r="F1254" s="25"/>
      <c r="G1254" s="25"/>
      <c r="H1254" s="25"/>
    </row>
    <row r="1255">
      <c r="D1255" s="25"/>
      <c r="E1255" s="25"/>
      <c r="F1255" s="25"/>
      <c r="G1255" s="25"/>
      <c r="H1255" s="25"/>
    </row>
    <row r="1256">
      <c r="D1256" s="25"/>
      <c r="E1256" s="25"/>
      <c r="F1256" s="25"/>
      <c r="G1256" s="25"/>
      <c r="H1256" s="25"/>
    </row>
    <row r="1257">
      <c r="D1257" s="25"/>
      <c r="E1257" s="25"/>
      <c r="F1257" s="25"/>
      <c r="G1257" s="25"/>
      <c r="H1257" s="25"/>
    </row>
    <row r="1258">
      <c r="D1258" s="25"/>
      <c r="E1258" s="25"/>
      <c r="F1258" s="25"/>
      <c r="G1258" s="25"/>
      <c r="H1258" s="25"/>
    </row>
    <row r="1259">
      <c r="D1259" s="25"/>
      <c r="E1259" s="25"/>
      <c r="F1259" s="25"/>
      <c r="G1259" s="25"/>
      <c r="H1259" s="25"/>
    </row>
    <row r="1260">
      <c r="D1260" s="25"/>
      <c r="E1260" s="25"/>
      <c r="F1260" s="25"/>
      <c r="G1260" s="25"/>
      <c r="H1260" s="25"/>
    </row>
    <row r="1261">
      <c r="D1261" s="25"/>
      <c r="E1261" s="25"/>
      <c r="F1261" s="25"/>
      <c r="G1261" s="25"/>
      <c r="H1261" s="25"/>
    </row>
    <row r="1262">
      <c r="D1262" s="25"/>
      <c r="E1262" s="25"/>
      <c r="F1262" s="25"/>
      <c r="G1262" s="25"/>
      <c r="H1262" s="25"/>
    </row>
    <row r="1263">
      <c r="D1263" s="25"/>
      <c r="E1263" s="25"/>
      <c r="F1263" s="25"/>
      <c r="G1263" s="25"/>
      <c r="H1263" s="25"/>
    </row>
    <row r="1264">
      <c r="D1264" s="25"/>
      <c r="E1264" s="25"/>
      <c r="F1264" s="25"/>
      <c r="G1264" s="25"/>
      <c r="H1264" s="25"/>
    </row>
    <row r="1265">
      <c r="D1265" s="25"/>
      <c r="E1265" s="25"/>
      <c r="F1265" s="25"/>
      <c r="G1265" s="25"/>
      <c r="H1265" s="25"/>
    </row>
    <row r="1266">
      <c r="D1266" s="25"/>
      <c r="E1266" s="25"/>
      <c r="F1266" s="25"/>
      <c r="G1266" s="25"/>
      <c r="H1266" s="25"/>
    </row>
    <row r="1267">
      <c r="D1267" s="25"/>
      <c r="E1267" s="25"/>
      <c r="F1267" s="25"/>
      <c r="G1267" s="25"/>
      <c r="H1267" s="25"/>
    </row>
    <row r="1268">
      <c r="D1268" s="25"/>
      <c r="E1268" s="25"/>
      <c r="F1268" s="25"/>
      <c r="G1268" s="25"/>
      <c r="H1268" s="25"/>
    </row>
    <row r="1269">
      <c r="D1269" s="25"/>
      <c r="E1269" s="25"/>
      <c r="F1269" s="25"/>
      <c r="G1269" s="25"/>
      <c r="H1269" s="25"/>
    </row>
    <row r="1270">
      <c r="D1270" s="25"/>
      <c r="E1270" s="25"/>
      <c r="F1270" s="25"/>
      <c r="G1270" s="25"/>
      <c r="H1270" s="25"/>
    </row>
    <row r="1271">
      <c r="D1271" s="25"/>
      <c r="E1271" s="25"/>
      <c r="F1271" s="25"/>
      <c r="G1271" s="25"/>
      <c r="H1271" s="25"/>
    </row>
    <row r="1272">
      <c r="D1272" s="25"/>
      <c r="E1272" s="25"/>
      <c r="F1272" s="25"/>
      <c r="G1272" s="25"/>
      <c r="H1272" s="25"/>
    </row>
    <row r="1273">
      <c r="D1273" s="25"/>
      <c r="E1273" s="25"/>
      <c r="F1273" s="25"/>
      <c r="G1273" s="25"/>
      <c r="H1273" s="25"/>
    </row>
    <row r="1274">
      <c r="D1274" s="25"/>
      <c r="E1274" s="25"/>
      <c r="F1274" s="25"/>
      <c r="G1274" s="25"/>
      <c r="H1274" s="25"/>
    </row>
    <row r="1275">
      <c r="D1275" s="25"/>
      <c r="E1275" s="25"/>
      <c r="F1275" s="25"/>
      <c r="G1275" s="25"/>
      <c r="H1275" s="25"/>
    </row>
    <row r="1276">
      <c r="D1276" s="25"/>
      <c r="E1276" s="25"/>
      <c r="F1276" s="25"/>
      <c r="G1276" s="25"/>
      <c r="H1276" s="25"/>
    </row>
    <row r="1277">
      <c r="D1277" s="25"/>
      <c r="E1277" s="25"/>
      <c r="F1277" s="25"/>
      <c r="G1277" s="25"/>
      <c r="H1277" s="25"/>
    </row>
    <row r="1278">
      <c r="D1278" s="25"/>
      <c r="E1278" s="25"/>
      <c r="F1278" s="25"/>
      <c r="G1278" s="25"/>
      <c r="H1278" s="25"/>
    </row>
    <row r="1279">
      <c r="D1279" s="25"/>
      <c r="E1279" s="25"/>
      <c r="F1279" s="25"/>
      <c r="G1279" s="25"/>
      <c r="H1279" s="25"/>
    </row>
    <row r="1280">
      <c r="D1280" s="25"/>
      <c r="E1280" s="25"/>
      <c r="F1280" s="25"/>
      <c r="G1280" s="25"/>
      <c r="H1280" s="25"/>
    </row>
    <row r="1281">
      <c r="D1281" s="25"/>
      <c r="E1281" s="25"/>
      <c r="F1281" s="25"/>
      <c r="G1281" s="25"/>
      <c r="H1281" s="25"/>
    </row>
    <row r="1282">
      <c r="D1282" s="25"/>
      <c r="E1282" s="25"/>
      <c r="F1282" s="25"/>
      <c r="G1282" s="25"/>
      <c r="H1282" s="25"/>
    </row>
    <row r="1283">
      <c r="D1283" s="25"/>
      <c r="E1283" s="25"/>
      <c r="F1283" s="25"/>
      <c r="G1283" s="25"/>
      <c r="H1283" s="25"/>
    </row>
    <row r="1284">
      <c r="D1284" s="25"/>
      <c r="E1284" s="25"/>
      <c r="F1284" s="25"/>
      <c r="G1284" s="25"/>
      <c r="H1284" s="25"/>
    </row>
    <row r="1285">
      <c r="D1285" s="25"/>
      <c r="E1285" s="25"/>
      <c r="F1285" s="25"/>
      <c r="G1285" s="25"/>
      <c r="H1285" s="25"/>
    </row>
    <row r="1286">
      <c r="D1286" s="25"/>
      <c r="E1286" s="25"/>
      <c r="F1286" s="25"/>
      <c r="G1286" s="25"/>
      <c r="H1286" s="25"/>
    </row>
    <row r="1287">
      <c r="D1287" s="25"/>
      <c r="E1287" s="25"/>
      <c r="F1287" s="25"/>
      <c r="G1287" s="25"/>
      <c r="H1287" s="25"/>
    </row>
    <row r="1288">
      <c r="D1288" s="25"/>
      <c r="E1288" s="25"/>
      <c r="F1288" s="25"/>
      <c r="G1288" s="25"/>
      <c r="H1288" s="25"/>
    </row>
    <row r="1289">
      <c r="D1289" s="25"/>
      <c r="E1289" s="25"/>
      <c r="F1289" s="25"/>
      <c r="G1289" s="25"/>
      <c r="H1289" s="25"/>
    </row>
    <row r="1290">
      <c r="D1290" s="25"/>
      <c r="E1290" s="25"/>
      <c r="F1290" s="25"/>
      <c r="G1290" s="25"/>
      <c r="H1290" s="25"/>
    </row>
    <row r="1291">
      <c r="D1291" s="25"/>
      <c r="E1291" s="25"/>
      <c r="F1291" s="25"/>
      <c r="G1291" s="25"/>
      <c r="H1291" s="25"/>
    </row>
    <row r="1292">
      <c r="D1292" s="25"/>
      <c r="E1292" s="25"/>
      <c r="F1292" s="25"/>
      <c r="G1292" s="25"/>
      <c r="H1292" s="25"/>
    </row>
    <row r="1293">
      <c r="D1293" s="25"/>
      <c r="E1293" s="25"/>
      <c r="F1293" s="25"/>
      <c r="G1293" s="25"/>
      <c r="H1293" s="25"/>
    </row>
    <row r="1294">
      <c r="D1294" s="25"/>
      <c r="E1294" s="25"/>
      <c r="F1294" s="25"/>
      <c r="G1294" s="25"/>
      <c r="H1294" s="25"/>
    </row>
    <row r="1295">
      <c r="D1295" s="25"/>
      <c r="E1295" s="25"/>
      <c r="F1295" s="25"/>
      <c r="G1295" s="25"/>
      <c r="H1295" s="25"/>
    </row>
    <row r="1296">
      <c r="D1296" s="25"/>
      <c r="E1296" s="25"/>
      <c r="F1296" s="25"/>
      <c r="G1296" s="25"/>
      <c r="H1296" s="25"/>
    </row>
    <row r="1297">
      <c r="D1297" s="25"/>
      <c r="E1297" s="25"/>
      <c r="F1297" s="25"/>
      <c r="G1297" s="25"/>
      <c r="H1297" s="25"/>
    </row>
    <row r="1298">
      <c r="D1298" s="25"/>
      <c r="E1298" s="25"/>
      <c r="F1298" s="25"/>
      <c r="G1298" s="25"/>
      <c r="H1298" s="25"/>
    </row>
    <row r="1299">
      <c r="D1299" s="25"/>
      <c r="E1299" s="25"/>
      <c r="F1299" s="25"/>
      <c r="G1299" s="25"/>
      <c r="H1299" s="25"/>
    </row>
    <row r="1300">
      <c r="D1300" s="25"/>
      <c r="E1300" s="25"/>
      <c r="F1300" s="25"/>
      <c r="G1300" s="25"/>
      <c r="H1300" s="25"/>
    </row>
    <row r="1301">
      <c r="D1301" s="25"/>
      <c r="E1301" s="25"/>
      <c r="F1301" s="25"/>
      <c r="G1301" s="25"/>
      <c r="H1301" s="25"/>
    </row>
    <row r="1302">
      <c r="D1302" s="25"/>
      <c r="E1302" s="25"/>
      <c r="F1302" s="25"/>
      <c r="G1302" s="25"/>
      <c r="H1302" s="25"/>
    </row>
    <row r="1303">
      <c r="D1303" s="25"/>
      <c r="E1303" s="25"/>
      <c r="F1303" s="25"/>
      <c r="G1303" s="25"/>
      <c r="H1303" s="25"/>
    </row>
    <row r="1304">
      <c r="D1304" s="25"/>
      <c r="E1304" s="25"/>
      <c r="F1304" s="25"/>
      <c r="G1304" s="25"/>
      <c r="H1304" s="25"/>
    </row>
    <row r="1305">
      <c r="D1305" s="25"/>
      <c r="E1305" s="25"/>
      <c r="F1305" s="25"/>
      <c r="G1305" s="25"/>
      <c r="H1305" s="25"/>
    </row>
    <row r="1306">
      <c r="D1306" s="25"/>
      <c r="E1306" s="25"/>
      <c r="F1306" s="25"/>
      <c r="G1306" s="25"/>
      <c r="H1306" s="25"/>
    </row>
    <row r="1307">
      <c r="D1307" s="25"/>
      <c r="E1307" s="25"/>
      <c r="F1307" s="25"/>
      <c r="G1307" s="25"/>
      <c r="H1307" s="25"/>
    </row>
    <row r="1308">
      <c r="D1308" s="25"/>
      <c r="E1308" s="25"/>
      <c r="F1308" s="25"/>
      <c r="G1308" s="25"/>
      <c r="H1308" s="25"/>
    </row>
    <row r="1309">
      <c r="D1309" s="25"/>
      <c r="E1309" s="25"/>
      <c r="F1309" s="25"/>
      <c r="G1309" s="25"/>
      <c r="H1309" s="25"/>
    </row>
    <row r="1310">
      <c r="D1310" s="25"/>
      <c r="E1310" s="25"/>
      <c r="F1310" s="25"/>
      <c r="G1310" s="25"/>
      <c r="H1310" s="25"/>
    </row>
    <row r="1311">
      <c r="D1311" s="25"/>
      <c r="E1311" s="25"/>
      <c r="F1311" s="25"/>
      <c r="G1311" s="25"/>
      <c r="H1311" s="25"/>
    </row>
    <row r="1312">
      <c r="D1312" s="25"/>
      <c r="E1312" s="25"/>
      <c r="F1312" s="25"/>
      <c r="G1312" s="25"/>
      <c r="H1312" s="25"/>
    </row>
    <row r="1313">
      <c r="D1313" s="25"/>
      <c r="E1313" s="25"/>
      <c r="F1313" s="25"/>
      <c r="G1313" s="25"/>
      <c r="H1313" s="25"/>
    </row>
    <row r="1314">
      <c r="D1314" s="25"/>
      <c r="E1314" s="25"/>
      <c r="F1314" s="25"/>
      <c r="G1314" s="25"/>
      <c r="H1314" s="25"/>
    </row>
    <row r="1315">
      <c r="D1315" s="25"/>
      <c r="E1315" s="25"/>
      <c r="F1315" s="25"/>
      <c r="G1315" s="25"/>
      <c r="H1315" s="25"/>
    </row>
    <row r="1316">
      <c r="D1316" s="25"/>
      <c r="E1316" s="25"/>
      <c r="F1316" s="25"/>
      <c r="G1316" s="25"/>
      <c r="H1316" s="25"/>
    </row>
    <row r="1317">
      <c r="D1317" s="25"/>
      <c r="E1317" s="25"/>
      <c r="F1317" s="25"/>
      <c r="G1317" s="25"/>
      <c r="H1317" s="25"/>
    </row>
    <row r="1318">
      <c r="D1318" s="25"/>
      <c r="E1318" s="25"/>
      <c r="F1318" s="25"/>
      <c r="G1318" s="25"/>
      <c r="H1318" s="25"/>
    </row>
    <row r="1319">
      <c r="D1319" s="25"/>
      <c r="E1319" s="25"/>
      <c r="F1319" s="25"/>
      <c r="G1319" s="25"/>
      <c r="H1319" s="25"/>
    </row>
    <row r="1320">
      <c r="D1320" s="25"/>
      <c r="E1320" s="25"/>
      <c r="F1320" s="25"/>
      <c r="G1320" s="25"/>
      <c r="H1320" s="25"/>
    </row>
    <row r="1321">
      <c r="D1321" s="25"/>
      <c r="E1321" s="25"/>
      <c r="F1321" s="25"/>
      <c r="G1321" s="25"/>
      <c r="H1321" s="25"/>
    </row>
    <row r="1322">
      <c r="D1322" s="25"/>
      <c r="E1322" s="25"/>
      <c r="F1322" s="25"/>
      <c r="G1322" s="25"/>
      <c r="H1322" s="25"/>
    </row>
    <row r="1323">
      <c r="D1323" s="25"/>
      <c r="E1323" s="25"/>
      <c r="F1323" s="25"/>
      <c r="G1323" s="25"/>
      <c r="H1323" s="25"/>
    </row>
    <row r="1324">
      <c r="D1324" s="25"/>
      <c r="E1324" s="25"/>
      <c r="F1324" s="25"/>
      <c r="G1324" s="25"/>
      <c r="H1324" s="25"/>
    </row>
    <row r="1325">
      <c r="D1325" s="25"/>
      <c r="E1325" s="25"/>
      <c r="F1325" s="25"/>
      <c r="G1325" s="25"/>
      <c r="H1325" s="25"/>
    </row>
    <row r="1326">
      <c r="D1326" s="25"/>
      <c r="E1326" s="25"/>
      <c r="F1326" s="25"/>
      <c r="G1326" s="25"/>
      <c r="H1326" s="25"/>
    </row>
    <row r="1327">
      <c r="D1327" s="25"/>
      <c r="E1327" s="25"/>
      <c r="F1327" s="25"/>
      <c r="G1327" s="25"/>
      <c r="H1327" s="25"/>
    </row>
    <row r="1328">
      <c r="D1328" s="25"/>
      <c r="E1328" s="25"/>
      <c r="F1328" s="25"/>
      <c r="G1328" s="25"/>
      <c r="H1328" s="25"/>
    </row>
    <row r="1329">
      <c r="D1329" s="25"/>
      <c r="E1329" s="25"/>
      <c r="F1329" s="25"/>
      <c r="G1329" s="25"/>
      <c r="H1329" s="25"/>
    </row>
    <row r="1330">
      <c r="D1330" s="25"/>
      <c r="E1330" s="25"/>
      <c r="F1330" s="25"/>
      <c r="G1330" s="25"/>
      <c r="H1330" s="25"/>
    </row>
    <row r="1331">
      <c r="D1331" s="25"/>
      <c r="E1331" s="25"/>
      <c r="F1331" s="25"/>
      <c r="G1331" s="25"/>
      <c r="H1331" s="25"/>
    </row>
    <row r="1332">
      <c r="D1332" s="25"/>
      <c r="E1332" s="25"/>
      <c r="F1332" s="25"/>
      <c r="G1332" s="25"/>
      <c r="H1332" s="25"/>
    </row>
    <row r="1333">
      <c r="D1333" s="25"/>
      <c r="E1333" s="25"/>
      <c r="F1333" s="25"/>
      <c r="G1333" s="25"/>
      <c r="H1333" s="25"/>
    </row>
    <row r="1334">
      <c r="D1334" s="25"/>
      <c r="E1334" s="25"/>
      <c r="F1334" s="25"/>
      <c r="G1334" s="25"/>
      <c r="H1334" s="25"/>
    </row>
    <row r="1335">
      <c r="D1335" s="25"/>
      <c r="E1335" s="25"/>
      <c r="F1335" s="25"/>
      <c r="G1335" s="25"/>
      <c r="H1335" s="25"/>
    </row>
    <row r="1336">
      <c r="D1336" s="25"/>
      <c r="E1336" s="25"/>
      <c r="F1336" s="25"/>
      <c r="G1336" s="25"/>
      <c r="H1336" s="25"/>
    </row>
    <row r="1337">
      <c r="D1337" s="25"/>
      <c r="E1337" s="25"/>
      <c r="F1337" s="25"/>
      <c r="G1337" s="25"/>
      <c r="H1337" s="25"/>
    </row>
    <row r="1338">
      <c r="D1338" s="25"/>
      <c r="E1338" s="25"/>
      <c r="F1338" s="25"/>
      <c r="G1338" s="25"/>
      <c r="H1338" s="25"/>
    </row>
    <row r="1339">
      <c r="D1339" s="25"/>
      <c r="E1339" s="25"/>
      <c r="F1339" s="25"/>
      <c r="G1339" s="25"/>
      <c r="H1339" s="25"/>
    </row>
    <row r="1340">
      <c r="D1340" s="25"/>
      <c r="E1340" s="25"/>
      <c r="F1340" s="25"/>
      <c r="G1340" s="25"/>
      <c r="H1340" s="25"/>
    </row>
    <row r="1341">
      <c r="D1341" s="25"/>
      <c r="E1341" s="25"/>
      <c r="F1341" s="25"/>
      <c r="G1341" s="25"/>
      <c r="H1341" s="25"/>
    </row>
    <row r="1342">
      <c r="D1342" s="25"/>
      <c r="E1342" s="25"/>
      <c r="F1342" s="25"/>
      <c r="G1342" s="25"/>
      <c r="H1342" s="25"/>
    </row>
    <row r="1343">
      <c r="D1343" s="25"/>
      <c r="E1343" s="25"/>
      <c r="F1343" s="25"/>
      <c r="G1343" s="25"/>
      <c r="H1343" s="25"/>
    </row>
    <row r="1344">
      <c r="D1344" s="25"/>
      <c r="E1344" s="25"/>
      <c r="F1344" s="25"/>
      <c r="G1344" s="25"/>
      <c r="H1344" s="25"/>
    </row>
    <row r="1345">
      <c r="D1345" s="25"/>
      <c r="E1345" s="25"/>
      <c r="F1345" s="25"/>
      <c r="G1345" s="25"/>
      <c r="H1345" s="25"/>
    </row>
    <row r="1346">
      <c r="D1346" s="25"/>
      <c r="E1346" s="25"/>
      <c r="F1346" s="25"/>
      <c r="G1346" s="25"/>
      <c r="H1346" s="25"/>
    </row>
    <row r="1347">
      <c r="D1347" s="25"/>
      <c r="E1347" s="25"/>
      <c r="F1347" s="25"/>
      <c r="G1347" s="25"/>
      <c r="H1347" s="25"/>
    </row>
    <row r="1348">
      <c r="D1348" s="25"/>
      <c r="E1348" s="25"/>
      <c r="F1348" s="25"/>
      <c r="G1348" s="25"/>
      <c r="H1348" s="25"/>
    </row>
    <row r="1349">
      <c r="D1349" s="25"/>
      <c r="E1349" s="25"/>
      <c r="F1349" s="25"/>
      <c r="G1349" s="25"/>
      <c r="H1349" s="25"/>
    </row>
    <row r="1350">
      <c r="D1350" s="25"/>
      <c r="E1350" s="25"/>
      <c r="F1350" s="25"/>
      <c r="G1350" s="25"/>
      <c r="H1350" s="25"/>
    </row>
    <row r="1351">
      <c r="D1351" s="25"/>
      <c r="E1351" s="25"/>
      <c r="F1351" s="25"/>
      <c r="G1351" s="25"/>
      <c r="H1351" s="25"/>
    </row>
    <row r="1352">
      <c r="D1352" s="25"/>
      <c r="E1352" s="25"/>
      <c r="F1352" s="25"/>
      <c r="G1352" s="25"/>
      <c r="H1352" s="25"/>
    </row>
    <row r="1353">
      <c r="D1353" s="25"/>
      <c r="E1353" s="25"/>
      <c r="F1353" s="25"/>
      <c r="G1353" s="25"/>
      <c r="H1353" s="25"/>
    </row>
    <row r="1354">
      <c r="D1354" s="25"/>
      <c r="E1354" s="25"/>
      <c r="F1354" s="25"/>
      <c r="G1354" s="25"/>
      <c r="H1354" s="25"/>
    </row>
    <row r="1355">
      <c r="D1355" s="25"/>
      <c r="E1355" s="25"/>
      <c r="F1355" s="25"/>
      <c r="G1355" s="25"/>
      <c r="H1355" s="25"/>
    </row>
    <row r="1356">
      <c r="D1356" s="25"/>
      <c r="E1356" s="25"/>
      <c r="F1356" s="25"/>
      <c r="G1356" s="25"/>
      <c r="H1356" s="25"/>
    </row>
    <row r="1357">
      <c r="D1357" s="25"/>
      <c r="E1357" s="25"/>
      <c r="F1357" s="25"/>
      <c r="G1357" s="25"/>
      <c r="H1357" s="25"/>
    </row>
    <row r="1358">
      <c r="D1358" s="25"/>
      <c r="E1358" s="25"/>
      <c r="F1358" s="25"/>
      <c r="G1358" s="25"/>
      <c r="H1358" s="25"/>
    </row>
    <row r="1359">
      <c r="D1359" s="25"/>
      <c r="E1359" s="25"/>
      <c r="F1359" s="25"/>
      <c r="G1359" s="25"/>
      <c r="H1359" s="25"/>
    </row>
    <row r="1360">
      <c r="D1360" s="25"/>
      <c r="E1360" s="25"/>
      <c r="F1360" s="25"/>
      <c r="G1360" s="25"/>
      <c r="H1360" s="25"/>
    </row>
    <row r="1361">
      <c r="D1361" s="25"/>
      <c r="E1361" s="25"/>
      <c r="F1361" s="25"/>
      <c r="G1361" s="25"/>
      <c r="H1361" s="25"/>
    </row>
    <row r="1362">
      <c r="D1362" s="25"/>
      <c r="E1362" s="25"/>
      <c r="F1362" s="25"/>
      <c r="G1362" s="25"/>
      <c r="H1362" s="25"/>
    </row>
    <row r="1363">
      <c r="D1363" s="25"/>
      <c r="E1363" s="25"/>
      <c r="F1363" s="25"/>
      <c r="G1363" s="25"/>
      <c r="H1363" s="25"/>
    </row>
    <row r="1364">
      <c r="D1364" s="25"/>
      <c r="E1364" s="25"/>
      <c r="F1364" s="25"/>
      <c r="G1364" s="25"/>
      <c r="H1364" s="25"/>
    </row>
    <row r="1365">
      <c r="D1365" s="25"/>
      <c r="E1365" s="25"/>
      <c r="F1365" s="25"/>
      <c r="G1365" s="25"/>
      <c r="H1365" s="25"/>
    </row>
    <row r="1366">
      <c r="D1366" s="25"/>
      <c r="E1366" s="25"/>
      <c r="F1366" s="25"/>
      <c r="G1366" s="25"/>
      <c r="H1366" s="25"/>
    </row>
    <row r="1367">
      <c r="D1367" s="25"/>
      <c r="E1367" s="25"/>
      <c r="F1367" s="25"/>
      <c r="G1367" s="25"/>
      <c r="H1367" s="25"/>
    </row>
    <row r="1368">
      <c r="D1368" s="25"/>
      <c r="E1368" s="25"/>
      <c r="F1368" s="25"/>
      <c r="G1368" s="25"/>
      <c r="H1368" s="25"/>
    </row>
    <row r="1369">
      <c r="D1369" s="25"/>
      <c r="E1369" s="25"/>
      <c r="F1369" s="25"/>
      <c r="G1369" s="25"/>
      <c r="H1369" s="25"/>
    </row>
    <row r="1370">
      <c r="D1370" s="25"/>
      <c r="E1370" s="25"/>
      <c r="F1370" s="25"/>
      <c r="G1370" s="25"/>
      <c r="H1370" s="25"/>
    </row>
    <row r="1371">
      <c r="D1371" s="25"/>
      <c r="E1371" s="25"/>
      <c r="F1371" s="25"/>
      <c r="G1371" s="25"/>
      <c r="H1371" s="25"/>
    </row>
    <row r="1372">
      <c r="D1372" s="25"/>
      <c r="E1372" s="25"/>
      <c r="F1372" s="25"/>
      <c r="G1372" s="25"/>
      <c r="H1372" s="25"/>
    </row>
    <row r="1373">
      <c r="D1373" s="25"/>
      <c r="E1373" s="25"/>
      <c r="F1373" s="25"/>
      <c r="G1373" s="25"/>
      <c r="H1373" s="25"/>
    </row>
    <row r="1374">
      <c r="D1374" s="25"/>
      <c r="E1374" s="25"/>
      <c r="F1374" s="25"/>
      <c r="G1374" s="25"/>
      <c r="H1374" s="25"/>
    </row>
    <row r="1375">
      <c r="D1375" s="25"/>
      <c r="E1375" s="25"/>
      <c r="F1375" s="25"/>
      <c r="G1375" s="25"/>
      <c r="H1375" s="25"/>
    </row>
    <row r="1376">
      <c r="D1376" s="25"/>
      <c r="E1376" s="25"/>
      <c r="F1376" s="25"/>
      <c r="G1376" s="25"/>
      <c r="H1376" s="25"/>
    </row>
    <row r="1377">
      <c r="D1377" s="25"/>
      <c r="E1377" s="25"/>
      <c r="F1377" s="25"/>
      <c r="G1377" s="25"/>
      <c r="H1377" s="25"/>
    </row>
    <row r="1378">
      <c r="D1378" s="25"/>
      <c r="E1378" s="25"/>
      <c r="F1378" s="25"/>
      <c r="G1378" s="25"/>
      <c r="H1378" s="25"/>
    </row>
    <row r="1379">
      <c r="D1379" s="25"/>
      <c r="E1379" s="25"/>
      <c r="F1379" s="25"/>
      <c r="G1379" s="25"/>
      <c r="H1379" s="25"/>
    </row>
    <row r="1380">
      <c r="D1380" s="25"/>
      <c r="E1380" s="25"/>
      <c r="F1380" s="25"/>
      <c r="G1380" s="25"/>
      <c r="H1380" s="25"/>
    </row>
    <row r="1381">
      <c r="D1381" s="25"/>
      <c r="E1381" s="25"/>
      <c r="F1381" s="25"/>
      <c r="G1381" s="25"/>
      <c r="H1381" s="25"/>
    </row>
    <row r="1382">
      <c r="D1382" s="25"/>
      <c r="E1382" s="25"/>
      <c r="F1382" s="25"/>
      <c r="G1382" s="25"/>
      <c r="H1382" s="25"/>
    </row>
    <row r="1383">
      <c r="D1383" s="25"/>
      <c r="E1383" s="25"/>
      <c r="F1383" s="25"/>
      <c r="G1383" s="25"/>
      <c r="H1383" s="25"/>
    </row>
    <row r="1384">
      <c r="D1384" s="25"/>
      <c r="E1384" s="25"/>
      <c r="F1384" s="25"/>
      <c r="G1384" s="25"/>
      <c r="H1384" s="25"/>
    </row>
    <row r="1385">
      <c r="D1385" s="25"/>
      <c r="E1385" s="25"/>
      <c r="F1385" s="25"/>
      <c r="G1385" s="25"/>
      <c r="H1385" s="25"/>
    </row>
    <row r="1386">
      <c r="D1386" s="25"/>
      <c r="E1386" s="25"/>
      <c r="F1386" s="25"/>
      <c r="G1386" s="25"/>
      <c r="H1386" s="25"/>
    </row>
    <row r="1387">
      <c r="D1387" s="25"/>
      <c r="E1387" s="25"/>
      <c r="F1387" s="25"/>
      <c r="G1387" s="25"/>
      <c r="H1387" s="25"/>
    </row>
    <row r="1388">
      <c r="D1388" s="25"/>
      <c r="E1388" s="25"/>
      <c r="F1388" s="25"/>
      <c r="G1388" s="25"/>
      <c r="H1388" s="25"/>
    </row>
    <row r="1389">
      <c r="D1389" s="25"/>
      <c r="E1389" s="25"/>
      <c r="F1389" s="25"/>
      <c r="G1389" s="25"/>
      <c r="H1389" s="25"/>
    </row>
    <row r="1390">
      <c r="D1390" s="25"/>
      <c r="E1390" s="25"/>
      <c r="F1390" s="25"/>
      <c r="G1390" s="25"/>
      <c r="H1390" s="25"/>
    </row>
    <row r="1391">
      <c r="D1391" s="25"/>
      <c r="E1391" s="25"/>
      <c r="F1391" s="25"/>
      <c r="G1391" s="25"/>
      <c r="H1391" s="25"/>
    </row>
    <row r="1392">
      <c r="D1392" s="25"/>
      <c r="E1392" s="25"/>
      <c r="F1392" s="25"/>
      <c r="G1392" s="25"/>
      <c r="H1392" s="25"/>
    </row>
    <row r="1393">
      <c r="D1393" s="25"/>
      <c r="E1393" s="25"/>
      <c r="F1393" s="25"/>
      <c r="G1393" s="25"/>
      <c r="H1393" s="25"/>
    </row>
    <row r="1394">
      <c r="D1394" s="25"/>
      <c r="E1394" s="25"/>
      <c r="F1394" s="25"/>
      <c r="G1394" s="25"/>
      <c r="H1394" s="25"/>
    </row>
    <row r="1395">
      <c r="D1395" s="25"/>
      <c r="E1395" s="25"/>
      <c r="F1395" s="25"/>
      <c r="G1395" s="25"/>
      <c r="H1395" s="25"/>
    </row>
    <row r="1396">
      <c r="D1396" s="25"/>
      <c r="E1396" s="25"/>
      <c r="F1396" s="25"/>
      <c r="G1396" s="25"/>
      <c r="H1396" s="25"/>
    </row>
    <row r="1397">
      <c r="D1397" s="25"/>
      <c r="E1397" s="25"/>
      <c r="F1397" s="25"/>
      <c r="G1397" s="25"/>
      <c r="H1397" s="25"/>
    </row>
    <row r="1398">
      <c r="D1398" s="25"/>
      <c r="E1398" s="25"/>
      <c r="F1398" s="25"/>
      <c r="G1398" s="25"/>
      <c r="H1398" s="25"/>
    </row>
    <row r="1399">
      <c r="D1399" s="25"/>
      <c r="E1399" s="25"/>
      <c r="F1399" s="25"/>
      <c r="G1399" s="25"/>
      <c r="H1399" s="25"/>
    </row>
    <row r="1400">
      <c r="D1400" s="25"/>
      <c r="E1400" s="25"/>
      <c r="F1400" s="25"/>
      <c r="G1400" s="25"/>
      <c r="H1400" s="25"/>
    </row>
    <row r="1401">
      <c r="D1401" s="25"/>
      <c r="E1401" s="25"/>
      <c r="F1401" s="25"/>
      <c r="G1401" s="25"/>
      <c r="H1401" s="25"/>
    </row>
    <row r="1402">
      <c r="D1402" s="25"/>
      <c r="E1402" s="25"/>
      <c r="F1402" s="25"/>
      <c r="G1402" s="25"/>
      <c r="H1402" s="25"/>
    </row>
    <row r="1403">
      <c r="D1403" s="25"/>
      <c r="E1403" s="25"/>
      <c r="F1403" s="25"/>
      <c r="G1403" s="25"/>
      <c r="H1403" s="25"/>
    </row>
    <row r="1404">
      <c r="D1404" s="25"/>
      <c r="E1404" s="25"/>
      <c r="F1404" s="25"/>
      <c r="G1404" s="25"/>
      <c r="H1404" s="25"/>
    </row>
    <row r="1405">
      <c r="D1405" s="25"/>
      <c r="E1405" s="25"/>
      <c r="F1405" s="25"/>
      <c r="G1405" s="25"/>
      <c r="H1405" s="25"/>
    </row>
    <row r="1406">
      <c r="D1406" s="25"/>
      <c r="E1406" s="25"/>
      <c r="F1406" s="25"/>
      <c r="G1406" s="25"/>
      <c r="H1406" s="25"/>
    </row>
    <row r="1407">
      <c r="D1407" s="25"/>
      <c r="E1407" s="25"/>
      <c r="F1407" s="25"/>
      <c r="G1407" s="25"/>
      <c r="H1407" s="25"/>
    </row>
    <row r="1408">
      <c r="D1408" s="25"/>
      <c r="E1408" s="25"/>
      <c r="F1408" s="25"/>
      <c r="G1408" s="25"/>
      <c r="H1408" s="25"/>
    </row>
    <row r="1409">
      <c r="D1409" s="25"/>
      <c r="E1409" s="25"/>
      <c r="F1409" s="25"/>
      <c r="G1409" s="25"/>
      <c r="H1409" s="25"/>
    </row>
    <row r="1410">
      <c r="D1410" s="25"/>
      <c r="E1410" s="25"/>
      <c r="F1410" s="25"/>
      <c r="G1410" s="25"/>
      <c r="H1410" s="25"/>
    </row>
    <row r="1411">
      <c r="D1411" s="25"/>
      <c r="E1411" s="25"/>
      <c r="F1411" s="25"/>
      <c r="G1411" s="25"/>
      <c r="H1411" s="25"/>
    </row>
    <row r="1412">
      <c r="D1412" s="25"/>
      <c r="E1412" s="25"/>
      <c r="F1412" s="25"/>
      <c r="G1412" s="25"/>
      <c r="H1412" s="25"/>
    </row>
    <row r="1413">
      <c r="D1413" s="25"/>
      <c r="E1413" s="25"/>
      <c r="F1413" s="25"/>
      <c r="G1413" s="25"/>
      <c r="H1413" s="25"/>
    </row>
    <row r="1414">
      <c r="D1414" s="25"/>
      <c r="E1414" s="25"/>
      <c r="F1414" s="25"/>
      <c r="G1414" s="25"/>
      <c r="H1414" s="25"/>
    </row>
    <row r="1415">
      <c r="D1415" s="25"/>
      <c r="E1415" s="25"/>
      <c r="F1415" s="25"/>
      <c r="G1415" s="25"/>
      <c r="H1415" s="25"/>
    </row>
    <row r="1416">
      <c r="D1416" s="25"/>
      <c r="E1416" s="25"/>
      <c r="F1416" s="25"/>
      <c r="G1416" s="25"/>
      <c r="H1416" s="25"/>
    </row>
    <row r="1417">
      <c r="D1417" s="25"/>
      <c r="E1417" s="25"/>
      <c r="F1417" s="25"/>
      <c r="G1417" s="25"/>
      <c r="H1417" s="25"/>
    </row>
    <row r="1418">
      <c r="D1418" s="25"/>
      <c r="E1418" s="25"/>
      <c r="F1418" s="25"/>
      <c r="G1418" s="25"/>
      <c r="H1418" s="25"/>
    </row>
    <row r="1419">
      <c r="D1419" s="25"/>
      <c r="E1419" s="25"/>
      <c r="F1419" s="25"/>
      <c r="G1419" s="25"/>
      <c r="H1419" s="25"/>
    </row>
    <row r="1420">
      <c r="D1420" s="25"/>
      <c r="E1420" s="25"/>
      <c r="F1420" s="25"/>
      <c r="G1420" s="25"/>
      <c r="H1420" s="25"/>
    </row>
    <row r="1421">
      <c r="D1421" s="25"/>
      <c r="E1421" s="25"/>
      <c r="F1421" s="25"/>
      <c r="G1421" s="25"/>
      <c r="H1421" s="25"/>
    </row>
    <row r="1422">
      <c r="D1422" s="25"/>
      <c r="E1422" s="25"/>
      <c r="F1422" s="25"/>
      <c r="G1422" s="25"/>
      <c r="H1422" s="25"/>
    </row>
    <row r="1423">
      <c r="D1423" s="25"/>
      <c r="E1423" s="25"/>
      <c r="F1423" s="25"/>
      <c r="G1423" s="25"/>
      <c r="H1423" s="25"/>
    </row>
    <row r="1424">
      <c r="D1424" s="25"/>
      <c r="E1424" s="25"/>
      <c r="F1424" s="25"/>
      <c r="G1424" s="25"/>
      <c r="H1424" s="25"/>
    </row>
    <row r="1425">
      <c r="D1425" s="25"/>
      <c r="E1425" s="25"/>
      <c r="F1425" s="25"/>
      <c r="G1425" s="25"/>
      <c r="H1425" s="25"/>
    </row>
    <row r="1426">
      <c r="D1426" s="25"/>
      <c r="E1426" s="25"/>
      <c r="F1426" s="25"/>
      <c r="G1426" s="25"/>
      <c r="H1426" s="25"/>
    </row>
    <row r="1427">
      <c r="D1427" s="25"/>
      <c r="E1427" s="25"/>
      <c r="F1427" s="25"/>
      <c r="G1427" s="25"/>
      <c r="H1427" s="25"/>
    </row>
    <row r="1428">
      <c r="D1428" s="25"/>
      <c r="E1428" s="25"/>
      <c r="F1428" s="25"/>
      <c r="G1428" s="25"/>
      <c r="H1428" s="25"/>
    </row>
    <row r="1429">
      <c r="D1429" s="25"/>
      <c r="E1429" s="25"/>
      <c r="F1429" s="25"/>
      <c r="G1429" s="25"/>
      <c r="H1429" s="25"/>
    </row>
    <row r="1430">
      <c r="D1430" s="25"/>
      <c r="E1430" s="25"/>
      <c r="F1430" s="25"/>
      <c r="G1430" s="25"/>
      <c r="H1430" s="25"/>
    </row>
    <row r="1431">
      <c r="D1431" s="25"/>
      <c r="E1431" s="25"/>
      <c r="F1431" s="25"/>
      <c r="G1431" s="25"/>
      <c r="H1431" s="25"/>
    </row>
    <row r="1432">
      <c r="D1432" s="25"/>
      <c r="E1432" s="25"/>
      <c r="F1432" s="25"/>
      <c r="G1432" s="25"/>
      <c r="H1432" s="25"/>
    </row>
    <row r="1433">
      <c r="D1433" s="25"/>
      <c r="E1433" s="25"/>
      <c r="F1433" s="25"/>
      <c r="G1433" s="25"/>
      <c r="H1433" s="25"/>
    </row>
    <row r="1434">
      <c r="D1434" s="25"/>
      <c r="E1434" s="25"/>
      <c r="F1434" s="25"/>
      <c r="G1434" s="25"/>
      <c r="H1434" s="25"/>
    </row>
    <row r="1435">
      <c r="D1435" s="25"/>
      <c r="E1435" s="25"/>
      <c r="F1435" s="25"/>
      <c r="G1435" s="25"/>
      <c r="H1435" s="25"/>
    </row>
    <row r="1436">
      <c r="D1436" s="25"/>
      <c r="E1436" s="25"/>
      <c r="F1436" s="25"/>
      <c r="G1436" s="25"/>
      <c r="H1436" s="25"/>
    </row>
    <row r="1437">
      <c r="D1437" s="25"/>
      <c r="E1437" s="25"/>
      <c r="F1437" s="25"/>
      <c r="G1437" s="25"/>
      <c r="H1437" s="25"/>
    </row>
    <row r="1438">
      <c r="D1438" s="25"/>
      <c r="E1438" s="25"/>
      <c r="F1438" s="25"/>
      <c r="G1438" s="25"/>
      <c r="H1438" s="25"/>
    </row>
    <row r="1439">
      <c r="D1439" s="25"/>
      <c r="E1439" s="25"/>
      <c r="F1439" s="25"/>
      <c r="G1439" s="25"/>
      <c r="H1439" s="25"/>
    </row>
    <row r="1440">
      <c r="D1440" s="25"/>
      <c r="E1440" s="25"/>
      <c r="F1440" s="25"/>
      <c r="G1440" s="25"/>
      <c r="H1440" s="25"/>
    </row>
    <row r="1441">
      <c r="D1441" s="25"/>
      <c r="E1441" s="25"/>
      <c r="F1441" s="25"/>
      <c r="G1441" s="25"/>
      <c r="H1441" s="25"/>
    </row>
    <row r="1442">
      <c r="D1442" s="25"/>
      <c r="E1442" s="25"/>
      <c r="F1442" s="25"/>
      <c r="G1442" s="25"/>
      <c r="H1442" s="25"/>
    </row>
    <row r="1443">
      <c r="D1443" s="25"/>
      <c r="E1443" s="25"/>
      <c r="F1443" s="25"/>
      <c r="G1443" s="25"/>
      <c r="H1443" s="25"/>
    </row>
    <row r="1444">
      <c r="D1444" s="25"/>
      <c r="E1444" s="25"/>
      <c r="F1444" s="25"/>
      <c r="G1444" s="25"/>
      <c r="H1444" s="25"/>
    </row>
    <row r="1445">
      <c r="D1445" s="25"/>
      <c r="E1445" s="25"/>
      <c r="F1445" s="25"/>
      <c r="G1445" s="25"/>
      <c r="H1445" s="25"/>
    </row>
    <row r="1446">
      <c r="D1446" s="25"/>
      <c r="E1446" s="25"/>
      <c r="F1446" s="25"/>
      <c r="G1446" s="25"/>
      <c r="H1446" s="25"/>
    </row>
    <row r="1447">
      <c r="D1447" s="25"/>
      <c r="E1447" s="25"/>
      <c r="F1447" s="25"/>
      <c r="G1447" s="25"/>
      <c r="H1447" s="25"/>
    </row>
    <row r="1448">
      <c r="D1448" s="25"/>
      <c r="E1448" s="25"/>
      <c r="F1448" s="25"/>
      <c r="G1448" s="25"/>
      <c r="H1448" s="25"/>
    </row>
    <row r="1449">
      <c r="D1449" s="25"/>
      <c r="E1449" s="25"/>
      <c r="F1449" s="25"/>
      <c r="G1449" s="25"/>
      <c r="H1449" s="25"/>
    </row>
    <row r="1450">
      <c r="D1450" s="25"/>
      <c r="E1450" s="25"/>
      <c r="F1450" s="25"/>
      <c r="G1450" s="25"/>
      <c r="H1450" s="25"/>
    </row>
    <row r="1451">
      <c r="D1451" s="25"/>
      <c r="E1451" s="25"/>
      <c r="F1451" s="25"/>
      <c r="G1451" s="25"/>
      <c r="H1451" s="25"/>
    </row>
    <row r="1452">
      <c r="D1452" s="25"/>
      <c r="E1452" s="25"/>
      <c r="F1452" s="25"/>
      <c r="G1452" s="25"/>
      <c r="H1452" s="25"/>
    </row>
    <row r="1453">
      <c r="D1453" s="25"/>
      <c r="E1453" s="25"/>
      <c r="F1453" s="25"/>
      <c r="G1453" s="25"/>
      <c r="H1453" s="25"/>
    </row>
    <row r="1454">
      <c r="D1454" s="25"/>
      <c r="E1454" s="25"/>
      <c r="F1454" s="25"/>
      <c r="G1454" s="25"/>
      <c r="H1454" s="25"/>
    </row>
    <row r="1455">
      <c r="D1455" s="25"/>
      <c r="E1455" s="25"/>
      <c r="F1455" s="25"/>
      <c r="G1455" s="25"/>
      <c r="H1455" s="25"/>
    </row>
    <row r="1456">
      <c r="D1456" s="25"/>
      <c r="E1456" s="25"/>
      <c r="F1456" s="25"/>
      <c r="G1456" s="25"/>
      <c r="H1456" s="25"/>
    </row>
    <row r="1457">
      <c r="D1457" s="25"/>
      <c r="E1457" s="25"/>
      <c r="F1457" s="25"/>
      <c r="G1457" s="25"/>
      <c r="H1457" s="25"/>
    </row>
    <row r="1458">
      <c r="D1458" s="25"/>
      <c r="E1458" s="25"/>
      <c r="F1458" s="25"/>
      <c r="G1458" s="25"/>
      <c r="H1458" s="25"/>
    </row>
    <row r="1459">
      <c r="D1459" s="25"/>
      <c r="E1459" s="25"/>
      <c r="F1459" s="25"/>
      <c r="G1459" s="25"/>
      <c r="H1459" s="25"/>
    </row>
    <row r="1460">
      <c r="D1460" s="25"/>
      <c r="E1460" s="25"/>
      <c r="F1460" s="25"/>
      <c r="G1460" s="25"/>
      <c r="H1460" s="25"/>
    </row>
    <row r="1461">
      <c r="D1461" s="25"/>
      <c r="E1461" s="25"/>
      <c r="F1461" s="25"/>
      <c r="G1461" s="25"/>
      <c r="H1461" s="25"/>
    </row>
    <row r="1462">
      <c r="D1462" s="25"/>
      <c r="E1462" s="25"/>
      <c r="F1462" s="25"/>
      <c r="G1462" s="25"/>
      <c r="H1462" s="25"/>
    </row>
    <row r="1463">
      <c r="D1463" s="25"/>
      <c r="E1463" s="25"/>
      <c r="F1463" s="25"/>
      <c r="G1463" s="25"/>
      <c r="H1463" s="25"/>
    </row>
    <row r="1464">
      <c r="D1464" s="25"/>
      <c r="E1464" s="25"/>
      <c r="F1464" s="25"/>
      <c r="G1464" s="25"/>
      <c r="H1464" s="25"/>
    </row>
    <row r="1465">
      <c r="D1465" s="25"/>
      <c r="E1465" s="25"/>
      <c r="F1465" s="25"/>
      <c r="G1465" s="25"/>
      <c r="H1465" s="25"/>
    </row>
    <row r="1466">
      <c r="D1466" s="25"/>
      <c r="E1466" s="25"/>
      <c r="F1466" s="25"/>
      <c r="G1466" s="25"/>
      <c r="H1466" s="25"/>
    </row>
    <row r="1467">
      <c r="D1467" s="25"/>
      <c r="E1467" s="25"/>
      <c r="F1467" s="25"/>
      <c r="G1467" s="25"/>
      <c r="H1467" s="25"/>
    </row>
    <row r="1468">
      <c r="D1468" s="25"/>
      <c r="E1468" s="25"/>
      <c r="F1468" s="25"/>
      <c r="G1468" s="25"/>
      <c r="H1468" s="25"/>
    </row>
    <row r="1469">
      <c r="D1469" s="25"/>
      <c r="E1469" s="25"/>
      <c r="F1469" s="25"/>
      <c r="G1469" s="25"/>
      <c r="H1469" s="25"/>
    </row>
    <row r="1470">
      <c r="D1470" s="25"/>
      <c r="E1470" s="25"/>
      <c r="F1470" s="25"/>
      <c r="G1470" s="25"/>
      <c r="H1470" s="25"/>
    </row>
    <row r="1471">
      <c r="D1471" s="25"/>
      <c r="E1471" s="25"/>
      <c r="F1471" s="25"/>
      <c r="G1471" s="25"/>
      <c r="H1471" s="25"/>
    </row>
    <row r="1472">
      <c r="D1472" s="25"/>
      <c r="E1472" s="25"/>
      <c r="F1472" s="25"/>
      <c r="G1472" s="25"/>
      <c r="H1472" s="25"/>
    </row>
    <row r="1473">
      <c r="D1473" s="25"/>
      <c r="E1473" s="25"/>
      <c r="F1473" s="25"/>
      <c r="G1473" s="25"/>
      <c r="H1473" s="25"/>
    </row>
    <row r="1474">
      <c r="D1474" s="25"/>
      <c r="E1474" s="25"/>
      <c r="F1474" s="25"/>
      <c r="G1474" s="25"/>
      <c r="H1474" s="25"/>
    </row>
    <row r="1475">
      <c r="D1475" s="25"/>
      <c r="E1475" s="25"/>
      <c r="F1475" s="25"/>
      <c r="G1475" s="25"/>
      <c r="H1475" s="25"/>
    </row>
    <row r="1476">
      <c r="D1476" s="25"/>
      <c r="E1476" s="25"/>
      <c r="F1476" s="25"/>
      <c r="G1476" s="25"/>
      <c r="H1476" s="25"/>
    </row>
    <row r="1477">
      <c r="D1477" s="25"/>
      <c r="E1477" s="25"/>
      <c r="F1477" s="25"/>
      <c r="G1477" s="25"/>
      <c r="H1477" s="25"/>
    </row>
    <row r="1478">
      <c r="D1478" s="25"/>
      <c r="E1478" s="25"/>
      <c r="F1478" s="25"/>
      <c r="G1478" s="25"/>
      <c r="H1478" s="25"/>
    </row>
    <row r="1479">
      <c r="D1479" s="25"/>
      <c r="E1479" s="25"/>
      <c r="F1479" s="25"/>
      <c r="G1479" s="25"/>
      <c r="H1479" s="25"/>
    </row>
    <row r="1480">
      <c r="D1480" s="25"/>
      <c r="E1480" s="25"/>
      <c r="F1480" s="25"/>
      <c r="G1480" s="25"/>
      <c r="H1480" s="25"/>
    </row>
    <row r="1481">
      <c r="D1481" s="25"/>
      <c r="E1481" s="25"/>
      <c r="F1481" s="25"/>
      <c r="G1481" s="25"/>
      <c r="H1481" s="25"/>
    </row>
    <row r="1482">
      <c r="D1482" s="25"/>
      <c r="E1482" s="25"/>
      <c r="F1482" s="25"/>
      <c r="G1482" s="25"/>
      <c r="H1482" s="25"/>
    </row>
    <row r="1483">
      <c r="D1483" s="25"/>
      <c r="E1483" s="25"/>
      <c r="F1483" s="25"/>
      <c r="G1483" s="25"/>
      <c r="H1483" s="25"/>
    </row>
    <row r="1484">
      <c r="D1484" s="25"/>
      <c r="E1484" s="25"/>
      <c r="F1484" s="25"/>
      <c r="G1484" s="25"/>
      <c r="H1484" s="25"/>
    </row>
    <row r="1485">
      <c r="D1485" s="25"/>
      <c r="E1485" s="25"/>
      <c r="F1485" s="25"/>
      <c r="G1485" s="25"/>
      <c r="H1485" s="25"/>
    </row>
    <row r="1486">
      <c r="D1486" s="25"/>
      <c r="E1486" s="25"/>
      <c r="F1486" s="25"/>
      <c r="G1486" s="25"/>
      <c r="H1486" s="25"/>
    </row>
    <row r="1487">
      <c r="D1487" s="25"/>
      <c r="E1487" s="25"/>
      <c r="F1487" s="25"/>
      <c r="G1487" s="25"/>
      <c r="H1487" s="25"/>
    </row>
    <row r="1488">
      <c r="D1488" s="25"/>
      <c r="E1488" s="25"/>
      <c r="F1488" s="25"/>
      <c r="G1488" s="25"/>
      <c r="H1488" s="25"/>
    </row>
    <row r="1489">
      <c r="D1489" s="25"/>
      <c r="E1489" s="25"/>
      <c r="F1489" s="25"/>
      <c r="G1489" s="25"/>
      <c r="H1489" s="25"/>
    </row>
    <row r="1490">
      <c r="D1490" s="25"/>
      <c r="E1490" s="25"/>
      <c r="F1490" s="25"/>
      <c r="G1490" s="25"/>
      <c r="H1490" s="25"/>
    </row>
    <row r="1491">
      <c r="D1491" s="25"/>
      <c r="E1491" s="25"/>
      <c r="F1491" s="25"/>
      <c r="G1491" s="25"/>
      <c r="H1491" s="25"/>
    </row>
    <row r="1492">
      <c r="D1492" s="25"/>
      <c r="E1492" s="25"/>
      <c r="F1492" s="25"/>
      <c r="G1492" s="25"/>
      <c r="H1492" s="25"/>
    </row>
    <row r="1493">
      <c r="D1493" s="25"/>
      <c r="E1493" s="25"/>
      <c r="F1493" s="25"/>
      <c r="G1493" s="25"/>
      <c r="H1493" s="25"/>
    </row>
    <row r="1494">
      <c r="D1494" s="25"/>
      <c r="E1494" s="25"/>
      <c r="F1494" s="25"/>
      <c r="G1494" s="25"/>
      <c r="H1494" s="25"/>
    </row>
    <row r="1495">
      <c r="D1495" s="25"/>
      <c r="E1495" s="25"/>
      <c r="F1495" s="25"/>
      <c r="G1495" s="25"/>
      <c r="H1495" s="25"/>
    </row>
    <row r="1496">
      <c r="D1496" s="25"/>
      <c r="E1496" s="25"/>
      <c r="F1496" s="25"/>
      <c r="G1496" s="25"/>
      <c r="H1496" s="25"/>
    </row>
    <row r="1497">
      <c r="D1497" s="25"/>
      <c r="E1497" s="25"/>
      <c r="F1497" s="25"/>
      <c r="G1497" s="25"/>
      <c r="H1497" s="25"/>
    </row>
    <row r="1498">
      <c r="D1498" s="25"/>
      <c r="E1498" s="25"/>
      <c r="F1498" s="25"/>
      <c r="G1498" s="25"/>
      <c r="H1498" s="25"/>
    </row>
    <row r="1499">
      <c r="D1499" s="25"/>
      <c r="E1499" s="25"/>
      <c r="F1499" s="25"/>
      <c r="G1499" s="25"/>
      <c r="H1499" s="25"/>
    </row>
    <row r="1500">
      <c r="D1500" s="25"/>
      <c r="E1500" s="25"/>
      <c r="F1500" s="25"/>
      <c r="G1500" s="25"/>
      <c r="H1500" s="25"/>
    </row>
    <row r="1501">
      <c r="D1501" s="25"/>
      <c r="E1501" s="25"/>
      <c r="F1501" s="25"/>
      <c r="G1501" s="25"/>
      <c r="H1501" s="25"/>
    </row>
    <row r="1502">
      <c r="D1502" s="25"/>
      <c r="E1502" s="25"/>
      <c r="F1502" s="25"/>
      <c r="G1502" s="25"/>
      <c r="H1502" s="25"/>
    </row>
    <row r="1503">
      <c r="D1503" s="25"/>
      <c r="E1503" s="25"/>
      <c r="F1503" s="25"/>
      <c r="G1503" s="25"/>
      <c r="H1503" s="25"/>
    </row>
    <row r="1504">
      <c r="D1504" s="25"/>
      <c r="E1504" s="25"/>
      <c r="F1504" s="25"/>
      <c r="G1504" s="25"/>
      <c r="H1504" s="25"/>
    </row>
    <row r="1505">
      <c r="D1505" s="25"/>
      <c r="E1505" s="25"/>
      <c r="F1505" s="25"/>
      <c r="G1505" s="25"/>
      <c r="H1505" s="25"/>
    </row>
    <row r="1506">
      <c r="D1506" s="25"/>
      <c r="E1506" s="25"/>
      <c r="F1506" s="25"/>
      <c r="G1506" s="25"/>
      <c r="H1506" s="25"/>
    </row>
    <row r="1507">
      <c r="D1507" s="25"/>
      <c r="E1507" s="25"/>
      <c r="F1507" s="25"/>
      <c r="G1507" s="25"/>
      <c r="H1507" s="25"/>
    </row>
    <row r="1508">
      <c r="D1508" s="25"/>
      <c r="E1508" s="25"/>
      <c r="F1508" s="25"/>
      <c r="G1508" s="25"/>
      <c r="H1508" s="25"/>
    </row>
    <row r="1509">
      <c r="D1509" s="25"/>
      <c r="E1509" s="25"/>
      <c r="F1509" s="25"/>
      <c r="G1509" s="25"/>
      <c r="H1509" s="25"/>
    </row>
    <row r="1510">
      <c r="D1510" s="25"/>
      <c r="E1510" s="25"/>
      <c r="F1510" s="25"/>
      <c r="G1510" s="25"/>
      <c r="H1510" s="25"/>
    </row>
    <row r="1511">
      <c r="D1511" s="25"/>
      <c r="E1511" s="25"/>
      <c r="F1511" s="25"/>
      <c r="G1511" s="25"/>
      <c r="H1511" s="25"/>
    </row>
    <row r="1512">
      <c r="D1512" s="25"/>
      <c r="E1512" s="25"/>
      <c r="F1512" s="25"/>
      <c r="G1512" s="25"/>
      <c r="H1512" s="25"/>
    </row>
    <row r="1513">
      <c r="D1513" s="25"/>
      <c r="E1513" s="25"/>
      <c r="F1513" s="25"/>
      <c r="G1513" s="25"/>
      <c r="H1513" s="25"/>
    </row>
    <row r="1514">
      <c r="D1514" s="25"/>
      <c r="E1514" s="25"/>
      <c r="F1514" s="25"/>
      <c r="G1514" s="25"/>
      <c r="H1514" s="25"/>
    </row>
    <row r="1515">
      <c r="D1515" s="25"/>
      <c r="E1515" s="25"/>
      <c r="F1515" s="25"/>
      <c r="G1515" s="25"/>
      <c r="H1515" s="25"/>
    </row>
    <row r="1516">
      <c r="D1516" s="25"/>
      <c r="E1516" s="25"/>
      <c r="F1516" s="25"/>
      <c r="G1516" s="25"/>
      <c r="H1516" s="25"/>
    </row>
    <row r="1517">
      <c r="D1517" s="25"/>
      <c r="E1517" s="25"/>
      <c r="F1517" s="25"/>
      <c r="G1517" s="25"/>
      <c r="H1517" s="25"/>
    </row>
    <row r="1518">
      <c r="D1518" s="25"/>
      <c r="E1518" s="25"/>
      <c r="F1518" s="25"/>
      <c r="G1518" s="25"/>
      <c r="H1518" s="25"/>
    </row>
    <row r="1519">
      <c r="D1519" s="25"/>
      <c r="E1519" s="25"/>
      <c r="F1519" s="25"/>
      <c r="G1519" s="25"/>
      <c r="H1519" s="25"/>
    </row>
    <row r="1520">
      <c r="D1520" s="25"/>
      <c r="E1520" s="25"/>
      <c r="F1520" s="25"/>
      <c r="G1520" s="25"/>
      <c r="H1520" s="25"/>
    </row>
    <row r="1521">
      <c r="D1521" s="25"/>
      <c r="E1521" s="25"/>
      <c r="F1521" s="25"/>
      <c r="G1521" s="25"/>
      <c r="H1521" s="25"/>
    </row>
    <row r="1522">
      <c r="D1522" s="25"/>
      <c r="E1522" s="25"/>
      <c r="F1522" s="25"/>
      <c r="G1522" s="25"/>
      <c r="H1522" s="25"/>
    </row>
    <row r="1523">
      <c r="D1523" s="25"/>
      <c r="E1523" s="25"/>
      <c r="F1523" s="25"/>
      <c r="G1523" s="25"/>
      <c r="H1523" s="25"/>
    </row>
    <row r="1524">
      <c r="D1524" s="25"/>
      <c r="E1524" s="25"/>
      <c r="F1524" s="25"/>
      <c r="G1524" s="25"/>
      <c r="H1524" s="25"/>
    </row>
    <row r="1525">
      <c r="D1525" s="25"/>
      <c r="E1525" s="25"/>
      <c r="F1525" s="25"/>
      <c r="G1525" s="25"/>
      <c r="H1525" s="25"/>
    </row>
    <row r="1526">
      <c r="D1526" s="25"/>
      <c r="E1526" s="25"/>
      <c r="F1526" s="25"/>
      <c r="G1526" s="25"/>
      <c r="H1526" s="25"/>
    </row>
    <row r="1527">
      <c r="D1527" s="25"/>
      <c r="E1527" s="25"/>
      <c r="F1527" s="25"/>
      <c r="G1527" s="25"/>
      <c r="H1527" s="25"/>
    </row>
    <row r="1528">
      <c r="D1528" s="25"/>
      <c r="E1528" s="25"/>
      <c r="F1528" s="25"/>
      <c r="G1528" s="25"/>
      <c r="H1528" s="25"/>
    </row>
    <row r="1529">
      <c r="D1529" s="25"/>
      <c r="E1529" s="25"/>
      <c r="F1529" s="25"/>
      <c r="G1529" s="25"/>
      <c r="H1529" s="25"/>
    </row>
    <row r="1530">
      <c r="D1530" s="25"/>
      <c r="E1530" s="25"/>
      <c r="F1530" s="25"/>
      <c r="G1530" s="25"/>
      <c r="H1530" s="25"/>
    </row>
    <row r="1531">
      <c r="D1531" s="25"/>
      <c r="E1531" s="25"/>
      <c r="F1531" s="25"/>
      <c r="G1531" s="25"/>
      <c r="H1531" s="25"/>
    </row>
    <row r="1532">
      <c r="D1532" s="25"/>
      <c r="E1532" s="25"/>
      <c r="F1532" s="25"/>
      <c r="G1532" s="25"/>
      <c r="H1532" s="25"/>
    </row>
    <row r="1533">
      <c r="D1533" s="25"/>
      <c r="E1533" s="25"/>
      <c r="F1533" s="25"/>
      <c r="G1533" s="25"/>
      <c r="H1533" s="25"/>
    </row>
    <row r="1534">
      <c r="D1534" s="25"/>
      <c r="E1534" s="25"/>
      <c r="F1534" s="25"/>
      <c r="G1534" s="25"/>
      <c r="H1534" s="25"/>
    </row>
    <row r="1535">
      <c r="D1535" s="25"/>
      <c r="E1535" s="25"/>
      <c r="F1535" s="25"/>
      <c r="G1535" s="25"/>
      <c r="H1535" s="25"/>
    </row>
    <row r="1536">
      <c r="D1536" s="25"/>
      <c r="E1536" s="25"/>
      <c r="F1536" s="25"/>
      <c r="G1536" s="25"/>
      <c r="H1536" s="25"/>
    </row>
    <row r="1537">
      <c r="D1537" s="25"/>
      <c r="E1537" s="25"/>
      <c r="F1537" s="25"/>
      <c r="G1537" s="25"/>
      <c r="H1537" s="25"/>
    </row>
    <row r="1538">
      <c r="D1538" s="25"/>
      <c r="E1538" s="25"/>
      <c r="F1538" s="25"/>
      <c r="G1538" s="25"/>
      <c r="H1538" s="25"/>
    </row>
    <row r="1539">
      <c r="D1539" s="25"/>
      <c r="E1539" s="25"/>
      <c r="F1539" s="25"/>
      <c r="G1539" s="25"/>
      <c r="H1539" s="25"/>
    </row>
    <row r="1540">
      <c r="D1540" s="25"/>
      <c r="E1540" s="25"/>
      <c r="F1540" s="25"/>
      <c r="G1540" s="25"/>
      <c r="H1540" s="25"/>
    </row>
    <row r="1541">
      <c r="D1541" s="25"/>
      <c r="E1541" s="25"/>
      <c r="F1541" s="25"/>
      <c r="G1541" s="25"/>
      <c r="H1541" s="25"/>
    </row>
    <row r="1542">
      <c r="D1542" s="25"/>
      <c r="E1542" s="25"/>
      <c r="F1542" s="25"/>
      <c r="G1542" s="25"/>
      <c r="H1542" s="25"/>
    </row>
    <row r="1543">
      <c r="D1543" s="25"/>
      <c r="E1543" s="25"/>
      <c r="F1543" s="25"/>
      <c r="G1543" s="25"/>
      <c r="H1543" s="25"/>
    </row>
    <row r="1544">
      <c r="D1544" s="25"/>
      <c r="E1544" s="25"/>
      <c r="F1544" s="25"/>
      <c r="G1544" s="25"/>
      <c r="H1544" s="25"/>
    </row>
    <row r="1545">
      <c r="D1545" s="25"/>
      <c r="E1545" s="25"/>
      <c r="F1545" s="25"/>
      <c r="G1545" s="25"/>
      <c r="H1545" s="25"/>
    </row>
    <row r="1546">
      <c r="D1546" s="25"/>
      <c r="E1546" s="25"/>
      <c r="F1546" s="25"/>
      <c r="G1546" s="25"/>
      <c r="H1546" s="25"/>
    </row>
    <row r="1547">
      <c r="D1547" s="25"/>
      <c r="E1547" s="25"/>
      <c r="F1547" s="25"/>
      <c r="G1547" s="25"/>
      <c r="H1547" s="25"/>
    </row>
    <row r="1548">
      <c r="D1548" s="25"/>
      <c r="E1548" s="25"/>
      <c r="F1548" s="25"/>
      <c r="G1548" s="25"/>
      <c r="H1548" s="25"/>
    </row>
    <row r="1549">
      <c r="D1549" s="25"/>
      <c r="E1549" s="25"/>
      <c r="F1549" s="25"/>
      <c r="G1549" s="25"/>
      <c r="H1549" s="25"/>
    </row>
    <row r="1550">
      <c r="D1550" s="25"/>
      <c r="E1550" s="25"/>
      <c r="F1550" s="25"/>
      <c r="G1550" s="25"/>
      <c r="H1550" s="25"/>
    </row>
    <row r="1551">
      <c r="D1551" s="25"/>
      <c r="E1551" s="25"/>
      <c r="F1551" s="25"/>
      <c r="G1551" s="25"/>
      <c r="H1551" s="25"/>
    </row>
    <row r="1552">
      <c r="D1552" s="25"/>
      <c r="E1552" s="25"/>
      <c r="F1552" s="25"/>
      <c r="G1552" s="25"/>
      <c r="H1552" s="25"/>
    </row>
    <row r="1553">
      <c r="D1553" s="25"/>
      <c r="E1553" s="25"/>
      <c r="F1553" s="25"/>
      <c r="G1553" s="25"/>
      <c r="H1553" s="25"/>
    </row>
    <row r="1554">
      <c r="D1554" s="25"/>
      <c r="E1554" s="25"/>
      <c r="F1554" s="25"/>
      <c r="G1554" s="25"/>
      <c r="H1554" s="25"/>
    </row>
    <row r="1555">
      <c r="D1555" s="25"/>
      <c r="E1555" s="25"/>
      <c r="F1555" s="25"/>
      <c r="G1555" s="25"/>
      <c r="H1555" s="25"/>
    </row>
    <row r="1556">
      <c r="D1556" s="25"/>
      <c r="E1556" s="25"/>
      <c r="F1556" s="25"/>
      <c r="G1556" s="25"/>
      <c r="H1556" s="25"/>
    </row>
    <row r="1557">
      <c r="D1557" s="25"/>
      <c r="E1557" s="25"/>
      <c r="F1557" s="25"/>
      <c r="G1557" s="25"/>
      <c r="H1557" s="25"/>
    </row>
    <row r="1558">
      <c r="D1558" s="25"/>
      <c r="E1558" s="25"/>
      <c r="F1558" s="25"/>
      <c r="G1558" s="25"/>
      <c r="H1558" s="25"/>
    </row>
    <row r="1559">
      <c r="D1559" s="25"/>
      <c r="E1559" s="25"/>
      <c r="F1559" s="25"/>
      <c r="G1559" s="25"/>
      <c r="H1559" s="25"/>
    </row>
    <row r="1560">
      <c r="D1560" s="25"/>
      <c r="E1560" s="25"/>
      <c r="F1560" s="25"/>
      <c r="G1560" s="25"/>
      <c r="H1560" s="25"/>
    </row>
    <row r="1561">
      <c r="D1561" s="25"/>
      <c r="E1561" s="25"/>
      <c r="F1561" s="25"/>
      <c r="G1561" s="25"/>
      <c r="H1561" s="25"/>
    </row>
    <row r="1562">
      <c r="D1562" s="25"/>
      <c r="E1562" s="25"/>
      <c r="F1562" s="25"/>
      <c r="G1562" s="25"/>
      <c r="H1562" s="25"/>
    </row>
    <row r="1563">
      <c r="D1563" s="25"/>
      <c r="E1563" s="25"/>
      <c r="F1563" s="25"/>
      <c r="G1563" s="25"/>
      <c r="H1563" s="25"/>
    </row>
    <row r="1564">
      <c r="D1564" s="25"/>
      <c r="E1564" s="25"/>
      <c r="F1564" s="25"/>
      <c r="G1564" s="25"/>
      <c r="H1564" s="25"/>
    </row>
    <row r="1565">
      <c r="D1565" s="25"/>
      <c r="E1565" s="25"/>
      <c r="F1565" s="25"/>
      <c r="G1565" s="25"/>
      <c r="H1565" s="25"/>
    </row>
    <row r="1566">
      <c r="D1566" s="25"/>
      <c r="E1566" s="25"/>
      <c r="F1566" s="25"/>
      <c r="G1566" s="25"/>
      <c r="H1566" s="25"/>
    </row>
    <row r="1567">
      <c r="D1567" s="25"/>
      <c r="E1567" s="25"/>
      <c r="F1567" s="25"/>
      <c r="G1567" s="25"/>
      <c r="H1567" s="25"/>
    </row>
    <row r="1568">
      <c r="D1568" s="25"/>
      <c r="E1568" s="25"/>
      <c r="F1568" s="25"/>
      <c r="G1568" s="25"/>
      <c r="H1568" s="25"/>
    </row>
    <row r="1569">
      <c r="D1569" s="25"/>
      <c r="E1569" s="25"/>
      <c r="F1569" s="25"/>
      <c r="G1569" s="25"/>
      <c r="H1569" s="25"/>
    </row>
    <row r="1570">
      <c r="D1570" s="25"/>
      <c r="E1570" s="25"/>
      <c r="F1570" s="25"/>
      <c r="G1570" s="25"/>
      <c r="H1570" s="25"/>
    </row>
    <row r="1571">
      <c r="D1571" s="25"/>
      <c r="E1571" s="25"/>
      <c r="F1571" s="25"/>
      <c r="G1571" s="25"/>
      <c r="H1571" s="25"/>
    </row>
    <row r="1572">
      <c r="D1572" s="25"/>
      <c r="E1572" s="25"/>
      <c r="F1572" s="25"/>
      <c r="G1572" s="25"/>
      <c r="H1572" s="25"/>
    </row>
    <row r="1573">
      <c r="D1573" s="25"/>
      <c r="E1573" s="25"/>
      <c r="F1573" s="25"/>
      <c r="G1573" s="25"/>
      <c r="H1573" s="25"/>
    </row>
    <row r="1574">
      <c r="D1574" s="25"/>
      <c r="E1574" s="25"/>
      <c r="F1574" s="25"/>
      <c r="G1574" s="25"/>
      <c r="H1574" s="25"/>
    </row>
    <row r="1575">
      <c r="D1575" s="25"/>
      <c r="E1575" s="25"/>
      <c r="F1575" s="25"/>
      <c r="G1575" s="25"/>
      <c r="H1575" s="25"/>
    </row>
    <row r="1576">
      <c r="D1576" s="25"/>
      <c r="E1576" s="25"/>
      <c r="F1576" s="25"/>
      <c r="G1576" s="25"/>
      <c r="H1576" s="25"/>
    </row>
    <row r="1577">
      <c r="D1577" s="25"/>
      <c r="E1577" s="25"/>
      <c r="F1577" s="25"/>
      <c r="G1577" s="25"/>
      <c r="H1577" s="25"/>
    </row>
    <row r="1578">
      <c r="D1578" s="25"/>
      <c r="E1578" s="25"/>
      <c r="F1578" s="25"/>
      <c r="G1578" s="25"/>
      <c r="H1578" s="25"/>
    </row>
    <row r="1579">
      <c r="D1579" s="25"/>
      <c r="E1579" s="25"/>
      <c r="F1579" s="25"/>
      <c r="G1579" s="25"/>
      <c r="H1579" s="25"/>
    </row>
    <row r="1580">
      <c r="D1580" s="25"/>
      <c r="E1580" s="25"/>
      <c r="F1580" s="25"/>
      <c r="G1580" s="25"/>
      <c r="H1580" s="25"/>
    </row>
    <row r="1581">
      <c r="D1581" s="25"/>
      <c r="E1581" s="25"/>
      <c r="F1581" s="25"/>
      <c r="G1581" s="25"/>
      <c r="H1581" s="25"/>
    </row>
    <row r="1582">
      <c r="D1582" s="25"/>
      <c r="E1582" s="25"/>
      <c r="F1582" s="25"/>
      <c r="G1582" s="25"/>
      <c r="H1582" s="25"/>
    </row>
    <row r="1583">
      <c r="D1583" s="25"/>
      <c r="E1583" s="25"/>
      <c r="F1583" s="25"/>
      <c r="G1583" s="25"/>
      <c r="H1583" s="25"/>
    </row>
    <row r="1584">
      <c r="D1584" s="25"/>
      <c r="E1584" s="25"/>
      <c r="F1584" s="25"/>
      <c r="G1584" s="25"/>
      <c r="H1584" s="25"/>
    </row>
    <row r="1585">
      <c r="D1585" s="25"/>
      <c r="E1585" s="25"/>
      <c r="F1585" s="25"/>
      <c r="G1585" s="25"/>
      <c r="H1585" s="25"/>
    </row>
    <row r="1586">
      <c r="D1586" s="25"/>
      <c r="E1586" s="25"/>
      <c r="F1586" s="25"/>
      <c r="G1586" s="25"/>
      <c r="H1586" s="25"/>
    </row>
    <row r="1587">
      <c r="D1587" s="25"/>
      <c r="E1587" s="25"/>
      <c r="F1587" s="25"/>
      <c r="G1587" s="25"/>
      <c r="H1587" s="25"/>
    </row>
    <row r="1588">
      <c r="D1588" s="25"/>
      <c r="E1588" s="25"/>
      <c r="F1588" s="25"/>
      <c r="G1588" s="25"/>
      <c r="H1588" s="25"/>
    </row>
    <row r="1589">
      <c r="D1589" s="25"/>
      <c r="E1589" s="25"/>
      <c r="F1589" s="25"/>
      <c r="G1589" s="25"/>
      <c r="H1589" s="25"/>
    </row>
    <row r="1590">
      <c r="D1590" s="25"/>
      <c r="E1590" s="25"/>
      <c r="F1590" s="25"/>
      <c r="G1590" s="25"/>
      <c r="H1590" s="25"/>
    </row>
    <row r="1591">
      <c r="D1591" s="25"/>
      <c r="E1591" s="25"/>
      <c r="F1591" s="25"/>
      <c r="G1591" s="25"/>
      <c r="H1591" s="25"/>
    </row>
    <row r="1592">
      <c r="D1592" s="25"/>
      <c r="E1592" s="25"/>
      <c r="F1592" s="25"/>
      <c r="G1592" s="25"/>
      <c r="H1592" s="25"/>
    </row>
    <row r="1593">
      <c r="D1593" s="25"/>
      <c r="E1593" s="25"/>
      <c r="F1593" s="25"/>
      <c r="G1593" s="25"/>
      <c r="H1593" s="25"/>
    </row>
    <row r="1594">
      <c r="D1594" s="25"/>
      <c r="E1594" s="25"/>
      <c r="F1594" s="25"/>
      <c r="G1594" s="25"/>
      <c r="H1594" s="25"/>
    </row>
    <row r="1595">
      <c r="D1595" s="25"/>
      <c r="E1595" s="25"/>
      <c r="F1595" s="25"/>
      <c r="G1595" s="25"/>
      <c r="H1595" s="25"/>
    </row>
    <row r="1596">
      <c r="D1596" s="25"/>
      <c r="E1596" s="25"/>
      <c r="F1596" s="25"/>
      <c r="G1596" s="25"/>
      <c r="H1596" s="25"/>
    </row>
    <row r="1597">
      <c r="D1597" s="25"/>
      <c r="E1597" s="25"/>
      <c r="F1597" s="25"/>
      <c r="G1597" s="25"/>
      <c r="H1597" s="25"/>
    </row>
    <row r="1598">
      <c r="D1598" s="25"/>
      <c r="E1598" s="25"/>
      <c r="F1598" s="25"/>
      <c r="G1598" s="25"/>
      <c r="H1598" s="25"/>
    </row>
    <row r="1599">
      <c r="D1599" s="25"/>
      <c r="E1599" s="25"/>
      <c r="F1599" s="25"/>
      <c r="G1599" s="25"/>
      <c r="H1599" s="25"/>
    </row>
    <row r="1600">
      <c r="D1600" s="25"/>
      <c r="E1600" s="25"/>
      <c r="F1600" s="25"/>
      <c r="G1600" s="25"/>
      <c r="H1600" s="25"/>
    </row>
    <row r="1601">
      <c r="D1601" s="25"/>
      <c r="E1601" s="25"/>
      <c r="F1601" s="25"/>
      <c r="G1601" s="25"/>
      <c r="H1601" s="25"/>
    </row>
    <row r="1602">
      <c r="D1602" s="25"/>
      <c r="E1602" s="25"/>
      <c r="F1602" s="25"/>
      <c r="G1602" s="25"/>
      <c r="H1602" s="25"/>
    </row>
    <row r="1603">
      <c r="D1603" s="25"/>
      <c r="E1603" s="25"/>
      <c r="F1603" s="25"/>
      <c r="G1603" s="25"/>
      <c r="H1603" s="25"/>
    </row>
    <row r="1604">
      <c r="D1604" s="25"/>
      <c r="E1604" s="25"/>
      <c r="F1604" s="25"/>
      <c r="G1604" s="25"/>
      <c r="H1604" s="25"/>
    </row>
    <row r="1605">
      <c r="D1605" s="25"/>
      <c r="E1605" s="25"/>
      <c r="F1605" s="25"/>
      <c r="G1605" s="25"/>
      <c r="H1605" s="25"/>
    </row>
    <row r="1606">
      <c r="D1606" s="25"/>
      <c r="E1606" s="25"/>
      <c r="F1606" s="25"/>
      <c r="G1606" s="25"/>
      <c r="H1606" s="25"/>
    </row>
    <row r="1607">
      <c r="D1607" s="25"/>
      <c r="E1607" s="25"/>
      <c r="F1607" s="25"/>
      <c r="G1607" s="25"/>
      <c r="H1607" s="25"/>
    </row>
    <row r="1608">
      <c r="D1608" s="25"/>
      <c r="E1608" s="25"/>
      <c r="F1608" s="25"/>
      <c r="G1608" s="25"/>
      <c r="H1608" s="25"/>
    </row>
    <row r="1609">
      <c r="D1609" s="25"/>
      <c r="E1609" s="25"/>
      <c r="F1609" s="25"/>
      <c r="G1609" s="25"/>
      <c r="H1609" s="25"/>
    </row>
    <row r="1610">
      <c r="D1610" s="25"/>
      <c r="E1610" s="25"/>
      <c r="F1610" s="25"/>
      <c r="G1610" s="25"/>
      <c r="H1610" s="25"/>
    </row>
    <row r="1611">
      <c r="D1611" s="25"/>
      <c r="E1611" s="25"/>
      <c r="F1611" s="25"/>
      <c r="G1611" s="25"/>
      <c r="H1611" s="25"/>
    </row>
    <row r="1612">
      <c r="D1612" s="25"/>
      <c r="E1612" s="25"/>
      <c r="F1612" s="25"/>
      <c r="G1612" s="25"/>
      <c r="H1612" s="25"/>
    </row>
    <row r="1613">
      <c r="D1613" s="25"/>
      <c r="E1613" s="25"/>
      <c r="F1613" s="25"/>
      <c r="G1613" s="25"/>
      <c r="H1613" s="25"/>
    </row>
    <row r="1614">
      <c r="D1614" s="25"/>
      <c r="E1614" s="25"/>
      <c r="F1614" s="25"/>
      <c r="G1614" s="25"/>
      <c r="H1614" s="25"/>
    </row>
    <row r="1615">
      <c r="D1615" s="25"/>
      <c r="E1615" s="25"/>
      <c r="F1615" s="25"/>
      <c r="G1615" s="25"/>
      <c r="H1615" s="25"/>
    </row>
    <row r="1616">
      <c r="D1616" s="25"/>
      <c r="E1616" s="25"/>
      <c r="F1616" s="25"/>
      <c r="G1616" s="25"/>
      <c r="H1616" s="25"/>
    </row>
    <row r="1617">
      <c r="D1617" s="25"/>
      <c r="E1617" s="25"/>
      <c r="F1617" s="25"/>
      <c r="G1617" s="25"/>
      <c r="H1617" s="25"/>
    </row>
    <row r="1618">
      <c r="D1618" s="25"/>
      <c r="E1618" s="25"/>
      <c r="F1618" s="25"/>
      <c r="G1618" s="25"/>
      <c r="H1618" s="25"/>
    </row>
    <row r="1619">
      <c r="D1619" s="25"/>
      <c r="E1619" s="25"/>
      <c r="F1619" s="25"/>
      <c r="G1619" s="25"/>
      <c r="H1619" s="25"/>
    </row>
    <row r="1620">
      <c r="D1620" s="25"/>
      <c r="E1620" s="25"/>
      <c r="F1620" s="25"/>
      <c r="G1620" s="25"/>
      <c r="H1620" s="25"/>
    </row>
    <row r="1621">
      <c r="D1621" s="25"/>
      <c r="E1621" s="25"/>
      <c r="F1621" s="25"/>
      <c r="G1621" s="25"/>
      <c r="H1621" s="25"/>
    </row>
    <row r="1622">
      <c r="D1622" s="25"/>
      <c r="E1622" s="25"/>
      <c r="F1622" s="25"/>
      <c r="G1622" s="25"/>
      <c r="H1622" s="25"/>
    </row>
    <row r="1623">
      <c r="D1623" s="25"/>
      <c r="E1623" s="25"/>
      <c r="F1623" s="25"/>
      <c r="G1623" s="25"/>
      <c r="H1623" s="25"/>
    </row>
    <row r="1624">
      <c r="D1624" s="25"/>
      <c r="E1624" s="25"/>
      <c r="F1624" s="25"/>
      <c r="G1624" s="25"/>
      <c r="H1624" s="25"/>
    </row>
    <row r="1625">
      <c r="D1625" s="25"/>
      <c r="E1625" s="25"/>
      <c r="F1625" s="25"/>
      <c r="G1625" s="25"/>
      <c r="H1625" s="25"/>
    </row>
    <row r="1626">
      <c r="D1626" s="25"/>
      <c r="E1626" s="25"/>
      <c r="F1626" s="25"/>
      <c r="G1626" s="25"/>
      <c r="H1626" s="25"/>
    </row>
    <row r="1627">
      <c r="D1627" s="25"/>
      <c r="E1627" s="25"/>
      <c r="F1627" s="25"/>
      <c r="G1627" s="25"/>
      <c r="H1627" s="25"/>
    </row>
    <row r="1628">
      <c r="D1628" s="25"/>
      <c r="E1628" s="25"/>
      <c r="F1628" s="25"/>
      <c r="G1628" s="25"/>
      <c r="H1628" s="25"/>
    </row>
    <row r="1629">
      <c r="D1629" s="25"/>
      <c r="E1629" s="25"/>
      <c r="F1629" s="25"/>
      <c r="G1629" s="25"/>
      <c r="H1629" s="25"/>
    </row>
    <row r="1630">
      <c r="D1630" s="25"/>
      <c r="E1630" s="25"/>
      <c r="F1630" s="25"/>
      <c r="G1630" s="25"/>
      <c r="H1630" s="25"/>
    </row>
    <row r="1631">
      <c r="D1631" s="25"/>
      <c r="E1631" s="25"/>
      <c r="F1631" s="25"/>
      <c r="G1631" s="25"/>
      <c r="H1631" s="25"/>
    </row>
    <row r="1632">
      <c r="D1632" s="25"/>
      <c r="E1632" s="25"/>
      <c r="F1632" s="25"/>
      <c r="G1632" s="25"/>
      <c r="H1632" s="25"/>
    </row>
    <row r="1633">
      <c r="D1633" s="25"/>
      <c r="E1633" s="25"/>
      <c r="F1633" s="25"/>
      <c r="G1633" s="25"/>
      <c r="H1633" s="25"/>
    </row>
    <row r="1634">
      <c r="D1634" s="25"/>
      <c r="E1634" s="25"/>
      <c r="F1634" s="25"/>
      <c r="G1634" s="25"/>
      <c r="H1634" s="25"/>
    </row>
    <row r="1635">
      <c r="D1635" s="25"/>
      <c r="E1635" s="25"/>
      <c r="F1635" s="25"/>
      <c r="G1635" s="25"/>
      <c r="H1635" s="25"/>
    </row>
    <row r="1636">
      <c r="D1636" s="25"/>
      <c r="E1636" s="25"/>
      <c r="F1636" s="25"/>
      <c r="G1636" s="25"/>
      <c r="H1636" s="25"/>
    </row>
    <row r="1637">
      <c r="D1637" s="25"/>
      <c r="E1637" s="25"/>
      <c r="F1637" s="25"/>
      <c r="G1637" s="25"/>
      <c r="H1637" s="25"/>
    </row>
    <row r="1638">
      <c r="D1638" s="25"/>
      <c r="E1638" s="25"/>
      <c r="F1638" s="25"/>
      <c r="G1638" s="25"/>
      <c r="H1638" s="25"/>
    </row>
    <row r="1639">
      <c r="D1639" s="25"/>
      <c r="E1639" s="25"/>
      <c r="F1639" s="25"/>
      <c r="G1639" s="25"/>
      <c r="H1639" s="25"/>
    </row>
    <row r="1640">
      <c r="D1640" s="25"/>
      <c r="E1640" s="25"/>
      <c r="F1640" s="25"/>
      <c r="G1640" s="25"/>
      <c r="H1640" s="25"/>
    </row>
    <row r="1641">
      <c r="D1641" s="25"/>
      <c r="E1641" s="25"/>
      <c r="F1641" s="25"/>
      <c r="G1641" s="25"/>
      <c r="H1641" s="25"/>
    </row>
    <row r="1642">
      <c r="D1642" s="25"/>
      <c r="E1642" s="25"/>
      <c r="F1642" s="25"/>
      <c r="G1642" s="25"/>
      <c r="H1642" s="25"/>
    </row>
    <row r="1643">
      <c r="D1643" s="25"/>
      <c r="E1643" s="25"/>
      <c r="F1643" s="25"/>
      <c r="G1643" s="25"/>
      <c r="H1643" s="25"/>
    </row>
    <row r="1644">
      <c r="D1644" s="25"/>
      <c r="E1644" s="25"/>
      <c r="F1644" s="25"/>
      <c r="G1644" s="25"/>
      <c r="H1644" s="25"/>
    </row>
    <row r="1645">
      <c r="D1645" s="25"/>
      <c r="E1645" s="25"/>
      <c r="F1645" s="25"/>
      <c r="G1645" s="25"/>
      <c r="H1645" s="25"/>
    </row>
    <row r="1646">
      <c r="D1646" s="25"/>
      <c r="E1646" s="25"/>
      <c r="F1646" s="25"/>
      <c r="G1646" s="25"/>
      <c r="H1646" s="25"/>
    </row>
    <row r="1647">
      <c r="D1647" s="25"/>
      <c r="E1647" s="25"/>
      <c r="F1647" s="25"/>
      <c r="G1647" s="25"/>
      <c r="H1647" s="25"/>
    </row>
    <row r="1648">
      <c r="D1648" s="25"/>
      <c r="E1648" s="25"/>
      <c r="F1648" s="25"/>
      <c r="G1648" s="25"/>
      <c r="H1648" s="25"/>
    </row>
    <row r="1649">
      <c r="D1649" s="25"/>
      <c r="E1649" s="25"/>
      <c r="F1649" s="25"/>
      <c r="G1649" s="25"/>
      <c r="H1649" s="25"/>
    </row>
    <row r="1650">
      <c r="D1650" s="25"/>
      <c r="E1650" s="25"/>
      <c r="F1650" s="25"/>
      <c r="G1650" s="25"/>
      <c r="H1650" s="25"/>
    </row>
    <row r="1651">
      <c r="D1651" s="25"/>
      <c r="E1651" s="25"/>
      <c r="F1651" s="25"/>
      <c r="G1651" s="25"/>
      <c r="H1651" s="25"/>
    </row>
    <row r="1652">
      <c r="D1652" s="25"/>
      <c r="E1652" s="25"/>
      <c r="F1652" s="25"/>
      <c r="G1652" s="25"/>
      <c r="H1652" s="25"/>
    </row>
    <row r="1653">
      <c r="D1653" s="25"/>
      <c r="E1653" s="25"/>
      <c r="F1653" s="25"/>
      <c r="G1653" s="25"/>
      <c r="H1653" s="25"/>
    </row>
    <row r="1654">
      <c r="D1654" s="25"/>
      <c r="E1654" s="25"/>
      <c r="F1654" s="25"/>
      <c r="G1654" s="25"/>
      <c r="H1654" s="25"/>
    </row>
    <row r="1655">
      <c r="D1655" s="25"/>
      <c r="E1655" s="25"/>
      <c r="F1655" s="25"/>
      <c r="G1655" s="25"/>
      <c r="H1655" s="25"/>
    </row>
    <row r="1656">
      <c r="D1656" s="25"/>
      <c r="E1656" s="25"/>
      <c r="F1656" s="25"/>
      <c r="G1656" s="25"/>
      <c r="H1656" s="25"/>
    </row>
    <row r="1657">
      <c r="D1657" s="25"/>
      <c r="E1657" s="25"/>
      <c r="F1657" s="25"/>
      <c r="G1657" s="25"/>
      <c r="H1657" s="25"/>
    </row>
    <row r="1658">
      <c r="D1658" s="25"/>
      <c r="E1658" s="25"/>
      <c r="F1658" s="25"/>
      <c r="G1658" s="25"/>
      <c r="H1658" s="25"/>
    </row>
    <row r="1659">
      <c r="D1659" s="25"/>
      <c r="E1659" s="25"/>
      <c r="F1659" s="25"/>
      <c r="G1659" s="25"/>
      <c r="H1659" s="25"/>
    </row>
    <row r="1660">
      <c r="D1660" s="25"/>
      <c r="E1660" s="25"/>
      <c r="F1660" s="25"/>
      <c r="G1660" s="25"/>
      <c r="H1660" s="25"/>
    </row>
    <row r="1661">
      <c r="D1661" s="25"/>
      <c r="E1661" s="25"/>
      <c r="F1661" s="25"/>
      <c r="G1661" s="25"/>
      <c r="H1661" s="25"/>
    </row>
    <row r="1662">
      <c r="D1662" s="25"/>
      <c r="E1662" s="25"/>
      <c r="F1662" s="25"/>
      <c r="G1662" s="25"/>
      <c r="H1662" s="25"/>
    </row>
    <row r="1663">
      <c r="D1663" s="25"/>
      <c r="E1663" s="25"/>
      <c r="F1663" s="25"/>
      <c r="G1663" s="25"/>
      <c r="H1663" s="25"/>
    </row>
    <row r="1664">
      <c r="D1664" s="25"/>
      <c r="E1664" s="25"/>
      <c r="F1664" s="25"/>
      <c r="G1664" s="25"/>
      <c r="H1664" s="25"/>
    </row>
    <row r="1665">
      <c r="D1665" s="25"/>
      <c r="E1665" s="25"/>
      <c r="F1665" s="25"/>
      <c r="G1665" s="25"/>
      <c r="H1665" s="25"/>
    </row>
    <row r="1666">
      <c r="D1666" s="25"/>
      <c r="E1666" s="25"/>
      <c r="F1666" s="25"/>
      <c r="G1666" s="25"/>
      <c r="H1666" s="25"/>
    </row>
    <row r="1667">
      <c r="D1667" s="25"/>
      <c r="E1667" s="25"/>
      <c r="F1667" s="25"/>
      <c r="G1667" s="25"/>
      <c r="H1667" s="25"/>
    </row>
    <row r="1668">
      <c r="D1668" s="25"/>
      <c r="E1668" s="25"/>
      <c r="F1668" s="25"/>
      <c r="G1668" s="25"/>
      <c r="H1668" s="25"/>
    </row>
    <row r="1669">
      <c r="D1669" s="25"/>
      <c r="E1669" s="25"/>
      <c r="F1669" s="25"/>
      <c r="G1669" s="25"/>
      <c r="H1669" s="25"/>
    </row>
    <row r="1670">
      <c r="D1670" s="25"/>
      <c r="E1670" s="25"/>
      <c r="F1670" s="25"/>
      <c r="G1670" s="25"/>
      <c r="H1670" s="25"/>
    </row>
    <row r="1671">
      <c r="D1671" s="25"/>
      <c r="E1671" s="25"/>
      <c r="F1671" s="25"/>
      <c r="G1671" s="25"/>
      <c r="H1671" s="25"/>
    </row>
    <row r="1672">
      <c r="D1672" s="25"/>
      <c r="E1672" s="25"/>
      <c r="F1672" s="25"/>
      <c r="G1672" s="25"/>
      <c r="H1672" s="25"/>
    </row>
    <row r="1673">
      <c r="D1673" s="25"/>
      <c r="E1673" s="25"/>
      <c r="F1673" s="25"/>
      <c r="G1673" s="25"/>
      <c r="H1673" s="25"/>
    </row>
    <row r="1674">
      <c r="D1674" s="25"/>
      <c r="E1674" s="25"/>
      <c r="F1674" s="25"/>
      <c r="G1674" s="25"/>
      <c r="H1674" s="25"/>
    </row>
    <row r="1675">
      <c r="D1675" s="25"/>
      <c r="E1675" s="25"/>
      <c r="F1675" s="25"/>
      <c r="G1675" s="25"/>
      <c r="H1675" s="25"/>
    </row>
    <row r="1676">
      <c r="D1676" s="25"/>
      <c r="E1676" s="25"/>
      <c r="F1676" s="25"/>
      <c r="G1676" s="25"/>
      <c r="H1676" s="25"/>
    </row>
    <row r="1677">
      <c r="D1677" s="25"/>
      <c r="E1677" s="25"/>
      <c r="F1677" s="25"/>
      <c r="G1677" s="25"/>
      <c r="H1677" s="25"/>
    </row>
    <row r="1678">
      <c r="D1678" s="25"/>
      <c r="E1678" s="25"/>
      <c r="F1678" s="25"/>
      <c r="G1678" s="25"/>
      <c r="H1678" s="25"/>
    </row>
    <row r="1679">
      <c r="D1679" s="25"/>
      <c r="E1679" s="25"/>
      <c r="F1679" s="25"/>
      <c r="G1679" s="25"/>
      <c r="H1679" s="25"/>
    </row>
    <row r="1680">
      <c r="D1680" s="25"/>
      <c r="E1680" s="25"/>
      <c r="F1680" s="25"/>
      <c r="G1680" s="25"/>
      <c r="H1680" s="25"/>
    </row>
    <row r="1681">
      <c r="D1681" s="25"/>
      <c r="E1681" s="25"/>
      <c r="F1681" s="25"/>
      <c r="G1681" s="25"/>
      <c r="H1681" s="25"/>
    </row>
    <row r="1682">
      <c r="D1682" s="25"/>
      <c r="E1682" s="25"/>
      <c r="F1682" s="25"/>
      <c r="G1682" s="25"/>
      <c r="H1682" s="25"/>
    </row>
    <row r="1683">
      <c r="D1683" s="25"/>
      <c r="E1683" s="25"/>
      <c r="F1683" s="25"/>
      <c r="G1683" s="25"/>
      <c r="H1683" s="25"/>
    </row>
    <row r="1684">
      <c r="D1684" s="25"/>
      <c r="E1684" s="25"/>
      <c r="F1684" s="25"/>
      <c r="G1684" s="25"/>
      <c r="H1684" s="25"/>
    </row>
    <row r="1685">
      <c r="D1685" s="25"/>
      <c r="E1685" s="25"/>
      <c r="F1685" s="25"/>
      <c r="G1685" s="25"/>
      <c r="H1685" s="25"/>
    </row>
    <row r="1686">
      <c r="D1686" s="25"/>
      <c r="E1686" s="25"/>
      <c r="F1686" s="25"/>
      <c r="G1686" s="25"/>
      <c r="H1686" s="25"/>
    </row>
    <row r="1687">
      <c r="D1687" s="25"/>
      <c r="E1687" s="25"/>
      <c r="F1687" s="25"/>
      <c r="G1687" s="25"/>
      <c r="H1687" s="25"/>
    </row>
    <row r="1688">
      <c r="D1688" s="25"/>
      <c r="E1688" s="25"/>
      <c r="F1688" s="25"/>
      <c r="G1688" s="25"/>
      <c r="H1688" s="25"/>
    </row>
    <row r="1689">
      <c r="D1689" s="25"/>
      <c r="E1689" s="25"/>
      <c r="F1689" s="25"/>
      <c r="G1689" s="25"/>
      <c r="H1689" s="25"/>
    </row>
    <row r="1690">
      <c r="D1690" s="25"/>
      <c r="E1690" s="25"/>
      <c r="F1690" s="25"/>
      <c r="G1690" s="25"/>
      <c r="H1690" s="25"/>
    </row>
    <row r="1691">
      <c r="D1691" s="25"/>
      <c r="E1691" s="25"/>
      <c r="F1691" s="25"/>
      <c r="G1691" s="25"/>
      <c r="H1691" s="25"/>
    </row>
    <row r="1692">
      <c r="D1692" s="25"/>
      <c r="E1692" s="25"/>
      <c r="F1692" s="25"/>
      <c r="G1692" s="25"/>
      <c r="H1692" s="25"/>
    </row>
    <row r="1693">
      <c r="D1693" s="25"/>
      <c r="E1693" s="25"/>
      <c r="F1693" s="25"/>
      <c r="G1693" s="25"/>
      <c r="H1693" s="25"/>
    </row>
    <row r="1694">
      <c r="D1694" s="25"/>
      <c r="E1694" s="25"/>
      <c r="F1694" s="25"/>
      <c r="G1694" s="25"/>
      <c r="H1694" s="25"/>
    </row>
    <row r="1695">
      <c r="D1695" s="25"/>
      <c r="E1695" s="25"/>
      <c r="F1695" s="25"/>
      <c r="G1695" s="25"/>
      <c r="H1695" s="25"/>
    </row>
    <row r="1696">
      <c r="D1696" s="25"/>
      <c r="E1696" s="25"/>
      <c r="F1696" s="25"/>
      <c r="G1696" s="25"/>
      <c r="H1696" s="25"/>
    </row>
    <row r="1697">
      <c r="D1697" s="25"/>
      <c r="E1697" s="25"/>
      <c r="F1697" s="25"/>
      <c r="G1697" s="25"/>
      <c r="H1697" s="25"/>
    </row>
    <row r="1698">
      <c r="D1698" s="25"/>
      <c r="E1698" s="25"/>
      <c r="F1698" s="25"/>
      <c r="G1698" s="25"/>
      <c r="H1698" s="25"/>
    </row>
    <row r="1699">
      <c r="D1699" s="25"/>
      <c r="E1699" s="25"/>
      <c r="F1699" s="25"/>
      <c r="G1699" s="25"/>
      <c r="H1699" s="25"/>
    </row>
    <row r="1700">
      <c r="D1700" s="25"/>
      <c r="E1700" s="25"/>
      <c r="F1700" s="25"/>
      <c r="G1700" s="25"/>
      <c r="H1700" s="25"/>
    </row>
    <row r="1701">
      <c r="D1701" s="25"/>
      <c r="E1701" s="25"/>
      <c r="F1701" s="25"/>
      <c r="G1701" s="25"/>
      <c r="H1701" s="25"/>
    </row>
    <row r="1702">
      <c r="D1702" s="25"/>
      <c r="E1702" s="25"/>
      <c r="F1702" s="25"/>
      <c r="G1702" s="25"/>
      <c r="H1702" s="25"/>
    </row>
    <row r="1703">
      <c r="D1703" s="25"/>
      <c r="E1703" s="25"/>
      <c r="F1703" s="25"/>
      <c r="G1703" s="25"/>
      <c r="H1703" s="25"/>
    </row>
    <row r="1704">
      <c r="D1704" s="25"/>
      <c r="E1704" s="25"/>
      <c r="F1704" s="25"/>
      <c r="G1704" s="25"/>
      <c r="H1704" s="25"/>
    </row>
    <row r="1705">
      <c r="D1705" s="25"/>
      <c r="E1705" s="25"/>
      <c r="F1705" s="25"/>
      <c r="G1705" s="25"/>
      <c r="H1705" s="25"/>
    </row>
    <row r="1706">
      <c r="D1706" s="25"/>
      <c r="E1706" s="25"/>
      <c r="F1706" s="25"/>
      <c r="G1706" s="25"/>
      <c r="H1706" s="25"/>
    </row>
    <row r="1707">
      <c r="D1707" s="25"/>
      <c r="E1707" s="25"/>
      <c r="F1707" s="25"/>
      <c r="G1707" s="25"/>
      <c r="H1707" s="25"/>
    </row>
    <row r="1708">
      <c r="D1708" s="25"/>
      <c r="E1708" s="25"/>
      <c r="F1708" s="25"/>
      <c r="G1708" s="25"/>
      <c r="H1708" s="25"/>
    </row>
    <row r="1709">
      <c r="D1709" s="25"/>
      <c r="E1709" s="25"/>
      <c r="F1709" s="25"/>
      <c r="G1709" s="25"/>
      <c r="H1709" s="25"/>
    </row>
    <row r="1710">
      <c r="D1710" s="25"/>
      <c r="E1710" s="25"/>
      <c r="F1710" s="25"/>
      <c r="G1710" s="25"/>
      <c r="H1710" s="25"/>
    </row>
    <row r="1711">
      <c r="D1711" s="25"/>
      <c r="E1711" s="25"/>
      <c r="F1711" s="25"/>
      <c r="G1711" s="25"/>
      <c r="H1711" s="25"/>
    </row>
    <row r="1712">
      <c r="D1712" s="25"/>
      <c r="E1712" s="25"/>
      <c r="F1712" s="25"/>
      <c r="G1712" s="25"/>
      <c r="H1712" s="25"/>
    </row>
    <row r="1713">
      <c r="D1713" s="25"/>
      <c r="E1713" s="25"/>
      <c r="F1713" s="25"/>
      <c r="G1713" s="25"/>
      <c r="H1713" s="25"/>
    </row>
    <row r="1714">
      <c r="D1714" s="25"/>
      <c r="E1714" s="25"/>
      <c r="F1714" s="25"/>
      <c r="G1714" s="25"/>
      <c r="H1714" s="25"/>
    </row>
    <row r="1715">
      <c r="D1715" s="25"/>
      <c r="E1715" s="25"/>
      <c r="F1715" s="25"/>
      <c r="G1715" s="25"/>
      <c r="H1715" s="25"/>
    </row>
    <row r="1716">
      <c r="D1716" s="25"/>
      <c r="E1716" s="25"/>
      <c r="F1716" s="25"/>
      <c r="G1716" s="25"/>
      <c r="H1716" s="25"/>
    </row>
    <row r="1717">
      <c r="D1717" s="25"/>
      <c r="E1717" s="25"/>
      <c r="F1717" s="25"/>
      <c r="G1717" s="25"/>
      <c r="H1717" s="25"/>
    </row>
    <row r="1718">
      <c r="D1718" s="25"/>
      <c r="E1718" s="25"/>
      <c r="F1718" s="25"/>
      <c r="G1718" s="25"/>
      <c r="H1718" s="25"/>
    </row>
    <row r="1719">
      <c r="D1719" s="25"/>
      <c r="E1719" s="25"/>
      <c r="F1719" s="25"/>
      <c r="G1719" s="25"/>
      <c r="H1719" s="25"/>
    </row>
    <row r="1720">
      <c r="D1720" s="25"/>
      <c r="E1720" s="25"/>
      <c r="F1720" s="25"/>
      <c r="G1720" s="25"/>
      <c r="H1720" s="25"/>
    </row>
    <row r="1721">
      <c r="D1721" s="25"/>
      <c r="E1721" s="25"/>
      <c r="F1721" s="25"/>
      <c r="G1721" s="25"/>
      <c r="H1721" s="25"/>
    </row>
    <row r="1722">
      <c r="D1722" s="25"/>
      <c r="E1722" s="25"/>
      <c r="F1722" s="25"/>
      <c r="G1722" s="25"/>
      <c r="H1722" s="25"/>
    </row>
    <row r="1723">
      <c r="D1723" s="25"/>
      <c r="E1723" s="25"/>
      <c r="F1723" s="25"/>
      <c r="G1723" s="25"/>
      <c r="H1723" s="25"/>
    </row>
    <row r="1724">
      <c r="D1724" s="25"/>
      <c r="E1724" s="25"/>
      <c r="F1724" s="25"/>
      <c r="G1724" s="25"/>
      <c r="H1724" s="25"/>
    </row>
    <row r="1725">
      <c r="D1725" s="25"/>
      <c r="E1725" s="25"/>
      <c r="F1725" s="25"/>
      <c r="G1725" s="25"/>
      <c r="H1725" s="25"/>
    </row>
    <row r="1726">
      <c r="D1726" s="25"/>
      <c r="E1726" s="25"/>
      <c r="F1726" s="25"/>
      <c r="G1726" s="25"/>
      <c r="H1726" s="25"/>
    </row>
    <row r="1727">
      <c r="D1727" s="25"/>
      <c r="E1727" s="25"/>
      <c r="F1727" s="25"/>
      <c r="G1727" s="25"/>
      <c r="H1727" s="25"/>
    </row>
    <row r="1728">
      <c r="D1728" s="25"/>
      <c r="E1728" s="25"/>
      <c r="F1728" s="25"/>
      <c r="G1728" s="25"/>
      <c r="H1728" s="25"/>
    </row>
    <row r="1729">
      <c r="D1729" s="25"/>
      <c r="E1729" s="25"/>
      <c r="F1729" s="25"/>
      <c r="G1729" s="25"/>
      <c r="H1729" s="25"/>
    </row>
    <row r="1730">
      <c r="D1730" s="25"/>
      <c r="E1730" s="25"/>
      <c r="F1730" s="25"/>
      <c r="G1730" s="25"/>
      <c r="H1730" s="25"/>
    </row>
    <row r="1731">
      <c r="D1731" s="25"/>
      <c r="E1731" s="25"/>
      <c r="F1731" s="25"/>
      <c r="G1731" s="25"/>
      <c r="H1731" s="25"/>
    </row>
    <row r="1732">
      <c r="D1732" s="25"/>
      <c r="E1732" s="25"/>
      <c r="F1732" s="25"/>
      <c r="G1732" s="25"/>
      <c r="H1732" s="25"/>
    </row>
    <row r="1733">
      <c r="D1733" s="25"/>
      <c r="E1733" s="25"/>
      <c r="F1733" s="25"/>
      <c r="G1733" s="25"/>
      <c r="H1733" s="25"/>
    </row>
    <row r="1734">
      <c r="D1734" s="25"/>
      <c r="E1734" s="25"/>
      <c r="F1734" s="25"/>
      <c r="G1734" s="25"/>
      <c r="H1734" s="25"/>
    </row>
    <row r="1735">
      <c r="D1735" s="25"/>
      <c r="E1735" s="25"/>
      <c r="F1735" s="25"/>
      <c r="G1735" s="25"/>
      <c r="H1735" s="25"/>
    </row>
    <row r="1736">
      <c r="D1736" s="25"/>
      <c r="E1736" s="25"/>
      <c r="F1736" s="25"/>
      <c r="G1736" s="25"/>
      <c r="H1736" s="25"/>
    </row>
    <row r="1737">
      <c r="D1737" s="25"/>
      <c r="E1737" s="25"/>
      <c r="F1737" s="25"/>
      <c r="G1737" s="25"/>
      <c r="H1737" s="25"/>
    </row>
    <row r="1738">
      <c r="D1738" s="25"/>
      <c r="E1738" s="25"/>
      <c r="F1738" s="25"/>
      <c r="G1738" s="25"/>
      <c r="H1738" s="25"/>
    </row>
    <row r="1739">
      <c r="D1739" s="25"/>
      <c r="E1739" s="25"/>
      <c r="F1739" s="25"/>
      <c r="G1739" s="25"/>
      <c r="H1739" s="25"/>
    </row>
    <row r="1740">
      <c r="D1740" s="25"/>
      <c r="E1740" s="25"/>
      <c r="F1740" s="25"/>
      <c r="G1740" s="25"/>
      <c r="H1740" s="25"/>
    </row>
    <row r="1741">
      <c r="D1741" s="25"/>
      <c r="E1741" s="25"/>
      <c r="F1741" s="25"/>
      <c r="G1741" s="25"/>
      <c r="H1741" s="25"/>
    </row>
    <row r="1742">
      <c r="D1742" s="25"/>
      <c r="E1742" s="25"/>
      <c r="F1742" s="25"/>
      <c r="G1742" s="25"/>
      <c r="H1742" s="25"/>
    </row>
    <row r="1743">
      <c r="D1743" s="25"/>
      <c r="E1743" s="25"/>
      <c r="F1743" s="25"/>
      <c r="G1743" s="25"/>
      <c r="H1743" s="25"/>
    </row>
    <row r="1744">
      <c r="D1744" s="25"/>
      <c r="E1744" s="25"/>
      <c r="F1744" s="25"/>
      <c r="G1744" s="25"/>
      <c r="H1744" s="25"/>
    </row>
    <row r="1745">
      <c r="D1745" s="25"/>
      <c r="E1745" s="25"/>
      <c r="F1745" s="25"/>
      <c r="G1745" s="25"/>
      <c r="H1745" s="25"/>
    </row>
    <row r="1746">
      <c r="D1746" s="25"/>
      <c r="E1746" s="25"/>
      <c r="F1746" s="25"/>
      <c r="G1746" s="25"/>
      <c r="H1746" s="25"/>
    </row>
    <row r="1747">
      <c r="D1747" s="25"/>
      <c r="E1747" s="25"/>
      <c r="F1747" s="25"/>
      <c r="G1747" s="25"/>
      <c r="H1747" s="25"/>
    </row>
    <row r="1748">
      <c r="D1748" s="25"/>
      <c r="E1748" s="25"/>
      <c r="F1748" s="25"/>
      <c r="G1748" s="25"/>
      <c r="H1748" s="25"/>
    </row>
    <row r="1749">
      <c r="D1749" s="25"/>
      <c r="E1749" s="25"/>
      <c r="F1749" s="25"/>
      <c r="G1749" s="25"/>
      <c r="H1749" s="25"/>
    </row>
    <row r="1750">
      <c r="D1750" s="25"/>
      <c r="E1750" s="25"/>
      <c r="F1750" s="25"/>
      <c r="G1750" s="25"/>
      <c r="H1750" s="25"/>
    </row>
    <row r="1751">
      <c r="D1751" s="25"/>
      <c r="E1751" s="25"/>
      <c r="F1751" s="25"/>
      <c r="G1751" s="25"/>
      <c r="H1751" s="25"/>
    </row>
    <row r="1752">
      <c r="D1752" s="25"/>
      <c r="E1752" s="25"/>
      <c r="F1752" s="25"/>
      <c r="G1752" s="25"/>
      <c r="H1752" s="25"/>
    </row>
    <row r="1753">
      <c r="D1753" s="25"/>
      <c r="E1753" s="25"/>
      <c r="F1753" s="25"/>
      <c r="G1753" s="25"/>
      <c r="H1753" s="25"/>
    </row>
    <row r="1754">
      <c r="D1754" s="25"/>
      <c r="E1754" s="25"/>
      <c r="F1754" s="25"/>
      <c r="G1754" s="25"/>
      <c r="H1754" s="25"/>
    </row>
    <row r="1755">
      <c r="D1755" s="25"/>
      <c r="E1755" s="25"/>
      <c r="F1755" s="25"/>
      <c r="G1755" s="25"/>
      <c r="H1755" s="25"/>
    </row>
    <row r="1756">
      <c r="D1756" s="25"/>
      <c r="E1756" s="25"/>
      <c r="F1756" s="25"/>
      <c r="G1756" s="25"/>
      <c r="H1756" s="25"/>
    </row>
    <row r="1757">
      <c r="D1757" s="25"/>
      <c r="E1757" s="25"/>
      <c r="F1757" s="25"/>
      <c r="G1757" s="25"/>
      <c r="H1757" s="25"/>
    </row>
    <row r="1758">
      <c r="D1758" s="25"/>
      <c r="E1758" s="25"/>
      <c r="F1758" s="25"/>
      <c r="G1758" s="25"/>
      <c r="H1758" s="25"/>
    </row>
    <row r="1759">
      <c r="D1759" s="25"/>
      <c r="E1759" s="25"/>
      <c r="F1759" s="25"/>
      <c r="G1759" s="25"/>
      <c r="H1759" s="25"/>
    </row>
    <row r="1760">
      <c r="D1760" s="25"/>
      <c r="E1760" s="25"/>
      <c r="F1760" s="25"/>
      <c r="G1760" s="25"/>
      <c r="H1760" s="25"/>
    </row>
    <row r="1761">
      <c r="D1761" s="25"/>
      <c r="E1761" s="25"/>
      <c r="F1761" s="25"/>
      <c r="G1761" s="25"/>
      <c r="H1761" s="25"/>
    </row>
    <row r="1762">
      <c r="D1762" s="25"/>
      <c r="E1762" s="25"/>
      <c r="F1762" s="25"/>
      <c r="G1762" s="25"/>
      <c r="H1762" s="25"/>
    </row>
    <row r="1763">
      <c r="D1763" s="25"/>
      <c r="E1763" s="25"/>
      <c r="F1763" s="25"/>
      <c r="G1763" s="25"/>
      <c r="H1763" s="25"/>
    </row>
    <row r="1764">
      <c r="D1764" s="25"/>
      <c r="E1764" s="25"/>
      <c r="F1764" s="25"/>
      <c r="G1764" s="25"/>
      <c r="H1764" s="25"/>
    </row>
    <row r="1765">
      <c r="D1765" s="25"/>
      <c r="E1765" s="25"/>
      <c r="F1765" s="25"/>
      <c r="G1765" s="25"/>
      <c r="H1765" s="25"/>
    </row>
    <row r="1766">
      <c r="D1766" s="25"/>
      <c r="E1766" s="25"/>
      <c r="F1766" s="25"/>
      <c r="G1766" s="25"/>
      <c r="H1766" s="25"/>
    </row>
    <row r="1767">
      <c r="D1767" s="25"/>
      <c r="E1767" s="25"/>
      <c r="F1767" s="25"/>
      <c r="G1767" s="25"/>
      <c r="H1767" s="25"/>
    </row>
    <row r="1768">
      <c r="D1768" s="25"/>
      <c r="E1768" s="25"/>
      <c r="F1768" s="25"/>
      <c r="G1768" s="25"/>
      <c r="H1768" s="25"/>
    </row>
    <row r="1769">
      <c r="D1769" s="25"/>
      <c r="E1769" s="25"/>
      <c r="F1769" s="25"/>
      <c r="G1769" s="25"/>
      <c r="H1769" s="25"/>
    </row>
    <row r="1770">
      <c r="D1770" s="25"/>
      <c r="E1770" s="25"/>
      <c r="F1770" s="25"/>
      <c r="G1770" s="25"/>
      <c r="H1770" s="25"/>
    </row>
    <row r="1771">
      <c r="D1771" s="25"/>
      <c r="E1771" s="25"/>
      <c r="F1771" s="25"/>
      <c r="G1771" s="25"/>
      <c r="H1771" s="25"/>
    </row>
    <row r="1772">
      <c r="D1772" s="25"/>
      <c r="E1772" s="25"/>
      <c r="F1772" s="25"/>
      <c r="G1772" s="25"/>
      <c r="H1772" s="25"/>
    </row>
    <row r="1773">
      <c r="D1773" s="25"/>
      <c r="E1773" s="25"/>
      <c r="F1773" s="25"/>
      <c r="G1773" s="25"/>
      <c r="H1773" s="25"/>
    </row>
    <row r="1774">
      <c r="D1774" s="25"/>
      <c r="E1774" s="25"/>
      <c r="F1774" s="25"/>
      <c r="G1774" s="25"/>
      <c r="H1774" s="25"/>
    </row>
    <row r="1775">
      <c r="D1775" s="25"/>
      <c r="E1775" s="25"/>
      <c r="F1775" s="25"/>
      <c r="G1775" s="25"/>
      <c r="H1775" s="25"/>
    </row>
    <row r="1776">
      <c r="D1776" s="25"/>
      <c r="E1776" s="25"/>
      <c r="F1776" s="25"/>
      <c r="G1776" s="25"/>
      <c r="H1776" s="25"/>
    </row>
    <row r="1777">
      <c r="D1777" s="25"/>
      <c r="E1777" s="25"/>
      <c r="F1777" s="25"/>
      <c r="G1777" s="25"/>
      <c r="H1777" s="25"/>
    </row>
    <row r="1778">
      <c r="D1778" s="25"/>
      <c r="E1778" s="25"/>
      <c r="F1778" s="25"/>
      <c r="G1778" s="25"/>
      <c r="H1778" s="25"/>
    </row>
    <row r="1779">
      <c r="D1779" s="25"/>
      <c r="E1779" s="25"/>
      <c r="F1779" s="25"/>
      <c r="G1779" s="25"/>
      <c r="H1779" s="25"/>
    </row>
    <row r="1780">
      <c r="D1780" s="25"/>
      <c r="E1780" s="25"/>
      <c r="F1780" s="25"/>
      <c r="G1780" s="25"/>
      <c r="H1780" s="25"/>
    </row>
    <row r="1781">
      <c r="D1781" s="25"/>
      <c r="E1781" s="25"/>
      <c r="F1781" s="25"/>
      <c r="G1781" s="25"/>
      <c r="H1781" s="25"/>
    </row>
    <row r="1782">
      <c r="D1782" s="25"/>
      <c r="E1782" s="25"/>
      <c r="F1782" s="25"/>
      <c r="G1782" s="25"/>
      <c r="H1782" s="25"/>
    </row>
    <row r="1783">
      <c r="D1783" s="25"/>
      <c r="E1783" s="25"/>
      <c r="F1783" s="25"/>
      <c r="G1783" s="25"/>
      <c r="H1783" s="25"/>
    </row>
    <row r="1784">
      <c r="D1784" s="25"/>
      <c r="E1784" s="25"/>
      <c r="F1784" s="25"/>
      <c r="G1784" s="25"/>
      <c r="H1784" s="25"/>
    </row>
    <row r="1785">
      <c r="D1785" s="25"/>
      <c r="E1785" s="25"/>
      <c r="F1785" s="25"/>
      <c r="G1785" s="25"/>
      <c r="H1785" s="25"/>
    </row>
    <row r="1786">
      <c r="D1786" s="25"/>
      <c r="E1786" s="25"/>
      <c r="F1786" s="25"/>
      <c r="G1786" s="25"/>
      <c r="H1786" s="25"/>
    </row>
    <row r="1787">
      <c r="D1787" s="25"/>
      <c r="E1787" s="25"/>
      <c r="F1787" s="25"/>
      <c r="G1787" s="25"/>
      <c r="H1787" s="25"/>
    </row>
    <row r="1788">
      <c r="D1788" s="25"/>
      <c r="E1788" s="25"/>
      <c r="F1788" s="25"/>
      <c r="G1788" s="25"/>
      <c r="H1788" s="25"/>
    </row>
    <row r="1789">
      <c r="D1789" s="25"/>
      <c r="E1789" s="25"/>
      <c r="F1789" s="25"/>
      <c r="G1789" s="25"/>
      <c r="H1789" s="25"/>
    </row>
    <row r="1790">
      <c r="D1790" s="25"/>
      <c r="E1790" s="25"/>
      <c r="F1790" s="25"/>
      <c r="G1790" s="25"/>
      <c r="H1790" s="25"/>
    </row>
    <row r="1791">
      <c r="D1791" s="25"/>
      <c r="E1791" s="25"/>
      <c r="F1791" s="25"/>
      <c r="G1791" s="25"/>
      <c r="H1791" s="25"/>
    </row>
    <row r="1792">
      <c r="D1792" s="25"/>
      <c r="E1792" s="25"/>
      <c r="F1792" s="25"/>
      <c r="G1792" s="25"/>
      <c r="H1792" s="25"/>
    </row>
    <row r="1793">
      <c r="D1793" s="25"/>
      <c r="E1793" s="25"/>
      <c r="F1793" s="25"/>
      <c r="G1793" s="25"/>
      <c r="H1793" s="25"/>
    </row>
    <row r="1794">
      <c r="D1794" s="25"/>
      <c r="E1794" s="25"/>
      <c r="F1794" s="25"/>
      <c r="G1794" s="25"/>
      <c r="H1794" s="25"/>
    </row>
  </sheetData>
  <hyperlinks>
    <hyperlink r:id="rId2" ref="J8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25"/>
  </cols>
  <sheetData>
    <row r="1">
      <c r="A1" s="3" t="s">
        <v>857</v>
      </c>
      <c r="B1" s="3" t="s">
        <v>2368</v>
      </c>
      <c r="F1" s="3" t="s">
        <v>5839</v>
      </c>
      <c r="G1" s="3" t="s">
        <v>5835</v>
      </c>
    </row>
    <row r="2">
      <c r="A2" s="3" t="s">
        <v>4545</v>
      </c>
      <c r="B2" s="3" t="s">
        <v>4540</v>
      </c>
      <c r="F2" s="3" t="s">
        <v>5234</v>
      </c>
      <c r="G2" s="3" t="s">
        <v>4949</v>
      </c>
    </row>
    <row r="3">
      <c r="A3" s="3" t="s">
        <v>4551</v>
      </c>
      <c r="B3" s="3" t="s">
        <v>4540</v>
      </c>
      <c r="F3" s="3" t="s">
        <v>5812</v>
      </c>
      <c r="G3" s="3" t="s">
        <v>5808</v>
      </c>
    </row>
    <row r="4">
      <c r="A4" s="3" t="s">
        <v>4610</v>
      </c>
      <c r="B4" s="3" t="s">
        <v>2279</v>
      </c>
      <c r="F4" s="3" t="s">
        <v>4917</v>
      </c>
      <c r="G4" s="3" t="s">
        <v>4912</v>
      </c>
    </row>
    <row r="5">
      <c r="A5" s="3" t="s">
        <v>3503</v>
      </c>
      <c r="B5" s="3" t="s">
        <v>3499</v>
      </c>
      <c r="F5" s="3" t="s">
        <v>1413</v>
      </c>
      <c r="G5" s="3" t="s">
        <v>750</v>
      </c>
    </row>
    <row r="6">
      <c r="A6" s="3" t="s">
        <v>3821</v>
      </c>
      <c r="B6" s="3" t="s">
        <v>3816</v>
      </c>
      <c r="F6" s="3" t="s">
        <v>5746</v>
      </c>
      <c r="G6" s="3" t="s">
        <v>5742</v>
      </c>
    </row>
    <row r="7">
      <c r="A7" s="3" t="s">
        <v>3788</v>
      </c>
      <c r="B7" s="3" t="s">
        <v>3782</v>
      </c>
    </row>
    <row r="8">
      <c r="A8" s="3" t="s">
        <v>3995</v>
      </c>
      <c r="B8" s="3" t="s">
        <v>2279</v>
      </c>
    </row>
    <row r="9">
      <c r="A9" s="3" t="s">
        <v>708</v>
      </c>
      <c r="B9" s="3" t="s">
        <v>2331</v>
      </c>
    </row>
    <row r="10">
      <c r="A10" s="3" t="s">
        <v>4678</v>
      </c>
      <c r="B10" s="3" t="s">
        <v>2279</v>
      </c>
    </row>
    <row r="11">
      <c r="A11" s="3" t="s">
        <v>3909</v>
      </c>
      <c r="B11" s="3" t="s">
        <v>1117</v>
      </c>
    </row>
    <row r="12">
      <c r="A12" s="3" t="s">
        <v>4954</v>
      </c>
      <c r="B12" s="3" t="s">
        <v>4949</v>
      </c>
    </row>
    <row r="13">
      <c r="A13" s="3" t="s">
        <v>4634</v>
      </c>
      <c r="B13" s="3" t="s">
        <v>4629</v>
      </c>
    </row>
    <row r="14">
      <c r="A14" s="3" t="s">
        <v>2128</v>
      </c>
      <c r="B14" s="3" t="s">
        <v>2606</v>
      </c>
    </row>
    <row r="15">
      <c r="A15" s="3" t="s">
        <v>4076</v>
      </c>
      <c r="B15" s="3" t="s">
        <v>2279</v>
      </c>
    </row>
    <row r="16">
      <c r="A16" s="3" t="s">
        <v>4796</v>
      </c>
      <c r="B16" s="3" t="s">
        <v>4792</v>
      </c>
    </row>
    <row r="17">
      <c r="A17" s="3" t="s">
        <v>4781</v>
      </c>
      <c r="B17" s="3" t="s">
        <v>6642</v>
      </c>
    </row>
    <row r="18">
      <c r="A18" s="3" t="s">
        <v>4931</v>
      </c>
      <c r="B18" s="3" t="s">
        <v>6642</v>
      </c>
    </row>
    <row r="19">
      <c r="A19" s="3" t="s">
        <v>4195</v>
      </c>
      <c r="B19" s="3" t="s">
        <v>4190</v>
      </c>
    </row>
    <row r="20">
      <c r="A20" s="3" t="s">
        <v>2964</v>
      </c>
      <c r="B20" s="3" t="s">
        <v>2959</v>
      </c>
    </row>
    <row r="21">
      <c r="A21" s="3" t="s">
        <v>4116</v>
      </c>
      <c r="B21" s="3" t="s">
        <v>4111</v>
      </c>
    </row>
    <row r="22">
      <c r="A22" s="3" t="s">
        <v>4721</v>
      </c>
      <c r="B22" s="3" t="s">
        <v>4717</v>
      </c>
    </row>
    <row r="23">
      <c r="A23" s="3" t="s">
        <v>745</v>
      </c>
      <c r="B23" s="3" t="s">
        <v>2341</v>
      </c>
    </row>
    <row r="24">
      <c r="A24" s="3" t="s">
        <v>4125</v>
      </c>
      <c r="B24" s="3" t="s">
        <v>4120</v>
      </c>
    </row>
    <row r="25">
      <c r="A25" s="3" t="s">
        <v>4432</v>
      </c>
      <c r="B25" s="3" t="s">
        <v>4428</v>
      </c>
    </row>
    <row r="26">
      <c r="A26" s="3" t="s">
        <v>5556</v>
      </c>
      <c r="B26" s="3" t="s">
        <v>5552</v>
      </c>
    </row>
    <row r="27">
      <c r="A27" s="3" t="s">
        <v>6643</v>
      </c>
      <c r="B27" s="3" t="s">
        <v>4508</v>
      </c>
    </row>
    <row r="28">
      <c r="A28" s="3" t="s">
        <v>4873</v>
      </c>
      <c r="B28" s="3" t="s">
        <v>2279</v>
      </c>
    </row>
    <row r="29">
      <c r="A29" s="3" t="s">
        <v>4512</v>
      </c>
      <c r="B29" s="3" t="s">
        <v>4508</v>
      </c>
    </row>
    <row r="30">
      <c r="A30" s="3" t="s">
        <v>4166</v>
      </c>
      <c r="B30" s="3" t="s">
        <v>4161</v>
      </c>
    </row>
    <row r="31">
      <c r="A31" s="3" t="s">
        <v>4604</v>
      </c>
      <c r="B31" s="3" t="s">
        <v>4599</v>
      </c>
    </row>
    <row r="32">
      <c r="A32" s="3" t="s">
        <v>4281</v>
      </c>
      <c r="B32" s="3" t="s">
        <v>4277</v>
      </c>
    </row>
    <row r="33">
      <c r="A33" s="3" t="s">
        <v>5525</v>
      </c>
      <c r="B33" s="3" t="s">
        <v>5520</v>
      </c>
    </row>
    <row r="34">
      <c r="A34" s="3" t="s">
        <v>4774</v>
      </c>
      <c r="B34" s="3" t="s">
        <v>4769</v>
      </c>
    </row>
    <row r="35">
      <c r="A35" s="3" t="s">
        <v>5542</v>
      </c>
      <c r="B35" s="3" t="s">
        <v>5537</v>
      </c>
    </row>
    <row r="36">
      <c r="A36" s="3" t="s">
        <v>5939</v>
      </c>
      <c r="B36" s="3" t="s">
        <v>4582</v>
      </c>
    </row>
    <row r="37">
      <c r="A37" s="3" t="s">
        <v>6644</v>
      </c>
      <c r="B37" s="3" t="s">
        <v>4589</v>
      </c>
    </row>
    <row r="38">
      <c r="A38" s="3" t="s">
        <v>5267</v>
      </c>
      <c r="B38" s="3" t="s">
        <v>5262</v>
      </c>
    </row>
    <row r="39">
      <c r="A39" s="3" t="s">
        <v>5863</v>
      </c>
      <c r="B39" s="3" t="s">
        <v>1706</v>
      </c>
    </row>
    <row r="40">
      <c r="A40" s="3" t="s">
        <v>6645</v>
      </c>
      <c r="B40" s="3" t="s">
        <v>5928</v>
      </c>
    </row>
    <row r="41">
      <c r="A41" s="3" t="s">
        <v>3242</v>
      </c>
      <c r="B41" s="3" t="s">
        <v>3238</v>
      </c>
    </row>
    <row r="42">
      <c r="A42" s="3" t="s">
        <v>3030</v>
      </c>
      <c r="B42" s="3" t="s">
        <v>3026</v>
      </c>
    </row>
    <row r="43">
      <c r="A43" s="3" t="s">
        <v>4845</v>
      </c>
      <c r="B43" s="3" t="s">
        <v>4840</v>
      </c>
    </row>
    <row r="44">
      <c r="A44" s="3" t="s">
        <v>4295</v>
      </c>
      <c r="B44" s="3" t="s">
        <v>4291</v>
      </c>
    </row>
    <row r="45">
      <c r="A45" s="3" t="s">
        <v>5571</v>
      </c>
      <c r="B45" s="3" t="s">
        <v>5566</v>
      </c>
    </row>
    <row r="46">
      <c r="A46" s="3" t="s">
        <v>5516</v>
      </c>
      <c r="B46" s="3" t="s">
        <v>6646</v>
      </c>
    </row>
    <row r="47">
      <c r="A47" s="3" t="s">
        <v>4425</v>
      </c>
      <c r="B47" s="3" t="s">
        <v>4421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3" t="s">
        <v>12</v>
      </c>
      <c r="N1" s="7" t="s">
        <v>13</v>
      </c>
      <c r="O1" s="7" t="s">
        <v>14</v>
      </c>
      <c r="P1" s="7" t="s">
        <v>15</v>
      </c>
      <c r="Q1" s="3" t="s">
        <v>2194</v>
      </c>
      <c r="R1" s="3" t="s">
        <v>2209</v>
      </c>
      <c r="S1" s="3" t="s">
        <v>17</v>
      </c>
      <c r="T1" s="3" t="s">
        <v>2210</v>
      </c>
      <c r="U1" s="7" t="s">
        <v>6647</v>
      </c>
    </row>
    <row r="2">
      <c r="A2" s="3">
        <v>44342.73569084491</v>
      </c>
      <c r="B2" s="3" t="s">
        <v>1447</v>
      </c>
      <c r="C2" s="3" t="s">
        <v>1482</v>
      </c>
      <c r="D2" s="3" t="s">
        <v>358</v>
      </c>
      <c r="E2" s="3">
        <v>44291.0</v>
      </c>
      <c r="F2" s="3">
        <v>227761.0</v>
      </c>
      <c r="G2" s="3" t="s">
        <v>21</v>
      </c>
      <c r="H2" s="3" t="s">
        <v>22</v>
      </c>
      <c r="I2" s="7"/>
      <c r="J2" s="7"/>
      <c r="K2" s="3" t="s">
        <v>1483</v>
      </c>
      <c r="L2" s="3" t="s">
        <v>1484</v>
      </c>
      <c r="M2" s="3" t="s">
        <v>1485</v>
      </c>
      <c r="N2" s="3" t="s">
        <v>362</v>
      </c>
      <c r="O2" s="3" t="s">
        <v>1452</v>
      </c>
      <c r="P2" s="7"/>
      <c r="Q2" s="3" t="s">
        <v>29</v>
      </c>
      <c r="R2" s="7"/>
      <c r="S2" s="7" t="s">
        <v>1486</v>
      </c>
      <c r="T2" s="7">
        <v>1591.0</v>
      </c>
      <c r="U2" s="7" t="s">
        <v>2488</v>
      </c>
    </row>
    <row r="3">
      <c r="A3" s="3">
        <v>44342.73581953703</v>
      </c>
      <c r="B3" s="3" t="s">
        <v>1532</v>
      </c>
      <c r="C3" s="3" t="s">
        <v>1533</v>
      </c>
      <c r="D3" s="3" t="s">
        <v>358</v>
      </c>
      <c r="E3" s="3">
        <v>44287.0</v>
      </c>
      <c r="F3" s="3">
        <v>271416.96</v>
      </c>
      <c r="G3" s="3" t="s">
        <v>136</v>
      </c>
      <c r="H3" s="3" t="s">
        <v>22</v>
      </c>
      <c r="I3" s="7"/>
      <c r="J3" s="3" t="s">
        <v>1534</v>
      </c>
      <c r="K3" s="3" t="s">
        <v>1535</v>
      </c>
      <c r="L3" s="3" t="s">
        <v>1536</v>
      </c>
      <c r="M3" s="3" t="s">
        <v>1537</v>
      </c>
      <c r="N3" s="3" t="s">
        <v>362</v>
      </c>
      <c r="O3" s="3" t="s">
        <v>1538</v>
      </c>
      <c r="P3" s="7"/>
      <c r="Q3" s="3" t="s">
        <v>29</v>
      </c>
      <c r="R3" s="7"/>
      <c r="S3" s="7" t="s">
        <v>1539</v>
      </c>
      <c r="T3" s="7">
        <v>504.0</v>
      </c>
      <c r="U3" s="7" t="s">
        <v>2496</v>
      </c>
    </row>
    <row r="4">
      <c r="A4" s="3">
        <v>44342.735850578705</v>
      </c>
      <c r="B4" s="3" t="s">
        <v>393</v>
      </c>
      <c r="C4" s="3" t="s">
        <v>1545</v>
      </c>
      <c r="D4" s="3" t="s">
        <v>358</v>
      </c>
      <c r="E4" s="3">
        <v>44256.0</v>
      </c>
      <c r="F4" s="3">
        <v>701000.0</v>
      </c>
      <c r="G4" s="3" t="s">
        <v>21</v>
      </c>
      <c r="H4" s="3" t="s">
        <v>22</v>
      </c>
      <c r="I4" s="7"/>
      <c r="J4" s="7"/>
      <c r="K4" s="3" t="s">
        <v>1546</v>
      </c>
      <c r="L4" s="3" t="s">
        <v>1547</v>
      </c>
      <c r="M4" s="3" t="s">
        <v>1548</v>
      </c>
      <c r="N4" s="3" t="s">
        <v>362</v>
      </c>
      <c r="O4" s="3" t="s">
        <v>398</v>
      </c>
      <c r="P4" s="7"/>
      <c r="Q4" s="3" t="s">
        <v>29</v>
      </c>
      <c r="R4" s="7"/>
      <c r="S4" s="7" t="s">
        <v>1549</v>
      </c>
      <c r="T4" s="7">
        <v>1148.0</v>
      </c>
      <c r="U4" s="7" t="s">
        <v>2499</v>
      </c>
    </row>
    <row r="5">
      <c r="A5" s="3">
        <v>44413.72339960648</v>
      </c>
      <c r="B5" s="3" t="s">
        <v>322</v>
      </c>
      <c r="C5" s="3" t="s">
        <v>1731</v>
      </c>
      <c r="D5" s="3" t="s">
        <v>20</v>
      </c>
      <c r="E5" s="3">
        <v>44392.0</v>
      </c>
      <c r="F5" s="3">
        <v>62500.0</v>
      </c>
      <c r="G5" s="3" t="s">
        <v>21</v>
      </c>
      <c r="H5" s="3" t="s">
        <v>22</v>
      </c>
      <c r="I5" s="7"/>
      <c r="J5" s="3" t="s">
        <v>1732</v>
      </c>
      <c r="K5" s="3" t="s">
        <v>1733</v>
      </c>
      <c r="L5" s="3" t="s">
        <v>1734</v>
      </c>
      <c r="M5" s="3" t="s">
        <v>1735</v>
      </c>
      <c r="N5" s="3" t="s">
        <v>27</v>
      </c>
      <c r="O5" s="3" t="s">
        <v>327</v>
      </c>
      <c r="P5" s="7"/>
      <c r="Q5" s="3" t="s">
        <v>29</v>
      </c>
      <c r="R5" s="7"/>
      <c r="S5" s="7" t="s">
        <v>1736</v>
      </c>
      <c r="T5" s="7">
        <v>1132.0</v>
      </c>
      <c r="U5" s="7" t="s">
        <v>2528</v>
      </c>
    </row>
    <row r="6">
      <c r="A6" s="3">
        <v>44413.74146770833</v>
      </c>
      <c r="B6" s="3" t="s">
        <v>1737</v>
      </c>
      <c r="C6" s="3" t="s">
        <v>1738</v>
      </c>
      <c r="D6" s="3" t="s">
        <v>20</v>
      </c>
      <c r="E6" s="3">
        <v>44398.0</v>
      </c>
      <c r="F6" s="3">
        <v>664800.0</v>
      </c>
      <c r="G6" s="3" t="s">
        <v>21</v>
      </c>
      <c r="H6" s="3" t="s">
        <v>22</v>
      </c>
      <c r="I6" s="7"/>
      <c r="J6" s="3" t="s">
        <v>1739</v>
      </c>
      <c r="K6" s="3" t="s">
        <v>1740</v>
      </c>
      <c r="L6" s="3" t="s">
        <v>1741</v>
      </c>
      <c r="M6" s="3" t="s">
        <v>1742</v>
      </c>
      <c r="N6" s="3" t="s">
        <v>27</v>
      </c>
      <c r="O6" s="3" t="s">
        <v>1743</v>
      </c>
      <c r="P6" s="7"/>
      <c r="Q6" s="3" t="s">
        <v>29</v>
      </c>
      <c r="R6" s="7"/>
      <c r="S6" s="7" t="s">
        <v>1744</v>
      </c>
      <c r="T6" s="7"/>
      <c r="U6" s="7" t="s">
        <v>2531</v>
      </c>
    </row>
    <row r="7">
      <c r="A7" s="3">
        <v>44419.662645752316</v>
      </c>
      <c r="B7" s="3" t="s">
        <v>1750</v>
      </c>
      <c r="C7" s="3" t="s">
        <v>1751</v>
      </c>
      <c r="D7" s="3" t="s">
        <v>20</v>
      </c>
      <c r="E7" s="3">
        <v>44414.0</v>
      </c>
      <c r="F7" s="3">
        <v>55690.0</v>
      </c>
      <c r="G7" s="3" t="s">
        <v>21</v>
      </c>
      <c r="H7" s="3" t="s">
        <v>22</v>
      </c>
      <c r="I7" s="7"/>
      <c r="J7" s="3" t="s">
        <v>1752</v>
      </c>
      <c r="K7" s="3" t="s">
        <v>1753</v>
      </c>
      <c r="L7" s="3" t="s">
        <v>1754</v>
      </c>
      <c r="M7" s="3" t="s">
        <v>1755</v>
      </c>
      <c r="N7" s="3" t="s">
        <v>27</v>
      </c>
      <c r="O7" s="7" t="s">
        <v>1756</v>
      </c>
      <c r="P7" s="7"/>
      <c r="Q7" s="3" t="s">
        <v>29</v>
      </c>
      <c r="R7" s="7"/>
      <c r="S7" s="7" t="s">
        <v>1757</v>
      </c>
      <c r="T7" s="7"/>
      <c r="U7" s="7" t="s">
        <v>2533</v>
      </c>
    </row>
    <row r="8">
      <c r="A8" s="3">
        <v>44475.72343079861</v>
      </c>
      <c r="B8" s="3" t="s">
        <v>322</v>
      </c>
      <c r="C8" s="3" t="s">
        <v>1815</v>
      </c>
      <c r="D8" s="3" t="s">
        <v>20</v>
      </c>
      <c r="E8" s="3">
        <v>44474.0</v>
      </c>
      <c r="F8" s="3">
        <v>1158300.0</v>
      </c>
      <c r="G8" s="3" t="s">
        <v>21</v>
      </c>
      <c r="H8" s="3" t="s">
        <v>22</v>
      </c>
      <c r="I8" s="3" t="s">
        <v>1426</v>
      </c>
      <c r="J8" s="3" t="s">
        <v>1816</v>
      </c>
      <c r="K8" s="3" t="s">
        <v>1817</v>
      </c>
      <c r="L8" s="3" t="s">
        <v>1818</v>
      </c>
      <c r="M8" s="3" t="s">
        <v>1819</v>
      </c>
      <c r="N8" s="3" t="s">
        <v>27</v>
      </c>
      <c r="O8" s="3" t="s">
        <v>327</v>
      </c>
      <c r="P8" s="7"/>
      <c r="Q8" s="3" t="s">
        <v>29</v>
      </c>
      <c r="R8" s="7"/>
      <c r="S8" s="7" t="s">
        <v>1820</v>
      </c>
      <c r="T8" s="7">
        <v>1132.0</v>
      </c>
      <c r="U8" s="7" t="s">
        <v>2543</v>
      </c>
    </row>
    <row r="9">
      <c r="A9" s="3">
        <v>44558.61888328704</v>
      </c>
      <c r="B9" s="3" t="s">
        <v>1892</v>
      </c>
      <c r="C9" s="3" t="s">
        <v>1893</v>
      </c>
      <c r="D9" s="3" t="s">
        <v>20</v>
      </c>
      <c r="E9" s="3">
        <v>44554.0</v>
      </c>
      <c r="F9" s="3">
        <v>400000.0</v>
      </c>
      <c r="G9" s="3" t="s">
        <v>21</v>
      </c>
      <c r="H9" s="3" t="s">
        <v>22</v>
      </c>
      <c r="I9" s="7"/>
      <c r="J9" s="3" t="s">
        <v>2554</v>
      </c>
      <c r="K9" s="3" t="s">
        <v>1894</v>
      </c>
      <c r="L9" s="3" t="s">
        <v>1895</v>
      </c>
      <c r="M9" s="3" t="s">
        <v>1896</v>
      </c>
      <c r="N9" s="3" t="s">
        <v>27</v>
      </c>
      <c r="O9" s="3" t="s">
        <v>1897</v>
      </c>
      <c r="P9" s="7"/>
      <c r="Q9" s="3" t="s">
        <v>29</v>
      </c>
      <c r="R9" s="7"/>
      <c r="S9" s="7" t="s">
        <v>1898</v>
      </c>
      <c r="T9" s="7"/>
      <c r="U9" s="7" t="s">
        <v>2555</v>
      </c>
    </row>
    <row r="10">
      <c r="A10" s="3">
        <v>44575.584016875</v>
      </c>
      <c r="B10" s="3" t="s">
        <v>386</v>
      </c>
      <c r="C10" s="3" t="s">
        <v>1906</v>
      </c>
      <c r="D10" s="3" t="s">
        <v>20</v>
      </c>
      <c r="E10" s="3">
        <v>44293.0</v>
      </c>
      <c r="F10" s="3">
        <v>429922.0</v>
      </c>
      <c r="G10" s="3" t="s">
        <v>21</v>
      </c>
      <c r="H10" s="3" t="s">
        <v>22</v>
      </c>
      <c r="I10" s="7"/>
      <c r="J10" s="7"/>
      <c r="K10" s="3" t="s">
        <v>1907</v>
      </c>
      <c r="L10" s="3" t="s">
        <v>1908</v>
      </c>
      <c r="M10" s="3" t="s">
        <v>1909</v>
      </c>
      <c r="N10" s="3" t="s">
        <v>27</v>
      </c>
      <c r="O10" s="3" t="s">
        <v>391</v>
      </c>
      <c r="P10" s="7"/>
      <c r="Q10" s="3" t="s">
        <v>29</v>
      </c>
      <c r="R10" s="7"/>
      <c r="S10" s="7" t="s">
        <v>1910</v>
      </c>
      <c r="T10" s="7">
        <v>998.0</v>
      </c>
      <c r="U10" s="7" t="s">
        <v>2557</v>
      </c>
    </row>
    <row r="11">
      <c r="A11" s="3">
        <v>44615.73315407407</v>
      </c>
      <c r="B11" s="3" t="s">
        <v>1930</v>
      </c>
      <c r="C11" s="3" t="s">
        <v>1931</v>
      </c>
      <c r="D11" s="3" t="s">
        <v>358</v>
      </c>
      <c r="E11" s="3">
        <v>44614.0</v>
      </c>
      <c r="F11" s="3">
        <v>60000.0</v>
      </c>
      <c r="G11" s="3" t="s">
        <v>21</v>
      </c>
      <c r="H11" s="3" t="s">
        <v>22</v>
      </c>
      <c r="I11" s="3" t="s">
        <v>1145</v>
      </c>
      <c r="J11" s="3" t="s">
        <v>1932</v>
      </c>
      <c r="K11" s="3" t="s">
        <v>1933</v>
      </c>
      <c r="L11" s="3" t="s">
        <v>1934</v>
      </c>
      <c r="M11" s="3" t="s">
        <v>1935</v>
      </c>
      <c r="N11" s="3" t="s">
        <v>362</v>
      </c>
      <c r="O11" s="3" t="s">
        <v>1936</v>
      </c>
      <c r="P11" s="3" t="s">
        <v>1150</v>
      </c>
      <c r="Q11" s="3" t="s">
        <v>29</v>
      </c>
      <c r="R11" s="7"/>
      <c r="S11" s="7" t="s">
        <v>1937</v>
      </c>
      <c r="T11" s="7"/>
      <c r="U11" s="7" t="s">
        <v>2562</v>
      </c>
    </row>
    <row r="12">
      <c r="A12" s="3">
        <v>44637.60769188657</v>
      </c>
      <c r="B12" s="3" t="s">
        <v>242</v>
      </c>
      <c r="C12" s="3" t="s">
        <v>1951</v>
      </c>
      <c r="D12" s="3" t="s">
        <v>20</v>
      </c>
      <c r="E12" s="3">
        <v>44546.0</v>
      </c>
      <c r="F12" s="3">
        <v>1161507.0</v>
      </c>
      <c r="G12" s="3" t="s">
        <v>21</v>
      </c>
      <c r="H12" s="3" t="s">
        <v>22</v>
      </c>
      <c r="I12" s="7"/>
      <c r="J12" s="3" t="s">
        <v>1952</v>
      </c>
      <c r="K12" s="3" t="s">
        <v>1953</v>
      </c>
      <c r="L12" s="3" t="s">
        <v>1954</v>
      </c>
      <c r="M12" s="3" t="s">
        <v>1955</v>
      </c>
      <c r="N12" s="3" t="s">
        <v>27</v>
      </c>
      <c r="O12" s="3" t="s">
        <v>248</v>
      </c>
      <c r="P12" s="7"/>
      <c r="Q12" s="3" t="s">
        <v>29</v>
      </c>
      <c r="R12" s="7"/>
      <c r="S12" s="7" t="s">
        <v>1956</v>
      </c>
      <c r="T12" s="7">
        <v>773.0</v>
      </c>
      <c r="U12" s="7" t="s">
        <v>2565</v>
      </c>
    </row>
    <row r="13">
      <c r="A13" s="3">
        <v>44637.661186365745</v>
      </c>
      <c r="B13" s="3" t="s">
        <v>242</v>
      </c>
      <c r="C13" s="3" t="s">
        <v>1957</v>
      </c>
      <c r="D13" s="3" t="s">
        <v>20</v>
      </c>
      <c r="E13" s="3">
        <v>44424.0</v>
      </c>
      <c r="F13" s="3">
        <v>1161507.82</v>
      </c>
      <c r="G13" s="3" t="s">
        <v>21</v>
      </c>
      <c r="H13" s="3" t="s">
        <v>22</v>
      </c>
      <c r="I13" s="7"/>
      <c r="J13" s="3" t="s">
        <v>1958</v>
      </c>
      <c r="K13" s="3" t="s">
        <v>1959</v>
      </c>
      <c r="L13" s="3" t="s">
        <v>1960</v>
      </c>
      <c r="M13" s="3" t="s">
        <v>1961</v>
      </c>
      <c r="N13" s="3" t="s">
        <v>27</v>
      </c>
      <c r="O13" s="3" t="s">
        <v>248</v>
      </c>
      <c r="P13" s="7"/>
      <c r="Q13" s="3" t="s">
        <v>29</v>
      </c>
      <c r="R13" s="7"/>
      <c r="S13" s="7" t="s">
        <v>1962</v>
      </c>
      <c r="T13" s="7">
        <v>773.0</v>
      </c>
      <c r="U13" s="7" t="s">
        <v>2566</v>
      </c>
    </row>
    <row r="14">
      <c r="A14" s="3">
        <v>44648.535637002315</v>
      </c>
      <c r="B14" s="3" t="s">
        <v>1990</v>
      </c>
      <c r="C14" s="3" t="s">
        <v>1991</v>
      </c>
      <c r="D14" s="3" t="s">
        <v>20</v>
      </c>
      <c r="E14" s="3">
        <v>44582.0</v>
      </c>
      <c r="F14" s="3">
        <v>2281058.0</v>
      </c>
      <c r="G14" s="3" t="s">
        <v>21</v>
      </c>
      <c r="H14" s="3" t="s">
        <v>22</v>
      </c>
      <c r="I14" s="7"/>
      <c r="J14" s="7"/>
      <c r="K14" s="3" t="s">
        <v>1992</v>
      </c>
      <c r="L14" s="3" t="s">
        <v>1993</v>
      </c>
      <c r="M14" s="3" t="s">
        <v>1994</v>
      </c>
      <c r="N14" s="3" t="s">
        <v>27</v>
      </c>
      <c r="O14" s="3" t="s">
        <v>1995</v>
      </c>
      <c r="P14" s="7"/>
      <c r="Q14" s="3" t="s">
        <v>29</v>
      </c>
      <c r="R14" s="7"/>
      <c r="S14" s="7" t="s">
        <v>1996</v>
      </c>
      <c r="T14" s="7"/>
      <c r="U14" s="7" t="s">
        <v>2572</v>
      </c>
    </row>
    <row r="15">
      <c r="A15" s="3">
        <v>44700.50955876157</v>
      </c>
      <c r="B15" s="3" t="s">
        <v>2155</v>
      </c>
      <c r="C15" s="3" t="s">
        <v>2156</v>
      </c>
      <c r="D15" s="3" t="s">
        <v>20</v>
      </c>
      <c r="E15" s="3">
        <v>44602.0</v>
      </c>
      <c r="F15" s="3">
        <v>372497.0</v>
      </c>
      <c r="G15" s="3" t="s">
        <v>21</v>
      </c>
      <c r="H15" s="3" t="s">
        <v>22</v>
      </c>
      <c r="I15" s="7"/>
      <c r="J15" s="7"/>
      <c r="K15" s="3" t="s">
        <v>2157</v>
      </c>
      <c r="L15" s="3" t="s">
        <v>2158</v>
      </c>
      <c r="M15" s="3" t="s">
        <v>2159</v>
      </c>
      <c r="N15" s="3" t="s">
        <v>27</v>
      </c>
      <c r="O15" s="3" t="s">
        <v>2160</v>
      </c>
      <c r="P15" s="7"/>
      <c r="Q15" s="3" t="s">
        <v>29</v>
      </c>
      <c r="R15" s="7"/>
      <c r="S15" s="7" t="s">
        <v>2161</v>
      </c>
      <c r="T15" s="7"/>
      <c r="U15" s="7" t="s">
        <v>2614</v>
      </c>
    </row>
    <row r="16">
      <c r="A16" s="3">
        <v>44712.734675879634</v>
      </c>
      <c r="B16" s="3" t="s">
        <v>2162</v>
      </c>
      <c r="C16" s="3" t="s">
        <v>2163</v>
      </c>
      <c r="D16" s="3" t="s">
        <v>20</v>
      </c>
      <c r="E16" s="3">
        <v>44701.0</v>
      </c>
      <c r="F16" s="3">
        <v>626280.0</v>
      </c>
      <c r="G16" s="3" t="s">
        <v>21</v>
      </c>
      <c r="H16" s="3" t="s">
        <v>22</v>
      </c>
      <c r="I16" s="7"/>
      <c r="J16" s="7"/>
      <c r="K16" s="3" t="s">
        <v>2164</v>
      </c>
      <c r="L16" s="3" t="s">
        <v>2165</v>
      </c>
      <c r="M16" s="3" t="s">
        <v>2166</v>
      </c>
      <c r="N16" s="3" t="s">
        <v>27</v>
      </c>
      <c r="O16" s="3" t="s">
        <v>2167</v>
      </c>
      <c r="P16" s="7"/>
      <c r="Q16" s="3" t="s">
        <v>29</v>
      </c>
      <c r="R16" s="7"/>
      <c r="S16" s="7" t="s">
        <v>2168</v>
      </c>
      <c r="T16" s="7"/>
      <c r="U16" s="7" t="s">
        <v>2616</v>
      </c>
    </row>
    <row r="17">
      <c r="A17" s="3">
        <v>44761.72238216436</v>
      </c>
      <c r="B17" s="3" t="s">
        <v>1719</v>
      </c>
      <c r="C17" s="3" t="s">
        <v>2620</v>
      </c>
      <c r="D17" s="3" t="s">
        <v>20</v>
      </c>
      <c r="E17" s="3">
        <v>44755.0</v>
      </c>
      <c r="F17" s="3">
        <v>1266280.0</v>
      </c>
      <c r="G17" s="3" t="s">
        <v>21</v>
      </c>
      <c r="H17" s="3" t="s">
        <v>22</v>
      </c>
      <c r="I17" s="7"/>
      <c r="J17" s="7"/>
      <c r="K17" s="3" t="s">
        <v>2622</v>
      </c>
      <c r="L17" s="3" t="s">
        <v>2623</v>
      </c>
      <c r="M17" s="3" t="s">
        <v>2624</v>
      </c>
      <c r="N17" s="3" t="s">
        <v>27</v>
      </c>
      <c r="O17" s="3" t="s">
        <v>1724</v>
      </c>
      <c r="P17" s="7"/>
      <c r="Q17" s="3" t="s">
        <v>29</v>
      </c>
      <c r="R17" s="7"/>
      <c r="S17" s="7" t="s">
        <v>2625</v>
      </c>
      <c r="T17" s="7"/>
      <c r="U17" s="7" t="s">
        <v>2626</v>
      </c>
    </row>
    <row r="18">
      <c r="A18" s="3">
        <v>44762.0</v>
      </c>
      <c r="B18" s="3" t="s">
        <v>393</v>
      </c>
      <c r="C18" s="3" t="s">
        <v>2627</v>
      </c>
      <c r="D18" s="3" t="s">
        <v>358</v>
      </c>
      <c r="E18" s="3">
        <v>44727.0</v>
      </c>
      <c r="F18" s="3">
        <v>273570.0</v>
      </c>
      <c r="G18" s="3" t="s">
        <v>350</v>
      </c>
      <c r="H18" s="3" t="s">
        <v>22</v>
      </c>
      <c r="I18" s="7"/>
      <c r="J18" s="7"/>
      <c r="K18" s="3" t="s">
        <v>2628</v>
      </c>
      <c r="L18" s="3" t="s">
        <v>2629</v>
      </c>
      <c r="M18" s="3" t="s">
        <v>2630</v>
      </c>
      <c r="N18" s="3" t="s">
        <v>362</v>
      </c>
      <c r="O18" s="3" t="s">
        <v>398</v>
      </c>
      <c r="P18" s="7"/>
      <c r="Q18" s="3" t="s">
        <v>1205</v>
      </c>
      <c r="R18" s="7"/>
      <c r="S18" s="7" t="s">
        <v>6648</v>
      </c>
      <c r="T18" s="7">
        <v>1148.0</v>
      </c>
      <c r="U18" s="7" t="s">
        <v>2632</v>
      </c>
    </row>
    <row r="19">
      <c r="A19" s="3">
        <v>44774.58836527778</v>
      </c>
      <c r="B19" s="3" t="s">
        <v>2699</v>
      </c>
      <c r="C19" s="3" t="s">
        <v>2700</v>
      </c>
      <c r="D19" s="3" t="s">
        <v>20</v>
      </c>
      <c r="E19" s="3">
        <v>44737.0</v>
      </c>
      <c r="F19" s="3">
        <v>450470.0</v>
      </c>
      <c r="G19" s="3" t="s">
        <v>21</v>
      </c>
      <c r="H19" s="3" t="s">
        <v>22</v>
      </c>
      <c r="I19" s="7"/>
      <c r="J19" s="7"/>
      <c r="K19" s="3" t="s">
        <v>2702</v>
      </c>
      <c r="L19" s="3" t="s">
        <v>2703</v>
      </c>
      <c r="M19" s="3" t="s">
        <v>2704</v>
      </c>
      <c r="N19" s="3" t="s">
        <v>27</v>
      </c>
      <c r="O19" s="3" t="s">
        <v>2705</v>
      </c>
      <c r="P19" s="7"/>
      <c r="Q19" s="3" t="s">
        <v>1205</v>
      </c>
      <c r="R19" s="7"/>
      <c r="S19" s="7" t="s">
        <v>6649</v>
      </c>
      <c r="T19" s="7"/>
      <c r="U19" s="7" t="s">
        <v>2707</v>
      </c>
    </row>
    <row r="20">
      <c r="A20" s="3">
        <v>44778.739957025464</v>
      </c>
      <c r="B20" s="3" t="s">
        <v>2716</v>
      </c>
      <c r="C20" s="3" t="s">
        <v>2717</v>
      </c>
      <c r="D20" s="3" t="s">
        <v>20</v>
      </c>
      <c r="E20" s="3">
        <v>44774.0</v>
      </c>
      <c r="F20" s="3">
        <v>600000.0</v>
      </c>
      <c r="G20" s="3" t="s">
        <v>21</v>
      </c>
      <c r="H20" s="3" t="s">
        <v>22</v>
      </c>
      <c r="I20" s="7"/>
      <c r="J20" s="7"/>
      <c r="K20" s="3" t="s">
        <v>2719</v>
      </c>
      <c r="L20" s="3" t="s">
        <v>2720</v>
      </c>
      <c r="M20" s="3" t="s">
        <v>2721</v>
      </c>
      <c r="N20" s="3" t="s">
        <v>27</v>
      </c>
      <c r="O20" s="3" t="s">
        <v>2722</v>
      </c>
      <c r="P20" s="7"/>
      <c r="Q20" s="3" t="s">
        <v>1205</v>
      </c>
      <c r="R20" s="7"/>
      <c r="S20" s="7" t="s">
        <v>6650</v>
      </c>
      <c r="T20" s="7"/>
      <c r="U20" s="7" t="s">
        <v>2724</v>
      </c>
    </row>
    <row r="21">
      <c r="A21" s="3">
        <v>44781.54892972222</v>
      </c>
      <c r="B21" s="3" t="s">
        <v>2725</v>
      </c>
      <c r="C21" s="3" t="s">
        <v>2726</v>
      </c>
      <c r="D21" s="3" t="s">
        <v>20</v>
      </c>
      <c r="E21" s="3">
        <v>44778.0</v>
      </c>
      <c r="F21" s="3">
        <v>1185000.0</v>
      </c>
      <c r="G21" s="3" t="s">
        <v>21</v>
      </c>
      <c r="H21" s="3" t="s">
        <v>22</v>
      </c>
      <c r="I21" s="7"/>
      <c r="J21" s="7"/>
      <c r="K21" s="3" t="s">
        <v>2728</v>
      </c>
      <c r="L21" s="3" t="s">
        <v>2729</v>
      </c>
      <c r="M21" s="3" t="s">
        <v>2730</v>
      </c>
      <c r="N21" s="3" t="s">
        <v>27</v>
      </c>
      <c r="O21" s="3" t="s">
        <v>2731</v>
      </c>
      <c r="P21" s="7"/>
      <c r="Q21" s="3" t="s">
        <v>1205</v>
      </c>
      <c r="R21" s="7"/>
      <c r="S21" s="7" t="s">
        <v>6651</v>
      </c>
      <c r="T21" s="7"/>
      <c r="U21" s="7" t="s">
        <v>2733</v>
      </c>
    </row>
    <row r="22">
      <c r="A22" s="3">
        <v>44870.91894986111</v>
      </c>
      <c r="B22" s="3" t="s">
        <v>393</v>
      </c>
      <c r="C22" s="3" t="s">
        <v>2816</v>
      </c>
      <c r="D22" s="3" t="s">
        <v>20</v>
      </c>
      <c r="E22" s="3">
        <v>44870.0</v>
      </c>
      <c r="F22" s="3">
        <v>1000000.0</v>
      </c>
      <c r="G22" s="3" t="s">
        <v>21</v>
      </c>
      <c r="H22" s="3" t="s">
        <v>22</v>
      </c>
      <c r="I22" s="7"/>
      <c r="J22" s="7"/>
      <c r="K22" s="3" t="s">
        <v>2817</v>
      </c>
      <c r="L22" s="3" t="s">
        <v>2818</v>
      </c>
      <c r="M22" s="3" t="s">
        <v>2819</v>
      </c>
      <c r="N22" s="3" t="s">
        <v>27</v>
      </c>
      <c r="O22" s="3" t="s">
        <v>398</v>
      </c>
      <c r="P22" s="7"/>
      <c r="Q22" s="3" t="s">
        <v>29</v>
      </c>
      <c r="R22" s="7"/>
      <c r="S22" s="7" t="s">
        <v>2820</v>
      </c>
      <c r="T22" s="7">
        <v>1148.0</v>
      </c>
      <c r="U22" s="7" t="s">
        <v>2821</v>
      </c>
    </row>
    <row r="23">
      <c r="A23" s="3">
        <v>44875.568886863424</v>
      </c>
      <c r="B23" s="3" t="s">
        <v>2822</v>
      </c>
      <c r="C23" s="3" t="s">
        <v>2823</v>
      </c>
      <c r="D23" s="3" t="s">
        <v>358</v>
      </c>
      <c r="E23" s="3">
        <v>44800.0</v>
      </c>
      <c r="F23" s="3">
        <v>80564.5</v>
      </c>
      <c r="G23" s="3" t="s">
        <v>350</v>
      </c>
      <c r="H23" s="3" t="s">
        <v>22</v>
      </c>
      <c r="I23" s="7"/>
      <c r="J23" s="7"/>
      <c r="K23" s="3" t="s">
        <v>2824</v>
      </c>
      <c r="L23" s="3" t="s">
        <v>2825</v>
      </c>
      <c r="M23" s="3" t="s">
        <v>2826</v>
      </c>
      <c r="N23" s="3" t="s">
        <v>362</v>
      </c>
      <c r="O23" s="3" t="s">
        <v>2827</v>
      </c>
      <c r="P23" s="7"/>
      <c r="Q23" s="3" t="s">
        <v>1205</v>
      </c>
      <c r="R23" s="7"/>
      <c r="S23" s="7" t="s">
        <v>6652</v>
      </c>
      <c r="T23" s="7"/>
      <c r="U23" s="7" t="s">
        <v>2829</v>
      </c>
    </row>
    <row r="24">
      <c r="A24" s="3">
        <v>44887.54342797454</v>
      </c>
      <c r="B24" s="3" t="s">
        <v>482</v>
      </c>
      <c r="C24" s="3" t="s">
        <v>2838</v>
      </c>
      <c r="D24" s="3" t="s">
        <v>20</v>
      </c>
      <c r="E24" s="3">
        <v>44866.0</v>
      </c>
      <c r="F24" s="3">
        <v>199940.0</v>
      </c>
      <c r="G24" s="3" t="s">
        <v>21</v>
      </c>
      <c r="H24" s="3" t="s">
        <v>22</v>
      </c>
      <c r="I24" s="7"/>
      <c r="J24" s="7"/>
      <c r="K24" s="3" t="s">
        <v>2840</v>
      </c>
      <c r="L24" s="3" t="s">
        <v>2841</v>
      </c>
      <c r="M24" s="3" t="s">
        <v>2842</v>
      </c>
      <c r="N24" s="3" t="s">
        <v>27</v>
      </c>
      <c r="O24" s="3" t="s">
        <v>487</v>
      </c>
      <c r="P24" s="7"/>
      <c r="Q24" s="3" t="s">
        <v>29</v>
      </c>
      <c r="R24" s="7"/>
      <c r="S24" s="7" t="s">
        <v>2843</v>
      </c>
      <c r="T24" s="7">
        <v>4.0</v>
      </c>
      <c r="U24" s="7" t="s">
        <v>2844</v>
      </c>
    </row>
    <row r="25">
      <c r="A25" s="3">
        <v>44894.51954136574</v>
      </c>
      <c r="B25" s="3" t="s">
        <v>516</v>
      </c>
      <c r="C25" s="3" t="s">
        <v>2873</v>
      </c>
      <c r="D25" s="3" t="s">
        <v>358</v>
      </c>
      <c r="E25" s="3">
        <v>44861.0</v>
      </c>
      <c r="F25" s="3">
        <v>218060.0</v>
      </c>
      <c r="G25" s="3" t="s">
        <v>21</v>
      </c>
      <c r="H25" s="3" t="s">
        <v>22</v>
      </c>
      <c r="I25" s="7"/>
      <c r="J25" s="3" t="s">
        <v>1706</v>
      </c>
      <c r="K25" s="3" t="s">
        <v>2874</v>
      </c>
      <c r="L25" s="3" t="s">
        <v>2875</v>
      </c>
      <c r="M25" s="3" t="s">
        <v>2876</v>
      </c>
      <c r="N25" s="3" t="s">
        <v>362</v>
      </c>
      <c r="O25" s="3" t="s">
        <v>524</v>
      </c>
      <c r="P25" s="7"/>
      <c r="Q25" s="3" t="s">
        <v>1205</v>
      </c>
      <c r="R25" s="7"/>
      <c r="S25" s="7" t="s">
        <v>2877</v>
      </c>
      <c r="T25" s="7">
        <v>1371.0</v>
      </c>
      <c r="U25" s="7" t="s">
        <v>2878</v>
      </c>
    </row>
    <row r="26">
      <c r="A26" s="3">
        <v>44921.60472849537</v>
      </c>
      <c r="B26" s="3" t="s">
        <v>2899</v>
      </c>
      <c r="C26" s="3" t="s">
        <v>2900</v>
      </c>
      <c r="D26" s="3" t="s">
        <v>358</v>
      </c>
      <c r="E26" s="3">
        <v>44917.0</v>
      </c>
      <c r="F26" s="3">
        <v>465028.0</v>
      </c>
      <c r="G26" s="3" t="s">
        <v>21</v>
      </c>
      <c r="H26" s="3" t="s">
        <v>22</v>
      </c>
      <c r="I26" s="7"/>
      <c r="J26" s="7"/>
      <c r="K26" s="3" t="s">
        <v>2901</v>
      </c>
      <c r="L26" s="3" t="s">
        <v>2902</v>
      </c>
      <c r="M26" s="3" t="s">
        <v>2903</v>
      </c>
      <c r="N26" s="3" t="s">
        <v>362</v>
      </c>
      <c r="O26" s="3" t="s">
        <v>2904</v>
      </c>
      <c r="P26" s="7"/>
      <c r="Q26" s="3" t="s">
        <v>1205</v>
      </c>
      <c r="R26" s="7"/>
      <c r="S26" s="7" t="s">
        <v>2905</v>
      </c>
      <c r="T26" s="7"/>
      <c r="U26" s="7" t="s">
        <v>2906</v>
      </c>
    </row>
    <row r="27">
      <c r="A27" s="3">
        <v>44921.60472849537</v>
      </c>
      <c r="B27" s="3" t="s">
        <v>2899</v>
      </c>
      <c r="C27" s="3" t="s">
        <v>2915</v>
      </c>
      <c r="D27" s="3" t="s">
        <v>358</v>
      </c>
      <c r="E27" s="3">
        <v>44917.0</v>
      </c>
      <c r="F27" s="3">
        <v>281128.0</v>
      </c>
      <c r="G27" s="3" t="s">
        <v>350</v>
      </c>
      <c r="H27" s="3" t="s">
        <v>22</v>
      </c>
      <c r="I27" s="7"/>
      <c r="J27" s="7"/>
      <c r="K27" s="3" t="s">
        <v>2916</v>
      </c>
      <c r="L27" s="3" t="s">
        <v>2917</v>
      </c>
      <c r="M27" s="3" t="s">
        <v>2918</v>
      </c>
      <c r="N27" s="3" t="s">
        <v>362</v>
      </c>
      <c r="O27" s="3" t="s">
        <v>2904</v>
      </c>
      <c r="P27" s="7"/>
      <c r="Q27" s="3" t="s">
        <v>1205</v>
      </c>
      <c r="R27" s="7"/>
      <c r="S27" s="7" t="s">
        <v>2919</v>
      </c>
      <c r="T27" s="7"/>
      <c r="U27" s="7" t="s">
        <v>2920</v>
      </c>
    </row>
    <row r="28">
      <c r="A28" s="3">
        <v>44921.60472849537</v>
      </c>
      <c r="B28" s="3" t="s">
        <v>2907</v>
      </c>
      <c r="C28" s="3" t="s">
        <v>2921</v>
      </c>
      <c r="D28" s="3" t="s">
        <v>358</v>
      </c>
      <c r="E28" s="3">
        <v>44917.0</v>
      </c>
      <c r="F28" s="3">
        <v>313042.0</v>
      </c>
      <c r="G28" s="3" t="s">
        <v>350</v>
      </c>
      <c r="H28" s="3" t="s">
        <v>22</v>
      </c>
      <c r="I28" s="7"/>
      <c r="J28" s="7"/>
      <c r="K28" s="3" t="s">
        <v>2922</v>
      </c>
      <c r="L28" s="3" t="s">
        <v>2923</v>
      </c>
      <c r="M28" s="3" t="s">
        <v>2924</v>
      </c>
      <c r="N28" s="3" t="s">
        <v>362</v>
      </c>
      <c r="O28" s="3" t="s">
        <v>2912</v>
      </c>
      <c r="P28" s="7"/>
      <c r="Q28" s="3" t="s">
        <v>1205</v>
      </c>
      <c r="R28" s="7"/>
      <c r="S28" s="7" t="s">
        <v>2925</v>
      </c>
      <c r="T28" s="7"/>
      <c r="U28" s="7" t="s">
        <v>2926</v>
      </c>
    </row>
    <row r="29">
      <c r="A29" s="3">
        <v>44921.60472849537</v>
      </c>
      <c r="B29" s="3" t="s">
        <v>30</v>
      </c>
      <c r="C29" s="3" t="s">
        <v>2927</v>
      </c>
      <c r="D29" s="3" t="s">
        <v>20</v>
      </c>
      <c r="E29" s="3">
        <v>44866.0</v>
      </c>
      <c r="F29" s="3">
        <v>291990.0</v>
      </c>
      <c r="G29" s="3" t="s">
        <v>21</v>
      </c>
      <c r="H29" s="3" t="s">
        <v>22</v>
      </c>
      <c r="I29" s="7"/>
      <c r="J29" s="7"/>
      <c r="K29" s="3" t="s">
        <v>2929</v>
      </c>
      <c r="L29" s="3" t="s">
        <v>2930</v>
      </c>
      <c r="M29" s="3" t="s">
        <v>2931</v>
      </c>
      <c r="N29" s="3" t="s">
        <v>27</v>
      </c>
      <c r="O29" s="3" t="s">
        <v>36</v>
      </c>
      <c r="P29" s="7"/>
      <c r="Q29" s="3" t="s">
        <v>1205</v>
      </c>
      <c r="R29" s="7"/>
      <c r="S29" s="7" t="s">
        <v>2932</v>
      </c>
      <c r="T29" s="7">
        <v>541.0</v>
      </c>
      <c r="U29" s="7" t="s">
        <v>2933</v>
      </c>
    </row>
    <row r="30">
      <c r="A30" s="3">
        <v>44921.60472849537</v>
      </c>
      <c r="B30" s="3" t="s">
        <v>2934</v>
      </c>
      <c r="C30" s="3" t="s">
        <v>2935</v>
      </c>
      <c r="D30" s="3" t="s">
        <v>358</v>
      </c>
      <c r="E30" s="3">
        <v>44866.0</v>
      </c>
      <c r="F30" s="3">
        <v>254269.84</v>
      </c>
      <c r="G30" s="3" t="s">
        <v>21</v>
      </c>
      <c r="H30" s="3" t="s">
        <v>22</v>
      </c>
      <c r="I30" s="7"/>
      <c r="J30" s="7"/>
      <c r="K30" s="3" t="s">
        <v>2936</v>
      </c>
      <c r="L30" s="3" t="s">
        <v>2937</v>
      </c>
      <c r="M30" s="3" t="s">
        <v>2938</v>
      </c>
      <c r="N30" s="3" t="s">
        <v>362</v>
      </c>
      <c r="O30" s="3" t="s">
        <v>2939</v>
      </c>
      <c r="P30" s="7"/>
      <c r="Q30" s="3" t="s">
        <v>1205</v>
      </c>
      <c r="R30" s="7"/>
      <c r="S30" s="7" t="s">
        <v>2940</v>
      </c>
      <c r="T30" s="7"/>
      <c r="U30" s="7" t="s">
        <v>2941</v>
      </c>
    </row>
    <row r="31">
      <c r="A31" s="3">
        <v>44921.60472849537</v>
      </c>
      <c r="B31" s="3" t="s">
        <v>2934</v>
      </c>
      <c r="C31" s="3" t="s">
        <v>2942</v>
      </c>
      <c r="D31" s="3" t="s">
        <v>358</v>
      </c>
      <c r="E31" s="3">
        <v>44866.0</v>
      </c>
      <c r="F31" s="3">
        <v>109707.0</v>
      </c>
      <c r="G31" s="3" t="s">
        <v>350</v>
      </c>
      <c r="H31" s="3" t="s">
        <v>22</v>
      </c>
      <c r="I31" s="7"/>
      <c r="J31" s="7"/>
      <c r="K31" s="3" t="s">
        <v>2943</v>
      </c>
      <c r="L31" s="3" t="s">
        <v>2944</v>
      </c>
      <c r="M31" s="3" t="s">
        <v>2945</v>
      </c>
      <c r="N31" s="3" t="s">
        <v>362</v>
      </c>
      <c r="O31" s="3" t="s">
        <v>2939</v>
      </c>
      <c r="P31" s="7"/>
      <c r="Q31" s="3" t="s">
        <v>1205</v>
      </c>
      <c r="R31" s="7"/>
      <c r="S31" s="7" t="s">
        <v>2946</v>
      </c>
      <c r="T31" s="7"/>
      <c r="U31" s="7" t="s">
        <v>2947</v>
      </c>
    </row>
    <row r="32">
      <c r="A32" s="3">
        <v>44921.68787228009</v>
      </c>
      <c r="B32" s="3" t="s">
        <v>2957</v>
      </c>
      <c r="C32" s="3" t="s">
        <v>2958</v>
      </c>
      <c r="D32" s="3" t="s">
        <v>20</v>
      </c>
      <c r="E32" s="3">
        <v>44896.0</v>
      </c>
      <c r="F32" s="3">
        <v>139500.0</v>
      </c>
      <c r="G32" s="3" t="s">
        <v>21</v>
      </c>
      <c r="H32" s="3" t="s">
        <v>22</v>
      </c>
      <c r="I32" s="7"/>
      <c r="J32" s="7"/>
      <c r="K32" s="3" t="s">
        <v>2960</v>
      </c>
      <c r="L32" s="3" t="s">
        <v>2961</v>
      </c>
      <c r="M32" s="3" t="s">
        <v>2962</v>
      </c>
      <c r="N32" s="3" t="s">
        <v>27</v>
      </c>
      <c r="O32" s="3" t="s">
        <v>2963</v>
      </c>
      <c r="P32" s="7"/>
      <c r="Q32" s="3" t="s">
        <v>1205</v>
      </c>
      <c r="R32" s="7"/>
      <c r="S32" s="7" t="s">
        <v>2964</v>
      </c>
      <c r="T32" s="7"/>
      <c r="U32" s="7" t="s">
        <v>2965</v>
      </c>
    </row>
    <row r="33">
      <c r="A33" s="3">
        <v>44935.49684049768</v>
      </c>
      <c r="B33" s="3" t="s">
        <v>2583</v>
      </c>
      <c r="C33" s="3" t="s">
        <v>2974</v>
      </c>
      <c r="D33" s="3" t="s">
        <v>20</v>
      </c>
      <c r="E33" s="3">
        <v>44925.0</v>
      </c>
      <c r="F33" s="3">
        <v>125000.0</v>
      </c>
      <c r="G33" s="3" t="s">
        <v>21</v>
      </c>
      <c r="H33" s="3" t="s">
        <v>22</v>
      </c>
      <c r="I33" s="7"/>
      <c r="J33" s="7"/>
      <c r="K33" s="3" t="s">
        <v>2976</v>
      </c>
      <c r="L33" s="3" t="s">
        <v>2977</v>
      </c>
      <c r="M33" s="3" t="s">
        <v>2978</v>
      </c>
      <c r="N33" s="3" t="s">
        <v>27</v>
      </c>
      <c r="O33" s="3" t="s">
        <v>2587</v>
      </c>
      <c r="P33" s="7"/>
      <c r="Q33" s="3" t="s">
        <v>1205</v>
      </c>
      <c r="R33" s="7"/>
      <c r="S33" s="7" t="s">
        <v>2979</v>
      </c>
      <c r="T33" s="7">
        <v>810.0</v>
      </c>
      <c r="U33" s="7" t="s">
        <v>2980</v>
      </c>
    </row>
    <row r="34">
      <c r="A34" s="3">
        <v>44950.74911503472</v>
      </c>
      <c r="B34" s="3" t="s">
        <v>3004</v>
      </c>
      <c r="C34" s="3" t="s">
        <v>3005</v>
      </c>
      <c r="D34" s="3" t="s">
        <v>20</v>
      </c>
      <c r="E34" s="3">
        <v>44585.0</v>
      </c>
      <c r="F34" s="3">
        <v>328000.0</v>
      </c>
      <c r="G34" s="3" t="s">
        <v>21</v>
      </c>
      <c r="H34" s="3" t="s">
        <v>22</v>
      </c>
      <c r="I34" s="7"/>
      <c r="J34" s="7"/>
      <c r="K34" s="3" t="s">
        <v>3007</v>
      </c>
      <c r="L34" s="3" t="s">
        <v>3008</v>
      </c>
      <c r="M34" s="3" t="s">
        <v>3009</v>
      </c>
      <c r="N34" s="3" t="s">
        <v>27</v>
      </c>
      <c r="O34" s="3" t="s">
        <v>3010</v>
      </c>
      <c r="P34" s="7"/>
      <c r="Q34" s="3" t="s">
        <v>1205</v>
      </c>
      <c r="R34" s="7"/>
      <c r="S34" s="7" t="s">
        <v>3011</v>
      </c>
      <c r="T34" s="7"/>
      <c r="U34" s="7" t="s">
        <v>3012</v>
      </c>
    </row>
    <row r="35">
      <c r="A35" s="3">
        <v>44958.7104127662</v>
      </c>
      <c r="B35" s="3" t="s">
        <v>393</v>
      </c>
      <c r="C35" s="3" t="s">
        <v>3063</v>
      </c>
      <c r="D35" s="3" t="s">
        <v>20</v>
      </c>
      <c r="E35" s="3">
        <v>44593.0</v>
      </c>
      <c r="F35" s="3">
        <v>100000.0</v>
      </c>
      <c r="G35" s="3" t="s">
        <v>21</v>
      </c>
      <c r="H35" s="3" t="s">
        <v>22</v>
      </c>
      <c r="I35" s="7"/>
      <c r="J35" s="7"/>
      <c r="K35" s="3" t="s">
        <v>3064</v>
      </c>
      <c r="L35" s="3" t="s">
        <v>3065</v>
      </c>
      <c r="M35" s="3" t="s">
        <v>3066</v>
      </c>
      <c r="N35" s="3" t="s">
        <v>27</v>
      </c>
      <c r="O35" s="3" t="s">
        <v>398</v>
      </c>
      <c r="P35" s="7"/>
      <c r="Q35" s="3" t="s">
        <v>1205</v>
      </c>
      <c r="R35" s="7"/>
      <c r="S35" s="7" t="s">
        <v>3067</v>
      </c>
      <c r="T35" s="7">
        <v>1148.0</v>
      </c>
      <c r="U35" s="7" t="s">
        <v>3068</v>
      </c>
    </row>
    <row r="36">
      <c r="A36" s="3">
        <v>44963.716352303236</v>
      </c>
      <c r="B36" s="3" t="s">
        <v>516</v>
      </c>
      <c r="C36" s="3" t="s">
        <v>3083</v>
      </c>
      <c r="D36" s="3" t="s">
        <v>1049</v>
      </c>
      <c r="E36" s="3">
        <v>44959.0</v>
      </c>
      <c r="F36" s="3">
        <v>84897.5</v>
      </c>
      <c r="G36" s="3" t="s">
        <v>21</v>
      </c>
      <c r="H36" s="3" t="s">
        <v>22</v>
      </c>
      <c r="I36" s="3" t="s">
        <v>1145</v>
      </c>
      <c r="J36" s="7"/>
      <c r="K36" s="3" t="s">
        <v>3084</v>
      </c>
      <c r="L36" s="3" t="s">
        <v>3085</v>
      </c>
      <c r="M36" s="3" t="s">
        <v>3086</v>
      </c>
      <c r="N36" s="3" t="s">
        <v>1054</v>
      </c>
      <c r="O36" s="3" t="s">
        <v>524</v>
      </c>
      <c r="P36" s="3" t="s">
        <v>1150</v>
      </c>
      <c r="Q36" s="3" t="s">
        <v>1205</v>
      </c>
      <c r="R36" s="7"/>
      <c r="S36" s="7" t="s">
        <v>3087</v>
      </c>
      <c r="T36" s="7">
        <v>1371.0</v>
      </c>
      <c r="U36" s="7" t="s">
        <v>3088</v>
      </c>
    </row>
    <row r="37">
      <c r="A37" s="3">
        <v>44998.50396795139</v>
      </c>
      <c r="B37" s="3" t="s">
        <v>3161</v>
      </c>
      <c r="C37" s="3" t="s">
        <v>3162</v>
      </c>
      <c r="D37" s="3" t="s">
        <v>20</v>
      </c>
      <c r="E37" s="3">
        <v>44998.0</v>
      </c>
      <c r="F37" s="3">
        <v>184560.0</v>
      </c>
      <c r="G37" s="3" t="s">
        <v>21</v>
      </c>
      <c r="H37" s="3" t="s">
        <v>22</v>
      </c>
      <c r="I37" s="7"/>
      <c r="J37" s="7"/>
      <c r="K37" s="3" t="s">
        <v>3164</v>
      </c>
      <c r="L37" s="3" t="s">
        <v>3165</v>
      </c>
      <c r="M37" s="3" t="s">
        <v>3166</v>
      </c>
      <c r="N37" s="3" t="s">
        <v>27</v>
      </c>
      <c r="O37" s="3" t="s">
        <v>3167</v>
      </c>
      <c r="P37" s="7"/>
      <c r="Q37" s="3" t="s">
        <v>29</v>
      </c>
      <c r="R37" s="7"/>
      <c r="S37" s="7" t="s">
        <v>6653</v>
      </c>
      <c r="T37" s="7"/>
      <c r="U37" s="7" t="s">
        <v>3169</v>
      </c>
    </row>
    <row r="38">
      <c r="A38" s="3">
        <v>45000.546143784726</v>
      </c>
      <c r="B38" s="3" t="s">
        <v>3178</v>
      </c>
      <c r="C38" s="3" t="s">
        <v>3179</v>
      </c>
      <c r="D38" s="3" t="s">
        <v>20</v>
      </c>
      <c r="E38" s="3">
        <v>44922.0</v>
      </c>
      <c r="F38" s="3">
        <v>210000.0</v>
      </c>
      <c r="G38" s="3" t="s">
        <v>21</v>
      </c>
      <c r="H38" s="3" t="s">
        <v>22</v>
      </c>
      <c r="I38" s="7"/>
      <c r="J38" s="7"/>
      <c r="K38" s="3" t="s">
        <v>3181</v>
      </c>
      <c r="L38" s="3" t="s">
        <v>3182</v>
      </c>
      <c r="M38" s="3" t="s">
        <v>3183</v>
      </c>
      <c r="N38" s="3" t="s">
        <v>27</v>
      </c>
      <c r="O38" s="3" t="s">
        <v>3184</v>
      </c>
      <c r="P38" s="7"/>
      <c r="Q38" s="3" t="s">
        <v>1205</v>
      </c>
      <c r="R38" s="7"/>
      <c r="S38" s="7" t="s">
        <v>3185</v>
      </c>
      <c r="T38" s="7"/>
      <c r="U38" s="7" t="s">
        <v>3186</v>
      </c>
    </row>
    <row r="39">
      <c r="A39" s="3">
        <v>45000.669789340274</v>
      </c>
      <c r="B39" s="3" t="s">
        <v>3187</v>
      </c>
      <c r="C39" s="3" t="s">
        <v>3188</v>
      </c>
      <c r="D39" s="3" t="s">
        <v>20</v>
      </c>
      <c r="E39" s="3">
        <v>44984.0</v>
      </c>
      <c r="F39" s="3">
        <v>238490.0</v>
      </c>
      <c r="G39" s="3" t="s">
        <v>21</v>
      </c>
      <c r="H39" s="3" t="s">
        <v>22</v>
      </c>
      <c r="I39" s="7"/>
      <c r="J39" s="7"/>
      <c r="K39" s="3" t="s">
        <v>3190</v>
      </c>
      <c r="L39" s="3" t="s">
        <v>3191</v>
      </c>
      <c r="M39" s="3" t="s">
        <v>3192</v>
      </c>
      <c r="N39" s="3" t="s">
        <v>27</v>
      </c>
      <c r="O39" s="3" t="s">
        <v>3193</v>
      </c>
      <c r="P39" s="7"/>
      <c r="Q39" s="3" t="s">
        <v>1205</v>
      </c>
      <c r="R39" s="7"/>
      <c r="S39" s="7" t="s">
        <v>3194</v>
      </c>
      <c r="T39" s="7"/>
      <c r="U39" s="7" t="s">
        <v>3195</v>
      </c>
    </row>
    <row r="40">
      <c r="A40" s="3">
        <v>45014.55073829861</v>
      </c>
      <c r="B40" s="3" t="s">
        <v>516</v>
      </c>
      <c r="C40" s="3" t="s">
        <v>3203</v>
      </c>
      <c r="D40" s="3" t="s">
        <v>358</v>
      </c>
      <c r="E40" s="3">
        <v>45013.0</v>
      </c>
      <c r="F40" s="3">
        <v>364528.0</v>
      </c>
      <c r="G40" s="3" t="s">
        <v>21</v>
      </c>
      <c r="H40" s="3" t="s">
        <v>22</v>
      </c>
      <c r="I40" s="7"/>
      <c r="J40" s="7"/>
      <c r="K40" s="3" t="s">
        <v>3204</v>
      </c>
      <c r="L40" s="3" t="s">
        <v>3205</v>
      </c>
      <c r="M40" s="3" t="s">
        <v>3206</v>
      </c>
      <c r="N40" s="3" t="s">
        <v>362</v>
      </c>
      <c r="O40" s="3" t="s">
        <v>524</v>
      </c>
      <c r="P40" s="7"/>
      <c r="Q40" s="3" t="s">
        <v>29</v>
      </c>
      <c r="R40" s="7"/>
      <c r="S40" s="7" t="s">
        <v>3207</v>
      </c>
      <c r="T40" s="7">
        <v>1371.0</v>
      </c>
      <c r="U40" s="7" t="s">
        <v>3208</v>
      </c>
    </row>
    <row r="41">
      <c r="A41" s="3">
        <v>45027.8682036574</v>
      </c>
      <c r="B41" s="3" t="s">
        <v>482</v>
      </c>
      <c r="C41" s="3" t="s">
        <v>3223</v>
      </c>
      <c r="D41" s="3" t="s">
        <v>358</v>
      </c>
      <c r="E41" s="3">
        <v>44986.0</v>
      </c>
      <c r="F41" s="3">
        <v>54875.0</v>
      </c>
      <c r="G41" s="3" t="s">
        <v>21</v>
      </c>
      <c r="H41" s="3" t="s">
        <v>22</v>
      </c>
      <c r="I41" s="3" t="s">
        <v>1145</v>
      </c>
      <c r="J41" s="7"/>
      <c r="K41" s="3" t="s">
        <v>3224</v>
      </c>
      <c r="L41" s="3" t="s">
        <v>3225</v>
      </c>
      <c r="M41" s="3" t="s">
        <v>3226</v>
      </c>
      <c r="N41" s="3" t="s">
        <v>362</v>
      </c>
      <c r="O41" s="3" t="s">
        <v>487</v>
      </c>
      <c r="P41" s="3" t="s">
        <v>1150</v>
      </c>
      <c r="Q41" s="3" t="s">
        <v>29</v>
      </c>
      <c r="R41" s="7"/>
      <c r="S41" s="7" t="s">
        <v>3227</v>
      </c>
      <c r="T41" s="7">
        <v>4.0</v>
      </c>
      <c r="U41" s="7" t="s">
        <v>3228</v>
      </c>
    </row>
    <row r="42">
      <c r="A42" s="3">
        <v>45035.85409746528</v>
      </c>
      <c r="B42" s="3" t="s">
        <v>1750</v>
      </c>
      <c r="C42" s="3" t="s">
        <v>3250</v>
      </c>
      <c r="D42" s="3" t="s">
        <v>20</v>
      </c>
      <c r="E42" s="3">
        <v>45017.0</v>
      </c>
      <c r="F42" s="3">
        <v>62360.0</v>
      </c>
      <c r="G42" s="3" t="s">
        <v>21</v>
      </c>
      <c r="H42" s="3" t="s">
        <v>22</v>
      </c>
      <c r="I42" s="3" t="s">
        <v>1116</v>
      </c>
      <c r="J42" s="7"/>
      <c r="K42" s="3" t="s">
        <v>3251</v>
      </c>
      <c r="L42" s="3" t="s">
        <v>3252</v>
      </c>
      <c r="M42" s="3" t="s">
        <v>3253</v>
      </c>
      <c r="N42" s="3" t="s">
        <v>27</v>
      </c>
      <c r="O42" s="3" t="s">
        <v>1756</v>
      </c>
      <c r="P42" s="3" t="s">
        <v>1122</v>
      </c>
      <c r="Q42" s="3" t="s">
        <v>29</v>
      </c>
      <c r="R42" s="7"/>
      <c r="S42" s="7" t="s">
        <v>6654</v>
      </c>
      <c r="T42" s="7"/>
      <c r="U42" s="7" t="s">
        <v>3255</v>
      </c>
    </row>
    <row r="43">
      <c r="A43" s="3">
        <v>45039.75345231481</v>
      </c>
      <c r="B43" s="3" t="s">
        <v>3178</v>
      </c>
      <c r="C43" s="3" t="s">
        <v>3271</v>
      </c>
      <c r="D43" s="3" t="s">
        <v>20</v>
      </c>
      <c r="E43" s="3">
        <v>44986.0</v>
      </c>
      <c r="F43" s="3">
        <v>255000.0</v>
      </c>
      <c r="G43" s="3" t="s">
        <v>21</v>
      </c>
      <c r="H43" s="3" t="s">
        <v>22</v>
      </c>
      <c r="I43" s="7"/>
      <c r="J43" s="7"/>
      <c r="K43" s="3" t="s">
        <v>3273</v>
      </c>
      <c r="L43" s="3" t="s">
        <v>3274</v>
      </c>
      <c r="M43" s="3" t="s">
        <v>3275</v>
      </c>
      <c r="N43" s="3" t="s">
        <v>27</v>
      </c>
      <c r="O43" s="3" t="s">
        <v>3184</v>
      </c>
      <c r="P43" s="7"/>
      <c r="Q43" s="3" t="s">
        <v>29</v>
      </c>
      <c r="R43" s="7"/>
      <c r="S43" s="7" t="s">
        <v>3276</v>
      </c>
      <c r="T43" s="7"/>
      <c r="U43" s="7" t="s">
        <v>3277</v>
      </c>
    </row>
    <row r="44">
      <c r="A44" s="3">
        <v>45043.7283031713</v>
      </c>
      <c r="B44" s="3" t="s">
        <v>3287</v>
      </c>
      <c r="C44" s="3" t="s">
        <v>3288</v>
      </c>
      <c r="D44" s="3" t="s">
        <v>20</v>
      </c>
      <c r="E44" s="3">
        <v>45013.0</v>
      </c>
      <c r="F44" s="3">
        <v>305000.0</v>
      </c>
      <c r="G44" s="3" t="s">
        <v>21</v>
      </c>
      <c r="H44" s="3" t="s">
        <v>22</v>
      </c>
      <c r="I44" s="7"/>
      <c r="J44" s="7"/>
      <c r="K44" s="3" t="s">
        <v>3290</v>
      </c>
      <c r="L44" s="3" t="s">
        <v>3291</v>
      </c>
      <c r="M44" s="3" t="s">
        <v>3292</v>
      </c>
      <c r="N44" s="3" t="s">
        <v>27</v>
      </c>
      <c r="O44" s="3" t="s">
        <v>3293</v>
      </c>
      <c r="P44" s="7"/>
      <c r="Q44" s="3" t="s">
        <v>1205</v>
      </c>
      <c r="R44" s="7"/>
      <c r="S44" s="7" t="s">
        <v>3294</v>
      </c>
      <c r="T44" s="7"/>
      <c r="U44" s="7" t="s">
        <v>3295</v>
      </c>
    </row>
    <row r="45">
      <c r="A45" s="3">
        <v>45051.69544418981</v>
      </c>
      <c r="B45" s="3" t="s">
        <v>2162</v>
      </c>
      <c r="C45" s="3" t="s">
        <v>3310</v>
      </c>
      <c r="D45" s="3" t="s">
        <v>358</v>
      </c>
      <c r="E45" s="3">
        <v>45047.0</v>
      </c>
      <c r="F45" s="3">
        <v>387000.0</v>
      </c>
      <c r="G45" s="3" t="s">
        <v>21</v>
      </c>
      <c r="H45" s="3" t="s">
        <v>22</v>
      </c>
      <c r="I45" s="7"/>
      <c r="J45" s="7"/>
      <c r="K45" s="3" t="s">
        <v>3312</v>
      </c>
      <c r="L45" s="3" t="s">
        <v>3313</v>
      </c>
      <c r="M45" s="3" t="s">
        <v>3314</v>
      </c>
      <c r="N45" s="3" t="s">
        <v>362</v>
      </c>
      <c r="O45" s="3" t="s">
        <v>2167</v>
      </c>
      <c r="P45" s="7"/>
      <c r="Q45" s="3" t="s">
        <v>29</v>
      </c>
      <c r="R45" s="7"/>
      <c r="S45" s="7" t="s">
        <v>3315</v>
      </c>
      <c r="T45" s="7"/>
      <c r="U45" s="7" t="s">
        <v>3316</v>
      </c>
    </row>
    <row r="46">
      <c r="A46" s="3">
        <v>45057.79871268518</v>
      </c>
      <c r="B46" s="3" t="s">
        <v>2934</v>
      </c>
      <c r="C46" s="3" t="s">
        <v>3317</v>
      </c>
      <c r="D46" s="3" t="s">
        <v>1049</v>
      </c>
      <c r="E46" s="3">
        <v>45057.0</v>
      </c>
      <c r="F46" s="3">
        <v>79603.0</v>
      </c>
      <c r="G46" s="3" t="s">
        <v>136</v>
      </c>
      <c r="H46" s="3" t="s">
        <v>22</v>
      </c>
      <c r="I46" s="7"/>
      <c r="J46" s="7"/>
      <c r="K46" s="3" t="s">
        <v>3319</v>
      </c>
      <c r="L46" s="3" t="s">
        <v>3320</v>
      </c>
      <c r="M46" s="3" t="s">
        <v>3321</v>
      </c>
      <c r="N46" s="3" t="s">
        <v>1054</v>
      </c>
      <c r="O46" s="3" t="s">
        <v>2939</v>
      </c>
      <c r="P46" s="7"/>
      <c r="Q46" s="3" t="s">
        <v>29</v>
      </c>
      <c r="R46" s="7"/>
      <c r="S46" s="7" t="s">
        <v>6655</v>
      </c>
      <c r="T46" s="7"/>
      <c r="U46" s="7" t="s">
        <v>3323</v>
      </c>
    </row>
    <row r="47">
      <c r="A47" s="3">
        <v>45069.50277993055</v>
      </c>
      <c r="B47" s="3" t="s">
        <v>3345</v>
      </c>
      <c r="C47" s="3" t="s">
        <v>3346</v>
      </c>
      <c r="D47" s="3" t="s">
        <v>20</v>
      </c>
      <c r="E47" s="3">
        <v>45063.0</v>
      </c>
      <c r="F47" s="3">
        <v>102560.0</v>
      </c>
      <c r="G47" s="3" t="s">
        <v>21</v>
      </c>
      <c r="H47" s="3" t="s">
        <v>22</v>
      </c>
      <c r="I47" s="3" t="s">
        <v>1116</v>
      </c>
      <c r="J47" s="7"/>
      <c r="K47" s="3" t="s">
        <v>3348</v>
      </c>
      <c r="L47" s="3" t="s">
        <v>3349</v>
      </c>
      <c r="M47" s="3" t="s">
        <v>3350</v>
      </c>
      <c r="N47" s="3" t="s">
        <v>27</v>
      </c>
      <c r="O47" s="3" t="s">
        <v>3351</v>
      </c>
      <c r="P47" s="3" t="s">
        <v>1122</v>
      </c>
      <c r="Q47" s="3" t="s">
        <v>1205</v>
      </c>
      <c r="R47" s="7"/>
      <c r="S47" s="7" t="s">
        <v>3352</v>
      </c>
      <c r="T47" s="7"/>
      <c r="U47" s="7" t="s">
        <v>3353</v>
      </c>
    </row>
    <row r="48">
      <c r="A48" s="3">
        <v>45085.56691334491</v>
      </c>
      <c r="B48" s="3" t="s">
        <v>3360</v>
      </c>
      <c r="C48" s="3" t="s">
        <v>3361</v>
      </c>
      <c r="D48" s="3" t="s">
        <v>358</v>
      </c>
      <c r="E48" s="3">
        <v>45083.0</v>
      </c>
      <c r="F48" s="3">
        <v>51640.0</v>
      </c>
      <c r="G48" s="3" t="s">
        <v>21</v>
      </c>
      <c r="H48" s="3" t="s">
        <v>22</v>
      </c>
      <c r="I48" s="3" t="s">
        <v>1160</v>
      </c>
      <c r="J48" s="7"/>
      <c r="K48" s="3" t="s">
        <v>3362</v>
      </c>
      <c r="L48" s="3" t="s">
        <v>3363</v>
      </c>
      <c r="M48" s="3" t="s">
        <v>3364</v>
      </c>
      <c r="N48" s="3" t="s">
        <v>362</v>
      </c>
      <c r="O48" s="3" t="s">
        <v>3365</v>
      </c>
      <c r="P48" s="3" t="s">
        <v>1163</v>
      </c>
      <c r="Q48" s="3" t="s">
        <v>1205</v>
      </c>
      <c r="R48" s="7"/>
      <c r="S48" s="7" t="s">
        <v>3366</v>
      </c>
      <c r="T48" s="7"/>
      <c r="U48" s="7" t="s">
        <v>3367</v>
      </c>
    </row>
    <row r="49">
      <c r="A49" s="3">
        <v>45102.03179715278</v>
      </c>
      <c r="B49" s="3" t="s">
        <v>3278</v>
      </c>
      <c r="C49" s="3" t="s">
        <v>3383</v>
      </c>
      <c r="D49" s="3" t="s">
        <v>358</v>
      </c>
      <c r="E49" s="3">
        <v>45078.0</v>
      </c>
      <c r="F49" s="3">
        <v>240000.0</v>
      </c>
      <c r="G49" s="3" t="s">
        <v>21</v>
      </c>
      <c r="H49" s="3" t="s">
        <v>22</v>
      </c>
      <c r="I49" s="7"/>
      <c r="J49" s="7"/>
      <c r="K49" s="3" t="s">
        <v>3385</v>
      </c>
      <c r="L49" s="3" t="s">
        <v>3386</v>
      </c>
      <c r="M49" s="3" t="s">
        <v>3387</v>
      </c>
      <c r="N49" s="3" t="s">
        <v>362</v>
      </c>
      <c r="O49" s="3" t="s">
        <v>3284</v>
      </c>
      <c r="P49" s="7"/>
      <c r="Q49" s="3" t="s">
        <v>29</v>
      </c>
      <c r="R49" s="7"/>
      <c r="S49" s="7" t="s">
        <v>3388</v>
      </c>
      <c r="T49" s="7"/>
      <c r="U49" s="7" t="s">
        <v>3389</v>
      </c>
    </row>
    <row r="50">
      <c r="A50" s="3">
        <v>45103.535337650464</v>
      </c>
      <c r="B50" s="3" t="s">
        <v>2934</v>
      </c>
      <c r="C50" s="3" t="s">
        <v>3390</v>
      </c>
      <c r="D50" s="3" t="s">
        <v>358</v>
      </c>
      <c r="E50" s="3">
        <v>45078.0</v>
      </c>
      <c r="F50" s="3">
        <v>188915.32</v>
      </c>
      <c r="G50" s="3" t="s">
        <v>21</v>
      </c>
      <c r="H50" s="3" t="s">
        <v>22</v>
      </c>
      <c r="I50" s="7"/>
      <c r="J50" s="7"/>
      <c r="K50" s="3" t="s">
        <v>3392</v>
      </c>
      <c r="L50" s="3" t="s">
        <v>3393</v>
      </c>
      <c r="M50" s="3" t="s">
        <v>3394</v>
      </c>
      <c r="N50" s="3" t="s">
        <v>362</v>
      </c>
      <c r="O50" s="3" t="s">
        <v>2939</v>
      </c>
      <c r="P50" s="7"/>
      <c r="Q50" s="3" t="s">
        <v>29</v>
      </c>
      <c r="R50" s="7"/>
      <c r="S50" s="7" t="s">
        <v>3395</v>
      </c>
      <c r="T50" s="7"/>
      <c r="U50" s="7" t="s">
        <v>3396</v>
      </c>
    </row>
    <row r="51">
      <c r="A51" s="3">
        <v>45113.47861943287</v>
      </c>
      <c r="B51" s="3" t="s">
        <v>3278</v>
      </c>
      <c r="C51" s="3" t="s">
        <v>3418</v>
      </c>
      <c r="D51" s="3" t="s">
        <v>20</v>
      </c>
      <c r="E51" s="3">
        <v>45099.0</v>
      </c>
      <c r="F51" s="3">
        <v>246098.6</v>
      </c>
      <c r="G51" s="3" t="s">
        <v>21</v>
      </c>
      <c r="H51" s="3" t="s">
        <v>22</v>
      </c>
      <c r="I51" s="7"/>
      <c r="J51" s="7"/>
      <c r="K51" s="3" t="s">
        <v>3419</v>
      </c>
      <c r="L51" s="3" t="s">
        <v>3420</v>
      </c>
      <c r="M51" s="3" t="s">
        <v>3421</v>
      </c>
      <c r="N51" s="3" t="s">
        <v>27</v>
      </c>
      <c r="O51" s="3" t="s">
        <v>3284</v>
      </c>
      <c r="P51" s="7"/>
      <c r="Q51" s="3" t="s">
        <v>1205</v>
      </c>
      <c r="R51" s="7"/>
      <c r="S51" s="7" t="s">
        <v>3422</v>
      </c>
      <c r="T51" s="7"/>
      <c r="U51" s="7" t="s">
        <v>3423</v>
      </c>
    </row>
    <row r="52">
      <c r="A52" s="3">
        <v>45147.74462012731</v>
      </c>
      <c r="B52" s="3" t="s">
        <v>516</v>
      </c>
      <c r="C52" s="3" t="s">
        <v>3465</v>
      </c>
      <c r="D52" s="3" t="s">
        <v>358</v>
      </c>
      <c r="E52" s="3">
        <v>45145.0</v>
      </c>
      <c r="F52" s="3">
        <v>51447.0</v>
      </c>
      <c r="G52" s="3" t="s">
        <v>21</v>
      </c>
      <c r="H52" s="3" t="s">
        <v>22</v>
      </c>
      <c r="I52" s="7"/>
      <c r="J52" s="7"/>
      <c r="K52" s="3" t="s">
        <v>3466</v>
      </c>
      <c r="L52" s="3" t="s">
        <v>3467</v>
      </c>
      <c r="M52" s="3" t="s">
        <v>3468</v>
      </c>
      <c r="N52" s="3" t="s">
        <v>362</v>
      </c>
      <c r="O52" s="3" t="s">
        <v>524</v>
      </c>
      <c r="P52" s="7"/>
      <c r="Q52" s="3" t="s">
        <v>1205</v>
      </c>
      <c r="R52" s="7"/>
      <c r="S52" s="7" t="s">
        <v>3469</v>
      </c>
      <c r="T52" s="7">
        <v>1371.0</v>
      </c>
      <c r="U52" s="7" t="s">
        <v>3470</v>
      </c>
    </row>
    <row r="53">
      <c r="A53" s="3">
        <v>45154.62092017361</v>
      </c>
      <c r="B53" s="3" t="s">
        <v>2934</v>
      </c>
      <c r="C53" s="3" t="s">
        <v>3483</v>
      </c>
      <c r="D53" s="3" t="s">
        <v>358</v>
      </c>
      <c r="E53" s="3">
        <v>45154.0</v>
      </c>
      <c r="F53" s="3">
        <v>57722.9</v>
      </c>
      <c r="G53" s="3" t="s">
        <v>21</v>
      </c>
      <c r="H53" s="3" t="s">
        <v>22</v>
      </c>
      <c r="I53" s="7"/>
      <c r="J53" s="7"/>
      <c r="K53" s="3" t="s">
        <v>3485</v>
      </c>
      <c r="L53" s="3" t="s">
        <v>3486</v>
      </c>
      <c r="M53" s="3" t="s">
        <v>3487</v>
      </c>
      <c r="N53" s="3" t="s">
        <v>362</v>
      </c>
      <c r="O53" s="3" t="s">
        <v>2939</v>
      </c>
      <c r="P53" s="7"/>
      <c r="Q53" s="3" t="s">
        <v>1205</v>
      </c>
      <c r="R53" s="7"/>
      <c r="S53" s="7" t="s">
        <v>3488</v>
      </c>
      <c r="T53" s="7"/>
      <c r="U53" s="7" t="s">
        <v>3489</v>
      </c>
    </row>
    <row r="54">
      <c r="A54" s="3">
        <v>45156.56178674768</v>
      </c>
      <c r="B54" s="3" t="s">
        <v>3196</v>
      </c>
      <c r="C54" s="3" t="s">
        <v>3498</v>
      </c>
      <c r="D54" s="3" t="s">
        <v>20</v>
      </c>
      <c r="E54" s="3">
        <v>45149.0</v>
      </c>
      <c r="F54" s="3">
        <v>549980.0</v>
      </c>
      <c r="G54" s="3" t="s">
        <v>21</v>
      </c>
      <c r="H54" s="3" t="s">
        <v>22</v>
      </c>
      <c r="I54" s="7"/>
      <c r="J54" s="7"/>
      <c r="K54" s="3" t="s">
        <v>3500</v>
      </c>
      <c r="L54" s="3" t="s">
        <v>3501</v>
      </c>
      <c r="M54" s="3" t="s">
        <v>3502</v>
      </c>
      <c r="N54" s="3" t="s">
        <v>27</v>
      </c>
      <c r="O54" s="3" t="s">
        <v>1284</v>
      </c>
      <c r="P54" s="7"/>
      <c r="Q54" s="3" t="s">
        <v>1205</v>
      </c>
      <c r="R54" s="7"/>
      <c r="S54" s="7" t="s">
        <v>3503</v>
      </c>
      <c r="T54" s="7">
        <v>1559.0</v>
      </c>
      <c r="U54" s="7" t="s">
        <v>3504</v>
      </c>
    </row>
    <row r="55">
      <c r="A55" s="3">
        <v>45168.726779282406</v>
      </c>
      <c r="B55" s="3" t="s">
        <v>3517</v>
      </c>
      <c r="C55" s="3" t="s">
        <v>3564</v>
      </c>
      <c r="D55" s="3" t="s">
        <v>1049</v>
      </c>
      <c r="E55" s="3">
        <v>45108.0</v>
      </c>
      <c r="F55" s="3">
        <v>158713.0</v>
      </c>
      <c r="G55" s="3" t="s">
        <v>136</v>
      </c>
      <c r="H55" s="3" t="s">
        <v>22</v>
      </c>
      <c r="I55" s="3" t="s">
        <v>1145</v>
      </c>
      <c r="J55" s="7"/>
      <c r="K55" s="3" t="s">
        <v>3565</v>
      </c>
      <c r="L55" s="3" t="s">
        <v>3566</v>
      </c>
      <c r="M55" s="3" t="s">
        <v>3567</v>
      </c>
      <c r="N55" s="3" t="s">
        <v>1054</v>
      </c>
      <c r="O55" s="3" t="s">
        <v>3523</v>
      </c>
      <c r="P55" s="3" t="s">
        <v>1150</v>
      </c>
      <c r="Q55" s="3" t="s">
        <v>29</v>
      </c>
      <c r="R55" s="7"/>
      <c r="S55" s="7" t="s">
        <v>3568</v>
      </c>
      <c r="T55" s="7"/>
      <c r="U55" s="7" t="s">
        <v>3569</v>
      </c>
    </row>
    <row r="56">
      <c r="A56" s="3">
        <v>45181.743532650464</v>
      </c>
      <c r="B56" s="3" t="s">
        <v>3584</v>
      </c>
      <c r="C56" s="3" t="s">
        <v>3585</v>
      </c>
      <c r="D56" s="3" t="s">
        <v>20</v>
      </c>
      <c r="E56" s="3">
        <v>45118.0</v>
      </c>
      <c r="F56" s="3">
        <v>51000.0</v>
      </c>
      <c r="G56" s="3" t="s">
        <v>21</v>
      </c>
      <c r="H56" s="3" t="s">
        <v>22</v>
      </c>
      <c r="I56" s="7"/>
      <c r="J56" s="7"/>
      <c r="K56" s="3" t="s">
        <v>3587</v>
      </c>
      <c r="L56" s="3" t="s">
        <v>3588</v>
      </c>
      <c r="M56" s="3" t="s">
        <v>3589</v>
      </c>
      <c r="N56" s="3" t="s">
        <v>27</v>
      </c>
      <c r="O56" s="3" t="s">
        <v>3590</v>
      </c>
      <c r="P56" s="7"/>
      <c r="Q56" s="3" t="s">
        <v>1205</v>
      </c>
      <c r="R56" s="7"/>
      <c r="S56" s="7" t="s">
        <v>3591</v>
      </c>
      <c r="T56" s="7"/>
      <c r="U56" s="7" t="s">
        <v>3592</v>
      </c>
    </row>
    <row r="57">
      <c r="A57" s="3">
        <v>45181.743532650464</v>
      </c>
      <c r="B57" s="3" t="s">
        <v>3593</v>
      </c>
      <c r="C57" s="3" t="s">
        <v>3594</v>
      </c>
      <c r="D57" s="3" t="s">
        <v>20</v>
      </c>
      <c r="E57" s="3">
        <v>45142.0</v>
      </c>
      <c r="F57" s="3">
        <v>120000.0</v>
      </c>
      <c r="G57" s="3" t="s">
        <v>21</v>
      </c>
      <c r="H57" s="3" t="s">
        <v>22</v>
      </c>
      <c r="I57" s="7"/>
      <c r="J57" s="7"/>
      <c r="K57" s="3" t="s">
        <v>3596</v>
      </c>
      <c r="L57" s="3" t="s">
        <v>3597</v>
      </c>
      <c r="M57" s="3" t="s">
        <v>3598</v>
      </c>
      <c r="N57" s="3" t="s">
        <v>27</v>
      </c>
      <c r="O57" s="3" t="s">
        <v>3599</v>
      </c>
      <c r="P57" s="7"/>
      <c r="Q57" s="3" t="s">
        <v>1205</v>
      </c>
      <c r="R57" s="7"/>
      <c r="S57" s="7" t="s">
        <v>6656</v>
      </c>
      <c r="T57" s="7"/>
      <c r="U57" s="7" t="s">
        <v>3601</v>
      </c>
    </row>
    <row r="58">
      <c r="A58" s="3">
        <v>45202.645779432874</v>
      </c>
      <c r="B58" s="3" t="s">
        <v>3517</v>
      </c>
      <c r="C58" s="3" t="s">
        <v>3644</v>
      </c>
      <c r="D58" s="3" t="s">
        <v>358</v>
      </c>
      <c r="E58" s="3">
        <v>45170.0</v>
      </c>
      <c r="F58" s="3">
        <v>56076.6</v>
      </c>
      <c r="G58" s="3" t="s">
        <v>136</v>
      </c>
      <c r="H58" s="3" t="s">
        <v>22</v>
      </c>
      <c r="I58" s="3" t="s">
        <v>1145</v>
      </c>
      <c r="J58" s="7"/>
      <c r="K58" s="3" t="s">
        <v>3646</v>
      </c>
      <c r="L58" s="3" t="s">
        <v>3647</v>
      </c>
      <c r="M58" s="3" t="s">
        <v>3648</v>
      </c>
      <c r="N58" s="3" t="s">
        <v>362</v>
      </c>
      <c r="O58" s="3" t="s">
        <v>3523</v>
      </c>
      <c r="P58" s="3" t="s">
        <v>1150</v>
      </c>
      <c r="Q58" s="3" t="s">
        <v>1205</v>
      </c>
      <c r="R58" s="7"/>
      <c r="S58" s="7" t="s">
        <v>3649</v>
      </c>
      <c r="T58" s="7"/>
      <c r="U58" s="7" t="s">
        <v>3650</v>
      </c>
    </row>
    <row r="59">
      <c r="A59" s="3">
        <v>45204.56847383102</v>
      </c>
      <c r="B59" s="3" t="s">
        <v>1124</v>
      </c>
      <c r="C59" s="3" t="s">
        <v>3666</v>
      </c>
      <c r="D59" s="3" t="s">
        <v>1362</v>
      </c>
      <c r="E59" s="3">
        <v>44866.0</v>
      </c>
      <c r="F59" s="3">
        <v>69385.0</v>
      </c>
      <c r="G59" s="3" t="s">
        <v>136</v>
      </c>
      <c r="H59" s="3" t="s">
        <v>22</v>
      </c>
      <c r="I59" s="7"/>
      <c r="J59" s="7"/>
      <c r="K59" s="3" t="s">
        <v>3667</v>
      </c>
      <c r="L59" s="3" t="s">
        <v>3668</v>
      </c>
      <c r="M59" s="3" t="s">
        <v>3669</v>
      </c>
      <c r="N59" s="3" t="s">
        <v>1366</v>
      </c>
      <c r="O59" s="3" t="s">
        <v>1129</v>
      </c>
      <c r="P59" s="7"/>
      <c r="Q59" s="3" t="s">
        <v>1205</v>
      </c>
      <c r="R59" s="7"/>
      <c r="S59" s="7" t="s">
        <v>3670</v>
      </c>
      <c r="T59" s="7">
        <v>509.0</v>
      </c>
      <c r="U59" s="7" t="s">
        <v>3671</v>
      </c>
    </row>
    <row r="60">
      <c r="A60" s="3">
        <v>45208.57024189815</v>
      </c>
      <c r="B60" s="3" t="s">
        <v>482</v>
      </c>
      <c r="C60" s="3" t="s">
        <v>3672</v>
      </c>
      <c r="D60" s="3" t="s">
        <v>358</v>
      </c>
      <c r="E60" s="3">
        <v>45085.0</v>
      </c>
      <c r="F60" s="3">
        <v>82990.0</v>
      </c>
      <c r="G60" s="3" t="s">
        <v>350</v>
      </c>
      <c r="H60" s="3" t="s">
        <v>22</v>
      </c>
      <c r="I60" s="3" t="s">
        <v>1137</v>
      </c>
      <c r="J60" s="7"/>
      <c r="K60" s="3" t="s">
        <v>3673</v>
      </c>
      <c r="L60" s="3" t="s">
        <v>3674</v>
      </c>
      <c r="M60" s="3" t="s">
        <v>3675</v>
      </c>
      <c r="N60" s="3" t="s">
        <v>362</v>
      </c>
      <c r="O60" s="3" t="s">
        <v>487</v>
      </c>
      <c r="P60" s="3" t="s">
        <v>1141</v>
      </c>
      <c r="Q60" s="3" t="s">
        <v>29</v>
      </c>
      <c r="R60" s="7"/>
      <c r="S60" s="7" t="s">
        <v>3676</v>
      </c>
      <c r="T60" s="7">
        <v>4.0</v>
      </c>
      <c r="U60" s="7" t="s">
        <v>3677</v>
      </c>
    </row>
    <row r="61">
      <c r="A61" s="3">
        <v>45227.46999571759</v>
      </c>
      <c r="B61" s="3" t="s">
        <v>3709</v>
      </c>
      <c r="C61" s="3" t="s">
        <v>3710</v>
      </c>
      <c r="D61" s="3" t="s">
        <v>20</v>
      </c>
      <c r="E61" s="3">
        <v>45210.0</v>
      </c>
      <c r="F61" s="3">
        <v>58400.0</v>
      </c>
      <c r="G61" s="3" t="s">
        <v>21</v>
      </c>
      <c r="H61" s="3" t="s">
        <v>22</v>
      </c>
      <c r="I61" s="3" t="s">
        <v>1434</v>
      </c>
      <c r="J61" s="7"/>
      <c r="K61" s="3" t="s">
        <v>3712</v>
      </c>
      <c r="L61" s="3" t="s">
        <v>3713</v>
      </c>
      <c r="M61" s="3" t="s">
        <v>3714</v>
      </c>
      <c r="N61" s="3" t="s">
        <v>27</v>
      </c>
      <c r="O61" s="3" t="s">
        <v>3715</v>
      </c>
      <c r="P61" s="3" t="s">
        <v>1439</v>
      </c>
      <c r="Q61" s="3" t="s">
        <v>29</v>
      </c>
      <c r="R61" s="7"/>
      <c r="S61" s="7" t="s">
        <v>3716</v>
      </c>
      <c r="T61" s="7"/>
      <c r="U61" s="7" t="s">
        <v>3708</v>
      </c>
    </row>
    <row r="62">
      <c r="A62" s="3">
        <v>45231.68547453704</v>
      </c>
      <c r="B62" s="3" t="s">
        <v>3724</v>
      </c>
      <c r="C62" s="3" t="s">
        <v>3725</v>
      </c>
      <c r="D62" s="3" t="s">
        <v>20</v>
      </c>
      <c r="E62" s="3">
        <v>45170.0</v>
      </c>
      <c r="F62" s="3">
        <v>84400.0</v>
      </c>
      <c r="G62" s="3" t="s">
        <v>21</v>
      </c>
      <c r="H62" s="3" t="s">
        <v>22</v>
      </c>
      <c r="I62" s="3" t="s">
        <v>1116</v>
      </c>
      <c r="J62" s="7"/>
      <c r="K62" s="3" t="s">
        <v>3727</v>
      </c>
      <c r="L62" s="3" t="s">
        <v>3728</v>
      </c>
      <c r="M62" s="3" t="s">
        <v>3729</v>
      </c>
      <c r="N62" s="3" t="s">
        <v>27</v>
      </c>
      <c r="O62" s="3" t="s">
        <v>3730</v>
      </c>
      <c r="P62" s="3" t="s">
        <v>1122</v>
      </c>
      <c r="Q62" s="3" t="s">
        <v>29</v>
      </c>
      <c r="R62" s="7"/>
      <c r="S62" s="7" t="s">
        <v>3731</v>
      </c>
      <c r="T62" s="7"/>
      <c r="U62" s="7" t="s">
        <v>3723</v>
      </c>
    </row>
    <row r="63">
      <c r="A63" s="3">
        <v>45245.53545138889</v>
      </c>
      <c r="B63" s="3" t="s">
        <v>2934</v>
      </c>
      <c r="C63" s="3" t="s">
        <v>3678</v>
      </c>
      <c r="D63" s="3" t="s">
        <v>358</v>
      </c>
      <c r="E63" s="3">
        <v>44986.0</v>
      </c>
      <c r="F63" s="3">
        <v>100000.0</v>
      </c>
      <c r="G63" s="3" t="s">
        <v>21</v>
      </c>
      <c r="H63" s="3" t="s">
        <v>22</v>
      </c>
      <c r="I63" s="3" t="s">
        <v>1145</v>
      </c>
      <c r="J63" s="7"/>
      <c r="K63" s="3" t="s">
        <v>3680</v>
      </c>
      <c r="L63" s="3" t="s">
        <v>3681</v>
      </c>
      <c r="M63" s="3" t="s">
        <v>3682</v>
      </c>
      <c r="N63" s="3" t="s">
        <v>362</v>
      </c>
      <c r="O63" s="3" t="s">
        <v>2939</v>
      </c>
      <c r="P63" s="3" t="s">
        <v>1150</v>
      </c>
      <c r="Q63" s="3" t="s">
        <v>29</v>
      </c>
      <c r="R63" s="7"/>
      <c r="S63" s="7" t="s">
        <v>3683</v>
      </c>
      <c r="T63" s="7"/>
      <c r="U63" s="7" t="s">
        <v>3732</v>
      </c>
    </row>
    <row r="64">
      <c r="A64" s="3">
        <v>45246.98789063658</v>
      </c>
      <c r="B64" s="3" t="s">
        <v>3771</v>
      </c>
      <c r="C64" s="3" t="s">
        <v>3772</v>
      </c>
      <c r="D64" s="3" t="s">
        <v>20</v>
      </c>
      <c r="E64" s="3">
        <v>45231.0</v>
      </c>
      <c r="F64" s="3">
        <v>2230000.0</v>
      </c>
      <c r="G64" s="3" t="s">
        <v>21</v>
      </c>
      <c r="H64" s="3" t="s">
        <v>22</v>
      </c>
      <c r="I64" s="3" t="s">
        <v>930</v>
      </c>
      <c r="J64" s="7"/>
      <c r="K64" s="3" t="s">
        <v>3773</v>
      </c>
      <c r="L64" s="3" t="s">
        <v>3774</v>
      </c>
      <c r="M64" s="3" t="s">
        <v>3775</v>
      </c>
      <c r="N64" s="3" t="s">
        <v>27</v>
      </c>
      <c r="O64" s="3" t="s">
        <v>3776</v>
      </c>
      <c r="P64" s="3" t="s">
        <v>935</v>
      </c>
      <c r="Q64" s="3" t="s">
        <v>29</v>
      </c>
      <c r="R64" s="7"/>
      <c r="S64" s="7" t="s">
        <v>3777</v>
      </c>
      <c r="T64" s="7"/>
      <c r="U64" s="7" t="s">
        <v>3770</v>
      </c>
    </row>
    <row r="65">
      <c r="A65" s="3">
        <v>45266.570554652775</v>
      </c>
      <c r="B65" s="3" t="s">
        <v>2934</v>
      </c>
      <c r="C65" s="3" t="s">
        <v>3835</v>
      </c>
      <c r="D65" s="3" t="s">
        <v>358</v>
      </c>
      <c r="E65" s="3">
        <v>45261.0</v>
      </c>
      <c r="F65" s="3">
        <v>219593.0</v>
      </c>
      <c r="G65" s="3" t="s">
        <v>21</v>
      </c>
      <c r="H65" s="3" t="s">
        <v>22</v>
      </c>
      <c r="I65" s="3" t="s">
        <v>1145</v>
      </c>
      <c r="J65" s="7"/>
      <c r="K65" s="3" t="s">
        <v>3837</v>
      </c>
      <c r="L65" s="3" t="s">
        <v>3838</v>
      </c>
      <c r="M65" s="3" t="s">
        <v>3839</v>
      </c>
      <c r="N65" s="3" t="s">
        <v>362</v>
      </c>
      <c r="O65" s="3" t="s">
        <v>2939</v>
      </c>
      <c r="P65" s="3" t="s">
        <v>1150</v>
      </c>
      <c r="Q65" s="3" t="s">
        <v>29</v>
      </c>
      <c r="R65" s="7"/>
      <c r="S65" s="7" t="s">
        <v>3840</v>
      </c>
      <c r="T65" s="7"/>
      <c r="U65" s="7" t="s">
        <v>3834</v>
      </c>
    </row>
    <row r="66">
      <c r="A66" s="3">
        <v>45266.570554652775</v>
      </c>
      <c r="B66" s="3" t="s">
        <v>2934</v>
      </c>
      <c r="C66" s="3" t="s">
        <v>3842</v>
      </c>
      <c r="D66" s="3" t="s">
        <v>358</v>
      </c>
      <c r="E66" s="3">
        <v>45261.0</v>
      </c>
      <c r="F66" s="3">
        <v>183367.5</v>
      </c>
      <c r="G66" s="3" t="s">
        <v>21</v>
      </c>
      <c r="H66" s="3" t="s">
        <v>22</v>
      </c>
      <c r="I66" s="3" t="s">
        <v>1145</v>
      </c>
      <c r="J66" s="7"/>
      <c r="K66" s="3" t="s">
        <v>3843</v>
      </c>
      <c r="L66" s="3" t="s">
        <v>3844</v>
      </c>
      <c r="M66" s="3" t="s">
        <v>3845</v>
      </c>
      <c r="N66" s="3" t="s">
        <v>362</v>
      </c>
      <c r="O66" s="3" t="s">
        <v>2939</v>
      </c>
      <c r="P66" s="3" t="s">
        <v>1150</v>
      </c>
      <c r="Q66" s="3" t="s">
        <v>29</v>
      </c>
      <c r="R66" s="7"/>
      <c r="S66" s="7" t="s">
        <v>3846</v>
      </c>
      <c r="T66" s="7"/>
      <c r="U66" s="7" t="s">
        <v>3841</v>
      </c>
    </row>
    <row r="67">
      <c r="A67" s="3">
        <v>45279.6429597338</v>
      </c>
      <c r="B67" s="3" t="s">
        <v>3869</v>
      </c>
      <c r="C67" s="3" t="s">
        <v>3870</v>
      </c>
      <c r="D67" s="3" t="s">
        <v>358</v>
      </c>
      <c r="E67" s="3">
        <v>45104.0</v>
      </c>
      <c r="F67" s="3">
        <v>102052.0</v>
      </c>
      <c r="G67" s="3" t="s">
        <v>21</v>
      </c>
      <c r="H67" s="3" t="s">
        <v>22</v>
      </c>
      <c r="I67" s="3" t="s">
        <v>1145</v>
      </c>
      <c r="J67" s="7"/>
      <c r="K67" s="3" t="s">
        <v>3871</v>
      </c>
      <c r="L67" s="3" t="s">
        <v>3872</v>
      </c>
      <c r="M67" s="3" t="s">
        <v>3873</v>
      </c>
      <c r="N67" s="3" t="s">
        <v>362</v>
      </c>
      <c r="O67" s="3" t="s">
        <v>3874</v>
      </c>
      <c r="P67" s="3" t="s">
        <v>1150</v>
      </c>
      <c r="Q67" s="3" t="s">
        <v>3875</v>
      </c>
      <c r="R67" s="7"/>
      <c r="S67" s="7" t="s">
        <v>3876</v>
      </c>
      <c r="T67" s="7"/>
      <c r="U67" s="7" t="s">
        <v>3868</v>
      </c>
    </row>
    <row r="68">
      <c r="A68" s="3">
        <v>45279.6429597338</v>
      </c>
      <c r="B68" s="3" t="s">
        <v>3869</v>
      </c>
      <c r="C68" s="3" t="s">
        <v>3879</v>
      </c>
      <c r="D68" s="3" t="s">
        <v>358</v>
      </c>
      <c r="E68" s="3">
        <v>45028.0</v>
      </c>
      <c r="F68" s="3">
        <v>79428.0</v>
      </c>
      <c r="G68" s="3" t="s">
        <v>21</v>
      </c>
      <c r="H68" s="3" t="s">
        <v>22</v>
      </c>
      <c r="I68" s="3" t="s">
        <v>1145</v>
      </c>
      <c r="J68" s="7"/>
      <c r="K68" s="3" t="s">
        <v>3880</v>
      </c>
      <c r="L68" s="3" t="s">
        <v>3881</v>
      </c>
      <c r="M68" s="3" t="s">
        <v>6657</v>
      </c>
      <c r="N68" s="3" t="s">
        <v>362</v>
      </c>
      <c r="O68" s="3" t="s">
        <v>3874</v>
      </c>
      <c r="P68" s="3" t="s">
        <v>1150</v>
      </c>
      <c r="Q68" s="3" t="s">
        <v>3875</v>
      </c>
      <c r="R68" s="7"/>
      <c r="S68" s="7" t="s">
        <v>6658</v>
      </c>
      <c r="T68" s="7"/>
      <c r="U68" s="7" t="s">
        <v>3877</v>
      </c>
    </row>
    <row r="69">
      <c r="A69" s="3">
        <v>45282.621896481476</v>
      </c>
      <c r="B69" s="3" t="s">
        <v>2899</v>
      </c>
      <c r="C69" s="3" t="s">
        <v>3970</v>
      </c>
      <c r="D69" s="3" t="s">
        <v>358</v>
      </c>
      <c r="E69" s="3">
        <v>45267.0</v>
      </c>
      <c r="F69" s="3">
        <v>311588.02</v>
      </c>
      <c r="G69" s="3" t="s">
        <v>350</v>
      </c>
      <c r="H69" s="3" t="s">
        <v>22</v>
      </c>
      <c r="I69" s="7"/>
      <c r="J69" s="7"/>
      <c r="K69" s="3" t="s">
        <v>3971</v>
      </c>
      <c r="L69" s="3" t="s">
        <v>3972</v>
      </c>
      <c r="M69" s="3" t="s">
        <v>3973</v>
      </c>
      <c r="N69" s="3" t="s">
        <v>362</v>
      </c>
      <c r="O69" s="3" t="s">
        <v>2904</v>
      </c>
      <c r="P69" s="7"/>
      <c r="Q69" s="3" t="s">
        <v>3875</v>
      </c>
      <c r="R69" s="7"/>
      <c r="S69" s="7" t="s">
        <v>3974</v>
      </c>
      <c r="T69" s="7"/>
      <c r="U69" s="7" t="s">
        <v>3969</v>
      </c>
    </row>
    <row r="70">
      <c r="A70" s="3">
        <v>45282.621896481476</v>
      </c>
      <c r="B70" s="3" t="s">
        <v>2899</v>
      </c>
      <c r="C70" s="3" t="s">
        <v>3976</v>
      </c>
      <c r="D70" s="3" t="s">
        <v>358</v>
      </c>
      <c r="E70" s="3">
        <v>45267.0</v>
      </c>
      <c r="F70" s="3">
        <v>175247.0</v>
      </c>
      <c r="G70" s="3" t="s">
        <v>350</v>
      </c>
      <c r="H70" s="3" t="s">
        <v>22</v>
      </c>
      <c r="I70" s="7"/>
      <c r="J70" s="7"/>
      <c r="K70" s="3" t="s">
        <v>3977</v>
      </c>
      <c r="L70" s="3" t="s">
        <v>3978</v>
      </c>
      <c r="M70" s="3" t="s">
        <v>3979</v>
      </c>
      <c r="N70" s="3" t="s">
        <v>362</v>
      </c>
      <c r="O70" s="3" t="s">
        <v>2904</v>
      </c>
      <c r="P70" s="7"/>
      <c r="Q70" s="3" t="s">
        <v>3875</v>
      </c>
      <c r="R70" s="7"/>
      <c r="S70" s="7" t="s">
        <v>3980</v>
      </c>
      <c r="T70" s="7"/>
      <c r="U70" s="7" t="s">
        <v>3975</v>
      </c>
    </row>
    <row r="71">
      <c r="A71" s="3">
        <v>45285.5273121412</v>
      </c>
      <c r="B71" s="3" t="s">
        <v>3982</v>
      </c>
      <c r="C71" s="3" t="s">
        <v>3983</v>
      </c>
      <c r="D71" s="3" t="s">
        <v>20</v>
      </c>
      <c r="E71" s="3">
        <v>45140.0</v>
      </c>
      <c r="F71" s="3">
        <v>228630.0</v>
      </c>
      <c r="G71" s="3" t="s">
        <v>21</v>
      </c>
      <c r="H71" s="3" t="s">
        <v>22</v>
      </c>
      <c r="I71" s="7"/>
      <c r="J71" s="7"/>
      <c r="K71" s="3" t="s">
        <v>3985</v>
      </c>
      <c r="L71" s="3" t="s">
        <v>3986</v>
      </c>
      <c r="M71" s="3" t="s">
        <v>3987</v>
      </c>
      <c r="N71" s="3" t="s">
        <v>27</v>
      </c>
      <c r="O71" s="3" t="s">
        <v>3988</v>
      </c>
      <c r="P71" s="7"/>
      <c r="Q71" s="3" t="s">
        <v>3875</v>
      </c>
      <c r="R71" s="7"/>
      <c r="S71" s="7" t="s">
        <v>6659</v>
      </c>
      <c r="T71" s="7">
        <v>959.0</v>
      </c>
      <c r="U71" s="7" t="s">
        <v>3981</v>
      </c>
    </row>
    <row r="72">
      <c r="A72" s="3">
        <v>45288.714654745374</v>
      </c>
      <c r="B72" s="3" t="s">
        <v>322</v>
      </c>
      <c r="C72" s="3" t="s">
        <v>3997</v>
      </c>
      <c r="D72" s="3" t="s">
        <v>20</v>
      </c>
      <c r="E72" s="3">
        <v>45261.0</v>
      </c>
      <c r="F72" s="3">
        <v>616940.0</v>
      </c>
      <c r="G72" s="3" t="s">
        <v>21</v>
      </c>
      <c r="H72" s="3" t="s">
        <v>22</v>
      </c>
      <c r="I72" s="7"/>
      <c r="J72" s="7"/>
      <c r="K72" s="3" t="s">
        <v>3999</v>
      </c>
      <c r="L72" s="3" t="s">
        <v>4000</v>
      </c>
      <c r="M72" s="3" t="s">
        <v>4001</v>
      </c>
      <c r="N72" s="3" t="s">
        <v>27</v>
      </c>
      <c r="O72" s="3" t="s">
        <v>327</v>
      </c>
      <c r="P72" s="7"/>
      <c r="Q72" s="3" t="s">
        <v>29</v>
      </c>
      <c r="R72" s="7"/>
      <c r="S72" s="7" t="s">
        <v>4002</v>
      </c>
      <c r="T72" s="7">
        <v>1132.0</v>
      </c>
      <c r="U72" s="7" t="s">
        <v>3996</v>
      </c>
    </row>
    <row r="73">
      <c r="A73" s="3">
        <v>45321.00879798611</v>
      </c>
      <c r="B73" s="3" t="s">
        <v>4047</v>
      </c>
      <c r="C73" s="3" t="s">
        <v>4048</v>
      </c>
      <c r="D73" s="3" t="s">
        <v>20</v>
      </c>
      <c r="E73" s="3">
        <v>45200.0</v>
      </c>
      <c r="F73" s="3">
        <v>323200.0</v>
      </c>
      <c r="G73" s="3" t="s">
        <v>21</v>
      </c>
      <c r="H73" s="3" t="s">
        <v>22</v>
      </c>
      <c r="I73" s="7"/>
      <c r="J73" s="7"/>
      <c r="K73" s="3" t="s">
        <v>4050</v>
      </c>
      <c r="L73" s="3" t="s">
        <v>4051</v>
      </c>
      <c r="M73" s="3" t="s">
        <v>4052</v>
      </c>
      <c r="N73" s="3" t="s">
        <v>27</v>
      </c>
      <c r="O73" s="3" t="s">
        <v>4053</v>
      </c>
      <c r="P73" s="7"/>
      <c r="Q73" s="3" t="s">
        <v>29</v>
      </c>
      <c r="R73" s="7"/>
      <c r="S73" s="7" t="s">
        <v>4054</v>
      </c>
      <c r="T73" s="7"/>
      <c r="U73" s="7" t="s">
        <v>4055</v>
      </c>
    </row>
    <row r="74">
      <c r="A74" s="3">
        <v>45330.0166646412</v>
      </c>
      <c r="B74" s="3" t="s">
        <v>4056</v>
      </c>
      <c r="C74" s="3" t="s">
        <v>4057</v>
      </c>
      <c r="D74" s="3" t="s">
        <v>20</v>
      </c>
      <c r="E74" s="3">
        <v>45327.0</v>
      </c>
      <c r="F74" s="3">
        <v>200000.0</v>
      </c>
      <c r="G74" s="3" t="s">
        <v>21</v>
      </c>
      <c r="H74" s="3" t="s">
        <v>22</v>
      </c>
      <c r="I74" s="3" t="s">
        <v>3781</v>
      </c>
      <c r="J74" s="7"/>
      <c r="K74" s="3" t="s">
        <v>4058</v>
      </c>
      <c r="L74" s="3" t="s">
        <v>4059</v>
      </c>
      <c r="M74" s="3" t="s">
        <v>4060</v>
      </c>
      <c r="N74" s="3" t="s">
        <v>27</v>
      </c>
      <c r="O74" s="3" t="s">
        <v>4061</v>
      </c>
      <c r="P74" s="3" t="s">
        <v>3787</v>
      </c>
      <c r="Q74" s="3" t="s">
        <v>29</v>
      </c>
      <c r="R74" s="7"/>
      <c r="S74" s="7" t="s">
        <v>4062</v>
      </c>
      <c r="T74" s="7"/>
      <c r="U74" s="7" t="s">
        <v>4063</v>
      </c>
    </row>
    <row r="75">
      <c r="A75" s="3">
        <v>45336.780454872685</v>
      </c>
      <c r="B75" s="3" t="s">
        <v>4064</v>
      </c>
      <c r="C75" s="3" t="s">
        <v>4065</v>
      </c>
      <c r="D75" s="3" t="s">
        <v>358</v>
      </c>
      <c r="E75" s="3">
        <v>45334.0</v>
      </c>
      <c r="F75" s="3">
        <v>118273.05</v>
      </c>
      <c r="G75" s="3" t="s">
        <v>21</v>
      </c>
      <c r="H75" s="3" t="s">
        <v>22</v>
      </c>
      <c r="I75" s="7"/>
      <c r="J75" s="7"/>
      <c r="K75" s="3" t="s">
        <v>4066</v>
      </c>
      <c r="L75" s="3" t="s">
        <v>4067</v>
      </c>
      <c r="M75" s="3" t="s">
        <v>4068</v>
      </c>
      <c r="N75" s="3" t="s">
        <v>362</v>
      </c>
      <c r="O75" s="3" t="s">
        <v>4069</v>
      </c>
      <c r="P75" s="7"/>
      <c r="Q75" s="3" t="s">
        <v>29</v>
      </c>
      <c r="R75" s="7"/>
      <c r="S75" s="7" t="s">
        <v>4070</v>
      </c>
      <c r="T75" s="7"/>
      <c r="U75" s="7" t="s">
        <v>4071</v>
      </c>
    </row>
    <row r="76">
      <c r="A76" s="3">
        <v>45339.606802546296</v>
      </c>
      <c r="B76" s="3" t="s">
        <v>482</v>
      </c>
      <c r="C76" s="3" t="s">
        <v>4078</v>
      </c>
      <c r="D76" s="3" t="s">
        <v>20</v>
      </c>
      <c r="E76" s="3">
        <v>45323.0</v>
      </c>
      <c r="F76" s="3">
        <v>200000.0</v>
      </c>
      <c r="G76" s="3" t="s">
        <v>21</v>
      </c>
      <c r="H76" s="3" t="s">
        <v>22</v>
      </c>
      <c r="I76" s="7"/>
      <c r="J76" s="7"/>
      <c r="K76" s="3" t="s">
        <v>4079</v>
      </c>
      <c r="L76" s="3" t="s">
        <v>4080</v>
      </c>
      <c r="M76" s="3" t="s">
        <v>4081</v>
      </c>
      <c r="N76" s="3" t="s">
        <v>27</v>
      </c>
      <c r="O76" s="3" t="s">
        <v>487</v>
      </c>
      <c r="P76" s="7"/>
      <c r="Q76" s="3" t="s">
        <v>29</v>
      </c>
      <c r="R76" s="7"/>
      <c r="S76" s="7" t="s">
        <v>4082</v>
      </c>
      <c r="T76" s="7">
        <v>4.0</v>
      </c>
      <c r="U76" s="7" t="s">
        <v>4083</v>
      </c>
    </row>
    <row r="77">
      <c r="A77" s="3">
        <v>45349.490771122684</v>
      </c>
      <c r="B77" s="3" t="s">
        <v>3517</v>
      </c>
      <c r="C77" s="3" t="s">
        <v>4090</v>
      </c>
      <c r="D77" s="3" t="s">
        <v>358</v>
      </c>
      <c r="E77" s="3">
        <v>45200.0</v>
      </c>
      <c r="F77" s="3">
        <v>122329.89</v>
      </c>
      <c r="G77" s="3" t="s">
        <v>136</v>
      </c>
      <c r="H77" s="3" t="s">
        <v>22</v>
      </c>
      <c r="I77" s="3" t="s">
        <v>1145</v>
      </c>
      <c r="J77" s="7"/>
      <c r="K77" s="3" t="s">
        <v>4091</v>
      </c>
      <c r="L77" s="3" t="s">
        <v>4092</v>
      </c>
      <c r="M77" s="3" t="s">
        <v>4093</v>
      </c>
      <c r="N77" s="3" t="s">
        <v>362</v>
      </c>
      <c r="O77" s="3" t="s">
        <v>3523</v>
      </c>
      <c r="P77" s="3" t="s">
        <v>1150</v>
      </c>
      <c r="Q77" s="3" t="s">
        <v>29</v>
      </c>
      <c r="R77" s="7"/>
      <c r="S77" s="7" t="s">
        <v>4094</v>
      </c>
      <c r="T77" s="7"/>
      <c r="U77" s="7" t="s">
        <v>4095</v>
      </c>
    </row>
    <row r="78">
      <c r="A78" s="3">
        <v>45352.55235221065</v>
      </c>
      <c r="B78" s="3" t="s">
        <v>4109</v>
      </c>
      <c r="C78" s="3" t="s">
        <v>4110</v>
      </c>
      <c r="D78" s="3" t="s">
        <v>20</v>
      </c>
      <c r="E78" s="3">
        <v>45343.0</v>
      </c>
      <c r="F78" s="3">
        <v>130000.0</v>
      </c>
      <c r="G78" s="3" t="s">
        <v>21</v>
      </c>
      <c r="H78" s="3" t="s">
        <v>22</v>
      </c>
      <c r="I78" s="3" t="s">
        <v>3781</v>
      </c>
      <c r="J78" s="7"/>
      <c r="K78" s="3" t="s">
        <v>4112</v>
      </c>
      <c r="L78" s="3" t="s">
        <v>4113</v>
      </c>
      <c r="M78" s="3" t="s">
        <v>4114</v>
      </c>
      <c r="N78" s="3" t="s">
        <v>27</v>
      </c>
      <c r="O78" s="3" t="s">
        <v>4115</v>
      </c>
      <c r="P78" s="3" t="s">
        <v>3787</v>
      </c>
      <c r="Q78" s="3" t="s">
        <v>29</v>
      </c>
      <c r="R78" s="7"/>
      <c r="S78" s="7" t="s">
        <v>4116</v>
      </c>
      <c r="T78" s="7"/>
      <c r="U78" s="7" t="s">
        <v>4117</v>
      </c>
    </row>
    <row r="79">
      <c r="A79" s="3">
        <v>45364.53813925926</v>
      </c>
      <c r="B79" s="3" t="s">
        <v>4118</v>
      </c>
      <c r="C79" s="3" t="s">
        <v>4119</v>
      </c>
      <c r="D79" s="3" t="s">
        <v>20</v>
      </c>
      <c r="E79" s="3">
        <v>45358.0</v>
      </c>
      <c r="F79" s="3">
        <v>195270.0</v>
      </c>
      <c r="G79" s="3" t="s">
        <v>21</v>
      </c>
      <c r="H79" s="3" t="s">
        <v>22</v>
      </c>
      <c r="I79" s="3" t="s">
        <v>3781</v>
      </c>
      <c r="J79" s="7"/>
      <c r="K79" s="3" t="s">
        <v>4121</v>
      </c>
      <c r="L79" s="3" t="s">
        <v>4122</v>
      </c>
      <c r="M79" s="3" t="s">
        <v>4123</v>
      </c>
      <c r="N79" s="3" t="s">
        <v>27</v>
      </c>
      <c r="O79" s="3" t="s">
        <v>4124</v>
      </c>
      <c r="P79" s="3" t="s">
        <v>3787</v>
      </c>
      <c r="Q79" s="3" t="s">
        <v>29</v>
      </c>
      <c r="R79" s="7"/>
      <c r="S79" s="7" t="s">
        <v>4125</v>
      </c>
      <c r="T79" s="7"/>
      <c r="U79" s="7" t="s">
        <v>4126</v>
      </c>
    </row>
    <row r="80">
      <c r="A80" s="3">
        <v>45370.51392894676</v>
      </c>
      <c r="B80" s="3" t="s">
        <v>4133</v>
      </c>
      <c r="C80" s="3" t="s">
        <v>4134</v>
      </c>
      <c r="D80" s="3" t="s">
        <v>358</v>
      </c>
      <c r="E80" s="3">
        <v>45356.0</v>
      </c>
      <c r="F80" s="3">
        <v>110000.0</v>
      </c>
      <c r="G80" s="3" t="s">
        <v>21</v>
      </c>
      <c r="H80" s="3" t="s">
        <v>22</v>
      </c>
      <c r="I80" s="3" t="s">
        <v>1145</v>
      </c>
      <c r="J80" s="7"/>
      <c r="K80" s="3" t="s">
        <v>4136</v>
      </c>
      <c r="L80" s="3" t="s">
        <v>4137</v>
      </c>
      <c r="M80" s="3" t="s">
        <v>4138</v>
      </c>
      <c r="N80" s="3" t="s">
        <v>362</v>
      </c>
      <c r="O80" s="3" t="s">
        <v>4139</v>
      </c>
      <c r="P80" s="3" t="s">
        <v>1150</v>
      </c>
      <c r="Q80" s="3" t="s">
        <v>29</v>
      </c>
      <c r="R80" s="7"/>
      <c r="S80" s="7" t="s">
        <v>4140</v>
      </c>
      <c r="T80" s="7"/>
      <c r="U80" s="7" t="s">
        <v>4141</v>
      </c>
    </row>
    <row r="81">
      <c r="A81" s="3">
        <v>45371.60147708333</v>
      </c>
      <c r="B81" s="3" t="s">
        <v>4142</v>
      </c>
      <c r="C81" s="3" t="s">
        <v>4143</v>
      </c>
      <c r="D81" s="3" t="s">
        <v>20</v>
      </c>
      <c r="E81" s="3">
        <v>45352.0</v>
      </c>
      <c r="F81" s="3">
        <v>100000.0</v>
      </c>
      <c r="G81" s="3" t="s">
        <v>21</v>
      </c>
      <c r="H81" s="3" t="s">
        <v>22</v>
      </c>
      <c r="I81" s="3" t="s">
        <v>1124</v>
      </c>
      <c r="J81" s="7"/>
      <c r="K81" s="3" t="s">
        <v>4144</v>
      </c>
      <c r="L81" s="3" t="s">
        <v>4145</v>
      </c>
      <c r="M81" s="3" t="s">
        <v>4146</v>
      </c>
      <c r="N81" s="3" t="s">
        <v>27</v>
      </c>
      <c r="O81" s="3" t="s">
        <v>4147</v>
      </c>
      <c r="P81" s="3" t="s">
        <v>1129</v>
      </c>
      <c r="Q81" s="3" t="s">
        <v>29</v>
      </c>
      <c r="R81" s="7"/>
      <c r="S81" s="7" t="s">
        <v>4148</v>
      </c>
      <c r="T81" s="7"/>
      <c r="U81" s="7" t="s">
        <v>4149</v>
      </c>
    </row>
    <row r="82">
      <c r="A82" s="3">
        <v>45371.60861704861</v>
      </c>
      <c r="B82" s="3" t="s">
        <v>4150</v>
      </c>
      <c r="C82" s="3" t="s">
        <v>4151</v>
      </c>
      <c r="D82" s="3" t="s">
        <v>20</v>
      </c>
      <c r="E82" s="3">
        <v>45292.0</v>
      </c>
      <c r="F82" s="3">
        <v>97800.0</v>
      </c>
      <c r="G82" s="3" t="s">
        <v>136</v>
      </c>
      <c r="H82" s="3" t="s">
        <v>22</v>
      </c>
      <c r="I82" s="3" t="s">
        <v>1124</v>
      </c>
      <c r="J82" s="7"/>
      <c r="K82" s="3" t="s">
        <v>4153</v>
      </c>
      <c r="L82" s="3" t="s">
        <v>4154</v>
      </c>
      <c r="M82" s="3" t="s">
        <v>4155</v>
      </c>
      <c r="N82" s="3" t="s">
        <v>27</v>
      </c>
      <c r="O82" s="3" t="s">
        <v>4156</v>
      </c>
      <c r="P82" s="3" t="s">
        <v>1129</v>
      </c>
      <c r="Q82" s="3" t="s">
        <v>29</v>
      </c>
      <c r="R82" s="7"/>
      <c r="S82" s="7" t="s">
        <v>4157</v>
      </c>
      <c r="T82" s="7"/>
      <c r="U82" s="7" t="s">
        <v>4158</v>
      </c>
    </row>
    <row r="83">
      <c r="A83" s="3">
        <v>45372.797509780095</v>
      </c>
      <c r="B83" s="3" t="s">
        <v>4159</v>
      </c>
      <c r="C83" s="3" t="s">
        <v>4160</v>
      </c>
      <c r="D83" s="3" t="s">
        <v>20</v>
      </c>
      <c r="E83" s="3">
        <v>45142.0</v>
      </c>
      <c r="F83" s="3">
        <v>185360.0</v>
      </c>
      <c r="G83" s="3" t="s">
        <v>21</v>
      </c>
      <c r="H83" s="3" t="s">
        <v>22</v>
      </c>
      <c r="I83" s="7"/>
      <c r="J83" s="7"/>
      <c r="K83" s="3" t="s">
        <v>4162</v>
      </c>
      <c r="L83" s="3" t="s">
        <v>4163</v>
      </c>
      <c r="M83" s="3" t="s">
        <v>4164</v>
      </c>
      <c r="N83" s="3" t="s">
        <v>27</v>
      </c>
      <c r="O83" s="3" t="s">
        <v>4165</v>
      </c>
      <c r="P83" s="7"/>
      <c r="Q83" s="3" t="s">
        <v>29</v>
      </c>
      <c r="R83" s="7"/>
      <c r="S83" s="7" t="s">
        <v>6660</v>
      </c>
      <c r="T83" s="7"/>
      <c r="U83" s="7" t="s">
        <v>4167</v>
      </c>
    </row>
    <row r="84">
      <c r="A84" s="3">
        <v>45376.4854656713</v>
      </c>
      <c r="B84" s="3" t="s">
        <v>3215</v>
      </c>
      <c r="C84" s="3" t="s">
        <v>4168</v>
      </c>
      <c r="D84" s="3" t="s">
        <v>358</v>
      </c>
      <c r="E84" s="3">
        <v>45210.0</v>
      </c>
      <c r="F84" s="3">
        <v>83274.0</v>
      </c>
      <c r="G84" s="3" t="s">
        <v>350</v>
      </c>
      <c r="H84" s="3" t="s">
        <v>22</v>
      </c>
      <c r="I84" s="3" t="s">
        <v>1145</v>
      </c>
      <c r="J84" s="7"/>
      <c r="K84" s="3" t="s">
        <v>4169</v>
      </c>
      <c r="L84" s="3" t="s">
        <v>4170</v>
      </c>
      <c r="M84" s="3" t="s">
        <v>4171</v>
      </c>
      <c r="N84" s="3" t="s">
        <v>362</v>
      </c>
      <c r="O84" s="3" t="s">
        <v>3220</v>
      </c>
      <c r="P84" s="3" t="s">
        <v>1150</v>
      </c>
      <c r="Q84" s="3" t="s">
        <v>29</v>
      </c>
      <c r="R84" s="7"/>
      <c r="S84" s="7" t="s">
        <v>4172</v>
      </c>
      <c r="T84" s="7"/>
      <c r="U84" s="7" t="s">
        <v>4173</v>
      </c>
    </row>
    <row r="85">
      <c r="A85" s="3">
        <v>45386.68091604167</v>
      </c>
      <c r="B85" s="3" t="s">
        <v>3278</v>
      </c>
      <c r="C85" s="3" t="s">
        <v>4197</v>
      </c>
      <c r="D85" s="3" t="s">
        <v>20</v>
      </c>
      <c r="E85" s="3">
        <v>45323.0</v>
      </c>
      <c r="F85" s="3">
        <v>120000.0</v>
      </c>
      <c r="G85" s="3" t="s">
        <v>21</v>
      </c>
      <c r="H85" s="3" t="s">
        <v>22</v>
      </c>
      <c r="I85" s="7"/>
      <c r="J85" s="7"/>
      <c r="K85" s="3" t="s">
        <v>4198</v>
      </c>
      <c r="L85" s="3" t="s">
        <v>4199</v>
      </c>
      <c r="M85" s="3" t="s">
        <v>4200</v>
      </c>
      <c r="N85" s="3" t="s">
        <v>27</v>
      </c>
      <c r="O85" s="3" t="s">
        <v>3284</v>
      </c>
      <c r="P85" s="7"/>
      <c r="Q85" s="3" t="s">
        <v>29</v>
      </c>
      <c r="R85" s="7"/>
      <c r="S85" s="7" t="s">
        <v>4201</v>
      </c>
      <c r="T85" s="7"/>
      <c r="U85" s="7" t="s">
        <v>4202</v>
      </c>
    </row>
    <row r="86">
      <c r="A86" s="3">
        <v>45393.55315011574</v>
      </c>
      <c r="B86" s="3" t="s">
        <v>3229</v>
      </c>
      <c r="C86" s="3" t="s">
        <v>4276</v>
      </c>
      <c r="D86" s="3" t="s">
        <v>20</v>
      </c>
      <c r="E86" s="3">
        <v>45105.0</v>
      </c>
      <c r="F86" s="3">
        <v>179560.0</v>
      </c>
      <c r="G86" s="3" t="s">
        <v>21</v>
      </c>
      <c r="H86" s="3" t="s">
        <v>22</v>
      </c>
      <c r="I86" s="7"/>
      <c r="J86" s="7"/>
      <c r="K86" s="3" t="s">
        <v>4278</v>
      </c>
      <c r="L86" s="3" t="s">
        <v>4279</v>
      </c>
      <c r="M86" s="3" t="s">
        <v>4280</v>
      </c>
      <c r="N86" s="3" t="s">
        <v>27</v>
      </c>
      <c r="O86" s="3" t="s">
        <v>3234</v>
      </c>
      <c r="P86" s="7"/>
      <c r="Q86" s="3" t="s">
        <v>29</v>
      </c>
      <c r="R86" s="7"/>
      <c r="S86" s="7" t="s">
        <v>4281</v>
      </c>
      <c r="T86" s="7">
        <v>1486.0</v>
      </c>
      <c r="U86" s="7" t="s">
        <v>4282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20.88"/>
    <col customWidth="1" min="3" max="3" width="23.38"/>
    <col customWidth="1" min="4" max="4" width="39.5"/>
  </cols>
  <sheetData>
    <row r="1">
      <c r="A1" s="3" t="s">
        <v>6661</v>
      </c>
      <c r="B1" s="3" t="s">
        <v>6662</v>
      </c>
      <c r="C1" s="3" t="s">
        <v>6663</v>
      </c>
      <c r="D1" s="3" t="s">
        <v>6664</v>
      </c>
      <c r="E1" s="33" t="s">
        <v>6665</v>
      </c>
      <c r="F1" s="33" t="s">
        <v>6666</v>
      </c>
      <c r="G1" s="3" t="s">
        <v>6667</v>
      </c>
    </row>
    <row r="2">
      <c r="A2" s="3" t="s">
        <v>6668</v>
      </c>
      <c r="B2" s="1" t="s">
        <v>3970</v>
      </c>
      <c r="C2" s="3" t="s">
        <v>6669</v>
      </c>
      <c r="D2" s="3" t="s">
        <v>6670</v>
      </c>
      <c r="E2" s="25">
        <v>45267.0</v>
      </c>
      <c r="F2" s="25">
        <v>311588.02</v>
      </c>
      <c r="G2" s="1" t="s">
        <v>350</v>
      </c>
    </row>
    <row r="3">
      <c r="A3" s="3" t="s">
        <v>6671</v>
      </c>
      <c r="B3" s="1" t="s">
        <v>4048</v>
      </c>
      <c r="C3" s="3" t="s">
        <v>6672</v>
      </c>
      <c r="D3" s="3" t="s">
        <v>6673</v>
      </c>
      <c r="E3" s="25">
        <v>45200.0</v>
      </c>
      <c r="F3" s="25">
        <v>323200.0</v>
      </c>
      <c r="G3" s="1" t="s">
        <v>21</v>
      </c>
    </row>
    <row r="4">
      <c r="A4" s="3" t="s">
        <v>6674</v>
      </c>
      <c r="B4" s="1" t="s">
        <v>3310</v>
      </c>
      <c r="C4" s="3" t="s">
        <v>6675</v>
      </c>
      <c r="D4" s="3" t="s">
        <v>6676</v>
      </c>
      <c r="E4" s="25">
        <v>45047.0</v>
      </c>
      <c r="F4" s="25">
        <v>387000.0</v>
      </c>
      <c r="G4" s="1" t="s">
        <v>21</v>
      </c>
    </row>
    <row r="5">
      <c r="A5" s="3" t="s">
        <v>6677</v>
      </c>
      <c r="B5" s="1" t="s">
        <v>3203</v>
      </c>
      <c r="C5" s="3" t="s">
        <v>6678</v>
      </c>
      <c r="D5" s="3" t="s">
        <v>6676</v>
      </c>
      <c r="E5" s="25">
        <v>45013.0</v>
      </c>
      <c r="F5" s="25">
        <v>364528.0</v>
      </c>
      <c r="G5" s="1" t="s">
        <v>21</v>
      </c>
    </row>
    <row r="6">
      <c r="A6" s="3" t="s">
        <v>6679</v>
      </c>
      <c r="B6" s="1" t="s">
        <v>3288</v>
      </c>
      <c r="C6" s="3" t="s">
        <v>6672</v>
      </c>
      <c r="D6" s="3" t="s">
        <v>6673</v>
      </c>
      <c r="E6" s="25">
        <v>45013.0</v>
      </c>
      <c r="F6" s="25">
        <v>305000.0</v>
      </c>
      <c r="G6" s="1" t="s">
        <v>21</v>
      </c>
    </row>
    <row r="7">
      <c r="A7" s="3" t="s">
        <v>6668</v>
      </c>
      <c r="B7" s="1" t="s">
        <v>2900</v>
      </c>
      <c r="C7" s="3" t="s">
        <v>6669</v>
      </c>
      <c r="D7" s="3" t="s">
        <v>6670</v>
      </c>
      <c r="E7" s="25">
        <v>44917.0</v>
      </c>
      <c r="F7" s="25">
        <v>465028.0</v>
      </c>
      <c r="G7" s="1" t="s">
        <v>21</v>
      </c>
    </row>
    <row r="8">
      <c r="A8" s="3" t="s">
        <v>6680</v>
      </c>
      <c r="B8" s="1" t="s">
        <v>2921</v>
      </c>
      <c r="C8" s="3" t="s">
        <v>6669</v>
      </c>
      <c r="D8" s="3" t="s">
        <v>6670</v>
      </c>
      <c r="E8" s="25">
        <v>44917.0</v>
      </c>
      <c r="F8" s="25">
        <v>313042.0</v>
      </c>
      <c r="G8" s="1" t="s">
        <v>350</v>
      </c>
    </row>
    <row r="9">
      <c r="A9" s="3" t="s">
        <v>6681</v>
      </c>
      <c r="B9" s="1" t="s">
        <v>2726</v>
      </c>
      <c r="C9" s="3" t="s">
        <v>6672</v>
      </c>
      <c r="D9" s="3" t="s">
        <v>6673</v>
      </c>
      <c r="E9" s="25">
        <v>44778.0</v>
      </c>
      <c r="F9" s="25">
        <v>1185000.0</v>
      </c>
      <c r="G9" s="1" t="s">
        <v>21</v>
      </c>
    </row>
    <row r="10">
      <c r="A10" s="3" t="s">
        <v>6682</v>
      </c>
      <c r="B10" s="1" t="s">
        <v>2700</v>
      </c>
      <c r="C10" s="3" t="s">
        <v>6672</v>
      </c>
      <c r="D10" s="3" t="s">
        <v>6673</v>
      </c>
      <c r="E10" s="25">
        <v>44737.0</v>
      </c>
      <c r="F10" s="25">
        <v>450470.0</v>
      </c>
      <c r="G10" s="1" t="s">
        <v>21</v>
      </c>
    </row>
    <row r="11">
      <c r="A11" s="3" t="s">
        <v>6674</v>
      </c>
      <c r="B11" s="1" t="s">
        <v>2163</v>
      </c>
      <c r="C11" s="3" t="s">
        <v>6672</v>
      </c>
      <c r="D11" s="3" t="s">
        <v>6673</v>
      </c>
      <c r="E11" s="25">
        <v>44701.0</v>
      </c>
      <c r="F11" s="25">
        <v>626280.0</v>
      </c>
      <c r="G11" s="1" t="s">
        <v>21</v>
      </c>
    </row>
    <row r="12">
      <c r="A12" s="3" t="s">
        <v>6683</v>
      </c>
      <c r="B12" s="1" t="s">
        <v>2156</v>
      </c>
      <c r="C12" s="3" t="s">
        <v>6672</v>
      </c>
      <c r="D12" s="3" t="s">
        <v>6673</v>
      </c>
      <c r="E12" s="25">
        <v>44602.0</v>
      </c>
      <c r="F12" s="25">
        <v>372497.0</v>
      </c>
      <c r="G12" s="1" t="s">
        <v>21</v>
      </c>
    </row>
    <row r="13">
      <c r="A13" s="3" t="s">
        <v>6684</v>
      </c>
      <c r="B13" s="1" t="s">
        <v>3005</v>
      </c>
      <c r="C13" s="3" t="s">
        <v>6672</v>
      </c>
      <c r="D13" s="3" t="s">
        <v>6673</v>
      </c>
      <c r="E13" s="25">
        <v>44585.0</v>
      </c>
      <c r="F13" s="25">
        <v>328000.0</v>
      </c>
      <c r="G13" s="1" t="s">
        <v>21</v>
      </c>
    </row>
    <row r="14">
      <c r="A14" s="3" t="s">
        <v>6685</v>
      </c>
      <c r="B14" s="1" t="s">
        <v>1893</v>
      </c>
      <c r="C14" s="3" t="s">
        <v>6672</v>
      </c>
      <c r="D14" s="3" t="s">
        <v>6673</v>
      </c>
      <c r="E14" s="25">
        <v>44554.0</v>
      </c>
      <c r="F14" s="25">
        <v>400000.0</v>
      </c>
      <c r="G14" s="1" t="s">
        <v>21</v>
      </c>
    </row>
    <row r="15">
      <c r="A15" s="3" t="s">
        <v>6686</v>
      </c>
      <c r="B15" s="1" t="s">
        <v>1951</v>
      </c>
      <c r="C15" s="3" t="s">
        <v>6672</v>
      </c>
      <c r="D15" s="3" t="s">
        <v>6673</v>
      </c>
      <c r="E15" s="25">
        <v>44546.0</v>
      </c>
      <c r="F15" s="25">
        <v>1161507.0</v>
      </c>
      <c r="G15" s="1" t="s">
        <v>21</v>
      </c>
    </row>
    <row r="16">
      <c r="A16" s="3" t="s">
        <v>6687</v>
      </c>
      <c r="B16" s="1" t="s">
        <v>1815</v>
      </c>
      <c r="C16" s="3" t="s">
        <v>6688</v>
      </c>
      <c r="D16" s="3" t="s">
        <v>6673</v>
      </c>
      <c r="E16" s="25">
        <v>44474.0</v>
      </c>
      <c r="F16" s="25">
        <v>1158300.0</v>
      </c>
      <c r="G16" s="1" t="s">
        <v>21</v>
      </c>
    </row>
    <row r="17">
      <c r="A17" s="3" t="s">
        <v>6686</v>
      </c>
      <c r="B17" s="1" t="s">
        <v>1957</v>
      </c>
      <c r="C17" s="3" t="s">
        <v>6689</v>
      </c>
      <c r="D17" s="3" t="s">
        <v>6673</v>
      </c>
      <c r="E17" s="25">
        <v>44424.0</v>
      </c>
      <c r="F17" s="25">
        <v>1161507.82</v>
      </c>
      <c r="G17" s="1" t="s">
        <v>21</v>
      </c>
    </row>
    <row r="18">
      <c r="A18" s="3" t="s">
        <v>6690</v>
      </c>
      <c r="B18" s="1" t="s">
        <v>1738</v>
      </c>
      <c r="C18" s="3" t="s">
        <v>6688</v>
      </c>
      <c r="D18" s="3" t="s">
        <v>6673</v>
      </c>
      <c r="E18" s="25">
        <v>44398.0</v>
      </c>
      <c r="F18" s="25">
        <v>664800.0</v>
      </c>
      <c r="G18" s="1" t="s">
        <v>21</v>
      </c>
    </row>
    <row r="19">
      <c r="A19" s="3" t="s">
        <v>6691</v>
      </c>
      <c r="B19" s="1" t="s">
        <v>1906</v>
      </c>
      <c r="C19" s="3" t="s">
        <v>6692</v>
      </c>
      <c r="D19" s="3" t="s">
        <v>6693</v>
      </c>
      <c r="E19" s="25">
        <v>44293.0</v>
      </c>
      <c r="F19" s="25">
        <v>429922.0</v>
      </c>
      <c r="G19" s="1" t="s">
        <v>21</v>
      </c>
    </row>
    <row r="20">
      <c r="A20" s="3" t="s">
        <v>6694</v>
      </c>
      <c r="B20" s="1" t="s">
        <v>1545</v>
      </c>
      <c r="C20" s="3" t="s">
        <v>6695</v>
      </c>
      <c r="D20" s="3" t="s">
        <v>6676</v>
      </c>
      <c r="E20" s="25">
        <v>44256.0</v>
      </c>
      <c r="F20" s="25">
        <v>701000.0</v>
      </c>
      <c r="G20" s="1" t="s">
        <v>21</v>
      </c>
    </row>
    <row r="21">
      <c r="A21" s="3" t="s">
        <v>6696</v>
      </c>
      <c r="B21" s="1" t="s">
        <v>1115</v>
      </c>
      <c r="C21" s="3" t="s">
        <v>6689</v>
      </c>
      <c r="D21" s="3" t="s">
        <v>6673</v>
      </c>
      <c r="E21" s="25">
        <v>44118.0</v>
      </c>
      <c r="F21" s="25">
        <v>449870.0</v>
      </c>
      <c r="G21" s="1" t="s">
        <v>21</v>
      </c>
    </row>
    <row r="22">
      <c r="A22" s="3" t="s">
        <v>6687</v>
      </c>
      <c r="B22" s="1" t="s">
        <v>1433</v>
      </c>
      <c r="C22" s="3" t="s">
        <v>6689</v>
      </c>
      <c r="D22" s="3" t="s">
        <v>6673</v>
      </c>
      <c r="E22" s="25">
        <v>44077.0</v>
      </c>
      <c r="F22" s="25">
        <v>366050.0</v>
      </c>
      <c r="G22" s="1" t="s">
        <v>21</v>
      </c>
    </row>
    <row r="23">
      <c r="A23" s="3" t="s">
        <v>6697</v>
      </c>
      <c r="B23" s="1" t="s">
        <v>19</v>
      </c>
      <c r="C23" s="3" t="s">
        <v>6689</v>
      </c>
      <c r="D23" s="3" t="s">
        <v>6673</v>
      </c>
      <c r="E23" s="25">
        <v>43767.0</v>
      </c>
      <c r="F23" s="25">
        <v>350000.0</v>
      </c>
      <c r="G23" s="1" t="s">
        <v>21</v>
      </c>
    </row>
    <row r="24">
      <c r="A24" s="3" t="s">
        <v>6694</v>
      </c>
      <c r="B24" s="1" t="s">
        <v>405</v>
      </c>
      <c r="C24" s="3" t="s">
        <v>6695</v>
      </c>
      <c r="D24" s="3" t="s">
        <v>6676</v>
      </c>
      <c r="E24" s="25">
        <v>43633.0</v>
      </c>
      <c r="F24" s="25">
        <v>319728.97</v>
      </c>
      <c r="G24" s="1" t="s">
        <v>21</v>
      </c>
    </row>
    <row r="25">
      <c r="A25" s="3" t="s">
        <v>6698</v>
      </c>
      <c r="B25" s="1" t="s">
        <v>90</v>
      </c>
      <c r="C25" s="3" t="s">
        <v>6699</v>
      </c>
      <c r="D25" s="3" t="s">
        <v>6673</v>
      </c>
      <c r="E25" s="25">
        <v>43607.0</v>
      </c>
      <c r="F25" s="25">
        <v>340000.0</v>
      </c>
      <c r="G25" s="1" t="s">
        <v>21</v>
      </c>
    </row>
    <row r="26">
      <c r="A26" s="3" t="s">
        <v>6700</v>
      </c>
      <c r="B26" s="1" t="s">
        <v>111</v>
      </c>
      <c r="C26" s="3" t="s">
        <v>6689</v>
      </c>
      <c r="D26" s="3" t="s">
        <v>6673</v>
      </c>
      <c r="E26" s="25">
        <v>43363.0</v>
      </c>
      <c r="F26" s="25">
        <v>1046340.0</v>
      </c>
      <c r="G26" s="1" t="s">
        <v>21</v>
      </c>
    </row>
    <row r="27">
      <c r="A27" s="3" t="s">
        <v>6701</v>
      </c>
      <c r="B27" s="1" t="s">
        <v>251</v>
      </c>
      <c r="C27" s="3" t="s">
        <v>6689</v>
      </c>
      <c r="D27" s="3" t="s">
        <v>6673</v>
      </c>
      <c r="E27" s="25">
        <v>43354.0</v>
      </c>
      <c r="F27" s="25">
        <v>1194345.0</v>
      </c>
      <c r="G27" s="1" t="s">
        <v>21</v>
      </c>
    </row>
    <row r="28">
      <c r="A28" s="3" t="s">
        <v>6691</v>
      </c>
      <c r="B28" s="1" t="s">
        <v>387</v>
      </c>
      <c r="C28" s="3" t="s">
        <v>6689</v>
      </c>
      <c r="D28" s="3" t="s">
        <v>6673</v>
      </c>
      <c r="E28" s="25">
        <v>43348.0</v>
      </c>
      <c r="F28" s="25">
        <v>650000.0</v>
      </c>
      <c r="G28" s="1" t="s">
        <v>21</v>
      </c>
    </row>
    <row r="29">
      <c r="A29" s="3" t="s">
        <v>6702</v>
      </c>
      <c r="B29" s="1" t="s">
        <v>175</v>
      </c>
      <c r="C29" s="3" t="s">
        <v>6689</v>
      </c>
      <c r="D29" s="3" t="s">
        <v>6673</v>
      </c>
      <c r="E29" s="25">
        <v>43248.0</v>
      </c>
      <c r="F29" s="25">
        <v>370000.0</v>
      </c>
      <c r="G29" s="1" t="s">
        <v>21</v>
      </c>
    </row>
    <row r="30">
      <c r="A30" s="3" t="s">
        <v>6703</v>
      </c>
      <c r="B30" s="1" t="s">
        <v>316</v>
      </c>
      <c r="C30" s="3" t="s">
        <v>6704</v>
      </c>
      <c r="D30" s="3" t="s">
        <v>6673</v>
      </c>
      <c r="E30" s="25">
        <v>43228.0</v>
      </c>
      <c r="F30" s="25">
        <v>353218.0</v>
      </c>
      <c r="G30" s="1" t="s">
        <v>21</v>
      </c>
    </row>
    <row r="31">
      <c r="A31" s="3" t="s">
        <v>6705</v>
      </c>
      <c r="B31" s="1" t="s">
        <v>357</v>
      </c>
      <c r="C31" s="3" t="s">
        <v>6669</v>
      </c>
      <c r="D31" s="3" t="s">
        <v>6676</v>
      </c>
      <c r="E31" s="25">
        <v>43124.0</v>
      </c>
      <c r="F31" s="25">
        <v>416156.43</v>
      </c>
      <c r="G31" s="1" t="s">
        <v>21</v>
      </c>
    </row>
    <row r="32">
      <c r="A32" s="3" t="s">
        <v>6686</v>
      </c>
      <c r="B32" s="1" t="s">
        <v>243</v>
      </c>
      <c r="C32" s="3" t="s">
        <v>6689</v>
      </c>
      <c r="D32" s="3" t="s">
        <v>6673</v>
      </c>
      <c r="E32" s="25">
        <v>43059.0</v>
      </c>
      <c r="F32" s="25">
        <v>3273908.0</v>
      </c>
      <c r="G32" s="1" t="s">
        <v>21</v>
      </c>
    </row>
    <row r="33">
      <c r="A33" s="3" t="s">
        <v>6706</v>
      </c>
      <c r="B33" s="1" t="s">
        <v>203</v>
      </c>
      <c r="C33" s="3" t="s">
        <v>6689</v>
      </c>
      <c r="D33" s="3" t="s">
        <v>6673</v>
      </c>
      <c r="E33" s="25">
        <v>42723.0</v>
      </c>
      <c r="F33" s="25">
        <v>325000.0</v>
      </c>
      <c r="G33" s="1" t="s">
        <v>21</v>
      </c>
    </row>
    <row r="34">
      <c r="A34" s="3" t="s">
        <v>6707</v>
      </c>
      <c r="B34" s="1" t="s">
        <v>222</v>
      </c>
      <c r="C34" s="3" t="s">
        <v>6689</v>
      </c>
      <c r="D34" s="3" t="s">
        <v>6673</v>
      </c>
      <c r="E34" s="25">
        <v>42355.0</v>
      </c>
      <c r="F34" s="25">
        <v>527700.0</v>
      </c>
      <c r="G34" s="1" t="s">
        <v>21</v>
      </c>
    </row>
    <row r="35">
      <c r="E35" s="25"/>
      <c r="F35" s="25"/>
    </row>
    <row r="36">
      <c r="E36" s="25"/>
      <c r="F36" s="25"/>
    </row>
    <row r="37">
      <c r="E37" s="25"/>
      <c r="F37" s="25"/>
    </row>
    <row r="38">
      <c r="E38" s="25"/>
      <c r="F38" s="25"/>
    </row>
    <row r="39">
      <c r="E39" s="25"/>
      <c r="F39" s="25"/>
    </row>
    <row r="40">
      <c r="E40" s="25"/>
      <c r="F40" s="25"/>
    </row>
    <row r="41">
      <c r="E41" s="25"/>
      <c r="F41" s="25"/>
    </row>
    <row r="42">
      <c r="E42" s="25"/>
      <c r="F42" s="25"/>
    </row>
    <row r="43">
      <c r="E43" s="25"/>
      <c r="F43" s="25"/>
    </row>
    <row r="44">
      <c r="E44" s="25"/>
      <c r="F44" s="25"/>
    </row>
    <row r="45">
      <c r="E45" s="25"/>
      <c r="F45" s="25"/>
    </row>
    <row r="46">
      <c r="E46" s="25"/>
      <c r="F46" s="25"/>
    </row>
    <row r="47">
      <c r="E47" s="25"/>
      <c r="F47" s="25"/>
    </row>
    <row r="48">
      <c r="E48" s="25"/>
      <c r="F48" s="25"/>
    </row>
    <row r="49">
      <c r="E49" s="25"/>
      <c r="F49" s="25"/>
    </row>
    <row r="50">
      <c r="E50" s="25"/>
      <c r="F50" s="25"/>
    </row>
    <row r="51">
      <c r="E51" s="25"/>
      <c r="F51" s="25"/>
    </row>
    <row r="52">
      <c r="E52" s="25"/>
      <c r="F52" s="25"/>
    </row>
    <row r="53">
      <c r="E53" s="25"/>
      <c r="F53" s="25"/>
    </row>
    <row r="54">
      <c r="E54" s="25"/>
      <c r="F54" s="25"/>
    </row>
    <row r="55">
      <c r="E55" s="25"/>
      <c r="F55" s="25"/>
    </row>
    <row r="56">
      <c r="E56" s="25"/>
      <c r="F56" s="25"/>
    </row>
    <row r="57">
      <c r="E57" s="25"/>
      <c r="F57" s="25"/>
    </row>
    <row r="58">
      <c r="E58" s="25"/>
      <c r="F58" s="25"/>
    </row>
    <row r="59">
      <c r="E59" s="25"/>
      <c r="F59" s="25"/>
    </row>
    <row r="60">
      <c r="E60" s="25"/>
      <c r="F60" s="25"/>
    </row>
    <row r="61">
      <c r="E61" s="25"/>
      <c r="F61" s="25"/>
    </row>
    <row r="62">
      <c r="E62" s="25"/>
      <c r="F62" s="25"/>
    </row>
    <row r="63">
      <c r="E63" s="25"/>
      <c r="F63" s="25"/>
    </row>
    <row r="64">
      <c r="E64" s="25"/>
      <c r="F64" s="25"/>
    </row>
    <row r="65">
      <c r="E65" s="25"/>
      <c r="F65" s="25"/>
    </row>
    <row r="66">
      <c r="E66" s="25"/>
      <c r="F66" s="25"/>
    </row>
    <row r="67">
      <c r="E67" s="25"/>
      <c r="F67" s="25"/>
    </row>
    <row r="68">
      <c r="E68" s="25"/>
      <c r="F68" s="25"/>
    </row>
    <row r="69">
      <c r="E69" s="25"/>
      <c r="F69" s="25"/>
    </row>
    <row r="70">
      <c r="E70" s="25"/>
      <c r="F70" s="25"/>
    </row>
    <row r="71">
      <c r="E71" s="25"/>
      <c r="F71" s="25"/>
    </row>
    <row r="72">
      <c r="E72" s="25"/>
      <c r="F72" s="25"/>
    </row>
    <row r="73">
      <c r="E73" s="25"/>
      <c r="F73" s="25"/>
    </row>
    <row r="74">
      <c r="E74" s="25"/>
      <c r="F74" s="25"/>
    </row>
    <row r="75">
      <c r="E75" s="25"/>
      <c r="F75" s="25"/>
    </row>
    <row r="76">
      <c r="E76" s="25"/>
      <c r="F76" s="25"/>
    </row>
    <row r="77">
      <c r="E77" s="25"/>
      <c r="F77" s="25"/>
    </row>
    <row r="78">
      <c r="E78" s="25"/>
      <c r="F78" s="25"/>
    </row>
    <row r="79">
      <c r="E79" s="25"/>
      <c r="F79" s="25"/>
    </row>
    <row r="80">
      <c r="E80" s="25"/>
      <c r="F80" s="25"/>
    </row>
    <row r="81">
      <c r="E81" s="25"/>
      <c r="F81" s="25"/>
    </row>
    <row r="82">
      <c r="E82" s="25"/>
      <c r="F82" s="25"/>
    </row>
    <row r="83">
      <c r="E83" s="25"/>
      <c r="F83" s="25"/>
    </row>
    <row r="84">
      <c r="E84" s="25"/>
      <c r="F84" s="25"/>
    </row>
    <row r="85">
      <c r="E85" s="25"/>
      <c r="F85" s="25"/>
    </row>
    <row r="86">
      <c r="E86" s="25"/>
      <c r="F86" s="25"/>
    </row>
    <row r="87">
      <c r="E87" s="25"/>
      <c r="F87" s="25"/>
    </row>
    <row r="88">
      <c r="E88" s="25"/>
      <c r="F88" s="25"/>
    </row>
    <row r="89">
      <c r="E89" s="25"/>
      <c r="F89" s="25"/>
    </row>
    <row r="90">
      <c r="E90" s="25"/>
      <c r="F90" s="25"/>
    </row>
    <row r="91">
      <c r="E91" s="25"/>
      <c r="F91" s="25"/>
    </row>
    <row r="92">
      <c r="E92" s="25"/>
      <c r="F92" s="25"/>
    </row>
    <row r="93">
      <c r="E93" s="25"/>
      <c r="F93" s="25"/>
    </row>
    <row r="94">
      <c r="E94" s="25"/>
      <c r="F94" s="25"/>
    </row>
    <row r="95">
      <c r="E95" s="25"/>
      <c r="F95" s="25"/>
    </row>
    <row r="96">
      <c r="E96" s="25"/>
      <c r="F96" s="25"/>
    </row>
    <row r="97">
      <c r="E97" s="25"/>
      <c r="F97" s="25"/>
    </row>
    <row r="98">
      <c r="E98" s="25"/>
      <c r="F98" s="25"/>
    </row>
    <row r="99">
      <c r="E99" s="25"/>
      <c r="F99" s="25"/>
    </row>
    <row r="100">
      <c r="E100" s="25"/>
      <c r="F100" s="25"/>
    </row>
    <row r="101">
      <c r="E101" s="25"/>
      <c r="F101" s="25"/>
    </row>
    <row r="102">
      <c r="E102" s="25"/>
      <c r="F102" s="25"/>
    </row>
    <row r="103">
      <c r="E103" s="25"/>
      <c r="F103" s="25"/>
    </row>
    <row r="104">
      <c r="E104" s="25"/>
      <c r="F104" s="25"/>
    </row>
    <row r="105">
      <c r="E105" s="25"/>
      <c r="F105" s="25"/>
    </row>
    <row r="106">
      <c r="E106" s="25"/>
      <c r="F106" s="25"/>
    </row>
    <row r="107">
      <c r="E107" s="25"/>
      <c r="F107" s="25"/>
    </row>
    <row r="108">
      <c r="E108" s="25"/>
      <c r="F108" s="25"/>
    </row>
    <row r="109">
      <c r="E109" s="25"/>
      <c r="F109" s="25"/>
    </row>
    <row r="110">
      <c r="E110" s="25"/>
      <c r="F110" s="25"/>
    </row>
    <row r="111">
      <c r="E111" s="25"/>
      <c r="F111" s="25"/>
    </row>
    <row r="112">
      <c r="E112" s="25"/>
      <c r="F112" s="25"/>
    </row>
    <row r="113">
      <c r="E113" s="25"/>
      <c r="F113" s="25"/>
    </row>
    <row r="114">
      <c r="E114" s="25"/>
      <c r="F114" s="25"/>
    </row>
    <row r="115">
      <c r="E115" s="25"/>
      <c r="F115" s="25"/>
    </row>
    <row r="116">
      <c r="E116" s="25"/>
      <c r="F116" s="25"/>
    </row>
    <row r="117">
      <c r="E117" s="25"/>
      <c r="F117" s="25"/>
    </row>
    <row r="118">
      <c r="E118" s="25"/>
      <c r="F118" s="25"/>
    </row>
    <row r="119">
      <c r="E119" s="25"/>
      <c r="F119" s="25"/>
    </row>
    <row r="120">
      <c r="E120" s="25"/>
      <c r="F120" s="25"/>
    </row>
    <row r="121">
      <c r="E121" s="25"/>
      <c r="F121" s="25"/>
    </row>
    <row r="122">
      <c r="E122" s="25"/>
      <c r="F122" s="25"/>
    </row>
    <row r="123">
      <c r="E123" s="25"/>
      <c r="F123" s="25"/>
    </row>
    <row r="124">
      <c r="E124" s="25"/>
      <c r="F124" s="25"/>
    </row>
    <row r="125">
      <c r="E125" s="25"/>
      <c r="F125" s="25"/>
    </row>
    <row r="126">
      <c r="E126" s="25"/>
      <c r="F126" s="25"/>
    </row>
    <row r="127">
      <c r="E127" s="25"/>
      <c r="F127" s="25"/>
    </row>
    <row r="128">
      <c r="E128" s="25"/>
      <c r="F128" s="25"/>
    </row>
    <row r="129">
      <c r="E129" s="25"/>
      <c r="F129" s="25"/>
    </row>
    <row r="130">
      <c r="E130" s="25"/>
      <c r="F130" s="25"/>
    </row>
    <row r="131">
      <c r="E131" s="25"/>
      <c r="F131" s="25"/>
    </row>
    <row r="132">
      <c r="E132" s="25"/>
      <c r="F132" s="25"/>
    </row>
    <row r="133">
      <c r="E133" s="25"/>
      <c r="F133" s="25"/>
    </row>
    <row r="134">
      <c r="E134" s="25"/>
      <c r="F134" s="25"/>
    </row>
    <row r="135">
      <c r="E135" s="25"/>
      <c r="F135" s="25"/>
    </row>
    <row r="136">
      <c r="E136" s="25"/>
      <c r="F136" s="25"/>
    </row>
    <row r="137">
      <c r="E137" s="25"/>
      <c r="F137" s="25"/>
    </row>
    <row r="138">
      <c r="E138" s="25"/>
      <c r="F138" s="25"/>
    </row>
    <row r="139">
      <c r="E139" s="25"/>
      <c r="F139" s="25"/>
    </row>
    <row r="140">
      <c r="E140" s="25"/>
      <c r="F140" s="25"/>
    </row>
    <row r="141">
      <c r="E141" s="25"/>
      <c r="F141" s="25"/>
    </row>
    <row r="142">
      <c r="E142" s="25"/>
      <c r="F142" s="25"/>
    </row>
    <row r="143">
      <c r="E143" s="25"/>
      <c r="F143" s="25"/>
    </row>
    <row r="144">
      <c r="E144" s="25"/>
      <c r="F144" s="25"/>
    </row>
    <row r="145">
      <c r="E145" s="25"/>
      <c r="F145" s="25"/>
    </row>
    <row r="146">
      <c r="E146" s="25"/>
      <c r="F146" s="25"/>
    </row>
    <row r="147">
      <c r="E147" s="25"/>
      <c r="F147" s="25"/>
    </row>
    <row r="148">
      <c r="E148" s="25"/>
      <c r="F148" s="25"/>
    </row>
    <row r="149">
      <c r="E149" s="25"/>
      <c r="F149" s="25"/>
    </row>
    <row r="150">
      <c r="E150" s="25"/>
      <c r="F150" s="25"/>
    </row>
    <row r="151">
      <c r="E151" s="25"/>
      <c r="F151" s="25"/>
    </row>
    <row r="152">
      <c r="E152" s="25"/>
      <c r="F152" s="25"/>
    </row>
    <row r="153">
      <c r="E153" s="25"/>
      <c r="F153" s="25"/>
    </row>
    <row r="154">
      <c r="E154" s="25"/>
      <c r="F154" s="25"/>
    </row>
    <row r="155">
      <c r="E155" s="25"/>
      <c r="F155" s="25"/>
    </row>
    <row r="156">
      <c r="E156" s="25"/>
      <c r="F156" s="25"/>
    </row>
    <row r="157">
      <c r="E157" s="25"/>
      <c r="F157" s="25"/>
    </row>
    <row r="158">
      <c r="E158" s="25"/>
      <c r="F158" s="25"/>
    </row>
    <row r="159">
      <c r="E159" s="25"/>
      <c r="F159" s="25"/>
    </row>
    <row r="160">
      <c r="E160" s="25"/>
      <c r="F160" s="25"/>
    </row>
    <row r="161">
      <c r="E161" s="25"/>
      <c r="F161" s="25"/>
    </row>
    <row r="162">
      <c r="E162" s="25"/>
      <c r="F162" s="25"/>
    </row>
    <row r="163">
      <c r="E163" s="25"/>
      <c r="F163" s="25"/>
    </row>
    <row r="164">
      <c r="E164" s="25"/>
      <c r="F164" s="25"/>
    </row>
    <row r="165">
      <c r="E165" s="25"/>
      <c r="F165" s="25"/>
    </row>
    <row r="166">
      <c r="E166" s="25"/>
      <c r="F166" s="25"/>
    </row>
    <row r="167">
      <c r="E167" s="25"/>
      <c r="F167" s="25"/>
    </row>
    <row r="168">
      <c r="E168" s="25"/>
      <c r="F168" s="25"/>
    </row>
    <row r="169">
      <c r="E169" s="25"/>
      <c r="F169" s="25"/>
    </row>
    <row r="170">
      <c r="E170" s="25"/>
      <c r="F170" s="25"/>
    </row>
    <row r="171">
      <c r="E171" s="25"/>
      <c r="F171" s="25"/>
    </row>
    <row r="172">
      <c r="E172" s="25"/>
      <c r="F172" s="25"/>
    </row>
    <row r="173">
      <c r="E173" s="25"/>
      <c r="F173" s="25"/>
    </row>
    <row r="174">
      <c r="E174" s="25"/>
      <c r="F174" s="25"/>
    </row>
    <row r="175">
      <c r="E175" s="25"/>
      <c r="F175" s="25"/>
    </row>
    <row r="176">
      <c r="E176" s="25"/>
      <c r="F176" s="25"/>
    </row>
    <row r="177">
      <c r="E177" s="25"/>
      <c r="F177" s="25"/>
    </row>
    <row r="178">
      <c r="E178" s="25"/>
      <c r="F178" s="25"/>
    </row>
    <row r="179">
      <c r="E179" s="25"/>
      <c r="F179" s="25"/>
    </row>
    <row r="180">
      <c r="E180" s="25"/>
      <c r="F180" s="25"/>
    </row>
    <row r="181">
      <c r="E181" s="25"/>
      <c r="F181" s="25"/>
    </row>
    <row r="182">
      <c r="E182" s="25"/>
      <c r="F182" s="25"/>
    </row>
    <row r="183">
      <c r="E183" s="25"/>
      <c r="F183" s="25"/>
    </row>
    <row r="184">
      <c r="E184" s="25"/>
      <c r="F184" s="25"/>
    </row>
    <row r="185">
      <c r="E185" s="25"/>
      <c r="F185" s="25"/>
    </row>
    <row r="186">
      <c r="E186" s="25"/>
      <c r="F186" s="25"/>
    </row>
    <row r="187">
      <c r="E187" s="25"/>
      <c r="F187" s="25"/>
    </row>
    <row r="188">
      <c r="E188" s="25"/>
      <c r="F188" s="25"/>
    </row>
    <row r="189">
      <c r="E189" s="25"/>
      <c r="F189" s="25"/>
    </row>
    <row r="190">
      <c r="E190" s="25"/>
      <c r="F190" s="25"/>
    </row>
    <row r="191">
      <c r="E191" s="25"/>
      <c r="F191" s="25"/>
    </row>
    <row r="192">
      <c r="E192" s="25"/>
      <c r="F192" s="25"/>
    </row>
    <row r="193">
      <c r="E193" s="25"/>
      <c r="F193" s="25"/>
    </row>
    <row r="194">
      <c r="E194" s="25"/>
      <c r="F194" s="25"/>
    </row>
    <row r="195">
      <c r="E195" s="25"/>
      <c r="F195" s="25"/>
    </row>
    <row r="196">
      <c r="E196" s="25"/>
      <c r="F196" s="25"/>
    </row>
    <row r="197">
      <c r="E197" s="25"/>
      <c r="F197" s="25"/>
    </row>
    <row r="198">
      <c r="E198" s="25"/>
      <c r="F198" s="25"/>
    </row>
    <row r="199">
      <c r="E199" s="25"/>
      <c r="F199" s="25"/>
    </row>
    <row r="200">
      <c r="E200" s="25"/>
      <c r="F200" s="25"/>
    </row>
    <row r="201">
      <c r="E201" s="25"/>
      <c r="F201" s="25"/>
    </row>
    <row r="202">
      <c r="E202" s="25"/>
      <c r="F202" s="25"/>
    </row>
    <row r="203">
      <c r="E203" s="25"/>
      <c r="F203" s="25"/>
    </row>
    <row r="204">
      <c r="E204" s="25"/>
      <c r="F204" s="25"/>
    </row>
    <row r="205">
      <c r="E205" s="25"/>
      <c r="F205" s="25"/>
    </row>
    <row r="206">
      <c r="E206" s="25"/>
      <c r="F206" s="25"/>
    </row>
    <row r="207">
      <c r="E207" s="25"/>
      <c r="F207" s="25"/>
    </row>
    <row r="208">
      <c r="E208" s="25"/>
      <c r="F208" s="25"/>
    </row>
    <row r="209">
      <c r="E209" s="25"/>
      <c r="F209" s="25"/>
    </row>
    <row r="210">
      <c r="E210" s="25"/>
      <c r="F210" s="25"/>
    </row>
    <row r="211">
      <c r="E211" s="25"/>
      <c r="F211" s="25"/>
    </row>
    <row r="212">
      <c r="E212" s="25"/>
      <c r="F212" s="25"/>
    </row>
    <row r="213">
      <c r="E213" s="25"/>
      <c r="F213" s="25"/>
    </row>
    <row r="214">
      <c r="E214" s="25"/>
      <c r="F214" s="25"/>
    </row>
    <row r="215">
      <c r="E215" s="25"/>
      <c r="F215" s="25"/>
    </row>
    <row r="216">
      <c r="E216" s="25"/>
      <c r="F216" s="25"/>
    </row>
    <row r="217">
      <c r="E217" s="25"/>
      <c r="F217" s="25"/>
    </row>
    <row r="218">
      <c r="E218" s="25"/>
      <c r="F218" s="25"/>
    </row>
    <row r="219">
      <c r="E219" s="25"/>
      <c r="F219" s="25"/>
    </row>
    <row r="220">
      <c r="E220" s="25"/>
      <c r="F220" s="25"/>
    </row>
    <row r="221">
      <c r="E221" s="25"/>
      <c r="F221" s="25"/>
    </row>
    <row r="222">
      <c r="E222" s="25"/>
      <c r="F222" s="25"/>
    </row>
    <row r="223">
      <c r="E223" s="25"/>
      <c r="F223" s="25"/>
    </row>
    <row r="224">
      <c r="E224" s="25"/>
      <c r="F224" s="25"/>
    </row>
    <row r="225">
      <c r="E225" s="25"/>
      <c r="F225" s="25"/>
    </row>
    <row r="226">
      <c r="E226" s="25"/>
      <c r="F226" s="25"/>
    </row>
    <row r="227">
      <c r="E227" s="25"/>
      <c r="F227" s="25"/>
    </row>
    <row r="228">
      <c r="E228" s="25"/>
      <c r="F228" s="25"/>
    </row>
    <row r="229">
      <c r="E229" s="25"/>
      <c r="F229" s="25"/>
    </row>
    <row r="230">
      <c r="E230" s="25"/>
      <c r="F230" s="25"/>
    </row>
    <row r="231">
      <c r="E231" s="25"/>
      <c r="F231" s="25"/>
    </row>
    <row r="232">
      <c r="E232" s="25"/>
      <c r="F232" s="25"/>
    </row>
    <row r="233">
      <c r="E233" s="25"/>
      <c r="F233" s="25"/>
    </row>
    <row r="234">
      <c r="E234" s="25"/>
      <c r="F234" s="25"/>
    </row>
    <row r="235">
      <c r="E235" s="25"/>
      <c r="F235" s="25"/>
    </row>
    <row r="236">
      <c r="E236" s="25"/>
      <c r="F236" s="25"/>
    </row>
    <row r="237">
      <c r="E237" s="25"/>
      <c r="F237" s="25"/>
    </row>
    <row r="238">
      <c r="E238" s="25"/>
      <c r="F238" s="25"/>
    </row>
    <row r="239">
      <c r="E239" s="25"/>
      <c r="F239" s="25"/>
    </row>
    <row r="240">
      <c r="E240" s="25"/>
      <c r="F240" s="25"/>
    </row>
    <row r="241">
      <c r="E241" s="25"/>
      <c r="F241" s="25"/>
    </row>
    <row r="242">
      <c r="E242" s="25"/>
      <c r="F242" s="25"/>
    </row>
    <row r="243">
      <c r="E243" s="25"/>
      <c r="F243" s="25"/>
    </row>
    <row r="244">
      <c r="E244" s="25"/>
      <c r="F244" s="25"/>
    </row>
    <row r="245">
      <c r="E245" s="25"/>
      <c r="F245" s="25"/>
    </row>
    <row r="246">
      <c r="E246" s="25"/>
      <c r="F246" s="25"/>
    </row>
    <row r="247">
      <c r="E247" s="25"/>
      <c r="F247" s="25"/>
    </row>
    <row r="248">
      <c r="E248" s="25"/>
      <c r="F248" s="25"/>
    </row>
    <row r="249">
      <c r="E249" s="25"/>
      <c r="F249" s="25"/>
    </row>
    <row r="250">
      <c r="E250" s="25"/>
      <c r="F250" s="25"/>
    </row>
    <row r="251">
      <c r="E251" s="25"/>
      <c r="F251" s="25"/>
    </row>
    <row r="252">
      <c r="E252" s="25"/>
      <c r="F252" s="25"/>
    </row>
    <row r="253">
      <c r="E253" s="25"/>
      <c r="F253" s="25"/>
    </row>
    <row r="254">
      <c r="E254" s="25"/>
      <c r="F254" s="25"/>
    </row>
    <row r="255">
      <c r="E255" s="25"/>
      <c r="F255" s="25"/>
    </row>
    <row r="256">
      <c r="E256" s="25"/>
      <c r="F256" s="25"/>
    </row>
    <row r="257">
      <c r="E257" s="25"/>
      <c r="F257" s="25"/>
    </row>
    <row r="258">
      <c r="E258" s="25"/>
      <c r="F258" s="25"/>
    </row>
    <row r="259">
      <c r="E259" s="25"/>
      <c r="F259" s="25"/>
    </row>
    <row r="260">
      <c r="E260" s="25"/>
      <c r="F260" s="25"/>
    </row>
    <row r="261">
      <c r="E261" s="25"/>
      <c r="F261" s="25"/>
    </row>
    <row r="262">
      <c r="E262" s="25"/>
      <c r="F262" s="25"/>
    </row>
    <row r="263">
      <c r="E263" s="25"/>
      <c r="F263" s="25"/>
    </row>
    <row r="264">
      <c r="E264" s="25"/>
      <c r="F264" s="25"/>
    </row>
    <row r="265">
      <c r="E265" s="25"/>
      <c r="F265" s="25"/>
    </row>
    <row r="266">
      <c r="E266" s="25"/>
      <c r="F266" s="25"/>
    </row>
    <row r="267">
      <c r="E267" s="25"/>
      <c r="F267" s="25"/>
    </row>
    <row r="268">
      <c r="E268" s="25"/>
      <c r="F268" s="25"/>
    </row>
    <row r="269">
      <c r="E269" s="25"/>
      <c r="F269" s="25"/>
    </row>
    <row r="270">
      <c r="E270" s="25"/>
      <c r="F270" s="25"/>
    </row>
    <row r="271">
      <c r="E271" s="25"/>
      <c r="F271" s="25"/>
    </row>
    <row r="272">
      <c r="E272" s="25"/>
      <c r="F272" s="25"/>
    </row>
    <row r="273">
      <c r="E273" s="25"/>
      <c r="F273" s="25"/>
    </row>
    <row r="274">
      <c r="E274" s="25"/>
      <c r="F274" s="25"/>
    </row>
    <row r="275">
      <c r="E275" s="25"/>
      <c r="F275" s="25"/>
    </row>
    <row r="276">
      <c r="E276" s="25"/>
      <c r="F276" s="25"/>
    </row>
    <row r="277">
      <c r="E277" s="25"/>
      <c r="F277" s="25"/>
    </row>
    <row r="278">
      <c r="E278" s="25"/>
      <c r="F278" s="25"/>
    </row>
    <row r="279">
      <c r="E279" s="25"/>
      <c r="F279" s="25"/>
    </row>
    <row r="280">
      <c r="E280" s="25"/>
      <c r="F280" s="25"/>
    </row>
    <row r="281">
      <c r="E281" s="25"/>
      <c r="F281" s="25"/>
    </row>
    <row r="282">
      <c r="E282" s="25"/>
      <c r="F282" s="25"/>
    </row>
    <row r="283">
      <c r="E283" s="25"/>
      <c r="F283" s="25"/>
    </row>
    <row r="284">
      <c r="E284" s="25"/>
      <c r="F284" s="25"/>
    </row>
    <row r="285">
      <c r="E285" s="25"/>
      <c r="F285" s="25"/>
    </row>
    <row r="286">
      <c r="E286" s="25"/>
      <c r="F286" s="25"/>
    </row>
    <row r="287">
      <c r="E287" s="25"/>
      <c r="F287" s="25"/>
    </row>
    <row r="288">
      <c r="E288" s="25"/>
      <c r="F288" s="25"/>
    </row>
    <row r="289">
      <c r="E289" s="25"/>
      <c r="F289" s="25"/>
    </row>
    <row r="290">
      <c r="E290" s="25"/>
      <c r="F290" s="25"/>
    </row>
    <row r="291">
      <c r="E291" s="25"/>
      <c r="F291" s="25"/>
    </row>
    <row r="292">
      <c r="E292" s="25"/>
      <c r="F292" s="25"/>
    </row>
    <row r="293">
      <c r="E293" s="25"/>
      <c r="F293" s="25"/>
    </row>
    <row r="294">
      <c r="E294" s="25"/>
      <c r="F294" s="25"/>
    </row>
    <row r="295">
      <c r="E295" s="25"/>
      <c r="F295" s="25"/>
    </row>
    <row r="296">
      <c r="E296" s="25"/>
      <c r="F296" s="25"/>
    </row>
    <row r="297">
      <c r="E297" s="25"/>
      <c r="F297" s="25"/>
    </row>
    <row r="298">
      <c r="E298" s="25"/>
      <c r="F298" s="25"/>
    </row>
    <row r="299">
      <c r="E299" s="25"/>
      <c r="F299" s="25"/>
    </row>
    <row r="300">
      <c r="E300" s="25"/>
      <c r="F300" s="25"/>
    </row>
    <row r="301">
      <c r="E301" s="25"/>
      <c r="F301" s="25"/>
    </row>
    <row r="302">
      <c r="E302" s="25"/>
      <c r="F302" s="25"/>
    </row>
    <row r="303">
      <c r="E303" s="25"/>
      <c r="F303" s="25"/>
    </row>
    <row r="304">
      <c r="E304" s="25"/>
      <c r="F304" s="25"/>
    </row>
    <row r="305">
      <c r="E305" s="25"/>
      <c r="F305" s="25"/>
    </row>
    <row r="306">
      <c r="E306" s="25"/>
      <c r="F306" s="25"/>
    </row>
    <row r="307">
      <c r="E307" s="25"/>
      <c r="F307" s="25"/>
    </row>
    <row r="308">
      <c r="E308" s="25"/>
      <c r="F308" s="25"/>
    </row>
    <row r="309">
      <c r="E309" s="25"/>
      <c r="F309" s="25"/>
    </row>
    <row r="310">
      <c r="E310" s="25"/>
      <c r="F310" s="25"/>
    </row>
    <row r="311">
      <c r="E311" s="25"/>
      <c r="F311" s="25"/>
    </row>
    <row r="312">
      <c r="E312" s="25"/>
      <c r="F312" s="25"/>
    </row>
    <row r="313">
      <c r="E313" s="25"/>
      <c r="F313" s="25"/>
    </row>
    <row r="314">
      <c r="E314" s="25"/>
      <c r="F314" s="25"/>
    </row>
    <row r="315">
      <c r="E315" s="25"/>
      <c r="F315" s="25"/>
    </row>
    <row r="316">
      <c r="E316" s="25"/>
      <c r="F316" s="25"/>
    </row>
    <row r="317">
      <c r="E317" s="25"/>
      <c r="F317" s="25"/>
    </row>
    <row r="318">
      <c r="E318" s="25"/>
      <c r="F318" s="25"/>
    </row>
    <row r="319">
      <c r="E319" s="25"/>
      <c r="F319" s="25"/>
    </row>
    <row r="320">
      <c r="E320" s="25"/>
      <c r="F320" s="25"/>
    </row>
    <row r="321">
      <c r="E321" s="25"/>
      <c r="F321" s="25"/>
    </row>
    <row r="322">
      <c r="E322" s="25"/>
      <c r="F322" s="25"/>
    </row>
    <row r="323">
      <c r="E323" s="25"/>
      <c r="F323" s="25"/>
    </row>
    <row r="324">
      <c r="E324" s="25"/>
      <c r="F324" s="25"/>
    </row>
    <row r="325">
      <c r="E325" s="25"/>
      <c r="F325" s="25"/>
    </row>
    <row r="326">
      <c r="E326" s="25"/>
      <c r="F326" s="25"/>
    </row>
    <row r="327">
      <c r="E327" s="25"/>
      <c r="F327" s="25"/>
    </row>
    <row r="328">
      <c r="E328" s="25"/>
      <c r="F328" s="25"/>
    </row>
    <row r="329">
      <c r="E329" s="25"/>
      <c r="F329" s="25"/>
    </row>
    <row r="330">
      <c r="E330" s="25"/>
      <c r="F330" s="25"/>
    </row>
    <row r="331">
      <c r="E331" s="25"/>
      <c r="F331" s="25"/>
    </row>
    <row r="332">
      <c r="E332" s="25"/>
      <c r="F332" s="25"/>
    </row>
    <row r="333">
      <c r="E333" s="25"/>
      <c r="F333" s="25"/>
    </row>
    <row r="334">
      <c r="E334" s="25"/>
      <c r="F334" s="25"/>
    </row>
    <row r="335">
      <c r="E335" s="25"/>
      <c r="F335" s="25"/>
    </row>
    <row r="336">
      <c r="E336" s="25"/>
      <c r="F336" s="25"/>
    </row>
    <row r="337">
      <c r="E337" s="25"/>
      <c r="F337" s="25"/>
    </row>
    <row r="338">
      <c r="E338" s="25"/>
      <c r="F338" s="25"/>
    </row>
    <row r="339">
      <c r="E339" s="25"/>
      <c r="F339" s="25"/>
    </row>
    <row r="340">
      <c r="E340" s="25"/>
      <c r="F340" s="25"/>
    </row>
    <row r="341">
      <c r="E341" s="25"/>
      <c r="F341" s="25"/>
    </row>
    <row r="342">
      <c r="E342" s="25"/>
      <c r="F342" s="25"/>
    </row>
    <row r="343">
      <c r="E343" s="25"/>
      <c r="F343" s="25"/>
    </row>
    <row r="344">
      <c r="E344" s="25"/>
      <c r="F344" s="25"/>
    </row>
    <row r="345">
      <c r="E345" s="25"/>
      <c r="F345" s="25"/>
    </row>
    <row r="346">
      <c r="E346" s="25"/>
      <c r="F346" s="25"/>
    </row>
    <row r="347">
      <c r="E347" s="25"/>
      <c r="F347" s="25"/>
    </row>
    <row r="348">
      <c r="E348" s="25"/>
      <c r="F348" s="25"/>
    </row>
    <row r="349">
      <c r="E349" s="25"/>
      <c r="F349" s="25"/>
    </row>
    <row r="350">
      <c r="E350" s="25"/>
      <c r="F350" s="25"/>
    </row>
    <row r="351">
      <c r="E351" s="25"/>
      <c r="F351" s="25"/>
    </row>
    <row r="352">
      <c r="E352" s="25"/>
      <c r="F352" s="25"/>
    </row>
    <row r="353">
      <c r="E353" s="25"/>
      <c r="F353" s="25"/>
    </row>
    <row r="354">
      <c r="E354" s="25"/>
      <c r="F354" s="25"/>
    </row>
    <row r="355">
      <c r="E355" s="25"/>
      <c r="F355" s="25"/>
    </row>
    <row r="356">
      <c r="E356" s="25"/>
      <c r="F356" s="25"/>
    </row>
    <row r="357">
      <c r="E357" s="25"/>
      <c r="F357" s="25"/>
    </row>
    <row r="358">
      <c r="E358" s="25"/>
      <c r="F358" s="25"/>
    </row>
    <row r="359">
      <c r="E359" s="25"/>
      <c r="F359" s="25"/>
    </row>
    <row r="360">
      <c r="E360" s="25"/>
      <c r="F360" s="25"/>
    </row>
    <row r="361">
      <c r="E361" s="25"/>
      <c r="F361" s="25"/>
    </row>
    <row r="362">
      <c r="E362" s="25"/>
      <c r="F362" s="25"/>
    </row>
    <row r="363">
      <c r="E363" s="25"/>
      <c r="F363" s="25"/>
    </row>
    <row r="364">
      <c r="E364" s="25"/>
      <c r="F364" s="25"/>
    </row>
    <row r="365">
      <c r="E365" s="25"/>
      <c r="F365" s="25"/>
    </row>
    <row r="366">
      <c r="E366" s="25"/>
      <c r="F366" s="25"/>
    </row>
    <row r="367">
      <c r="E367" s="25"/>
      <c r="F367" s="25"/>
    </row>
    <row r="368">
      <c r="E368" s="25"/>
      <c r="F368" s="25"/>
    </row>
    <row r="369">
      <c r="E369" s="25"/>
      <c r="F369" s="25"/>
    </row>
    <row r="370">
      <c r="E370" s="25"/>
      <c r="F370" s="25"/>
    </row>
    <row r="371">
      <c r="E371" s="25"/>
      <c r="F371" s="25"/>
    </row>
    <row r="372">
      <c r="E372" s="25"/>
      <c r="F372" s="25"/>
    </row>
    <row r="373">
      <c r="E373" s="25"/>
      <c r="F373" s="25"/>
    </row>
    <row r="374">
      <c r="E374" s="25"/>
      <c r="F374" s="25"/>
    </row>
    <row r="375">
      <c r="E375" s="25"/>
      <c r="F375" s="25"/>
    </row>
    <row r="376">
      <c r="E376" s="25"/>
      <c r="F376" s="25"/>
    </row>
    <row r="377">
      <c r="E377" s="25"/>
      <c r="F377" s="25"/>
    </row>
    <row r="378">
      <c r="E378" s="25"/>
      <c r="F378" s="25"/>
    </row>
    <row r="379">
      <c r="E379" s="25"/>
      <c r="F379" s="25"/>
    </row>
    <row r="380">
      <c r="E380" s="25"/>
      <c r="F380" s="25"/>
    </row>
    <row r="381">
      <c r="E381" s="25"/>
      <c r="F381" s="25"/>
    </row>
    <row r="382">
      <c r="E382" s="25"/>
      <c r="F382" s="25"/>
    </row>
    <row r="383">
      <c r="E383" s="25"/>
      <c r="F383" s="25"/>
    </row>
    <row r="384">
      <c r="E384" s="25"/>
      <c r="F384" s="25"/>
    </row>
    <row r="385">
      <c r="E385" s="25"/>
      <c r="F385" s="25"/>
    </row>
    <row r="386">
      <c r="E386" s="25"/>
      <c r="F386" s="25"/>
    </row>
    <row r="387">
      <c r="E387" s="25"/>
      <c r="F387" s="25"/>
    </row>
    <row r="388">
      <c r="E388" s="25"/>
      <c r="F388" s="25"/>
    </row>
    <row r="389">
      <c r="E389" s="25"/>
      <c r="F389" s="25"/>
    </row>
    <row r="390">
      <c r="E390" s="25"/>
      <c r="F390" s="25"/>
    </row>
    <row r="391">
      <c r="E391" s="25"/>
      <c r="F391" s="25"/>
    </row>
    <row r="392">
      <c r="E392" s="25"/>
      <c r="F392" s="25"/>
    </row>
    <row r="393">
      <c r="E393" s="25"/>
      <c r="F393" s="25"/>
    </row>
    <row r="394">
      <c r="E394" s="25"/>
      <c r="F394" s="25"/>
    </row>
    <row r="395">
      <c r="E395" s="25"/>
      <c r="F395" s="25"/>
    </row>
    <row r="396">
      <c r="E396" s="25"/>
      <c r="F396" s="25"/>
    </row>
    <row r="397">
      <c r="E397" s="25"/>
      <c r="F397" s="25"/>
    </row>
    <row r="398">
      <c r="E398" s="25"/>
      <c r="F398" s="25"/>
    </row>
    <row r="399">
      <c r="E399" s="25"/>
      <c r="F399" s="25"/>
    </row>
    <row r="400">
      <c r="E400" s="25"/>
      <c r="F400" s="25"/>
    </row>
    <row r="401">
      <c r="E401" s="25"/>
      <c r="F401" s="25"/>
    </row>
    <row r="402">
      <c r="E402" s="25"/>
      <c r="F402" s="25"/>
    </row>
    <row r="403">
      <c r="E403" s="25"/>
      <c r="F403" s="25"/>
    </row>
    <row r="404">
      <c r="E404" s="25"/>
      <c r="F404" s="25"/>
    </row>
    <row r="405">
      <c r="E405" s="25"/>
      <c r="F405" s="25"/>
    </row>
    <row r="406">
      <c r="E406" s="25"/>
      <c r="F406" s="25"/>
    </row>
    <row r="407">
      <c r="E407" s="25"/>
      <c r="F407" s="25"/>
    </row>
    <row r="408">
      <c r="E408" s="25"/>
      <c r="F408" s="25"/>
    </row>
    <row r="409">
      <c r="E409" s="25"/>
      <c r="F409" s="25"/>
    </row>
    <row r="410">
      <c r="E410" s="25"/>
      <c r="F410" s="25"/>
    </row>
    <row r="411">
      <c r="E411" s="25"/>
      <c r="F411" s="25"/>
    </row>
    <row r="412">
      <c r="E412" s="25"/>
      <c r="F412" s="25"/>
    </row>
    <row r="413">
      <c r="E413" s="25"/>
      <c r="F413" s="25"/>
    </row>
    <row r="414">
      <c r="E414" s="25"/>
      <c r="F414" s="25"/>
    </row>
    <row r="415">
      <c r="E415" s="25"/>
      <c r="F415" s="25"/>
    </row>
    <row r="416">
      <c r="E416" s="25"/>
      <c r="F416" s="25"/>
    </row>
    <row r="417">
      <c r="E417" s="25"/>
      <c r="F417" s="25"/>
    </row>
    <row r="418">
      <c r="E418" s="25"/>
      <c r="F418" s="25"/>
    </row>
    <row r="419">
      <c r="E419" s="25"/>
      <c r="F419" s="25"/>
    </row>
    <row r="420">
      <c r="E420" s="25"/>
      <c r="F420" s="25"/>
    </row>
    <row r="421">
      <c r="E421" s="25"/>
      <c r="F421" s="25"/>
    </row>
    <row r="422">
      <c r="E422" s="25"/>
      <c r="F422" s="25"/>
    </row>
    <row r="423">
      <c r="E423" s="25"/>
      <c r="F423" s="25"/>
    </row>
    <row r="424">
      <c r="E424" s="25"/>
      <c r="F424" s="25"/>
    </row>
    <row r="425">
      <c r="E425" s="25"/>
      <c r="F425" s="25"/>
    </row>
    <row r="426">
      <c r="E426" s="25"/>
      <c r="F426" s="25"/>
    </row>
    <row r="427">
      <c r="E427" s="25"/>
      <c r="F427" s="25"/>
    </row>
    <row r="428">
      <c r="E428" s="25"/>
      <c r="F428" s="25"/>
    </row>
    <row r="429">
      <c r="E429" s="25"/>
      <c r="F429" s="25"/>
    </row>
    <row r="430">
      <c r="E430" s="25"/>
      <c r="F430" s="25"/>
    </row>
    <row r="431">
      <c r="E431" s="25"/>
      <c r="F431" s="25"/>
    </row>
    <row r="432">
      <c r="E432" s="25"/>
      <c r="F432" s="25"/>
    </row>
    <row r="433">
      <c r="E433" s="25"/>
      <c r="F433" s="25"/>
    </row>
    <row r="434">
      <c r="E434" s="25"/>
      <c r="F434" s="25"/>
    </row>
    <row r="435">
      <c r="E435" s="25"/>
      <c r="F435" s="25"/>
    </row>
    <row r="436">
      <c r="E436" s="25"/>
      <c r="F436" s="25"/>
    </row>
    <row r="437">
      <c r="E437" s="25"/>
      <c r="F437" s="25"/>
    </row>
    <row r="438">
      <c r="E438" s="25"/>
      <c r="F438" s="25"/>
    </row>
    <row r="439">
      <c r="E439" s="25"/>
      <c r="F439" s="25"/>
    </row>
    <row r="440">
      <c r="E440" s="25"/>
      <c r="F440" s="25"/>
    </row>
    <row r="441">
      <c r="E441" s="25"/>
      <c r="F441" s="25"/>
    </row>
    <row r="442">
      <c r="E442" s="25"/>
      <c r="F442" s="25"/>
    </row>
    <row r="443">
      <c r="E443" s="25"/>
      <c r="F443" s="25"/>
    </row>
    <row r="444">
      <c r="E444" s="25"/>
      <c r="F444" s="25"/>
    </row>
    <row r="445">
      <c r="E445" s="25"/>
      <c r="F445" s="25"/>
    </row>
    <row r="446">
      <c r="E446" s="25"/>
      <c r="F446" s="25"/>
    </row>
    <row r="447">
      <c r="E447" s="25"/>
      <c r="F447" s="25"/>
    </row>
    <row r="448">
      <c r="E448" s="25"/>
      <c r="F448" s="25"/>
    </row>
    <row r="449">
      <c r="E449" s="25"/>
      <c r="F449" s="25"/>
    </row>
    <row r="450">
      <c r="E450" s="25"/>
      <c r="F450" s="25"/>
    </row>
    <row r="451">
      <c r="E451" s="25"/>
      <c r="F451" s="25"/>
    </row>
    <row r="452">
      <c r="E452" s="25"/>
      <c r="F452" s="25"/>
    </row>
    <row r="453">
      <c r="E453" s="25"/>
      <c r="F453" s="25"/>
    </row>
    <row r="454">
      <c r="E454" s="25"/>
      <c r="F454" s="25"/>
    </row>
    <row r="455">
      <c r="E455" s="25"/>
      <c r="F455" s="25"/>
    </row>
    <row r="456">
      <c r="E456" s="25"/>
      <c r="F456" s="25"/>
    </row>
    <row r="457">
      <c r="E457" s="25"/>
      <c r="F457" s="25"/>
    </row>
    <row r="458">
      <c r="E458" s="25"/>
      <c r="F458" s="25"/>
    </row>
    <row r="459">
      <c r="E459" s="25"/>
      <c r="F459" s="25"/>
    </row>
    <row r="460">
      <c r="E460" s="25"/>
      <c r="F460" s="25"/>
    </row>
    <row r="461">
      <c r="E461" s="25"/>
      <c r="F461" s="25"/>
    </row>
    <row r="462">
      <c r="E462" s="25"/>
      <c r="F462" s="25"/>
    </row>
    <row r="463">
      <c r="E463" s="25"/>
      <c r="F463" s="25"/>
    </row>
    <row r="464">
      <c r="E464" s="25"/>
      <c r="F464" s="25"/>
    </row>
    <row r="465">
      <c r="E465" s="25"/>
      <c r="F465" s="25"/>
    </row>
    <row r="466">
      <c r="E466" s="25"/>
      <c r="F466" s="25"/>
    </row>
    <row r="467">
      <c r="E467" s="25"/>
      <c r="F467" s="25"/>
    </row>
    <row r="468">
      <c r="E468" s="25"/>
      <c r="F468" s="25"/>
    </row>
    <row r="469">
      <c r="E469" s="25"/>
      <c r="F469" s="25"/>
    </row>
    <row r="470">
      <c r="E470" s="25"/>
      <c r="F470" s="25"/>
    </row>
    <row r="471">
      <c r="E471" s="25"/>
      <c r="F471" s="25"/>
    </row>
    <row r="472">
      <c r="E472" s="25"/>
      <c r="F472" s="25"/>
    </row>
    <row r="473">
      <c r="E473" s="25"/>
      <c r="F473" s="25"/>
    </row>
    <row r="474">
      <c r="E474" s="25"/>
      <c r="F474" s="25"/>
    </row>
    <row r="475">
      <c r="E475" s="25"/>
      <c r="F475" s="25"/>
    </row>
    <row r="476">
      <c r="E476" s="25"/>
      <c r="F476" s="25"/>
    </row>
    <row r="477">
      <c r="E477" s="25"/>
      <c r="F477" s="25"/>
    </row>
    <row r="478">
      <c r="E478" s="25"/>
      <c r="F478" s="25"/>
    </row>
    <row r="479">
      <c r="E479" s="25"/>
      <c r="F479" s="25"/>
    </row>
    <row r="480">
      <c r="E480" s="25"/>
      <c r="F480" s="25"/>
    </row>
    <row r="481">
      <c r="E481" s="25"/>
      <c r="F481" s="25"/>
    </row>
    <row r="482">
      <c r="E482" s="25"/>
      <c r="F482" s="25"/>
    </row>
    <row r="483">
      <c r="E483" s="25"/>
      <c r="F483" s="25"/>
    </row>
    <row r="484">
      <c r="E484" s="25"/>
      <c r="F484" s="25"/>
    </row>
    <row r="485">
      <c r="E485" s="25"/>
      <c r="F485" s="25"/>
    </row>
    <row r="486">
      <c r="E486" s="25"/>
      <c r="F486" s="25"/>
    </row>
    <row r="487">
      <c r="E487" s="25"/>
      <c r="F487" s="25"/>
    </row>
    <row r="488">
      <c r="E488" s="25"/>
      <c r="F488" s="25"/>
    </row>
    <row r="489">
      <c r="E489" s="25"/>
      <c r="F489" s="25"/>
    </row>
    <row r="490">
      <c r="E490" s="25"/>
      <c r="F490" s="25"/>
    </row>
    <row r="491">
      <c r="E491" s="25"/>
      <c r="F491" s="25"/>
    </row>
    <row r="492">
      <c r="E492" s="25"/>
      <c r="F492" s="25"/>
    </row>
    <row r="493">
      <c r="E493" s="25"/>
      <c r="F493" s="25"/>
    </row>
    <row r="494">
      <c r="E494" s="25"/>
      <c r="F494" s="25"/>
    </row>
    <row r="495">
      <c r="E495" s="25"/>
      <c r="F495" s="25"/>
    </row>
    <row r="496">
      <c r="E496" s="25"/>
      <c r="F496" s="25"/>
    </row>
    <row r="497">
      <c r="E497" s="25"/>
      <c r="F497" s="25"/>
    </row>
    <row r="498">
      <c r="E498" s="25"/>
      <c r="F498" s="25"/>
    </row>
    <row r="499">
      <c r="E499" s="25"/>
      <c r="F499" s="25"/>
    </row>
    <row r="500">
      <c r="E500" s="25"/>
      <c r="F500" s="25"/>
    </row>
    <row r="501">
      <c r="E501" s="25"/>
      <c r="F501" s="25"/>
    </row>
    <row r="502">
      <c r="E502" s="25"/>
      <c r="F502" s="25"/>
    </row>
    <row r="503">
      <c r="E503" s="25"/>
      <c r="F503" s="25"/>
    </row>
    <row r="504">
      <c r="E504" s="25"/>
      <c r="F504" s="25"/>
    </row>
    <row r="505">
      <c r="E505" s="25"/>
      <c r="F505" s="25"/>
    </row>
    <row r="506">
      <c r="E506" s="25"/>
      <c r="F506" s="25"/>
    </row>
    <row r="507">
      <c r="E507" s="25"/>
      <c r="F507" s="25"/>
    </row>
    <row r="508">
      <c r="E508" s="25"/>
      <c r="F508" s="25"/>
    </row>
    <row r="509">
      <c r="E509" s="25"/>
      <c r="F509" s="25"/>
    </row>
    <row r="510">
      <c r="E510" s="25"/>
      <c r="F510" s="25"/>
    </row>
    <row r="511">
      <c r="E511" s="25"/>
      <c r="F511" s="25"/>
    </row>
    <row r="512">
      <c r="E512" s="25"/>
      <c r="F512" s="25"/>
    </row>
    <row r="513">
      <c r="E513" s="25"/>
      <c r="F513" s="25"/>
    </row>
    <row r="514">
      <c r="E514" s="25"/>
      <c r="F514" s="25"/>
    </row>
    <row r="515">
      <c r="E515" s="25"/>
      <c r="F515" s="25"/>
    </row>
    <row r="516">
      <c r="E516" s="25"/>
      <c r="F516" s="25"/>
    </row>
    <row r="517">
      <c r="E517" s="25"/>
      <c r="F517" s="25"/>
    </row>
    <row r="518">
      <c r="E518" s="25"/>
      <c r="F518" s="25"/>
    </row>
    <row r="519">
      <c r="E519" s="25"/>
      <c r="F519" s="25"/>
    </row>
    <row r="520">
      <c r="E520" s="25"/>
      <c r="F520" s="25"/>
    </row>
    <row r="521">
      <c r="E521" s="25"/>
      <c r="F521" s="25"/>
    </row>
    <row r="522">
      <c r="E522" s="25"/>
      <c r="F522" s="25"/>
    </row>
    <row r="523">
      <c r="E523" s="25"/>
      <c r="F523" s="25"/>
    </row>
    <row r="524">
      <c r="E524" s="25"/>
      <c r="F524" s="25"/>
    </row>
    <row r="525">
      <c r="E525" s="25"/>
      <c r="F525" s="25"/>
    </row>
    <row r="526">
      <c r="E526" s="25"/>
      <c r="F526" s="25"/>
    </row>
    <row r="527">
      <c r="E527" s="25"/>
      <c r="F527" s="25"/>
    </row>
    <row r="528">
      <c r="E528" s="25"/>
      <c r="F528" s="25"/>
    </row>
    <row r="529">
      <c r="E529" s="25"/>
      <c r="F529" s="25"/>
    </row>
    <row r="530">
      <c r="E530" s="25"/>
      <c r="F530" s="25"/>
    </row>
    <row r="531">
      <c r="E531" s="25"/>
      <c r="F531" s="25"/>
    </row>
    <row r="532">
      <c r="E532" s="25"/>
      <c r="F532" s="25"/>
    </row>
    <row r="533">
      <c r="E533" s="25"/>
      <c r="F533" s="25"/>
    </row>
    <row r="534">
      <c r="E534" s="25"/>
      <c r="F534" s="25"/>
    </row>
    <row r="535">
      <c r="E535" s="25"/>
      <c r="F535" s="25"/>
    </row>
    <row r="536">
      <c r="E536" s="25"/>
      <c r="F536" s="25"/>
    </row>
    <row r="537">
      <c r="E537" s="25"/>
      <c r="F537" s="25"/>
    </row>
    <row r="538">
      <c r="E538" s="25"/>
      <c r="F538" s="25"/>
    </row>
    <row r="539">
      <c r="E539" s="25"/>
      <c r="F539" s="25"/>
    </row>
    <row r="540">
      <c r="E540" s="25"/>
      <c r="F540" s="25"/>
    </row>
    <row r="541">
      <c r="E541" s="25"/>
      <c r="F541" s="25"/>
    </row>
    <row r="542">
      <c r="E542" s="25"/>
      <c r="F542" s="25"/>
    </row>
    <row r="543">
      <c r="E543" s="25"/>
      <c r="F543" s="25"/>
    </row>
    <row r="544">
      <c r="E544" s="25"/>
      <c r="F544" s="25"/>
    </row>
    <row r="545">
      <c r="E545" s="25"/>
      <c r="F545" s="25"/>
    </row>
    <row r="546">
      <c r="E546" s="25"/>
      <c r="F546" s="25"/>
    </row>
    <row r="547">
      <c r="E547" s="25"/>
      <c r="F547" s="25"/>
    </row>
    <row r="548">
      <c r="E548" s="25"/>
      <c r="F548" s="25"/>
    </row>
    <row r="549">
      <c r="E549" s="25"/>
      <c r="F549" s="25"/>
    </row>
    <row r="550">
      <c r="E550" s="25"/>
      <c r="F550" s="25"/>
    </row>
    <row r="551">
      <c r="E551" s="25"/>
      <c r="F551" s="25"/>
    </row>
    <row r="552">
      <c r="E552" s="25"/>
      <c r="F552" s="25"/>
    </row>
    <row r="553">
      <c r="E553" s="25"/>
      <c r="F553" s="25"/>
    </row>
    <row r="554">
      <c r="E554" s="25"/>
      <c r="F554" s="25"/>
    </row>
    <row r="555">
      <c r="E555" s="25"/>
      <c r="F555" s="25"/>
    </row>
    <row r="556">
      <c r="E556" s="25"/>
      <c r="F556" s="25"/>
    </row>
    <row r="557">
      <c r="E557" s="25"/>
      <c r="F557" s="25"/>
    </row>
    <row r="558">
      <c r="E558" s="25"/>
      <c r="F558" s="25"/>
    </row>
    <row r="559">
      <c r="E559" s="25"/>
      <c r="F559" s="25"/>
    </row>
    <row r="560">
      <c r="E560" s="25"/>
      <c r="F560" s="25"/>
    </row>
    <row r="561">
      <c r="E561" s="25"/>
      <c r="F561" s="25"/>
    </row>
    <row r="562">
      <c r="E562" s="25"/>
      <c r="F562" s="25"/>
    </row>
    <row r="563">
      <c r="E563" s="25"/>
      <c r="F563" s="25"/>
    </row>
    <row r="564">
      <c r="E564" s="25"/>
      <c r="F564" s="25"/>
    </row>
    <row r="565">
      <c r="E565" s="25"/>
      <c r="F565" s="25"/>
    </row>
    <row r="566">
      <c r="E566" s="25"/>
      <c r="F566" s="25"/>
    </row>
    <row r="567">
      <c r="E567" s="25"/>
      <c r="F567" s="25"/>
    </row>
    <row r="568">
      <c r="E568" s="25"/>
      <c r="F568" s="25"/>
    </row>
    <row r="569">
      <c r="E569" s="25"/>
      <c r="F569" s="25"/>
    </row>
    <row r="570">
      <c r="E570" s="25"/>
      <c r="F570" s="25"/>
    </row>
    <row r="571">
      <c r="E571" s="25"/>
      <c r="F571" s="25"/>
    </row>
    <row r="572">
      <c r="E572" s="25"/>
      <c r="F572" s="25"/>
    </row>
    <row r="573">
      <c r="E573" s="25"/>
      <c r="F573" s="25"/>
    </row>
    <row r="574">
      <c r="E574" s="25"/>
      <c r="F574" s="25"/>
    </row>
    <row r="575">
      <c r="E575" s="25"/>
      <c r="F575" s="25"/>
    </row>
    <row r="576">
      <c r="E576" s="25"/>
      <c r="F576" s="25"/>
    </row>
    <row r="577">
      <c r="E577" s="25"/>
      <c r="F577" s="25"/>
    </row>
    <row r="578">
      <c r="E578" s="25"/>
      <c r="F578" s="25"/>
    </row>
    <row r="579">
      <c r="E579" s="25"/>
      <c r="F579" s="25"/>
    </row>
    <row r="580">
      <c r="E580" s="25"/>
      <c r="F580" s="25"/>
    </row>
    <row r="581">
      <c r="E581" s="25"/>
      <c r="F581" s="25"/>
    </row>
    <row r="582">
      <c r="E582" s="25"/>
      <c r="F582" s="25"/>
    </row>
    <row r="583">
      <c r="E583" s="25"/>
      <c r="F583" s="25"/>
    </row>
    <row r="584">
      <c r="E584" s="25"/>
      <c r="F584" s="25"/>
    </row>
    <row r="585">
      <c r="E585" s="25"/>
      <c r="F585" s="25"/>
    </row>
    <row r="586">
      <c r="E586" s="25"/>
      <c r="F586" s="25"/>
    </row>
    <row r="587">
      <c r="E587" s="25"/>
      <c r="F587" s="25"/>
    </row>
    <row r="588">
      <c r="E588" s="25"/>
      <c r="F588" s="25"/>
    </row>
    <row r="589">
      <c r="E589" s="25"/>
      <c r="F589" s="25"/>
    </row>
    <row r="590">
      <c r="E590" s="25"/>
      <c r="F590" s="25"/>
    </row>
    <row r="591">
      <c r="E591" s="25"/>
      <c r="F591" s="25"/>
    </row>
    <row r="592">
      <c r="E592" s="25"/>
      <c r="F592" s="25"/>
    </row>
    <row r="593">
      <c r="E593" s="25"/>
      <c r="F593" s="25"/>
    </row>
    <row r="594">
      <c r="E594" s="25"/>
      <c r="F594" s="25"/>
    </row>
    <row r="595">
      <c r="E595" s="25"/>
      <c r="F595" s="25"/>
    </row>
    <row r="596">
      <c r="E596" s="25"/>
      <c r="F596" s="25"/>
    </row>
    <row r="597">
      <c r="E597" s="25"/>
      <c r="F597" s="25"/>
    </row>
    <row r="598">
      <c r="E598" s="25"/>
      <c r="F598" s="25"/>
    </row>
    <row r="599">
      <c r="E599" s="25"/>
      <c r="F599" s="25"/>
    </row>
    <row r="600">
      <c r="E600" s="25"/>
      <c r="F600" s="25"/>
    </row>
    <row r="601">
      <c r="E601" s="25"/>
      <c r="F601" s="25"/>
    </row>
    <row r="602">
      <c r="E602" s="25"/>
      <c r="F602" s="25"/>
    </row>
    <row r="603">
      <c r="E603" s="25"/>
      <c r="F603" s="25"/>
    </row>
    <row r="604">
      <c r="E604" s="25"/>
      <c r="F604" s="25"/>
    </row>
    <row r="605">
      <c r="E605" s="25"/>
      <c r="F605" s="25"/>
    </row>
    <row r="606">
      <c r="E606" s="25"/>
      <c r="F606" s="25"/>
    </row>
    <row r="607">
      <c r="E607" s="25"/>
      <c r="F607" s="25"/>
    </row>
    <row r="608">
      <c r="E608" s="25"/>
      <c r="F608" s="25"/>
    </row>
    <row r="609">
      <c r="E609" s="25"/>
      <c r="F609" s="25"/>
    </row>
    <row r="610">
      <c r="E610" s="25"/>
      <c r="F610" s="25"/>
    </row>
    <row r="611">
      <c r="E611" s="25"/>
      <c r="F611" s="25"/>
    </row>
    <row r="612">
      <c r="E612" s="25"/>
      <c r="F612" s="25"/>
    </row>
    <row r="613">
      <c r="E613" s="25"/>
      <c r="F613" s="25"/>
    </row>
    <row r="614">
      <c r="E614" s="25"/>
      <c r="F614" s="25"/>
    </row>
    <row r="615">
      <c r="E615" s="25"/>
      <c r="F615" s="25"/>
    </row>
    <row r="616">
      <c r="E616" s="25"/>
      <c r="F616" s="25"/>
    </row>
    <row r="617">
      <c r="E617" s="25"/>
      <c r="F617" s="25"/>
    </row>
    <row r="618">
      <c r="E618" s="25"/>
      <c r="F618" s="25"/>
    </row>
    <row r="619">
      <c r="E619" s="25"/>
      <c r="F619" s="25"/>
    </row>
    <row r="620">
      <c r="E620" s="25"/>
      <c r="F620" s="25"/>
    </row>
    <row r="621">
      <c r="E621" s="25"/>
      <c r="F621" s="25"/>
    </row>
    <row r="622">
      <c r="E622" s="25"/>
      <c r="F622" s="25"/>
    </row>
    <row r="623">
      <c r="E623" s="25"/>
      <c r="F623" s="25"/>
    </row>
    <row r="624">
      <c r="E624" s="25"/>
      <c r="F624" s="25"/>
    </row>
    <row r="625">
      <c r="E625" s="25"/>
      <c r="F625" s="25"/>
    </row>
    <row r="626">
      <c r="E626" s="25"/>
      <c r="F626" s="25"/>
    </row>
    <row r="627">
      <c r="E627" s="25"/>
      <c r="F627" s="25"/>
    </row>
    <row r="628">
      <c r="E628" s="25"/>
      <c r="F628" s="25"/>
    </row>
    <row r="629">
      <c r="E629" s="25"/>
      <c r="F629" s="25"/>
    </row>
    <row r="630">
      <c r="E630" s="25"/>
      <c r="F630" s="25"/>
    </row>
    <row r="631">
      <c r="E631" s="25"/>
      <c r="F631" s="25"/>
    </row>
    <row r="632">
      <c r="E632" s="25"/>
      <c r="F632" s="25"/>
    </row>
    <row r="633">
      <c r="E633" s="25"/>
      <c r="F633" s="25"/>
    </row>
    <row r="634">
      <c r="E634" s="25"/>
      <c r="F634" s="25"/>
    </row>
    <row r="635">
      <c r="E635" s="25"/>
      <c r="F635" s="25"/>
    </row>
    <row r="636">
      <c r="E636" s="25"/>
      <c r="F636" s="25"/>
    </row>
    <row r="637">
      <c r="E637" s="25"/>
      <c r="F637" s="25"/>
    </row>
    <row r="638">
      <c r="E638" s="25"/>
      <c r="F638" s="25"/>
    </row>
    <row r="639">
      <c r="E639" s="25"/>
      <c r="F639" s="25"/>
    </row>
    <row r="640">
      <c r="E640" s="25"/>
      <c r="F640" s="25"/>
    </row>
    <row r="641">
      <c r="E641" s="25"/>
      <c r="F641" s="25"/>
    </row>
    <row r="642">
      <c r="E642" s="25"/>
      <c r="F642" s="25"/>
    </row>
    <row r="643">
      <c r="E643" s="25"/>
      <c r="F643" s="25"/>
    </row>
    <row r="644">
      <c r="E644" s="25"/>
      <c r="F644" s="25"/>
    </row>
    <row r="645">
      <c r="E645" s="25"/>
      <c r="F645" s="25"/>
    </row>
    <row r="646">
      <c r="E646" s="25"/>
      <c r="F646" s="25"/>
    </row>
    <row r="647">
      <c r="E647" s="25"/>
      <c r="F647" s="25"/>
    </row>
    <row r="648">
      <c r="E648" s="25"/>
      <c r="F648" s="25"/>
    </row>
    <row r="649">
      <c r="E649" s="25"/>
      <c r="F649" s="25"/>
    </row>
    <row r="650">
      <c r="E650" s="25"/>
      <c r="F650" s="25"/>
    </row>
    <row r="651">
      <c r="E651" s="25"/>
      <c r="F651" s="25"/>
    </row>
    <row r="652">
      <c r="E652" s="25"/>
      <c r="F652" s="25"/>
    </row>
    <row r="653">
      <c r="E653" s="25"/>
      <c r="F653" s="25"/>
    </row>
    <row r="654">
      <c r="E654" s="25"/>
      <c r="F654" s="25"/>
    </row>
    <row r="655">
      <c r="E655" s="25"/>
      <c r="F655" s="25"/>
    </row>
    <row r="656">
      <c r="E656" s="25"/>
      <c r="F656" s="25"/>
    </row>
    <row r="657">
      <c r="E657" s="25"/>
      <c r="F657" s="25"/>
    </row>
    <row r="658">
      <c r="E658" s="25"/>
      <c r="F658" s="25"/>
    </row>
    <row r="659">
      <c r="E659" s="25"/>
      <c r="F659" s="25"/>
    </row>
    <row r="660">
      <c r="E660" s="25"/>
      <c r="F660" s="25"/>
    </row>
    <row r="661">
      <c r="E661" s="25"/>
      <c r="F661" s="25"/>
    </row>
    <row r="662">
      <c r="E662" s="25"/>
      <c r="F662" s="25"/>
    </row>
    <row r="663">
      <c r="E663" s="25"/>
      <c r="F663" s="25"/>
    </row>
    <row r="664">
      <c r="E664" s="25"/>
      <c r="F664" s="25"/>
    </row>
    <row r="665">
      <c r="E665" s="25"/>
      <c r="F665" s="25"/>
    </row>
    <row r="666">
      <c r="E666" s="25"/>
      <c r="F666" s="25"/>
    </row>
    <row r="667">
      <c r="E667" s="25"/>
      <c r="F667" s="25"/>
    </row>
    <row r="668">
      <c r="E668" s="25"/>
      <c r="F668" s="25"/>
    </row>
    <row r="669">
      <c r="E669" s="25"/>
      <c r="F669" s="25"/>
    </row>
    <row r="670">
      <c r="E670" s="25"/>
      <c r="F670" s="25"/>
    </row>
    <row r="671">
      <c r="E671" s="25"/>
      <c r="F671" s="25"/>
    </row>
    <row r="672">
      <c r="E672" s="25"/>
      <c r="F672" s="25"/>
    </row>
    <row r="673">
      <c r="E673" s="25"/>
      <c r="F673" s="25"/>
    </row>
    <row r="674">
      <c r="E674" s="25"/>
      <c r="F674" s="25"/>
    </row>
    <row r="675">
      <c r="E675" s="25"/>
      <c r="F675" s="25"/>
    </row>
    <row r="676">
      <c r="E676" s="25"/>
      <c r="F676" s="25"/>
    </row>
    <row r="677">
      <c r="E677" s="25"/>
      <c r="F677" s="25"/>
    </row>
    <row r="678">
      <c r="E678" s="25"/>
      <c r="F678" s="25"/>
    </row>
    <row r="679">
      <c r="E679" s="25"/>
      <c r="F679" s="25"/>
    </row>
    <row r="680">
      <c r="E680" s="25"/>
      <c r="F680" s="25"/>
    </row>
    <row r="681">
      <c r="E681" s="25"/>
      <c r="F681" s="25"/>
    </row>
    <row r="682">
      <c r="E682" s="25"/>
      <c r="F682" s="25"/>
    </row>
    <row r="683">
      <c r="E683" s="25"/>
      <c r="F683" s="25"/>
    </row>
    <row r="684">
      <c r="E684" s="25"/>
      <c r="F684" s="25"/>
    </row>
    <row r="685">
      <c r="E685" s="25"/>
      <c r="F685" s="25"/>
    </row>
    <row r="686">
      <c r="E686" s="25"/>
      <c r="F686" s="25"/>
    </row>
    <row r="687">
      <c r="E687" s="25"/>
      <c r="F687" s="25"/>
    </row>
    <row r="688">
      <c r="E688" s="25"/>
      <c r="F688" s="25"/>
    </row>
    <row r="689">
      <c r="E689" s="25"/>
      <c r="F689" s="25"/>
    </row>
    <row r="690">
      <c r="E690" s="25"/>
      <c r="F690" s="25"/>
    </row>
    <row r="691">
      <c r="E691" s="25"/>
      <c r="F691" s="25"/>
    </row>
    <row r="692">
      <c r="E692" s="25"/>
      <c r="F692" s="25"/>
    </row>
    <row r="693">
      <c r="E693" s="25"/>
      <c r="F693" s="25"/>
    </row>
    <row r="694">
      <c r="E694" s="25"/>
      <c r="F694" s="25"/>
    </row>
    <row r="695">
      <c r="E695" s="25"/>
      <c r="F695" s="25"/>
    </row>
    <row r="696">
      <c r="E696" s="25"/>
      <c r="F696" s="25"/>
    </row>
    <row r="697">
      <c r="E697" s="25"/>
      <c r="F697" s="25"/>
    </row>
    <row r="698">
      <c r="E698" s="25"/>
      <c r="F698" s="25"/>
    </row>
    <row r="699">
      <c r="E699" s="25"/>
      <c r="F699" s="25"/>
    </row>
    <row r="700">
      <c r="E700" s="25"/>
      <c r="F700" s="25"/>
    </row>
    <row r="701">
      <c r="E701" s="25"/>
      <c r="F701" s="25"/>
    </row>
    <row r="702">
      <c r="E702" s="25"/>
      <c r="F702" s="25"/>
    </row>
    <row r="703">
      <c r="E703" s="25"/>
      <c r="F703" s="25"/>
    </row>
    <row r="704">
      <c r="E704" s="25"/>
      <c r="F704" s="25"/>
    </row>
    <row r="705">
      <c r="E705" s="25"/>
      <c r="F705" s="25"/>
    </row>
    <row r="706">
      <c r="E706" s="25"/>
      <c r="F706" s="25"/>
    </row>
    <row r="707">
      <c r="E707" s="25"/>
      <c r="F707" s="25"/>
    </row>
    <row r="708">
      <c r="E708" s="25"/>
      <c r="F708" s="25"/>
    </row>
    <row r="709">
      <c r="E709" s="25"/>
      <c r="F709" s="25"/>
    </row>
    <row r="710">
      <c r="E710" s="25"/>
      <c r="F710" s="25"/>
    </row>
    <row r="711">
      <c r="E711" s="25"/>
      <c r="F711" s="25"/>
    </row>
    <row r="712">
      <c r="E712" s="25"/>
      <c r="F712" s="25"/>
    </row>
    <row r="713">
      <c r="E713" s="25"/>
      <c r="F713" s="25"/>
    </row>
    <row r="714">
      <c r="E714" s="25"/>
      <c r="F714" s="25"/>
    </row>
    <row r="715">
      <c r="E715" s="25"/>
      <c r="F715" s="25"/>
    </row>
    <row r="716">
      <c r="E716" s="25"/>
      <c r="F716" s="25"/>
    </row>
    <row r="717">
      <c r="E717" s="25"/>
      <c r="F717" s="25"/>
    </row>
    <row r="718">
      <c r="E718" s="25"/>
      <c r="F718" s="25"/>
    </row>
    <row r="719">
      <c r="E719" s="25"/>
      <c r="F719" s="25"/>
    </row>
    <row r="720">
      <c r="E720" s="25"/>
      <c r="F720" s="25"/>
    </row>
    <row r="721">
      <c r="E721" s="25"/>
      <c r="F721" s="25"/>
    </row>
    <row r="722">
      <c r="E722" s="25"/>
      <c r="F722" s="25"/>
    </row>
    <row r="723">
      <c r="E723" s="25"/>
      <c r="F723" s="25"/>
    </row>
    <row r="724">
      <c r="E724" s="25"/>
      <c r="F724" s="25"/>
    </row>
    <row r="725">
      <c r="E725" s="25"/>
      <c r="F725" s="25"/>
    </row>
    <row r="726">
      <c r="E726" s="25"/>
      <c r="F726" s="25"/>
    </row>
    <row r="727">
      <c r="E727" s="25"/>
      <c r="F727" s="25"/>
    </row>
    <row r="728">
      <c r="E728" s="25"/>
      <c r="F728" s="25"/>
    </row>
    <row r="729">
      <c r="E729" s="25"/>
      <c r="F729" s="25"/>
    </row>
    <row r="730">
      <c r="E730" s="25"/>
      <c r="F730" s="25"/>
    </row>
    <row r="731">
      <c r="E731" s="25"/>
      <c r="F731" s="25"/>
    </row>
    <row r="732">
      <c r="E732" s="25"/>
      <c r="F732" s="25"/>
    </row>
    <row r="733">
      <c r="E733" s="25"/>
      <c r="F733" s="25"/>
    </row>
    <row r="734">
      <c r="E734" s="25"/>
      <c r="F734" s="25"/>
    </row>
    <row r="735">
      <c r="E735" s="25"/>
      <c r="F735" s="25"/>
    </row>
    <row r="736">
      <c r="E736" s="25"/>
      <c r="F736" s="25"/>
    </row>
    <row r="737">
      <c r="E737" s="25"/>
      <c r="F737" s="25"/>
    </row>
    <row r="738">
      <c r="E738" s="25"/>
      <c r="F738" s="25"/>
    </row>
    <row r="739">
      <c r="E739" s="25"/>
      <c r="F739" s="25"/>
    </row>
    <row r="740">
      <c r="E740" s="25"/>
      <c r="F740" s="25"/>
    </row>
    <row r="741">
      <c r="E741" s="25"/>
      <c r="F741" s="25"/>
    </row>
    <row r="742">
      <c r="E742" s="25"/>
      <c r="F742" s="25"/>
    </row>
    <row r="743">
      <c r="E743" s="25"/>
      <c r="F743" s="25"/>
    </row>
    <row r="744">
      <c r="E744" s="25"/>
      <c r="F744" s="25"/>
    </row>
    <row r="745">
      <c r="E745" s="25"/>
      <c r="F745" s="25"/>
    </row>
    <row r="746">
      <c r="E746" s="25"/>
      <c r="F746" s="25"/>
    </row>
    <row r="747">
      <c r="E747" s="25"/>
      <c r="F747" s="25"/>
    </row>
    <row r="748">
      <c r="E748" s="25"/>
      <c r="F748" s="25"/>
    </row>
    <row r="749">
      <c r="E749" s="25"/>
      <c r="F749" s="25"/>
    </row>
    <row r="750">
      <c r="E750" s="25"/>
      <c r="F750" s="25"/>
    </row>
    <row r="751">
      <c r="E751" s="25"/>
      <c r="F751" s="25"/>
    </row>
    <row r="752">
      <c r="E752" s="25"/>
      <c r="F752" s="25"/>
    </row>
    <row r="753">
      <c r="E753" s="25"/>
      <c r="F753" s="25"/>
    </row>
    <row r="754">
      <c r="E754" s="25"/>
      <c r="F754" s="25"/>
    </row>
    <row r="755">
      <c r="E755" s="25"/>
      <c r="F755" s="25"/>
    </row>
    <row r="756">
      <c r="E756" s="25"/>
      <c r="F756" s="25"/>
    </row>
    <row r="757">
      <c r="E757" s="25"/>
      <c r="F757" s="25"/>
    </row>
    <row r="758">
      <c r="E758" s="25"/>
      <c r="F758" s="25"/>
    </row>
    <row r="759">
      <c r="E759" s="25"/>
      <c r="F759" s="25"/>
    </row>
    <row r="760">
      <c r="E760" s="25"/>
      <c r="F760" s="25"/>
    </row>
    <row r="761">
      <c r="E761" s="25"/>
      <c r="F761" s="25"/>
    </row>
    <row r="762">
      <c r="E762" s="25"/>
      <c r="F762" s="25"/>
    </row>
    <row r="763">
      <c r="E763" s="25"/>
      <c r="F763" s="25"/>
    </row>
    <row r="764">
      <c r="E764" s="25"/>
      <c r="F764" s="25"/>
    </row>
    <row r="765">
      <c r="E765" s="25"/>
      <c r="F765" s="25"/>
    </row>
    <row r="766">
      <c r="E766" s="25"/>
      <c r="F766" s="25"/>
    </row>
    <row r="767">
      <c r="E767" s="25"/>
      <c r="F767" s="25"/>
    </row>
    <row r="768">
      <c r="E768" s="25"/>
      <c r="F768" s="25"/>
    </row>
    <row r="769">
      <c r="E769" s="25"/>
      <c r="F769" s="25"/>
    </row>
    <row r="770">
      <c r="E770" s="25"/>
      <c r="F770" s="25"/>
    </row>
    <row r="771">
      <c r="E771" s="25"/>
      <c r="F771" s="25"/>
    </row>
    <row r="772">
      <c r="E772" s="25"/>
      <c r="F772" s="25"/>
    </row>
    <row r="773">
      <c r="E773" s="25"/>
      <c r="F773" s="25"/>
    </row>
    <row r="774">
      <c r="E774" s="25"/>
      <c r="F774" s="25"/>
    </row>
    <row r="775">
      <c r="E775" s="25"/>
      <c r="F775" s="25"/>
    </row>
    <row r="776">
      <c r="E776" s="25"/>
      <c r="F776" s="25"/>
    </row>
    <row r="777">
      <c r="E777" s="25"/>
      <c r="F777" s="25"/>
    </row>
    <row r="778">
      <c r="E778" s="25"/>
      <c r="F778" s="25"/>
    </row>
    <row r="779">
      <c r="E779" s="25"/>
      <c r="F779" s="25"/>
    </row>
    <row r="780">
      <c r="E780" s="25"/>
      <c r="F780" s="25"/>
    </row>
    <row r="781">
      <c r="E781" s="25"/>
      <c r="F781" s="25"/>
    </row>
    <row r="782">
      <c r="E782" s="25"/>
      <c r="F782" s="25"/>
    </row>
    <row r="783">
      <c r="E783" s="25"/>
      <c r="F783" s="25"/>
    </row>
    <row r="784">
      <c r="E784" s="25"/>
      <c r="F784" s="25"/>
    </row>
    <row r="785">
      <c r="E785" s="25"/>
      <c r="F785" s="25"/>
    </row>
    <row r="786">
      <c r="E786" s="25"/>
      <c r="F786" s="25"/>
    </row>
    <row r="787">
      <c r="E787" s="25"/>
      <c r="F787" s="25"/>
    </row>
    <row r="788">
      <c r="E788" s="25"/>
      <c r="F788" s="25"/>
    </row>
    <row r="789">
      <c r="E789" s="25"/>
      <c r="F789" s="25"/>
    </row>
    <row r="790">
      <c r="E790" s="25"/>
      <c r="F790" s="25"/>
    </row>
    <row r="791">
      <c r="E791" s="25"/>
      <c r="F791" s="25"/>
    </row>
    <row r="792">
      <c r="E792" s="25"/>
      <c r="F792" s="25"/>
    </row>
    <row r="793">
      <c r="E793" s="25"/>
      <c r="F793" s="25"/>
    </row>
    <row r="794">
      <c r="E794" s="25"/>
      <c r="F794" s="25"/>
    </row>
    <row r="795">
      <c r="E795" s="25"/>
      <c r="F795" s="25"/>
    </row>
    <row r="796">
      <c r="E796" s="25"/>
      <c r="F796" s="25"/>
    </row>
    <row r="797">
      <c r="E797" s="25"/>
      <c r="F797" s="25"/>
    </row>
    <row r="798">
      <c r="E798" s="25"/>
      <c r="F798" s="25"/>
    </row>
    <row r="799">
      <c r="E799" s="25"/>
      <c r="F799" s="25"/>
    </row>
    <row r="800">
      <c r="E800" s="25"/>
      <c r="F800" s="25"/>
    </row>
    <row r="801">
      <c r="E801" s="25"/>
      <c r="F801" s="25"/>
    </row>
    <row r="802">
      <c r="E802" s="25"/>
      <c r="F802" s="25"/>
    </row>
    <row r="803">
      <c r="E803" s="25"/>
      <c r="F803" s="25"/>
    </row>
    <row r="804">
      <c r="E804" s="25"/>
      <c r="F804" s="25"/>
    </row>
    <row r="805">
      <c r="E805" s="25"/>
      <c r="F805" s="25"/>
    </row>
    <row r="806">
      <c r="E806" s="25"/>
      <c r="F806" s="25"/>
    </row>
    <row r="807">
      <c r="E807" s="25"/>
      <c r="F807" s="25"/>
    </row>
    <row r="808">
      <c r="E808" s="25"/>
      <c r="F808" s="25"/>
    </row>
    <row r="809">
      <c r="E809" s="25"/>
      <c r="F809" s="25"/>
    </row>
    <row r="810">
      <c r="E810" s="25"/>
      <c r="F810" s="25"/>
    </row>
    <row r="811">
      <c r="E811" s="25"/>
      <c r="F811" s="25"/>
    </row>
    <row r="812">
      <c r="E812" s="25"/>
      <c r="F812" s="25"/>
    </row>
    <row r="813">
      <c r="E813" s="25"/>
      <c r="F813" s="25"/>
    </row>
    <row r="814">
      <c r="E814" s="25"/>
      <c r="F814" s="25"/>
    </row>
    <row r="815">
      <c r="E815" s="25"/>
      <c r="F815" s="25"/>
    </row>
    <row r="816">
      <c r="E816" s="25"/>
      <c r="F816" s="25"/>
    </row>
    <row r="817">
      <c r="E817" s="25"/>
      <c r="F817" s="25"/>
    </row>
    <row r="818">
      <c r="E818" s="25"/>
      <c r="F818" s="25"/>
    </row>
    <row r="819">
      <c r="E819" s="25"/>
      <c r="F819" s="25"/>
    </row>
    <row r="820">
      <c r="E820" s="25"/>
      <c r="F820" s="25"/>
    </row>
    <row r="821">
      <c r="E821" s="25"/>
      <c r="F821" s="25"/>
    </row>
    <row r="822">
      <c r="E822" s="25"/>
      <c r="F822" s="25"/>
    </row>
    <row r="823">
      <c r="E823" s="25"/>
      <c r="F823" s="25"/>
    </row>
    <row r="824">
      <c r="E824" s="25"/>
      <c r="F824" s="25"/>
    </row>
    <row r="825">
      <c r="E825" s="25"/>
      <c r="F825" s="25"/>
    </row>
    <row r="826">
      <c r="E826" s="25"/>
      <c r="F826" s="25"/>
    </row>
    <row r="827">
      <c r="E827" s="25"/>
      <c r="F827" s="25"/>
    </row>
    <row r="828">
      <c r="E828" s="25"/>
      <c r="F828" s="25"/>
    </row>
    <row r="829">
      <c r="E829" s="25"/>
      <c r="F829" s="25"/>
    </row>
    <row r="830">
      <c r="E830" s="25"/>
      <c r="F830" s="25"/>
    </row>
    <row r="831">
      <c r="E831" s="25"/>
      <c r="F831" s="25"/>
    </row>
    <row r="832">
      <c r="E832" s="25"/>
      <c r="F832" s="25"/>
    </row>
    <row r="833">
      <c r="E833" s="25"/>
      <c r="F833" s="25"/>
    </row>
    <row r="834">
      <c r="E834" s="25"/>
      <c r="F834" s="25"/>
    </row>
    <row r="835">
      <c r="E835" s="25"/>
      <c r="F835" s="25"/>
    </row>
    <row r="836">
      <c r="E836" s="25"/>
      <c r="F836" s="25"/>
    </row>
    <row r="837">
      <c r="E837" s="25"/>
      <c r="F837" s="25"/>
    </row>
    <row r="838">
      <c r="E838" s="25"/>
      <c r="F838" s="25"/>
    </row>
    <row r="839">
      <c r="E839" s="25"/>
      <c r="F839" s="25"/>
    </row>
    <row r="840">
      <c r="E840" s="25"/>
      <c r="F840" s="25"/>
    </row>
    <row r="841">
      <c r="E841" s="25"/>
      <c r="F841" s="25"/>
    </row>
    <row r="842">
      <c r="E842" s="25"/>
      <c r="F842" s="25"/>
    </row>
    <row r="843">
      <c r="E843" s="25"/>
      <c r="F843" s="25"/>
    </row>
    <row r="844">
      <c r="E844" s="25"/>
      <c r="F844" s="25"/>
    </row>
    <row r="845">
      <c r="E845" s="25"/>
      <c r="F845" s="25"/>
    </row>
    <row r="846">
      <c r="E846" s="25"/>
      <c r="F846" s="25"/>
    </row>
    <row r="847">
      <c r="E847" s="25"/>
      <c r="F847" s="25"/>
    </row>
    <row r="848">
      <c r="E848" s="25"/>
      <c r="F848" s="25"/>
    </row>
    <row r="849">
      <c r="E849" s="25"/>
      <c r="F849" s="25"/>
    </row>
    <row r="850">
      <c r="E850" s="25"/>
      <c r="F850" s="25"/>
    </row>
    <row r="851">
      <c r="E851" s="25"/>
      <c r="F851" s="25"/>
    </row>
    <row r="852">
      <c r="E852" s="25"/>
      <c r="F852" s="25"/>
    </row>
    <row r="853">
      <c r="E853" s="25"/>
      <c r="F853" s="25"/>
    </row>
    <row r="854">
      <c r="E854" s="25"/>
      <c r="F854" s="25"/>
    </row>
    <row r="855">
      <c r="E855" s="25"/>
      <c r="F855" s="25"/>
    </row>
    <row r="856">
      <c r="E856" s="25"/>
      <c r="F856" s="25"/>
    </row>
    <row r="857">
      <c r="E857" s="25"/>
      <c r="F857" s="25"/>
    </row>
    <row r="858">
      <c r="E858" s="25"/>
      <c r="F858" s="25"/>
    </row>
    <row r="859">
      <c r="E859" s="25"/>
      <c r="F859" s="25"/>
    </row>
    <row r="860">
      <c r="E860" s="25"/>
      <c r="F860" s="25"/>
    </row>
    <row r="861">
      <c r="E861" s="25"/>
      <c r="F861" s="25"/>
    </row>
    <row r="862">
      <c r="E862" s="25"/>
      <c r="F862" s="25"/>
    </row>
    <row r="863">
      <c r="E863" s="25"/>
      <c r="F863" s="25"/>
    </row>
    <row r="864">
      <c r="E864" s="25"/>
      <c r="F864" s="25"/>
    </row>
    <row r="865">
      <c r="E865" s="25"/>
      <c r="F865" s="25"/>
    </row>
    <row r="866">
      <c r="E866" s="25"/>
      <c r="F866" s="25"/>
    </row>
    <row r="867">
      <c r="E867" s="25"/>
      <c r="F867" s="25"/>
    </row>
    <row r="868">
      <c r="E868" s="25"/>
      <c r="F868" s="25"/>
    </row>
    <row r="869">
      <c r="E869" s="25"/>
      <c r="F869" s="25"/>
    </row>
    <row r="870">
      <c r="E870" s="25"/>
      <c r="F870" s="25"/>
    </row>
    <row r="871">
      <c r="E871" s="25"/>
      <c r="F871" s="25"/>
    </row>
    <row r="872">
      <c r="E872" s="25"/>
      <c r="F872" s="25"/>
    </row>
    <row r="873">
      <c r="E873" s="25"/>
      <c r="F873" s="25"/>
    </row>
    <row r="874">
      <c r="E874" s="25"/>
      <c r="F874" s="25"/>
    </row>
    <row r="875">
      <c r="E875" s="25"/>
      <c r="F875" s="25"/>
    </row>
    <row r="876">
      <c r="E876" s="25"/>
      <c r="F876" s="25"/>
    </row>
    <row r="877">
      <c r="E877" s="25"/>
      <c r="F877" s="25"/>
    </row>
    <row r="878">
      <c r="E878" s="25"/>
      <c r="F878" s="25"/>
    </row>
    <row r="879">
      <c r="E879" s="25"/>
      <c r="F879" s="25"/>
    </row>
    <row r="880">
      <c r="E880" s="25"/>
      <c r="F880" s="25"/>
    </row>
    <row r="881">
      <c r="E881" s="25"/>
      <c r="F881" s="25"/>
    </row>
    <row r="882">
      <c r="E882" s="25"/>
      <c r="F882" s="25"/>
    </row>
    <row r="883">
      <c r="E883" s="25"/>
      <c r="F883" s="25"/>
    </row>
    <row r="884">
      <c r="E884" s="25"/>
      <c r="F884" s="25"/>
    </row>
    <row r="885">
      <c r="E885" s="25"/>
      <c r="F885" s="25"/>
    </row>
    <row r="886">
      <c r="E886" s="25"/>
      <c r="F886" s="25"/>
    </row>
    <row r="887">
      <c r="E887" s="25"/>
      <c r="F887" s="25"/>
    </row>
    <row r="888">
      <c r="E888" s="25"/>
      <c r="F888" s="25"/>
    </row>
    <row r="889">
      <c r="E889" s="25"/>
      <c r="F889" s="25"/>
    </row>
    <row r="890">
      <c r="E890" s="25"/>
      <c r="F890" s="25"/>
    </row>
    <row r="891">
      <c r="E891" s="25"/>
      <c r="F891" s="25"/>
    </row>
    <row r="892">
      <c r="E892" s="25"/>
      <c r="F892" s="25"/>
    </row>
    <row r="893">
      <c r="E893" s="25"/>
      <c r="F893" s="25"/>
    </row>
    <row r="894">
      <c r="E894" s="25"/>
      <c r="F894" s="25"/>
    </row>
    <row r="895">
      <c r="E895" s="25"/>
      <c r="F895" s="25"/>
    </row>
    <row r="896">
      <c r="E896" s="25"/>
      <c r="F896" s="25"/>
    </row>
    <row r="897">
      <c r="E897" s="25"/>
      <c r="F897" s="25"/>
    </row>
    <row r="898">
      <c r="E898" s="25"/>
      <c r="F898" s="25"/>
    </row>
    <row r="899">
      <c r="E899" s="25"/>
      <c r="F899" s="25"/>
    </row>
    <row r="900">
      <c r="E900" s="25"/>
      <c r="F900" s="25"/>
    </row>
    <row r="901">
      <c r="E901" s="25"/>
      <c r="F901" s="25"/>
    </row>
    <row r="902">
      <c r="E902" s="25"/>
      <c r="F902" s="25"/>
    </row>
    <row r="903">
      <c r="E903" s="25"/>
      <c r="F903" s="25"/>
    </row>
    <row r="904">
      <c r="E904" s="25"/>
      <c r="F904" s="25"/>
    </row>
    <row r="905">
      <c r="E905" s="25"/>
      <c r="F905" s="25"/>
    </row>
    <row r="906">
      <c r="E906" s="25"/>
      <c r="F906" s="25"/>
    </row>
    <row r="907">
      <c r="E907" s="25"/>
      <c r="F907" s="25"/>
    </row>
    <row r="908">
      <c r="E908" s="25"/>
      <c r="F908" s="25"/>
    </row>
    <row r="909">
      <c r="E909" s="25"/>
      <c r="F909" s="25"/>
    </row>
    <row r="910">
      <c r="E910" s="25"/>
      <c r="F910" s="25"/>
    </row>
    <row r="911">
      <c r="E911" s="25"/>
      <c r="F911" s="25"/>
    </row>
    <row r="912">
      <c r="E912" s="25"/>
      <c r="F912" s="25"/>
    </row>
    <row r="913">
      <c r="E913" s="25"/>
      <c r="F913" s="25"/>
    </row>
    <row r="914">
      <c r="E914" s="25"/>
      <c r="F914" s="25"/>
    </row>
    <row r="915">
      <c r="E915" s="25"/>
      <c r="F915" s="25"/>
    </row>
    <row r="916">
      <c r="E916" s="25"/>
      <c r="F916" s="25"/>
    </row>
    <row r="917">
      <c r="E917" s="25"/>
      <c r="F917" s="25"/>
    </row>
    <row r="918">
      <c r="E918" s="25"/>
      <c r="F918" s="25"/>
    </row>
    <row r="919">
      <c r="E919" s="25"/>
      <c r="F919" s="25"/>
    </row>
    <row r="920">
      <c r="E920" s="25"/>
      <c r="F920" s="25"/>
    </row>
    <row r="921">
      <c r="E921" s="25"/>
      <c r="F921" s="25"/>
    </row>
    <row r="922">
      <c r="E922" s="25"/>
      <c r="F922" s="25"/>
    </row>
    <row r="923">
      <c r="E923" s="25"/>
      <c r="F923" s="25"/>
    </row>
    <row r="924">
      <c r="E924" s="25"/>
      <c r="F924" s="25"/>
    </row>
    <row r="925">
      <c r="E925" s="25"/>
      <c r="F925" s="25"/>
    </row>
    <row r="926">
      <c r="E926" s="25"/>
      <c r="F926" s="25"/>
    </row>
    <row r="927">
      <c r="E927" s="25"/>
      <c r="F927" s="25"/>
    </row>
    <row r="928">
      <c r="E928" s="25"/>
      <c r="F928" s="25"/>
    </row>
    <row r="929">
      <c r="E929" s="25"/>
      <c r="F929" s="25"/>
    </row>
    <row r="930">
      <c r="E930" s="25"/>
      <c r="F930" s="25"/>
    </row>
    <row r="931">
      <c r="E931" s="25"/>
      <c r="F931" s="25"/>
    </row>
    <row r="932">
      <c r="E932" s="25"/>
      <c r="F932" s="25"/>
    </row>
    <row r="933">
      <c r="E933" s="25"/>
      <c r="F933" s="25"/>
    </row>
    <row r="934">
      <c r="E934" s="25"/>
      <c r="F934" s="25"/>
    </row>
    <row r="935">
      <c r="E935" s="25"/>
      <c r="F935" s="25"/>
    </row>
    <row r="936">
      <c r="E936" s="25"/>
      <c r="F936" s="25"/>
    </row>
    <row r="937">
      <c r="E937" s="25"/>
      <c r="F937" s="25"/>
    </row>
    <row r="938">
      <c r="E938" s="25"/>
      <c r="F938" s="25"/>
    </row>
    <row r="939">
      <c r="E939" s="25"/>
      <c r="F939" s="25"/>
    </row>
    <row r="940">
      <c r="E940" s="25"/>
      <c r="F940" s="25"/>
    </row>
    <row r="941">
      <c r="E941" s="25"/>
      <c r="F941" s="25"/>
    </row>
    <row r="942">
      <c r="E942" s="25"/>
      <c r="F942" s="25"/>
    </row>
    <row r="943">
      <c r="E943" s="25"/>
      <c r="F943" s="25"/>
    </row>
    <row r="944">
      <c r="E944" s="25"/>
      <c r="F944" s="25"/>
    </row>
    <row r="945">
      <c r="E945" s="25"/>
      <c r="F945" s="25"/>
    </row>
    <row r="946">
      <c r="E946" s="25"/>
      <c r="F946" s="25"/>
    </row>
    <row r="947">
      <c r="E947" s="25"/>
      <c r="F947" s="25"/>
    </row>
    <row r="948">
      <c r="E948" s="25"/>
      <c r="F948" s="25"/>
    </row>
    <row r="949">
      <c r="E949" s="25"/>
      <c r="F949" s="25"/>
    </row>
    <row r="950">
      <c r="E950" s="25"/>
      <c r="F950" s="25"/>
    </row>
    <row r="951">
      <c r="E951" s="25"/>
      <c r="F951" s="25"/>
    </row>
    <row r="952">
      <c r="E952" s="25"/>
      <c r="F952" s="25"/>
    </row>
    <row r="953">
      <c r="E953" s="25"/>
      <c r="F953" s="25"/>
    </row>
    <row r="954">
      <c r="E954" s="25"/>
      <c r="F954" s="25"/>
    </row>
    <row r="955">
      <c r="E955" s="25"/>
      <c r="F955" s="25"/>
    </row>
    <row r="956">
      <c r="E956" s="25"/>
      <c r="F956" s="25"/>
    </row>
    <row r="957">
      <c r="E957" s="25"/>
      <c r="F957" s="25"/>
    </row>
    <row r="958">
      <c r="E958" s="25"/>
      <c r="F958" s="25"/>
    </row>
    <row r="959">
      <c r="E959" s="25"/>
      <c r="F959" s="25"/>
    </row>
    <row r="960">
      <c r="E960" s="25"/>
      <c r="F960" s="25"/>
    </row>
    <row r="961">
      <c r="E961" s="25"/>
      <c r="F961" s="25"/>
    </row>
    <row r="962">
      <c r="E962" s="25"/>
      <c r="F962" s="25"/>
    </row>
    <row r="963">
      <c r="E963" s="25"/>
      <c r="F963" s="25"/>
    </row>
    <row r="964">
      <c r="E964" s="25"/>
      <c r="F964" s="25"/>
    </row>
    <row r="965">
      <c r="E965" s="25"/>
      <c r="F965" s="25"/>
    </row>
    <row r="966">
      <c r="E966" s="25"/>
      <c r="F966" s="25"/>
    </row>
    <row r="967">
      <c r="E967" s="25"/>
      <c r="F967" s="25"/>
    </row>
    <row r="968">
      <c r="E968" s="25"/>
      <c r="F968" s="25"/>
    </row>
    <row r="969">
      <c r="E969" s="25"/>
      <c r="F969" s="25"/>
    </row>
    <row r="970">
      <c r="E970" s="25"/>
      <c r="F970" s="25"/>
    </row>
    <row r="971">
      <c r="E971" s="25"/>
      <c r="F971" s="25"/>
    </row>
    <row r="972">
      <c r="E972" s="25"/>
      <c r="F972" s="25"/>
    </row>
    <row r="973">
      <c r="E973" s="25"/>
      <c r="F973" s="25"/>
    </row>
    <row r="974">
      <c r="E974" s="25"/>
      <c r="F974" s="25"/>
    </row>
    <row r="975">
      <c r="E975" s="25"/>
      <c r="F975" s="25"/>
    </row>
    <row r="976">
      <c r="E976" s="25"/>
      <c r="F976" s="25"/>
    </row>
    <row r="977">
      <c r="E977" s="25"/>
      <c r="F977" s="25"/>
    </row>
    <row r="978">
      <c r="E978" s="25"/>
      <c r="F978" s="25"/>
    </row>
    <row r="979">
      <c r="E979" s="25"/>
      <c r="F979" s="25"/>
    </row>
    <row r="980">
      <c r="E980" s="25"/>
      <c r="F980" s="25"/>
    </row>
    <row r="981">
      <c r="E981" s="25"/>
      <c r="F981" s="25"/>
    </row>
    <row r="982">
      <c r="E982" s="25"/>
      <c r="F982" s="25"/>
    </row>
    <row r="983">
      <c r="E983" s="25"/>
      <c r="F983" s="25"/>
    </row>
    <row r="984">
      <c r="E984" s="25"/>
      <c r="F984" s="25"/>
    </row>
    <row r="985">
      <c r="E985" s="25"/>
      <c r="F985" s="25"/>
    </row>
    <row r="986">
      <c r="E986" s="25"/>
      <c r="F986" s="25"/>
    </row>
    <row r="987">
      <c r="E987" s="25"/>
      <c r="F987" s="25"/>
    </row>
    <row r="988">
      <c r="E988" s="25"/>
      <c r="F988" s="25"/>
    </row>
    <row r="989">
      <c r="E989" s="25"/>
      <c r="F989" s="25"/>
    </row>
  </sheetData>
  <autoFilter ref="$A$1:$G$34">
    <sortState ref="A1:G34">
      <sortCondition descending="1" ref="E1:E34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2.25"/>
    <col customWidth="1" min="9" max="9" width="34.88"/>
  </cols>
  <sheetData>
    <row r="1">
      <c r="A1" s="3" t="s">
        <v>26</v>
      </c>
      <c r="B1" s="1" t="str">
        <f t="array" ref="B1:B147">VLOOKUP(A1:A147,{Projects!M2:M1450,Projects!L2:L1450},2,false)</f>
        <v>26A47FBE-6B71-4D89-B27B-4629DEEA1D34</v>
      </c>
    </row>
    <row r="2">
      <c r="A2" s="3" t="s">
        <v>383</v>
      </c>
      <c r="B2" s="1" t="s">
        <v>382</v>
      </c>
      <c r="I2" s="3" t="s">
        <v>6708</v>
      </c>
      <c r="J2" s="3" t="s">
        <v>1123</v>
      </c>
      <c r="K2" s="1" t="str">
        <f t="array" ref="K2">VLOOKUP( J2,{ Projects!S:S,Projects!J:J},2,false)</f>
        <v>1 6 30 1514</v>
      </c>
    </row>
    <row r="3">
      <c r="A3" s="3" t="s">
        <v>2842</v>
      </c>
      <c r="B3" s="1" t="s">
        <v>2841</v>
      </c>
      <c r="I3" s="3" t="s">
        <v>6709</v>
      </c>
      <c r="J3" s="3" t="s">
        <v>1549</v>
      </c>
      <c r="K3" s="1" t="str">
        <f t="array" ref="K3">VLOOKUP( J3,{ Projects!S:S,Projects!J:J},2,false)</f>
        <v>#N/A</v>
      </c>
    </row>
    <row r="4">
      <c r="A4" s="3" t="s">
        <v>6710</v>
      </c>
      <c r="B4" s="1" t="e">
        <v>#N/A</v>
      </c>
      <c r="I4" s="3" t="s">
        <v>6711</v>
      </c>
      <c r="J4" s="3" t="s">
        <v>1962</v>
      </c>
      <c r="K4" s="1" t="str">
        <f t="array" ref="K4">VLOOKUP( J4,{ Projects!S:S,Projects!J:J},2,false)</f>
        <v>1 6 30 773 5</v>
      </c>
    </row>
    <row r="5">
      <c r="A5" s="3" t="s">
        <v>270</v>
      </c>
      <c r="B5" s="1" t="s">
        <v>269</v>
      </c>
      <c r="I5" s="3" t="s">
        <v>6712</v>
      </c>
      <c r="J5" s="3" t="s">
        <v>2530</v>
      </c>
      <c r="K5" s="1" t="str">
        <f t="array" ref="K5">VLOOKUP( J5,{ Projects!S:S,Projects!J:J},2,false)</f>
        <v>1630 1703 1</v>
      </c>
    </row>
    <row r="6">
      <c r="A6" s="3" t="s">
        <v>3166</v>
      </c>
      <c r="B6" s="1" t="s">
        <v>3165</v>
      </c>
      <c r="I6" s="3" t="s">
        <v>6713</v>
      </c>
      <c r="J6" s="3" t="s">
        <v>1820</v>
      </c>
      <c r="K6" s="1" t="str">
        <f t="array" ref="K6">VLOOKUP( J6,{ Projects!S:S,Projects!J:J},2,false)</f>
        <v>1 6 30 1132 6</v>
      </c>
    </row>
    <row r="7">
      <c r="A7" s="3" t="s">
        <v>1994</v>
      </c>
      <c r="B7" s="1" t="s">
        <v>1993</v>
      </c>
      <c r="I7" s="3" t="s">
        <v>6714</v>
      </c>
      <c r="J7" s="3" t="s">
        <v>1962</v>
      </c>
      <c r="K7" s="1" t="str">
        <f t="array" ref="K7">VLOOKUP( J7,{ Projects!S:S,Projects!J:J},2,false)</f>
        <v>1 6 30 773 5</v>
      </c>
    </row>
    <row r="8">
      <c r="A8" s="3" t="s">
        <v>1430</v>
      </c>
      <c r="B8" s="1" t="s">
        <v>1429</v>
      </c>
      <c r="I8" s="3" t="s">
        <v>6715</v>
      </c>
      <c r="J8" s="3" t="s">
        <v>892</v>
      </c>
      <c r="K8" s="1" t="str">
        <f t="array" ref="K8">VLOOKUP( J8,{ Projects!S:S,Projects!J:J},2,false)</f>
        <v>1 6 31 971</v>
      </c>
    </row>
    <row r="9">
      <c r="A9" s="3" t="s">
        <v>459</v>
      </c>
      <c r="B9" s="1" t="s">
        <v>458</v>
      </c>
      <c r="I9" s="3" t="s">
        <v>6716</v>
      </c>
      <c r="J9" s="1"/>
    </row>
    <row r="10">
      <c r="A10" s="3" t="s">
        <v>4772</v>
      </c>
      <c r="B10" s="1" t="s">
        <v>4771</v>
      </c>
      <c r="I10" s="3" t="s">
        <v>6717</v>
      </c>
      <c r="J10" s="3" t="s">
        <v>3315</v>
      </c>
      <c r="K10" s="1" t="str">
        <f t="array" ref="K10">VLOOKUP( J10,{ Projects!S:S,Projects!J:J},2,false)</f>
        <v>1 6 30 1911 2</v>
      </c>
    </row>
    <row r="11">
      <c r="A11" s="3" t="s">
        <v>1438</v>
      </c>
      <c r="B11" s="1" t="s">
        <v>1437</v>
      </c>
      <c r="I11" s="3" t="s">
        <v>6718</v>
      </c>
      <c r="J11" s="3" t="s">
        <v>4664</v>
      </c>
      <c r="K11" s="1" t="str">
        <f t="array" ref="K11">VLOOKUP( J11,{ Projects!S:S,Projects!J:J},2,false)</f>
        <v/>
      </c>
    </row>
    <row r="12">
      <c r="A12" s="3" t="s">
        <v>1328</v>
      </c>
      <c r="B12" s="1" t="s">
        <v>1327</v>
      </c>
      <c r="I12" s="3" t="s">
        <v>6719</v>
      </c>
      <c r="J12" s="3" t="s">
        <v>4002</v>
      </c>
      <c r="K12" s="1" t="str">
        <f t="array" ref="K12">VLOOKUP( J12,{ Projects!S:S,Projects!J:J},2,false)</f>
        <v>1 6 30 1132 7</v>
      </c>
    </row>
    <row r="13">
      <c r="A13" s="3" t="s">
        <v>577</v>
      </c>
      <c r="B13" s="1" t="s">
        <v>576</v>
      </c>
      <c r="I13" s="3" t="s">
        <v>6720</v>
      </c>
      <c r="J13" s="3" t="s">
        <v>4789</v>
      </c>
      <c r="K13" s="1" t="str">
        <f t="array" ref="K13">VLOOKUP( J13,{ Projects!S:S,Projects!J:J},2,false)</f>
        <v/>
      </c>
    </row>
    <row r="14">
      <c r="A14" s="3" t="s">
        <v>4123</v>
      </c>
      <c r="B14" s="1" t="s">
        <v>4122</v>
      </c>
      <c r="I14" s="3" t="s">
        <v>6721</v>
      </c>
      <c r="J14" s="3" t="s">
        <v>4634</v>
      </c>
      <c r="K14" s="1" t="str">
        <f t="array" ref="K14">VLOOKUP( J14,{ Projects!S:S,Projects!J:J},2,false)</f>
        <v>1 6 30 2571</v>
      </c>
    </row>
    <row r="15">
      <c r="A15" s="3" t="s">
        <v>5523</v>
      </c>
      <c r="B15" s="1" t="s">
        <v>5522</v>
      </c>
      <c r="I15" s="3" t="s">
        <v>6722</v>
      </c>
      <c r="J15" s="3" t="s">
        <v>892</v>
      </c>
      <c r="K15" s="1" t="str">
        <f t="array" ref="K15">VLOOKUP( J15,{ Projects!S:S,Projects!J:J},2,false)</f>
        <v>1 6 31 971</v>
      </c>
    </row>
    <row r="16">
      <c r="A16" s="3" t="s">
        <v>2962</v>
      </c>
      <c r="B16" s="1" t="s">
        <v>2961</v>
      </c>
      <c r="I16" s="3" t="s">
        <v>510</v>
      </c>
      <c r="J16" s="3" t="s">
        <v>1317</v>
      </c>
      <c r="K16" s="1" t="str">
        <f t="array" ref="K16">VLOOKUP( J16,{ Projects!S:S,Projects!J:J},2,false)</f>
        <v/>
      </c>
    </row>
    <row r="17">
      <c r="A17" s="3" t="s">
        <v>542</v>
      </c>
      <c r="B17" s="1" t="s">
        <v>541</v>
      </c>
      <c r="I17" s="3" t="s">
        <v>546</v>
      </c>
      <c r="J17" s="1"/>
      <c r="K17" s="1" t="str">
        <f t="array" ref="K17">VLOOKUP( J17,{ Projects!S:S,Projects!J:J},2,false)</f>
        <v>#N/A</v>
      </c>
    </row>
    <row r="18">
      <c r="A18" s="3" t="s">
        <v>3174</v>
      </c>
      <c r="B18" s="1" t="s">
        <v>3173</v>
      </c>
      <c r="I18" s="3" t="s">
        <v>6723</v>
      </c>
      <c r="J18" s="3" t="s">
        <v>3722</v>
      </c>
      <c r="K18" s="1" t="str">
        <f t="array" ref="K18">VLOOKUP( J18,{ Projects!S:S,Projects!J:J},2,false)</f>
        <v/>
      </c>
    </row>
    <row r="19">
      <c r="A19" s="3" t="s">
        <v>3174</v>
      </c>
      <c r="B19" s="1" t="s">
        <v>3173</v>
      </c>
    </row>
    <row r="20">
      <c r="A20" s="3" t="s">
        <v>4075</v>
      </c>
      <c r="B20" s="1" t="s">
        <v>4074</v>
      </c>
    </row>
    <row r="21">
      <c r="A21" s="3" t="s">
        <v>5410</v>
      </c>
      <c r="B21" s="1" t="s">
        <v>5409</v>
      </c>
    </row>
    <row r="22">
      <c r="A22" s="3" t="s">
        <v>5422</v>
      </c>
      <c r="B22" s="1" t="s">
        <v>5421</v>
      </c>
    </row>
    <row r="23">
      <c r="A23" s="3" t="s">
        <v>5416</v>
      </c>
      <c r="B23" s="1" t="s">
        <v>5415</v>
      </c>
    </row>
    <row r="24">
      <c r="A24" s="3" t="s">
        <v>5380</v>
      </c>
      <c r="B24" s="1" t="s">
        <v>5379</v>
      </c>
    </row>
    <row r="25">
      <c r="A25" s="3" t="s">
        <v>5398</v>
      </c>
      <c r="B25" s="1" t="s">
        <v>5397</v>
      </c>
    </row>
    <row r="26">
      <c r="A26" s="3" t="s">
        <v>5531</v>
      </c>
      <c r="B26" s="1" t="s">
        <v>5530</v>
      </c>
    </row>
    <row r="27">
      <c r="A27" s="3" t="s">
        <v>4200</v>
      </c>
      <c r="B27" s="1" t="s">
        <v>4199</v>
      </c>
    </row>
    <row r="28">
      <c r="A28" s="3" t="s">
        <v>282</v>
      </c>
      <c r="B28" s="1" t="s">
        <v>281</v>
      </c>
    </row>
    <row r="29">
      <c r="A29" s="3" t="s">
        <v>3721</v>
      </c>
      <c r="B29" s="1" t="s">
        <v>3720</v>
      </c>
    </row>
    <row r="30">
      <c r="A30" s="3" t="s">
        <v>35</v>
      </c>
      <c r="B30" s="1" t="s">
        <v>34</v>
      </c>
    </row>
    <row r="31">
      <c r="A31" s="3" t="s">
        <v>2953</v>
      </c>
      <c r="B31" s="1" t="s">
        <v>2952</v>
      </c>
    </row>
    <row r="32">
      <c r="A32" s="3" t="s">
        <v>255</v>
      </c>
      <c r="B32" s="1" t="s">
        <v>254</v>
      </c>
    </row>
    <row r="33">
      <c r="A33" s="3" t="s">
        <v>4843</v>
      </c>
      <c r="B33" s="1" t="s">
        <v>4842</v>
      </c>
    </row>
    <row r="34">
      <c r="A34" s="3" t="s">
        <v>78</v>
      </c>
      <c r="B34" s="1" t="s">
        <v>77</v>
      </c>
    </row>
    <row r="35">
      <c r="A35" s="3" t="s">
        <v>5569</v>
      </c>
      <c r="B35" s="1" t="s">
        <v>5568</v>
      </c>
    </row>
    <row r="36">
      <c r="A36" s="3" t="s">
        <v>3714</v>
      </c>
      <c r="B36" s="1" t="s">
        <v>3713</v>
      </c>
    </row>
    <row r="37">
      <c r="A37" s="3" t="s">
        <v>4602</v>
      </c>
      <c r="B37" s="1" t="s">
        <v>4601</v>
      </c>
    </row>
    <row r="38">
      <c r="A38" s="3" t="s">
        <v>185</v>
      </c>
      <c r="B38" s="1" t="s">
        <v>184</v>
      </c>
    </row>
    <row r="39">
      <c r="A39" s="3" t="s">
        <v>5614</v>
      </c>
      <c r="B39" s="1" t="s">
        <v>5613</v>
      </c>
    </row>
    <row r="40">
      <c r="A40" s="3" t="s">
        <v>1354</v>
      </c>
      <c r="B40" s="1" t="s">
        <v>1353</v>
      </c>
    </row>
    <row r="41">
      <c r="A41" s="3" t="s">
        <v>3440</v>
      </c>
      <c r="B41" s="1" t="s">
        <v>3439</v>
      </c>
    </row>
    <row r="42">
      <c r="A42" s="3" t="s">
        <v>1763</v>
      </c>
      <c r="B42" s="1" t="s">
        <v>1762</v>
      </c>
    </row>
    <row r="43">
      <c r="A43" s="3" t="s">
        <v>276</v>
      </c>
      <c r="B43" s="1" t="s">
        <v>275</v>
      </c>
    </row>
    <row r="44">
      <c r="A44" s="3" t="s">
        <v>225</v>
      </c>
      <c r="B44" s="1" t="s">
        <v>224</v>
      </c>
    </row>
    <row r="45">
      <c r="A45" s="3" t="s">
        <v>5240</v>
      </c>
      <c r="B45" s="1" t="s">
        <v>5239</v>
      </c>
    </row>
    <row r="46">
      <c r="A46" s="3" t="s">
        <v>139</v>
      </c>
      <c r="B46" s="1" t="s">
        <v>138</v>
      </c>
    </row>
    <row r="47">
      <c r="A47" s="3" t="s">
        <v>4577</v>
      </c>
      <c r="B47" s="1" t="s">
        <v>4576</v>
      </c>
    </row>
    <row r="48">
      <c r="A48" s="3" t="s">
        <v>353</v>
      </c>
      <c r="B48" s="1" t="s">
        <v>352</v>
      </c>
    </row>
    <row r="49">
      <c r="A49" s="3" t="s">
        <v>5392</v>
      </c>
      <c r="B49" s="1" t="s">
        <v>5391</v>
      </c>
    </row>
    <row r="50">
      <c r="A50" s="3" t="s">
        <v>645</v>
      </c>
      <c r="B50" s="1" t="s">
        <v>644</v>
      </c>
    </row>
    <row r="51">
      <c r="A51" s="3" t="s">
        <v>4081</v>
      </c>
      <c r="B51" s="1" t="s">
        <v>4080</v>
      </c>
    </row>
    <row r="52">
      <c r="A52" s="3" t="s">
        <v>5896</v>
      </c>
      <c r="B52" s="1" t="s">
        <v>5895</v>
      </c>
    </row>
    <row r="53">
      <c r="A53" s="3" t="s">
        <v>4640</v>
      </c>
      <c r="B53" s="1" t="s">
        <v>4639</v>
      </c>
    </row>
    <row r="54">
      <c r="A54" s="3" t="s">
        <v>3066</v>
      </c>
      <c r="B54" s="1" t="s">
        <v>3065</v>
      </c>
    </row>
    <row r="55">
      <c r="A55" s="3" t="s">
        <v>4130</v>
      </c>
      <c r="B55" s="1" t="s">
        <v>4129</v>
      </c>
    </row>
    <row r="56">
      <c r="A56" s="3" t="s">
        <v>5350</v>
      </c>
      <c r="B56" s="1" t="s">
        <v>5349</v>
      </c>
    </row>
    <row r="57">
      <c r="A57" s="3" t="s">
        <v>1087</v>
      </c>
      <c r="B57" s="1" t="s">
        <v>1086</v>
      </c>
    </row>
    <row r="58">
      <c r="A58" s="3" t="s">
        <v>146</v>
      </c>
      <c r="B58" s="1" t="s">
        <v>145</v>
      </c>
    </row>
    <row r="59">
      <c r="A59" s="3" t="s">
        <v>4747</v>
      </c>
      <c r="B59" s="1" t="s">
        <v>4746</v>
      </c>
    </row>
    <row r="60">
      <c r="A60" s="3" t="s">
        <v>2978</v>
      </c>
      <c r="B60" s="1" t="s">
        <v>2977</v>
      </c>
    </row>
    <row r="61">
      <c r="A61" s="3" t="s">
        <v>4155</v>
      </c>
      <c r="B61" s="1" t="s">
        <v>4154</v>
      </c>
    </row>
    <row r="62">
      <c r="A62" s="3" t="s">
        <v>326</v>
      </c>
      <c r="B62" s="1" t="s">
        <v>325</v>
      </c>
    </row>
    <row r="63">
      <c r="A63" s="3" t="s">
        <v>57</v>
      </c>
      <c r="B63" s="1" t="s">
        <v>56</v>
      </c>
    </row>
    <row r="64">
      <c r="A64" s="3" t="s">
        <v>1333</v>
      </c>
      <c r="B64" s="1" t="s">
        <v>1332</v>
      </c>
    </row>
    <row r="65">
      <c r="A65" s="3" t="s">
        <v>3350</v>
      </c>
      <c r="B65" s="1" t="s">
        <v>3349</v>
      </c>
    </row>
    <row r="66">
      <c r="A66" s="3" t="s">
        <v>313</v>
      </c>
      <c r="B66" s="1" t="s">
        <v>312</v>
      </c>
    </row>
    <row r="67">
      <c r="A67" s="3" t="s">
        <v>301</v>
      </c>
      <c r="B67" s="1" t="s">
        <v>300</v>
      </c>
    </row>
    <row r="68">
      <c r="A68" s="3" t="s">
        <v>1716</v>
      </c>
      <c r="B68" s="1" t="s">
        <v>1715</v>
      </c>
    </row>
    <row r="69">
      <c r="A69" s="3" t="s">
        <v>173</v>
      </c>
      <c r="B69" s="1" t="s">
        <v>172</v>
      </c>
    </row>
    <row r="70">
      <c r="A70" s="3" t="s">
        <v>5540</v>
      </c>
      <c r="B70" s="1" t="s">
        <v>5539</v>
      </c>
    </row>
    <row r="71">
      <c r="A71" s="3" t="s">
        <v>1295</v>
      </c>
      <c r="B71" s="1" t="s">
        <v>1294</v>
      </c>
    </row>
    <row r="72">
      <c r="A72" s="3" t="s">
        <v>1834</v>
      </c>
      <c r="B72" s="1" t="s">
        <v>1833</v>
      </c>
    </row>
    <row r="73">
      <c r="A73" s="3" t="s">
        <v>1182</v>
      </c>
      <c r="B73" s="1" t="s">
        <v>1181</v>
      </c>
    </row>
    <row r="74">
      <c r="A74" s="3" t="s">
        <v>376</v>
      </c>
      <c r="B74" s="1" t="s">
        <v>375</v>
      </c>
    </row>
    <row r="75">
      <c r="A75" s="3" t="s">
        <v>3890</v>
      </c>
      <c r="B75" s="1" t="s">
        <v>3889</v>
      </c>
    </row>
    <row r="76">
      <c r="A76" s="3" t="s">
        <v>4822</v>
      </c>
      <c r="B76" s="1" t="s">
        <v>4821</v>
      </c>
    </row>
    <row r="77">
      <c r="A77" s="3" t="s">
        <v>218</v>
      </c>
      <c r="B77" s="1" t="s">
        <v>217</v>
      </c>
    </row>
    <row r="78">
      <c r="A78" s="3" t="s">
        <v>289</v>
      </c>
      <c r="B78" s="1" t="s">
        <v>288</v>
      </c>
    </row>
    <row r="79">
      <c r="A79" s="3" t="s">
        <v>319</v>
      </c>
      <c r="B79" s="1" t="s">
        <v>318</v>
      </c>
    </row>
    <row r="80">
      <c r="A80" s="3" t="s">
        <v>5428</v>
      </c>
      <c r="B80" s="1" t="s">
        <v>5427</v>
      </c>
    </row>
    <row r="81">
      <c r="A81" s="3" t="s">
        <v>3865</v>
      </c>
      <c r="B81" s="1" t="s">
        <v>3864</v>
      </c>
    </row>
    <row r="82">
      <c r="A82" s="3" t="s">
        <v>2931</v>
      </c>
      <c r="B82" s="1" t="s">
        <v>2930</v>
      </c>
    </row>
    <row r="83">
      <c r="A83" s="3" t="s">
        <v>3994</v>
      </c>
      <c r="B83" s="1" t="s">
        <v>3993</v>
      </c>
    </row>
    <row r="84">
      <c r="A84" s="3" t="s">
        <v>5368</v>
      </c>
      <c r="B84" s="1" t="s">
        <v>5367</v>
      </c>
    </row>
    <row r="85">
      <c r="A85" s="3" t="s">
        <v>3706</v>
      </c>
      <c r="B85" s="1" t="s">
        <v>3705</v>
      </c>
    </row>
    <row r="86">
      <c r="A86" s="3" t="s">
        <v>5362</v>
      </c>
      <c r="B86" s="1" t="s">
        <v>5361</v>
      </c>
    </row>
    <row r="87">
      <c r="A87" s="3" t="s">
        <v>5344</v>
      </c>
      <c r="B87" s="1" t="s">
        <v>5343</v>
      </c>
    </row>
    <row r="88">
      <c r="A88" s="3" t="s">
        <v>1755</v>
      </c>
      <c r="B88" s="1" t="s">
        <v>1754</v>
      </c>
    </row>
    <row r="89">
      <c r="A89" s="3" t="s">
        <v>3253</v>
      </c>
      <c r="B89" s="1" t="s">
        <v>3252</v>
      </c>
    </row>
    <row r="90">
      <c r="A90" s="3" t="s">
        <v>6724</v>
      </c>
      <c r="B90" s="1" t="e">
        <v>#N/A</v>
      </c>
    </row>
    <row r="91">
      <c r="A91" s="3" t="s">
        <v>4654</v>
      </c>
      <c r="B91" s="1" t="s">
        <v>4653</v>
      </c>
    </row>
    <row r="92">
      <c r="A92" s="3" t="s">
        <v>4882</v>
      </c>
      <c r="B92" s="1" t="s">
        <v>4881</v>
      </c>
    </row>
    <row r="93">
      <c r="A93" s="3" t="s">
        <v>1819</v>
      </c>
      <c r="B93" s="1" t="s">
        <v>1818</v>
      </c>
    </row>
    <row r="94">
      <c r="A94" s="3" t="s">
        <v>5404</v>
      </c>
      <c r="B94" s="1" t="s">
        <v>5403</v>
      </c>
    </row>
    <row r="95">
      <c r="A95" s="3" t="s">
        <v>42</v>
      </c>
      <c r="B95" s="1" t="s">
        <v>41</v>
      </c>
    </row>
    <row r="96">
      <c r="A96" s="3" t="s">
        <v>71</v>
      </c>
      <c r="B96" s="1" t="s">
        <v>70</v>
      </c>
    </row>
    <row r="97">
      <c r="A97" s="3" t="s">
        <v>212</v>
      </c>
      <c r="B97" s="1" t="s">
        <v>211</v>
      </c>
    </row>
    <row r="98">
      <c r="A98" s="3" t="s">
        <v>2690</v>
      </c>
      <c r="B98" s="1" t="s">
        <v>2689</v>
      </c>
    </row>
    <row r="99">
      <c r="A99" s="3" t="s">
        <v>199</v>
      </c>
      <c r="B99" s="1" t="s">
        <v>198</v>
      </c>
    </row>
    <row r="100">
      <c r="A100" s="3" t="s">
        <v>240</v>
      </c>
      <c r="B100" s="1" t="s">
        <v>239</v>
      </c>
    </row>
    <row r="101">
      <c r="A101" s="3" t="s">
        <v>1735</v>
      </c>
      <c r="B101" s="1" t="s">
        <v>1734</v>
      </c>
    </row>
    <row r="102">
      <c r="A102" s="3" t="s">
        <v>5904</v>
      </c>
      <c r="B102" s="1" t="s">
        <v>5903</v>
      </c>
    </row>
    <row r="103">
      <c r="A103" s="3" t="s">
        <v>4802</v>
      </c>
      <c r="B103" s="1" t="s">
        <v>4801</v>
      </c>
    </row>
    <row r="104">
      <c r="A104" s="3" t="s">
        <v>4684</v>
      </c>
      <c r="B104" s="1" t="s">
        <v>4683</v>
      </c>
    </row>
    <row r="105">
      <c r="A105" s="3" t="s">
        <v>3502</v>
      </c>
      <c r="B105" s="1" t="s">
        <v>3501</v>
      </c>
    </row>
    <row r="106">
      <c r="A106" s="3" t="s">
        <v>1602</v>
      </c>
      <c r="B106" s="1" t="s">
        <v>1601</v>
      </c>
    </row>
    <row r="107">
      <c r="A107" s="3" t="s">
        <v>295</v>
      </c>
      <c r="B107" s="1" t="s">
        <v>294</v>
      </c>
    </row>
    <row r="108">
      <c r="A108" s="3" t="s">
        <v>64</v>
      </c>
      <c r="B108" s="1" t="s">
        <v>63</v>
      </c>
    </row>
    <row r="109">
      <c r="A109" s="3" t="s">
        <v>945</v>
      </c>
      <c r="B109" s="1" t="s">
        <v>944</v>
      </c>
    </row>
    <row r="110">
      <c r="A110" s="3" t="s">
        <v>5685</v>
      </c>
      <c r="B110" s="1" t="s">
        <v>5684</v>
      </c>
    </row>
    <row r="111">
      <c r="A111" s="3" t="s">
        <v>2166</v>
      </c>
      <c r="B111" s="1" t="s">
        <v>2165</v>
      </c>
    </row>
    <row r="112">
      <c r="A112" s="3" t="s">
        <v>3421</v>
      </c>
      <c r="B112" s="1" t="s">
        <v>3420</v>
      </c>
    </row>
    <row r="113">
      <c r="A113" s="3" t="s">
        <v>3283</v>
      </c>
      <c r="B113" s="1" t="s">
        <v>3282</v>
      </c>
    </row>
    <row r="114">
      <c r="A114" s="3" t="s">
        <v>369</v>
      </c>
      <c r="B114" s="1" t="s">
        <v>368</v>
      </c>
    </row>
    <row r="115">
      <c r="A115" s="3" t="s">
        <v>5338</v>
      </c>
      <c r="B115" s="1" t="s">
        <v>5337</v>
      </c>
    </row>
    <row r="116">
      <c r="A116" s="3" t="s">
        <v>179</v>
      </c>
      <c r="B116" s="1" t="s">
        <v>178</v>
      </c>
    </row>
    <row r="117">
      <c r="A117" s="3" t="s">
        <v>4001</v>
      </c>
      <c r="B117" s="1" t="s">
        <v>4000</v>
      </c>
    </row>
    <row r="118">
      <c r="A118" s="3" t="s">
        <v>3544</v>
      </c>
      <c r="B118" s="1" t="s">
        <v>3543</v>
      </c>
    </row>
    <row r="119">
      <c r="A119" s="3" t="s">
        <v>263</v>
      </c>
      <c r="B119" s="1" t="s">
        <v>262</v>
      </c>
    </row>
    <row r="120">
      <c r="A120" s="3" t="s">
        <v>5356</v>
      </c>
      <c r="B120" s="1" t="s">
        <v>5355</v>
      </c>
    </row>
    <row r="121">
      <c r="A121" s="3" t="s">
        <v>4060</v>
      </c>
      <c r="B121" s="1" t="s">
        <v>4059</v>
      </c>
    </row>
    <row r="122">
      <c r="A122" s="3" t="s">
        <v>1060</v>
      </c>
      <c r="B122" s="1" t="s">
        <v>1059</v>
      </c>
    </row>
    <row r="123">
      <c r="A123" s="3" t="s">
        <v>1340</v>
      </c>
      <c r="B123" s="1" t="s">
        <v>1339</v>
      </c>
    </row>
    <row r="124">
      <c r="A124" s="3" t="s">
        <v>4906</v>
      </c>
      <c r="B124" s="1" t="s">
        <v>4905</v>
      </c>
    </row>
    <row r="125">
      <c r="A125" s="3" t="s">
        <v>4146</v>
      </c>
      <c r="B125" s="1" t="s">
        <v>4145</v>
      </c>
    </row>
    <row r="126">
      <c r="A126" s="3" t="s">
        <v>3427</v>
      </c>
      <c r="B126" s="1" t="s">
        <v>3426</v>
      </c>
    </row>
    <row r="127">
      <c r="A127" s="3" t="s">
        <v>4193</v>
      </c>
      <c r="B127" s="1" t="s">
        <v>4192</v>
      </c>
    </row>
    <row r="128">
      <c r="A128" s="3" t="s">
        <v>192</v>
      </c>
      <c r="B128" s="1" t="s">
        <v>191</v>
      </c>
    </row>
    <row r="129">
      <c r="A129" s="3" t="s">
        <v>4609</v>
      </c>
      <c r="B129" s="1" t="s">
        <v>4608</v>
      </c>
    </row>
    <row r="130">
      <c r="A130" s="3" t="s">
        <v>307</v>
      </c>
      <c r="B130" s="1" t="s">
        <v>306</v>
      </c>
    </row>
    <row r="131">
      <c r="A131" s="3" t="s">
        <v>3373</v>
      </c>
      <c r="B131" s="1" t="s">
        <v>3372</v>
      </c>
    </row>
    <row r="132">
      <c r="A132" s="3" t="s">
        <v>1379</v>
      </c>
      <c r="B132" s="1" t="s">
        <v>1378</v>
      </c>
    </row>
    <row r="133">
      <c r="A133" s="3" t="s">
        <v>4787</v>
      </c>
      <c r="B133" s="1" t="s">
        <v>4786</v>
      </c>
    </row>
    <row r="134">
      <c r="A134" s="3" t="s">
        <v>1576</v>
      </c>
      <c r="B134" s="1" t="s">
        <v>1575</v>
      </c>
    </row>
    <row r="135">
      <c r="A135" s="3" t="s">
        <v>206</v>
      </c>
      <c r="B135" s="1" t="s">
        <v>205</v>
      </c>
    </row>
    <row r="136">
      <c r="A136" s="3" t="s">
        <v>4087</v>
      </c>
      <c r="B136" s="1" t="s">
        <v>4086</v>
      </c>
    </row>
    <row r="137">
      <c r="A137" s="3" t="s">
        <v>100</v>
      </c>
      <c r="B137" s="1" t="s">
        <v>99</v>
      </c>
    </row>
    <row r="138">
      <c r="A138" s="3" t="s">
        <v>5780</v>
      </c>
      <c r="B138" s="1" t="s">
        <v>5779</v>
      </c>
    </row>
    <row r="139">
      <c r="A139" s="3" t="s">
        <v>345</v>
      </c>
      <c r="B139" s="1" t="s">
        <v>344</v>
      </c>
    </row>
    <row r="140">
      <c r="A140" s="3" t="s">
        <v>5374</v>
      </c>
      <c r="B140" s="1" t="s">
        <v>5373</v>
      </c>
    </row>
    <row r="141">
      <c r="A141" s="3" t="s">
        <v>5868</v>
      </c>
      <c r="B141" s="1" t="s">
        <v>5867</v>
      </c>
    </row>
    <row r="142">
      <c r="A142" s="3" t="s">
        <v>3247</v>
      </c>
      <c r="B142" s="1" t="s">
        <v>3246</v>
      </c>
    </row>
    <row r="143">
      <c r="A143" s="3" t="s">
        <v>93</v>
      </c>
      <c r="B143" s="1" t="s">
        <v>92</v>
      </c>
    </row>
    <row r="144">
      <c r="A144" s="3" t="s">
        <v>2804</v>
      </c>
      <c r="B144" s="1" t="s">
        <v>2803</v>
      </c>
    </row>
    <row r="145">
      <c r="A145" s="3" t="s">
        <v>50</v>
      </c>
      <c r="B145" s="1" t="s">
        <v>49</v>
      </c>
    </row>
    <row r="146">
      <c r="A146" s="3" t="s">
        <v>2819</v>
      </c>
      <c r="B146" s="1" t="s">
        <v>2818</v>
      </c>
    </row>
    <row r="147">
      <c r="A147" s="3" t="s">
        <v>5818</v>
      </c>
      <c r="B147" s="1" t="s">
        <v>5817</v>
      </c>
    </row>
  </sheetData>
  <dataValidations>
    <dataValidation type="list" allowBlank="1" showErrorMessage="1" sqref="J2:J18">
      <formula1>Projects!$S:$S</formula1>
    </dataValidation>
  </dataValidations>
  <drawing r:id="rId1"/>
</worksheet>
</file>