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next-postgres-starter\"/>
    </mc:Choice>
  </mc:AlternateContent>
  <xr:revisionPtr revIDLastSave="0" documentId="13_ncr:1_{7B2CDBC9-6EB2-4F5E-85D2-5469862D39B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jects" sheetId="1" r:id="rId1"/>
    <sheet name="Sheet3" sheetId="4" r:id="rId2"/>
    <sheet name="Sheet4" sheetId="5" r:id="rId3"/>
    <sheet name="Projects GS" sheetId="3" r:id="rId4"/>
    <sheet name="Projects (2)" sheetId="2" r:id="rId5"/>
  </sheets>
  <definedNames>
    <definedName name="_xlnm._FilterDatabase" localSheetId="3" hidden="1">'Projects GS'!$A$1:$U$1448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2" i="1" l="1" a="1"/>
  <c r="L2" i="1" s="1"/>
  <c r="I2" i="1" a="1"/>
  <c r="I2" i="1" s="1"/>
  <c r="H2" i="1" a="1"/>
  <c r="H2" i="1" s="1"/>
  <c r="G2" i="1" a="1"/>
  <c r="G2" i="1" s="1"/>
  <c r="F2" i="1" a="1"/>
  <c r="F2" i="1" s="1"/>
  <c r="E2" i="1" a="1"/>
  <c r="E2" i="1" s="1"/>
  <c r="D2" i="1" a="1"/>
  <c r="D2" i="1" s="1"/>
  <c r="C2" i="1" a="1"/>
  <c r="C2" i="1" s="1"/>
  <c r="B2" i="1" a="1"/>
  <c r="B2" i="1" s="1"/>
  <c r="A2" i="1" a="1"/>
  <c r="A2" i="1" s="1"/>
  <c r="F521" i="3"/>
  <c r="F514" i="3"/>
  <c r="F372" i="3"/>
  <c r="F5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<sst xmlns="http://schemas.openxmlformats.org/spreadsheetml/2006/main" count="15579" uniqueCount="6654">
  <si>
    <t>Project UUID</t>
  </si>
  <si>
    <t>Counteragent UUID</t>
  </si>
  <si>
    <t>Project Name</t>
  </si>
  <si>
    <t>Financial Code UUID</t>
  </si>
  <si>
    <t>Date</t>
  </si>
  <si>
    <t>Value</t>
  </si>
  <si>
    <t>Currency UUID</t>
  </si>
  <si>
    <t>State UUID</t>
  </si>
  <si>
    <t>ORIS 1630</t>
  </si>
  <si>
    <t>Contract Number</t>
  </si>
  <si>
    <t>Project Index</t>
  </si>
  <si>
    <t>Employees</t>
  </si>
  <si>
    <t>leave-empty-for-new</t>
  </si>
  <si>
    <t>xxxxxxxx-xxxx-xxxx-xxxx-xxxxxxxxxxxx</t>
  </si>
  <si>
    <t>Example Project</t>
  </si>
  <si>
    <t>2025-01-01</t>
  </si>
  <si>
    <t>10000.50</t>
  </si>
  <si>
    <t>optional</t>
  </si>
  <si>
    <t>uuid1,uuid2,uuid3 (comma-separated)</t>
  </si>
  <si>
    <t>Timestamp</t>
  </si>
  <si>
    <t>კონტრაგენტი :</t>
  </si>
  <si>
    <t>პროექტის დასახელება :</t>
  </si>
  <si>
    <t>შემოსავლის კოდი :</t>
  </si>
  <si>
    <t>თარიღი :</t>
  </si>
  <si>
    <t>თანხა :</t>
  </si>
  <si>
    <t>ვალუტა :</t>
  </si>
  <si>
    <t>პროექტის სტატუსი :</t>
  </si>
  <si>
    <t>თანამშრომელი :</t>
  </si>
  <si>
    <t>ORIS 1630 :</t>
  </si>
  <si>
    <t xml:space="preserve">კონტრაქტის # - </t>
  </si>
  <si>
    <t>პროექტი_GUID/</t>
  </si>
  <si>
    <t>პროექტი//</t>
  </si>
  <si>
    <t>შემოსავლის კოდი_GUID</t>
  </si>
  <si>
    <t>კონტრაგენტი_GUID</t>
  </si>
  <si>
    <t>თანამშრომელი_GUID</t>
  </si>
  <si>
    <t>Collateral</t>
  </si>
  <si>
    <t>Deleted</t>
  </si>
  <si>
    <t>Name1</t>
  </si>
  <si>
    <t>კონტრაგენტის ORIS ID</t>
  </si>
  <si>
    <t>ოლიმპ ჯორჯია (ს.კ. 405231011) - შპს</t>
  </si>
  <si>
    <t>Biota Park</t>
  </si>
  <si>
    <t>1.1.1. (+) შემოსავალი ლიფტების რეალიზაციიდან</t>
  </si>
  <si>
    <t>USD</t>
  </si>
  <si>
    <t>მიმდინარე</t>
  </si>
  <si>
    <t>1 6 30 1270</t>
  </si>
  <si>
    <t>405231011/43767/1.1.1./1</t>
  </si>
  <si>
    <t>26A47FBE-6B71-4D89-B27B-4629DEEA1D34</t>
  </si>
  <si>
    <t>Biota Park | 1.1.1. (+) შემოსავალი ლიფტების რეალიზაციიდან | ოლიმპ ჯორჯია (ს.კ. 405231011) - შპს</t>
  </si>
  <si>
    <t>B59170EC-16CC-499A-9FF7-0428DCB8F727</t>
  </si>
  <si>
    <t>6DECD64D-60DA-49AE-A9B3-49D7E02F2D62</t>
  </si>
  <si>
    <t>gio.nikabadze@gmail.com</t>
  </si>
  <si>
    <t>ინდეკო (ს.კ. 202376133) - შპს</t>
  </si>
  <si>
    <t>Chakhrukhadze</t>
  </si>
  <si>
    <t>1 6 30 541 4</t>
  </si>
  <si>
    <t>202376133/43762/1.1.1./1</t>
  </si>
  <si>
    <t>BFCA9047-3C75-4EEB-9FE8-82617FFD3965</t>
  </si>
  <si>
    <t>Chakhrukhadze | 1.1.1. (+) შემოსავალი ლიფტების რეალიზაციიდან | ინდეკო (ს.კ. 202376133) - შპს</t>
  </si>
  <si>
    <t>8E8E99BE-75FC-49EC-9D89-960E30E7CB06</t>
  </si>
  <si>
    <t>ბეტა ჯგუფი (ს.კ. 405171996) - შპს</t>
  </si>
  <si>
    <t>Med. University</t>
  </si>
  <si>
    <t>405171996/43767/1.1.1./1</t>
  </si>
  <si>
    <t>00664103-FB2D-4EA7-A2B7-28064D745999</t>
  </si>
  <si>
    <t>Med. University | 1.1.1. (+) შემოსავალი ლიფტების რეალიზაციიდან | ბეტა ჯგუფი (ს.კ. 405171996) - შპს</t>
  </si>
  <si>
    <t>3029E0C5-9337-4596-87DB-0A677D44A180</t>
  </si>
  <si>
    <t>გიოკაპიტალი (ს.კ. 406155841) - შპს</t>
  </si>
  <si>
    <t>Varketili</t>
  </si>
  <si>
    <t>1 6 30 1252</t>
  </si>
  <si>
    <t>406155841/43724/1.1.1./1</t>
  </si>
  <si>
    <t>80851DA9-84C4-4C2C-95FE-D6A0282F7B22</t>
  </si>
  <si>
    <t>Varketili | 1.1.1. (+) შემოსავალი ლიფტების რეალიზაციიდან | გიოკაპიტალი (ს.კ. 406155841) - შპს</t>
  </si>
  <si>
    <t>97BEEA92-7829-4A09-8B1C-D0FE871340D4</t>
  </si>
  <si>
    <t>რედ-კო (ს.კ. 405148415) - შპს</t>
  </si>
  <si>
    <t>Gudauri Redco Parking</t>
  </si>
  <si>
    <t>405148415/43734/1.1.1./1</t>
  </si>
  <si>
    <t>2E1DDD27-332A-4E4A-B571-52B4DE3B8E04</t>
  </si>
  <si>
    <t>Gudauri Redco Parking | 1.1.1. (+) შემოსავალი ლიფტების რეალიზაციიდან | რედ-კო (ს.კ. 405148415) - შპს</t>
  </si>
  <si>
    <t>DA9D440B-CACD-4076-8B91-BFFCA46814B6</t>
  </si>
  <si>
    <t>მაია კვიჭიძე (ს.კ. 01008011243) - ფიზ. პირი</t>
  </si>
  <si>
    <t>Ortachala</t>
  </si>
  <si>
    <t>01008011243/43672/1.1.1./1</t>
  </si>
  <si>
    <t>83FEC832-A4EA-4380-B5E9-85BEEECE8FA4</t>
  </si>
  <si>
    <t>Ortachala | 1.1.1. (+) შემოსავალი ლიფტების რეალიზაციიდან | მაია კვიჭიძე (ს.კ. 01008011243) - ფიზ. პირი</t>
  </si>
  <si>
    <t>D5136DB7-C17A-4DDB-9797-D1B10612D28C</t>
  </si>
  <si>
    <t>მოდუსი (ს.კ. 245565669) - შპს</t>
  </si>
  <si>
    <t>Modus Agladze</t>
  </si>
  <si>
    <t>245565669/43633/1.1.1./1</t>
  </si>
  <si>
    <t>ABDEF9CC-F0E1-4950-B30C-D46A8A8A912C</t>
  </si>
  <si>
    <t>Modus Agladze | 1.1.1. (+) შემოსავალი ლიფტების რეალიზაციიდან | მოდუსი (ს.კ. 245565669) - შპს</t>
  </si>
  <si>
    <t>9729C88B-F3C5-441A-8782-0656302A37F2</t>
  </si>
  <si>
    <t>ჰომბეი (ს.კ. 405255815) - შპს</t>
  </si>
  <si>
    <t>Crystal Bakuriani</t>
  </si>
  <si>
    <t>405255815/43608/1.1.1./1</t>
  </si>
  <si>
    <t>230FCB1B-1310-4C49-9D2C-9CD5F9A792A3</t>
  </si>
  <si>
    <t>Crystal Bakuriani | 1.1.1. (+) შემოსავალი ლიფტების რეალიზაციიდან | ჰომბეი (ს.კ. 405255815) - შპს</t>
  </si>
  <si>
    <t>AAFC235A-2BBF-4CEC-A2AE-F1AEBABC12E4</t>
  </si>
  <si>
    <t>ანა აბუსერიძე (ს.კ. 61001051501) - ფიზ. პირი</t>
  </si>
  <si>
    <t>Abuseridze - Batumi</t>
  </si>
  <si>
    <t>1 6 30 1179</t>
  </si>
  <si>
    <t>61001051501/43622/1.1.1./1</t>
  </si>
  <si>
    <t>4E89F135-A0AD-4622-97BD-7B68EF6062F8</t>
  </si>
  <si>
    <t>Abuseridze - Batumi | 1.1.1. (+) შემოსავალი ლიფტების რეალიზაციიდან | ანა აბუსერიძე (ს.კ. 61001051501) - ფიზ. პირი</t>
  </si>
  <si>
    <t>15F35EBB-5A28-4C1B-B7CC-45FF3F31D4D6</t>
  </si>
  <si>
    <t>იუნიქს ქონსთრაქშენ კომპანი (ს.კ. 405133822) - შპს</t>
  </si>
  <si>
    <t>UNIX Marselle</t>
  </si>
  <si>
    <t>405133822/43607/1.1.1./1</t>
  </si>
  <si>
    <t>CFFC1C06-B78B-45A0-8A02-37A23706EAFC</t>
  </si>
  <si>
    <t>UNIX Marselle | 1.1.1. (+) შემოსავალი ლიფტების რეალიზაციიდან | იუნიქს ქონსთრაქშენ კომპანი (ს.კ. 405133822) - შპს</t>
  </si>
  <si>
    <t>B4968862-3843-414D-9E73-1A7611618B41</t>
  </si>
  <si>
    <t>თბილისი პალასი (ს.კ. 405253381) - შპს</t>
  </si>
  <si>
    <t>Tbilisi Palace</t>
  </si>
  <si>
    <t>405253381/43460/1.1.1./1</t>
  </si>
  <si>
    <t>125722B7-4DB0-4817-B1A4-DBA0B1B893D4</t>
  </si>
  <si>
    <t>Tbilisi Palace | 1.1.1. (+) შემოსავალი ლიფტების რეალიზაციიდან | თბილისი პალასი (ს.კ. 405253381) - შპს</t>
  </si>
  <si>
    <t>3F5B4217-38D4-4FB8-B3F3-E856A10FFF06</t>
  </si>
  <si>
    <t>თეგეტა მოტორსი (ს.კ. 202177205) - შპს</t>
  </si>
  <si>
    <t>Tegeta Batumi</t>
  </si>
  <si>
    <t>202177205/43479/1.1.1./1</t>
  </si>
  <si>
    <t>255604D7-5424-4548-9CAA-ECFF960BB6AE</t>
  </si>
  <si>
    <t>Tegeta Batumi | 1.1.1. (+) შემოსავალი ლიფტების რეალიზაციიდან | თეგეტა მოტორსი (ს.კ. 202177205) - შპს</t>
  </si>
  <si>
    <t>5A21C207-4868-4EA6-9B48-5D0F743D5535</t>
  </si>
  <si>
    <t>Dar Building (ს.კ. 445420875) - შპს</t>
  </si>
  <si>
    <t>DAR TOWER</t>
  </si>
  <si>
    <t>1 6 30 853 1</t>
  </si>
  <si>
    <t>445420875/43363/1.1.1./1</t>
  </si>
  <si>
    <t>A4EE54E2-C9BC-44F8-8554-44B9037B38D2</t>
  </si>
  <si>
    <t>DAR TOWER | 1.1.1. (+) შემოსავალი ლიფტების რეალიზაციიდან | Dar Building (ს.კ. 445420875) - შპს</t>
  </si>
  <si>
    <t>7BF4A039-29BC-44AC-A87D-E8832394B94E</t>
  </si>
  <si>
    <t>ბათბილდინგი (ს.კ. 445509334) - შპს</t>
  </si>
  <si>
    <t>BAT Tower</t>
  </si>
  <si>
    <t>1 6 30 1039</t>
  </si>
  <si>
    <t>445509334/43461/1.1.1./1</t>
  </si>
  <si>
    <t>A7AFCD4C-CA26-464C-8F1B-E9A5240DCB0F</t>
  </si>
  <si>
    <t>BAT Tower | 1.1.1. (+) შემოსავალი ლიფტების რეალიზაციიდან | ბათბილდინგი (ს.კ. 445509334) - შპს</t>
  </si>
  <si>
    <t>DAE7B000-963F-42D9-AA35-8F3F2F8A3716</t>
  </si>
  <si>
    <t>რუმი (ს.კ. 445481853) - შპს</t>
  </si>
  <si>
    <t>Rumi - batumi</t>
  </si>
  <si>
    <t>1 6 30 1335</t>
  </si>
  <si>
    <t>445481853/43816/1.1.1./1</t>
  </si>
  <si>
    <t>E95274D6-921C-43D1-B7C4-4F99A71C4005</t>
  </si>
  <si>
    <t>Rumi - batumi | 1.1.1. (+) შემოსავალი ლიფტების რეალიზაციიდან | რუმი (ს.კ. 445481853) - შპს</t>
  </si>
  <si>
    <t>BFABDF11-34C8-4815-A840-47DD5AAB9F4F</t>
  </si>
  <si>
    <t>ფალიაშვილის 63 (ს.კ. ICE000034) - ამხანაგობა</t>
  </si>
  <si>
    <t>Domus Paliashviliს 63</t>
  </si>
  <si>
    <t>GEL</t>
  </si>
  <si>
    <t>ICE000034/42948/1.1.1./1</t>
  </si>
  <si>
    <t>C897938C-00C4-4220-BAF1-CA29F3237D16</t>
  </si>
  <si>
    <t>Domus Paliashviliს 63 | 1.1.1. (+) შემოსავალი ლიფტების რეალიზაციიდან | ფალიაშვილის 63 (ს.კ. ICE000034) - ამხანაგობა</t>
  </si>
  <si>
    <t>7F0A41E4-FA68-43E7-A979-126560D14B58</t>
  </si>
  <si>
    <t>ეკომეტრი (ს.კ. 404464030) - შპს</t>
  </si>
  <si>
    <t>Gelovani 52</t>
  </si>
  <si>
    <t>404464030/42923/1.1.1./1</t>
  </si>
  <si>
    <t>196F7BB2-781C-4FF2-BAEE-C30045DA8E1E</t>
  </si>
  <si>
    <t>Gelovani 52 | 1.1.1. (+) შემოსავალი ლიფტების რეალიზაციიდან | ეკომეტრი (ს.კ. 404464030) - შპს</t>
  </si>
  <si>
    <t>B25EF46E-8022-4949-A1EB-E8A1256C7A3B</t>
  </si>
  <si>
    <t>ჩემპიონი 2 (ს.კ. 248416432) - შპს</t>
  </si>
  <si>
    <t>Chempioni</t>
  </si>
  <si>
    <t>248416432/42536/1.1.1./1</t>
  </si>
  <si>
    <t>42197EB0-C73A-4679-8D11-1DD3BAC96135</t>
  </si>
  <si>
    <t>Chempioni | 1.1.1. (+) შემოსავალი ლიფტების რეალიზაციიდან | ჩემპიონი 2 (ს.კ. 248416432) - შპს</t>
  </si>
  <si>
    <t>967EE73E-8B77-4A8F-9FD3-AA36FF0ECB17</t>
  </si>
  <si>
    <t>ნიუ თაიმ (ს.კ. 445440577) - შპს</t>
  </si>
  <si>
    <t>New Time</t>
  </si>
  <si>
    <t>445440577/42885/1.1.1./1</t>
  </si>
  <si>
    <t>7A83BC1F-C807-436E-9390-775B1D423BFD</t>
  </si>
  <si>
    <t>New Time | 1.1.1. (+) შემოსავალი ლიფტების რეალიზაციიდან | ნიუ თაიმ (ს.კ. 445440577) - შპს</t>
  </si>
  <si>
    <t>EEF69DEA-9E1B-41C3-B563-3922DCE0A9BD</t>
  </si>
  <si>
    <t>ელტური-2008 (ს.კ. 248434038) - შპს</t>
  </si>
  <si>
    <t>Green Cape</t>
  </si>
  <si>
    <t>248434038/43460/1.1.1./1</t>
  </si>
  <si>
    <t>D9285AF5-11A4-4764-B11B-745E9DAF1D34</t>
  </si>
  <si>
    <t>Green Cape | 1.1.1. (+) შემოსავალი ლიფტების რეალიზაციიდან | ელტური-2008 (ს.კ. 248434038) - შპს</t>
  </si>
  <si>
    <t>0A7F5182-3B4F-4292-8569-FC31854BA5B4</t>
  </si>
  <si>
    <t>Indeko - shartava 39</t>
  </si>
  <si>
    <t>202376133/42345/1.1.1./1</t>
  </si>
  <si>
    <t>C5E1547A-8529-495B-974D-92544D0F1C66</t>
  </si>
  <si>
    <t>Indeko - shartava 39 | 1.1.1. (+) შემოსავალი ლიფტების რეალიზაციიდან | ინდეკო (ს.კ. 202376133) - შპს</t>
  </si>
  <si>
    <t>Redco 1</t>
  </si>
  <si>
    <t>1 6 30 917 2</t>
  </si>
  <si>
    <t>405148415/43248/1.1.1./1</t>
  </si>
  <si>
    <t>D421D947-C097-4870-8EF1-C7F724377248</t>
  </si>
  <si>
    <t>Redco 1 | 1.1.1. (+) შემოსავალი ლიფტების რეალიზაციიდან | რედ-კო (ს.კ. 405148415) - შპს</t>
  </si>
  <si>
    <t>ბიზნეს ცენტრი დელისი (ს.კ. 204854014) - სს</t>
  </si>
  <si>
    <t>Delisi</t>
  </si>
  <si>
    <t>204854014/42598/1.1.1./1</t>
  </si>
  <si>
    <t>2496A0E0-1118-49DC-8A82-539003DC1B23</t>
  </si>
  <si>
    <t>Delisi | 1.1.1. (+) შემოსავალი ლიფტების რეალიზაციიდან | ბიზნეს ცენტრი დელისი (ს.კ. 204854014) - სს</t>
  </si>
  <si>
    <t>62F6C15C-8FCC-4A60-B37E-8A3DE9D20A48</t>
  </si>
  <si>
    <t>შველა (ს.კ. 448396021) - შპს</t>
  </si>
  <si>
    <t>Shvela</t>
  </si>
  <si>
    <t>448396021/42536/1.1.1./1</t>
  </si>
  <si>
    <t>1C2CAB23-3967-41F9-AC61-62415AE0373C</t>
  </si>
  <si>
    <t>Shvela | 1.1.1. (+) შემოსავალი ლიფტების რეალიზაციიდან | შველა (ს.კ. 448396021) - შპს</t>
  </si>
  <si>
    <t>A5C44F5D-1F9C-4BC1-BD39-C8B2E88BC49A</t>
  </si>
  <si>
    <t>ბკ კაპიტალი (ს.კ. 205057123) - შპს</t>
  </si>
  <si>
    <t>Moxy Zaabruken Hotel 1</t>
  </si>
  <si>
    <t>205057123/42647/1.1.1./1</t>
  </si>
  <si>
    <t>202843CA-C5C3-4057-8040-234B6C369B5E</t>
  </si>
  <si>
    <t>Moxy Zaabruken Hotel | 1.1.1. (+) შემოსავალი ლიფტების რეალიზაციიდან | ბკ კაპიტალი (ს.კ. 205057123) - შპს</t>
  </si>
  <si>
    <t>D57E2878-F57C-4B96-B89E-A8B81F35634A</t>
  </si>
  <si>
    <t>ინჟინერთა ჯგუფი (ს.კ. 400101457) - შპს</t>
  </si>
  <si>
    <t>Tbilisi Gardens</t>
  </si>
  <si>
    <t>400101457/42723/1.1.1./1</t>
  </si>
  <si>
    <t>8C8C52A5-1A7C-485F-9AC8-043862EF3D55</t>
  </si>
  <si>
    <t>Tbilisi Gardens | 1.1.1. (+) შემოსავალი ლიფტების რეალიზაციიდან | ინჟინერთა ჯგუფი (ს.კ. 400101457) - შპს</t>
  </si>
  <si>
    <t>2ED6F730-5337-4222-94F9-284E801BCE61</t>
  </si>
  <si>
    <t>Modus Kakhety HW</t>
  </si>
  <si>
    <t>245565669/42641/1.1.1./1</t>
  </si>
  <si>
    <t>BFD4409A-7F01-4C7C-9F40-73A80C2E63A6</t>
  </si>
  <si>
    <t>Modus Kakhety HW | 1.1.1. (+) შემოსავალი ლიფტების რეალიზაციიდან | მოდუსი (ს.კ. 245565669) - შპს</t>
  </si>
  <si>
    <t>სითი დეველოპმენტ (ს.კ. 404481324) - შპს</t>
  </si>
  <si>
    <t>Kbuleti Str. - Khomeriki</t>
  </si>
  <si>
    <t>404481324/42485/1.1.1./1</t>
  </si>
  <si>
    <t>A53105CE-1BDB-4625-B775-A01DA1F6C8AD</t>
  </si>
  <si>
    <t>Kbuleti Str. - Khomeriki | 1.1.1. (+) შემოსავალი ლიფტების რეალიზაციიდან | სითი დეველოპმენტ (ს.კ. 404481324) - შპს</t>
  </si>
  <si>
    <t>57A60218-744B-4922-BF21-F9C52A01DAF6</t>
  </si>
  <si>
    <t>დომუს დეველოპმენტ (ს.კ. 205210261) - შპს</t>
  </si>
  <si>
    <t>Domus</t>
  </si>
  <si>
    <t>205210261/42355/1.1.1./1</t>
  </si>
  <si>
    <t>F154242F-E028-49D8-B7BE-42EB31281CD5</t>
  </si>
  <si>
    <t>Domus | 1.1.1. (+) შემოსავალი ლიფტების რეალიზაციიდან | დომუს დეველოპმენტ (ს.კ. 205210261) - შპს</t>
  </si>
  <si>
    <t>A3C5943B-D1C3-4CB2-946C-86BF678B6183</t>
  </si>
  <si>
    <t>ირაკლი კაციტაძე (ს.კ. 01008004604) - ფიზ. პირი</t>
  </si>
  <si>
    <t>Paliashvili 23</t>
  </si>
  <si>
    <t>1.1.2. (+) შემოსავალი ლიფტების სერვისიდან - გეგმიური</t>
  </si>
  <si>
    <t>1 6 31 1380</t>
  </si>
  <si>
    <t>01008004604/43831/1.1.2./1</t>
  </si>
  <si>
    <t>6D999F5B-2199-4578-A47D-FDC2DF179273</t>
  </si>
  <si>
    <t>Paliashvili 23 | 1.1.2. (+) შემოსავალი ლიფტების სერვისიდან - გეგმიური | ირაკლი კაციტაძე (ს.კ. 01008004604) - ფიზ. პირი</t>
  </si>
  <si>
    <t>12238130-9D12-4099-A48B-9EB5A085E0F8</t>
  </si>
  <si>
    <t>9AE0C821-91FF-44A4-90E6-F71F98BC044C</t>
  </si>
  <si>
    <t>Moxy Zabruken Restaurant</t>
  </si>
  <si>
    <t>205057123/43742/1.1.1./1</t>
  </si>
  <si>
    <t>5E543EA8-4A6A-4F8C-9F72-071B61F85EEB</t>
  </si>
  <si>
    <t>Moxy Zabruken Restaurant | 1.1.1. (+) შემოსავალი ლიფტების რეალიზაციიდან | ბკ კაპიტალი (ს.კ. 205057123) - შპს</t>
  </si>
  <si>
    <t>ორბი ჯგუფი ბათუმი (ს.კ. 445468798) - შპს</t>
  </si>
  <si>
    <t>TWIN TOWER</t>
  </si>
  <si>
    <t>1 6 30 773 1</t>
  </si>
  <si>
    <t>445468798/43059/1.1.1./1</t>
  </si>
  <si>
    <t>C35D9FF1-3A09-4634-9BFA-87C709266063</t>
  </si>
  <si>
    <t>TWIN TOWER | 1.1.1. (+) შემოსავალი ლიფტების რეალიზაციიდან | ორბი ჯგუფი ბათუმი (ს.კ. 445468798) - შპს</t>
  </si>
  <si>
    <t>E284E0FD-A2B7-4D93-8E91-006FF0A8A4CE</t>
  </si>
  <si>
    <t>აი ჯი დეველოფმენტ ჯორჯია (ს.კ. 404851503) - შპს</t>
  </si>
  <si>
    <t>City Mall</t>
  </si>
  <si>
    <t>1 6 30 971</t>
  </si>
  <si>
    <t>404851503/43354/1.1.1./1</t>
  </si>
  <si>
    <t>EA15EDA6-F906-4932-87BA-DDB8898D4EBC</t>
  </si>
  <si>
    <t>City Mall | 1.1.1. (+) შემოსავალი ლიფტების რეალიზაციიდან | აი ჯი დეველოფმენტ ჯორჯია (ს.კ. 404851503) - შპს</t>
  </si>
  <si>
    <t>DDFBBDF4-5DA2-4BD2-918A-77AAF121BF72</t>
  </si>
  <si>
    <t>რენთინგ ბიენბი (ს.კ. 404564244) - სს</t>
  </si>
  <si>
    <t>Renting BNB</t>
  </si>
  <si>
    <t>1 6 30 1429</t>
  </si>
  <si>
    <t>404564244/43886/1.1.1./1</t>
  </si>
  <si>
    <t>55F53FA9-CDDE-4FBA-91A1-FEAFA51B29A0</t>
  </si>
  <si>
    <t>Renting BNB | 1.1.1. (+) შემოსავალი ლიფტების რეალიზაციიდან | რენთინგ ბიენბი (ს.კ. 404564244) - სს</t>
  </si>
  <si>
    <t>9B349A17-7CE1-4232-98C6-02C565C3642C</t>
  </si>
  <si>
    <t>ტრანსმშენი (ს.კ. 212274812) - სს</t>
  </si>
  <si>
    <t>Aeroporti</t>
  </si>
  <si>
    <t>212274812/43699/1.1.1./1</t>
  </si>
  <si>
    <t>44F2F4A0-908E-42D1-B73F-04859CACCB08</t>
  </si>
  <si>
    <t>Aeroporti | 1.1.1. (+) შემოსავალი ლიფტების რეალიზაციიდან | ტრანსმშენი (ს.კ. 212274812) - სს</t>
  </si>
  <si>
    <t>9B21D54A-56D8-405D-95E2-A05872C7C1E9</t>
  </si>
  <si>
    <t>Dividers Med Uni</t>
  </si>
  <si>
    <t>405171996/43477/1.1.1./1</t>
  </si>
  <si>
    <t>2F958FC8-AC98-416D-BEAC-E4C6006FCCB3</t>
  </si>
  <si>
    <t>Dividers Med Uni | 1.1.1. (+) შემოსავალი ლიფტების რეალიზაციიდან | ბეტა ჯგუფი (ს.კ. 405171996) - შპს</t>
  </si>
  <si>
    <t>ლუდსახარში ორი კათხა (ს.კ. 406283338) - შპს</t>
  </si>
  <si>
    <t>Brewery 1 (300KG)</t>
  </si>
  <si>
    <t>406283338/43896/1.1.1./1</t>
  </si>
  <si>
    <t>4DB7E760-9ECD-4426-BB50-E293E58D2B02</t>
  </si>
  <si>
    <t>Brewery 1 (300KG) | 1.1.1. (+) შემოსავალი ლიფტების რეალიზაციიდან | ლუდსახარში ორი კათხა (ს.კ. 406283338) - შპს</t>
  </si>
  <si>
    <t>1C2A10A9-FA2F-437B-8C70-F109D1C009EE</t>
  </si>
  <si>
    <t>ახალშენი 2016 (ს.კ. 405136758) - შპს</t>
  </si>
  <si>
    <t>Khiliani</t>
  </si>
  <si>
    <t>405136758/43677/1.1.1./1</t>
  </si>
  <si>
    <t>E136ACFA-DBED-49EE-B224-24513754542C</t>
  </si>
  <si>
    <t>Khiliani | 1.1.1. (+) შემოსავალი ლიფტების რეალიზაციიდან | ახალშენი 2016 (ს.კ. 405136758) - შპს</t>
  </si>
  <si>
    <t>04FB28EA-5501-4B01-BA1D-C2955C0E1213</t>
  </si>
  <si>
    <t>ORBI Office Lift</t>
  </si>
  <si>
    <t>445468798/43788/1.1.1./1</t>
  </si>
  <si>
    <t>5B0BA252-1105-4374-8654-430AE04E8A64</t>
  </si>
  <si>
    <t>ORBI Office Lift | 1.1.1. (+) შემოსავალი ლიფტების რეალიზაციიდან | ორბი ჯგუფი ბათუმი (ს.კ. 445468798) - შპს</t>
  </si>
  <si>
    <t>IBIS Perovi</t>
  </si>
  <si>
    <t>1 6 30 1257 1</t>
  </si>
  <si>
    <t>405171996/43719/1.1.1./1</t>
  </si>
  <si>
    <t>3619FEF3-250F-43C1-93C3-B77FEADECC84</t>
  </si>
  <si>
    <t>IBIS Perovi | 1.1.1. (+) შემოსავალი ლიფტების რეალიზაციიდან | ბეტა ჯგუფი (ს.კ. 405171996) - შპს</t>
  </si>
  <si>
    <t>კანოპუსი (ს.კ. 405229881) - შპს</t>
  </si>
  <si>
    <t>Sololaki</t>
  </si>
  <si>
    <t>405229881/43769/1.1.1./1</t>
  </si>
  <si>
    <t>0159D5F2-86A6-4D6F-87C4-D563AB9AA860</t>
  </si>
  <si>
    <t>Sololaki | 1.1.1. (+) შემოსავალი ლიფტების რეალიზაციიდან | კანოპუსი (ს.კ. 405229881) - შპს</t>
  </si>
  <si>
    <t>F43C8D9B-B556-4114-B404-AEEFA8C31B20</t>
  </si>
  <si>
    <t>IBIS Perov Dumbwaiter</t>
  </si>
  <si>
    <t>405171996/43804/1.1.1./1</t>
  </si>
  <si>
    <t>B9668B49-46F2-4E2F-B183-F802279CAA6C</t>
  </si>
  <si>
    <t>IBIS Perov Dumbwaiter | 1.1.1. (+) შემოსავალი ლიფტების რეალიზაციიდან | ბეტა ჯგუფი (ს.კ. 405171996) - შპს</t>
  </si>
  <si>
    <t>სითი რეალ ისთეით (ს.კ. 406067410) - შპს</t>
  </si>
  <si>
    <t>Kleemann Pekini</t>
  </si>
  <si>
    <t>406067410/43228/1.1.1./1</t>
  </si>
  <si>
    <t>7BF69DE1-9EA3-4EAE-9713-910380F15356</t>
  </si>
  <si>
    <t>Kleemann Pekini | 1.1.1. (+) შემოსავალი ლიფტების რეალიზაციიდან | სითი რეალ ისთეით (ს.კ. 406067410) - შპს</t>
  </si>
  <si>
    <t>04B265BA-02B2-4620-87C1-1D9CA09C8962</t>
  </si>
  <si>
    <t>ანაგი (ს.კ. 245416401) - შპს</t>
  </si>
  <si>
    <t>Gudauri Alpic</t>
  </si>
  <si>
    <t>245416401/43732/1.1.1./1</t>
  </si>
  <si>
    <t>56B157A4-78FF-42DD-B032-B267792BBED8</t>
  </si>
  <si>
    <t>Gudauri Alpic | 1.1.1. (+) შემოსავალი ლიფტების რეალიზაციიდან | ანაგი (ს.კ. 245416401) - შპს</t>
  </si>
  <si>
    <t>7DDF7E55-92EE-4E47-9E16-F1D4D3FABF60</t>
  </si>
  <si>
    <t>Batumi Stadium</t>
  </si>
  <si>
    <t>245416401/43589/1.1.1./1</t>
  </si>
  <si>
    <t>8A712C8E-EE09-4385-8E22-3C7E70676923</t>
  </si>
  <si>
    <t>Batumi Stadium | 1.1.1. (+) შემოსავალი ლიფტების რეალიზაციიდან | ანაგი (ს.კ. 245416401) - შპს</t>
  </si>
  <si>
    <t>დეველოპერული კომპანია მც კვადრატი (ს.კ. 404474403) - შპს</t>
  </si>
  <si>
    <t>Gazapkhuli</t>
  </si>
  <si>
    <t>404474403/43831/1.1.2./1</t>
  </si>
  <si>
    <t>F487D937-85D8-43B1-8D4D-27757BC0BE36</t>
  </si>
  <si>
    <t>Gazapkhuli | 1.1.2. (+) შემოსავალი ლიფტების სერვისიდან - გეგმიური | დეველოპერული კომპანია მც კვადრატი (ს.კ. 404474403) - შპს</t>
  </si>
  <si>
    <t>EC22924D-9707-4BC1-9814-FD45570D704B</t>
  </si>
  <si>
    <t>თერმორუმი (ს.კ. 405134448) - შპს</t>
  </si>
  <si>
    <t>Thermoroom</t>
  </si>
  <si>
    <t>405134448/43546/1.1.1./1</t>
  </si>
  <si>
    <t>554B8399-3687-4503-A8C9-12E3BBDE60E9</t>
  </si>
  <si>
    <t>Thermoroom | 1.1.1. (+) შემოსავალი ლიფტების რეალიზაციიდან | თერმორუმი (ს.კ. 405134448) - შპს</t>
  </si>
  <si>
    <t>A71E107A-D0C2-4155-83C0-22DCD22BD19F</t>
  </si>
  <si>
    <t>ტექნოკლიმა (ს.კ. 402009857) - შპს</t>
  </si>
  <si>
    <t>ENCORE Gudauri</t>
  </si>
  <si>
    <t>EUR</t>
  </si>
  <si>
    <t>402009857/43711/1.1.1./1</t>
  </si>
  <si>
    <t>165277AE-3A0C-494C-8C92-CC3A68C15375</t>
  </si>
  <si>
    <t>ENCORE Gudauri | 1.1.1. (+) შემოსავალი ლიფტების რეალიზაციიდან | ტექნოკლიმა (ს.კ. 402009857) - შპს</t>
  </si>
  <si>
    <t>967D325E-9818-4D9E-8716-3D66A117AF42</t>
  </si>
  <si>
    <t>ჯი-ემ-თი სასტუმროები (ს.კ. 203842333) - შპს</t>
  </si>
  <si>
    <t>MOXY HVAC</t>
  </si>
  <si>
    <t>1.2.1. (+) შემოსავალი MEP დანადგარების რეალიზაციიდან</t>
  </si>
  <si>
    <t>203842333/43124/1.2.1./1</t>
  </si>
  <si>
    <t>C78D3D45-B3FB-4533-AE2E-53D8A5FA6C34</t>
  </si>
  <si>
    <t>MOXY HVAC | 1.2.1. (+) შემოსავალი MEP დანადგარების რეალიზაციიდან | ჯი-ემ-თი სასტუმროები (ს.კ. 203842333) - შპს</t>
  </si>
  <si>
    <t>FEA4B88F-633F-4422-B3D6-250792A2DA80</t>
  </si>
  <si>
    <t>9E3145B1-F47E-49C3-BF51-BCB9055ABC20</t>
  </si>
  <si>
    <t>1920 (ს.კ. 400247899) - შპს</t>
  </si>
  <si>
    <t>Paster Hostel</t>
  </si>
  <si>
    <t>400247899/43571/1.1.1./1</t>
  </si>
  <si>
    <t>59251EDF-2EEC-4871-ADAA-D7901FD7C84E</t>
  </si>
  <si>
    <t>Paster Hostel | 1.1.1. (+) შემოსავალი ლიფტების რეალიზაციიდან | 1920 (ს.კ. 400247899) - შპს</t>
  </si>
  <si>
    <t>30D1E20E-3889-4EAC-883A-6509ABFFA5D7</t>
  </si>
  <si>
    <t>გოჩა ჩხაიძე (ს.კ. 65002012107) - ფიზ. პირი</t>
  </si>
  <si>
    <t>Kaklebi</t>
  </si>
  <si>
    <t>65002012107/43566/1.1.1./1</t>
  </si>
  <si>
    <t>BCE7664A-F047-41AD-8D93-756E595D21F6</t>
  </si>
  <si>
    <t>Kaklebi | 1.1.1. (+) შემოსავალი ლიფტების რეალიზაციიდან | გოჩა ჩხაიძე (ს.კ. 65002012107) - ფიზ. პირი</t>
  </si>
  <si>
    <t>B658F42E-3F0A-44A3-B4ED-A7B4C1D8DEAE</t>
  </si>
  <si>
    <t>სვირი + (ს.კ. 212916932) - შპს</t>
  </si>
  <si>
    <t>156-ე საჯარო სკოლა</t>
  </si>
  <si>
    <t>212916932/43861/1.1.1./1</t>
  </si>
  <si>
    <t>6E5F6760-7CEF-41CD-B373-B0F3B4EABCCA</t>
  </si>
  <si>
    <t>156-ე საჯარო სკოლა | 1.1.1. (+) შემოსავალი ლიფტების რეალიზაციიდან | სვირი + (ს.კ. 212916932) - შპს</t>
  </si>
  <si>
    <t>E0680301-116E-4D99-93F4-7C694EC80172</t>
  </si>
  <si>
    <t>ორბი ჯგუფი (ს.კ. 245621849) - შპს</t>
  </si>
  <si>
    <t>Beach Tower</t>
  </si>
  <si>
    <t>245621849/43348/1.1.1./1</t>
  </si>
  <si>
    <t>A4E19F43-E4DA-4585-8CAE-4CC3E97F5AF8</t>
  </si>
  <si>
    <t>Beach Tower | 1.1.1. (+) შემოსავალი ლიფტების რეალიზაციიდან | ორბი ჯგუფი (ს.კ. 245621849) - შპს</t>
  </si>
  <si>
    <t>90293CD0-6262-4F6E-9B52-E8D909232966</t>
  </si>
  <si>
    <t>მეპერსი (ს.კ. 402121887) - შპს</t>
  </si>
  <si>
    <t>Modus PU Duct</t>
  </si>
  <si>
    <t>402121887/43595/1.2.1./1</t>
  </si>
  <si>
    <t>A9B6FEBD-3A47-4DFB-ACC0-BE284A1FE961</t>
  </si>
  <si>
    <t>Modus PU Duct | 1.2.1. (+) შემოსავალი MEP დანადგარების რეალიზაციიდან | მეპერსი (ს.კ. 402121887) - შპს</t>
  </si>
  <si>
    <t>43EABC78-AF64-4C14-9FEF-C7E6A1B6F07E</t>
  </si>
  <si>
    <t>Modus VRV</t>
  </si>
  <si>
    <t>402121887/43602/1.2.1./1</t>
  </si>
  <si>
    <t>FD1EDF0D-38F3-4DAD-BD01-A54531CAD071</t>
  </si>
  <si>
    <t>Modus VRV | 1.2.1. (+) შემოსავალი MEP დანადგარების რეალიზაციიდან | მეპერსი (ს.კ. 402121887) - შპს</t>
  </si>
  <si>
    <t>Ramada Melikishvili</t>
  </si>
  <si>
    <t>402121887/43633/1.2.1./1</t>
  </si>
  <si>
    <t>9A0748F1-7447-4E99-B52A-C299B2BE2267</t>
  </si>
  <si>
    <t>Ramada Melikishvili | 1.2.1. (+) შემოსავალი MEP დანადგარების რეალიზაციიდან | მეპერსი (ს.კ. 402121887) - შპს</t>
  </si>
  <si>
    <t>Ramada Melikishvili Additional</t>
  </si>
  <si>
    <t>402121887/43693/1.2.1./1</t>
  </si>
  <si>
    <t>300E878A-B016-48B5-A930-E3EDEEFB0FED</t>
  </si>
  <si>
    <t>Ramada Melikishvili Additional | 1.2.1. (+) შემოსავალი MEP დანადგარების რეალიზაციიდან | მეპერსი (ს.კ. 402121887) - შპს</t>
  </si>
  <si>
    <t>Hilton Garden Mockup</t>
  </si>
  <si>
    <t>402121887/43597/1.2.1./1</t>
  </si>
  <si>
    <t>B866CCA1-4F5C-4C49-9517-CD64763AD8CC</t>
  </si>
  <si>
    <t>Hilton Garden Mockup | 1.2.1. (+) შემოსავალი MEP დანადგარების რეალიზაციიდან | მეპერსი (ს.კ. 402121887) - შპს</t>
  </si>
  <si>
    <t>Kempinski Mockup</t>
  </si>
  <si>
    <t>402121887/43759/1.2.1./1</t>
  </si>
  <si>
    <t>3A44DBA7-152B-4C3D-8A70-C51193549F07</t>
  </si>
  <si>
    <t>Kempinski Mockup | 1.2.1. (+) შემოსავალი MEP დანადგარების რეალიზაციიდან | მეპერსი (ს.კ. 402121887) - შპს</t>
  </si>
  <si>
    <t>Copper Pipes Stock</t>
  </si>
  <si>
    <t>402121887/43882/1.2.1./1</t>
  </si>
  <si>
    <t>89441EC7-27A5-4210-91F3-96BB35383900</t>
  </si>
  <si>
    <t>Copper Pipes Stock | 1.2.1. (+) შემოსავალი MEP დანადგარების რეალიზაციიდან | მეპერსი (ს.კ. 402121887) - შპს</t>
  </si>
  <si>
    <t>Valves Med. University</t>
  </si>
  <si>
    <t>402121887/43815/1.2.1./1</t>
  </si>
  <si>
    <t>F4A2EDEE-7E84-4F30-91BA-5752286BD0A1</t>
  </si>
  <si>
    <t>Valves Med. University | 1.2.1. (+) შემოსავალი MEP დანადგარების რეალიზაციიდან | მეპერსი (ს.კ. 402121887) - შპს</t>
  </si>
  <si>
    <t>Orbi Bakuriani VRV</t>
  </si>
  <si>
    <t>402121887/43894/1.2.1./1</t>
  </si>
  <si>
    <t>740B928C-4173-4A00-8523-A29D1C596ECC</t>
  </si>
  <si>
    <t>Orbi Bakuriani VRV | 1.2.1. (+) შემოსავალი MEP დანადგარების რეალიზაციიდან | მეპერსი (ს.კ. 402121887) - შპს</t>
  </si>
  <si>
    <t>Hilton Garden Inn VRV 1</t>
  </si>
  <si>
    <t>1 6 30 1148</t>
  </si>
  <si>
    <t>402121887/43900/1.2.1./1</t>
  </si>
  <si>
    <t>68E42D82-BE50-4F66-82A4-CDC4DEB322C3</t>
  </si>
  <si>
    <t>Hilton Garden Inn VRV 1 | 1.2.1. (+) შემოსავალი MEP დანადგარების რეალიზაციიდან | მეპერსი (ს.კ. 402121887) - შპს</t>
  </si>
  <si>
    <t>Hilton Garden Inn PIPES</t>
  </si>
  <si>
    <t>402121887/43903/1.2.1./1</t>
  </si>
  <si>
    <t>4723017E-EF0C-427F-BE8D-95A49C03170F</t>
  </si>
  <si>
    <t>Hilton Garden Inn PIPES | 1.2.1. (+) შემოსავალი MEP დანადგარების რეალიზაციიდან | მეპერსი (ს.კ. 402121887) - შპს</t>
  </si>
  <si>
    <t>OFFICE Dar Building</t>
  </si>
  <si>
    <t>445420875/44170/1.1.1./1</t>
  </si>
  <si>
    <t>E3FEF6DB-0C48-4832-A5CF-868EF7B591A4</t>
  </si>
  <si>
    <t>OFFICE Dar Building | 1.1.1. (+) შემოსავალი ლიფტების რეალიზაციიდან | Dar Building (ს.კ. 445420875) - შპს</t>
  </si>
  <si>
    <t>Archi Digomi</t>
  </si>
  <si>
    <t>1 6 30 1132 3</t>
  </si>
  <si>
    <t>245416401/43955/1.1.1./1</t>
  </si>
  <si>
    <t>A68BEF97-923B-4D3C-8A08-9CF9311578B7</t>
  </si>
  <si>
    <t>Archi Digomi | 1.1.1. (+) შემოსავალი ლიფტების რეალიზაციიდან | ანაგი (ს.კ. 245416401) - შპს</t>
  </si>
  <si>
    <t>Spanish Retail Georgia (ს.კ. 404404774) - შპს</t>
  </si>
  <si>
    <t>Zara City Mall</t>
  </si>
  <si>
    <t>404404774/43800/1.1.2./1</t>
  </si>
  <si>
    <t>5D93EA98-C1B5-460B-B2FB-C526651B3F64</t>
  </si>
  <si>
    <t>Zara City Mall | 1.1.2. (+) შემოსავალი ლიფტების სერვისიდან - გეგმიური | Spanish Retail Georgia (ს.კ. 404404774) - შპს</t>
  </si>
  <si>
    <t>6DF25574-2F03-43D0-AEC4-2CD26A4A0C3A</t>
  </si>
  <si>
    <t>გალერია ჰოტელ მენეჯმენტი (ს.კ. 404567508) - შპს</t>
  </si>
  <si>
    <t>Galleria Hotel</t>
  </si>
  <si>
    <t>1 6 31 1221</t>
  </si>
  <si>
    <t>404567508/43617/1.1.2./1</t>
  </si>
  <si>
    <t>7A62FB55-149C-4A13-B506-1117D0761263</t>
  </si>
  <si>
    <t>Galleria Hotel | 1.1.2. (+) შემოსავალი ლიფტების სერვისიდან - გეგმიური | გალერია ჰოტელ მენეჯმენტი (ს.კ. 404567508) - შპს</t>
  </si>
  <si>
    <t>75C62470-4093-4FB3-8DB7-F700FEC2C222</t>
  </si>
  <si>
    <t>ერა პალასი (ს.კ. 245619807) - შპს</t>
  </si>
  <si>
    <t>Era Palace</t>
  </si>
  <si>
    <t>245619807/43586/1.1.2./1</t>
  </si>
  <si>
    <t>75411B5D-3913-49E0-B5A6-48ED0D4EEBB6</t>
  </si>
  <si>
    <t>Era Palace | 1.1.2. (+) შემოსავალი ლიფტების სერვისიდან - გეგმიური | ერა პალასი (ს.კ. 245619807) - შპს</t>
  </si>
  <si>
    <t>71A96223-5CD1-4DA9-9617-A85A565B4669</t>
  </si>
  <si>
    <t>თბილი სახლი (ს.კ. 204976179) - შპს</t>
  </si>
  <si>
    <t>Muzeums</t>
  </si>
  <si>
    <t>204976179/43497/1.1.2./1</t>
  </si>
  <si>
    <t>9D27243C-D81D-4430-90C4-5F8CCBF5809F</t>
  </si>
  <si>
    <t>Muzeums | 1.1.2. (+) შემოსავალი ლიფტების სერვისიდან - გეგმიური | თბილი სახლი (ს.კ. 204976179) - შპს</t>
  </si>
  <si>
    <t>726D9023-53A2-435E-8A5B-8BCEA9625E08</t>
  </si>
  <si>
    <t>UNIX Ipolit Ivanov</t>
  </si>
  <si>
    <t>1 6 31 902</t>
  </si>
  <si>
    <t>405133822/43539/1.1.2./1</t>
  </si>
  <si>
    <t>4C7A7F0C-187C-4D2B-857D-A522EE632F24</t>
  </si>
  <si>
    <t>UNIX Ipolit Ivanov | 1.1.2. (+) შემოსავალი ლიფტების სერვისიდან - გეგმიური | იუნიქს ქონსთრაქშენ კომპანი (ს.კ. 405133822) - შპს</t>
  </si>
  <si>
    <t>პიქსელ მენეჯმენტი (ს.კ. 404862314) - შპს</t>
  </si>
  <si>
    <t>PIXEL</t>
  </si>
  <si>
    <t>1 6 31 1044</t>
  </si>
  <si>
    <t>404862314/43435/1.1.2./1</t>
  </si>
  <si>
    <t>5485535C-2F61-456A-9548-E6F7EE885A7B</t>
  </si>
  <si>
    <t>PIXEL | 1.1.2. (+) შემოსავალი ლიფტების სერვისიდან - გეგმიური | პიქსელ მენეჯმენტი (ს.კ. 404862314) - შპს</t>
  </si>
  <si>
    <t>42A1D3CC-F7CD-4EC1-A425-6E261EB22EBC</t>
  </si>
  <si>
    <t>დავუდ (ს.კ. 404438417) - სს</t>
  </si>
  <si>
    <t>Khetagurov Office</t>
  </si>
  <si>
    <t>1 6 31 1059</t>
  </si>
  <si>
    <t>404438417/43462/1.1.2./1</t>
  </si>
  <si>
    <t>1937421D-0C5D-47B3-84E7-F06B2CECE212</t>
  </si>
  <si>
    <t>Khetagurov Office | 1.1.2. (+) შემოსავალი ლიფტების სერვისიდან - გეგმიური | დავუდ (ს.კ. 404438417) - სს</t>
  </si>
  <si>
    <t>059C7B48-86B5-4FB3-AF87-564E29C595E9</t>
  </si>
  <si>
    <t>Galleria Tbilisi</t>
  </si>
  <si>
    <t>1 6 31 4 1</t>
  </si>
  <si>
    <t>204976179/43862/1.1.2./1</t>
  </si>
  <si>
    <t>0ABCF801-1738-4393-BF70-87C1FA8C9F0D</t>
  </si>
  <si>
    <t>Galleria Tbilisi | 1.1.2. (+) შემოსავალი ლიფტების სერვისიდან - გეგმიური | თბილი სახლი (ს.კ. 204976179) - შპს</t>
  </si>
  <si>
    <t>თბილისი ცენტრალი (ს.კ. 205129653) - სს</t>
  </si>
  <si>
    <t>Tbilisi Central HVAC Service</t>
  </si>
  <si>
    <t>1.2.2. (+) შემოსავალი MEP დანადგარების სერვისიდან - გეგმიური</t>
  </si>
  <si>
    <t>1 6 31 1371</t>
  </si>
  <si>
    <t>205129653/44075/1.2.2./1</t>
  </si>
  <si>
    <t>F2EB27A3-4AED-4096-AF24-4B7A9C4512A7</t>
  </si>
  <si>
    <t>Tbilisi Central HVAC Service | 1.2.2. (+) შემოსავალი MEP დანადგარების სერვისიდან - გეგმიური | თბილისი ცენტრალი (ს.კ. 205129653) - სს</t>
  </si>
  <si>
    <t>31562B13-85C8-472E-8D02-01D802D635C1</t>
  </si>
  <si>
    <t>3D0B2E19-A7F7-45A1-A329-05C7D5F99C8A</t>
  </si>
  <si>
    <t>ნინო კირცხალია (ს.კ. 01031005362) - ფიზ. პირი</t>
  </si>
  <si>
    <t>Mziuri</t>
  </si>
  <si>
    <t>01031005362/43831/1.1.2./1</t>
  </si>
  <si>
    <t>7D93AE81-A3AA-4EF2-A79C-0DE309E1B402</t>
  </si>
  <si>
    <t>Mziuri | 1.1.2. (+) შემოსავალი ლიფტების სერვისიდან - გეგმიური | ნინო კირცხალია (ს.კ. 01031005362) - ფიზ. პირი</t>
  </si>
  <si>
    <t>A5C53B51-103C-4B24-B833-6653108CDE4E</t>
  </si>
  <si>
    <t>Orbi Other</t>
  </si>
  <si>
    <t>445468798/43831/1.1.2./1</t>
  </si>
  <si>
    <t>DCE1FBA2-AC1D-4481-B551-0D2215188884</t>
  </si>
  <si>
    <t>Orbi Other | 1.1.2. (+) შემოსავალი ლიფტების სერვისიდან - გეგმიური | ორბი ჯგუფი ბათუმი (ს.კ. 445468798) - შპს</t>
  </si>
  <si>
    <t>ნირან პროპერტის დეველოპმენტი (ს.კ. 204564729) - შპს</t>
  </si>
  <si>
    <t>Bagebi</t>
  </si>
  <si>
    <t>204564729/43122/1.1.1./1</t>
  </si>
  <si>
    <t>DA0DFA6D-FB59-42CC-A78F-D211EFD8F169</t>
  </si>
  <si>
    <t>Bagebi | 1.1.1. (+) შემოსავალი ლიფტების რეალიზაციიდან | ნირან პროპერტის დეველოპმენტი (ს.კ. 204564729) - შპს</t>
  </si>
  <si>
    <t>ADBD14C7-72E2-4703-84A5-B47EC0ACB641</t>
  </si>
  <si>
    <t>ეიჩ ენდ ემ ჰენეს ენდ მაურიც ჯორჯია (ს.კ. 405164192) - შპს</t>
  </si>
  <si>
    <t>H&amp;M</t>
  </si>
  <si>
    <t>405164192/43831/1.1.2./1</t>
  </si>
  <si>
    <t>BF531404-15D2-4F83-B5B6-88709B6ADBF6</t>
  </si>
  <si>
    <t>H&amp;M | 1.1.2. (+) შემოსავალი ლიფტების სერვისიდან - გეგმიური | ეიჩ ენდ ემ ჰენეს ენდ მაურიც ჯორჯია (ს.კ. 405164192) - შპს</t>
  </si>
  <si>
    <t>5569F396-B588-4816-B115-348127388797</t>
  </si>
  <si>
    <t>ჯი ემ ემ (ს.კ. 405115174) - შპს</t>
  </si>
  <si>
    <t>Marshal Gelovanis 52</t>
  </si>
  <si>
    <t>405115174/43831/1.1.2./1</t>
  </si>
  <si>
    <t>96631073-7C4A-4C6C-B52A-4318B544C05B</t>
  </si>
  <si>
    <t>Marshal Gelovanis 52 | 1.1.2. (+) შემოსავალი ლიფტების სერვისიდან - გეგმიური | ჯი ემ ემ (ს.კ. 405115174) - შპს</t>
  </si>
  <si>
    <t>E6DBF0EF-BE8A-403C-B757-246FDF95B244</t>
  </si>
  <si>
    <t>ოლსერვისგრუპ (ს.კ. 406233552) - შპს</t>
  </si>
  <si>
    <t>Marshal Gelovani 52</t>
  </si>
  <si>
    <t>406233552/43466/1.1.2./1</t>
  </si>
  <si>
    <t>46C2E29A-C8A7-4F32-BAC6-1FA5D9731A7D</t>
  </si>
  <si>
    <t>Marshal Gelovani 52 | 1.1.2. (+) შემოსავალი ლიფტების სერვისიდან - გეგმიური | ოლსერვისგრუპ (ს.კ. 406233552) - შპს</t>
  </si>
  <si>
    <t>C08C6F90-5808-41D5-A1CC-2A1CCFAF531B</t>
  </si>
  <si>
    <t>ოლსერვისჯგუფი (ს.კ. 406269041) - შპს</t>
  </si>
  <si>
    <t>406269041/43471/1.1.2./1</t>
  </si>
  <si>
    <t>4DE1AF55-BD4D-49EA-9CC2-7254972C4832</t>
  </si>
  <si>
    <t>Marshal Gelovani 52 | 1.1.2. (+) შემოსავალი ლიფტების სერვისიდან - გეგმიური | ოლსერვისჯგუფი (ს.კ. 406269041) - შპს</t>
  </si>
  <si>
    <t>F830C37E-1BED-416F-996D-C3C709C5F339</t>
  </si>
  <si>
    <t>არქი საბურთალო (ს.კ. 405176982) - შპს</t>
  </si>
  <si>
    <t>Archi Jikia Block C</t>
  </si>
  <si>
    <t>1 6 30 1453</t>
  </si>
  <si>
    <t>405176982/44170/1.1.1./1</t>
  </si>
  <si>
    <t>7F8895E0-BD86-4959-A763-AD1CD0F7FC77</t>
  </si>
  <si>
    <t>Archi Jikia Block C | 1.1.1. (+) შემოსავალი ლიფტების რეალიზაციიდან | არქი საბურთალო (ს.კ. 405176982) - შპს</t>
  </si>
  <si>
    <t>25CECFAB-615A-4A1E-AC57-B18B8A92799B</t>
  </si>
  <si>
    <t>შატო მუხრანი (ს.კ. 205000381) - სს</t>
  </si>
  <si>
    <t>Shato Mukhrani Gen-Set 2020</t>
  </si>
  <si>
    <t>205000381/43990/1.2.1./1</t>
  </si>
  <si>
    <t>798DCBA8-C0CF-4CAA-83E5-397FD911AAF0</t>
  </si>
  <si>
    <t>Shato Mukhrani Gen-Set 2020 | 1.2.1. (+) შემოსავალი MEP დანადგარების რეალიზაციიდან | შატო მუხრანი (ს.კ. 205000381) - სს</t>
  </si>
  <si>
    <t>0E3C8876-D73B-417A-A61E-5FD08F98EDCB</t>
  </si>
  <si>
    <t>ენსოლი (ს.კ. 205236190) - შპს</t>
  </si>
  <si>
    <t>205236190/43497/1.1.2./1</t>
  </si>
  <si>
    <t>1BF0C1A7-EC4F-48F6-B5F1-6257BAB8D882</t>
  </si>
  <si>
    <t>Galleria Tbilisi | 1.1.2. (+) შემოსავალი ლიფტების სერვისიდან - გეგმიური | ენსოლი (ს.კ. 205236190) - შპს</t>
  </si>
  <si>
    <t>E13FA661-3B3D-437A-A26D-FB16D4C0D1C1</t>
  </si>
  <si>
    <t>დომუსი (ს.კ. 404908864) - შპს</t>
  </si>
  <si>
    <t>404908864/43146/1.1.2./1</t>
  </si>
  <si>
    <t>4E9E5103-4BE9-4B72-838F-7CCF0A771578</t>
  </si>
  <si>
    <t>Domus | 1.1.2. (+) შემოსავალი ლიფტების სერვისიდან - გეგმიური | დომუსი (ს.კ. 404908864) - შპს</t>
  </si>
  <si>
    <t>B6B26BE3-174A-4141-A509-B6EE28D4677B</t>
  </si>
  <si>
    <t>როვშან მამადოვი (ს.კ. 67008001418) - ფიზ. პირი</t>
  </si>
  <si>
    <t>Rovshan Mamadovi</t>
  </si>
  <si>
    <t>67008001418/43999/1.2.1./1</t>
  </si>
  <si>
    <t>97C6ECBA-DA0F-4E2C-B8DB-26993DFCE122</t>
  </si>
  <si>
    <t>Rovshan Mamadovi | 1.2.1. (+) შემოსავალი MEP დანადგარების რეალიზაციიდან | როვშან მამადოვი (ს.კ. 67008001418) - ფიზ. პირი</t>
  </si>
  <si>
    <t>3E3BB97B-230C-48D5-B6EF-41C9AE93AE61</t>
  </si>
  <si>
    <t>Sapatrulo</t>
  </si>
  <si>
    <t>8BDDF5BD-4A6B-4C8E-942A-C62E20BCD667</t>
  </si>
  <si>
    <t>Sapatrulo | 1.1.2. (+) შემოსავალი ლიფტების სერვისიდან - გეგმიური | თბილი სახლი (ს.კ. 204976179) - შპს</t>
  </si>
  <si>
    <t>Erovnuli</t>
  </si>
  <si>
    <t>ED933289-CEA4-446C-99AC-B1B310C1ECB5</t>
  </si>
  <si>
    <t>Erovnuli | 1.1.2. (+) შემოსავალი ლიფტების სერვისიდან - გეგმიური | თბილი სახლი (ს.კ. 204976179) - შპს</t>
  </si>
  <si>
    <t>Gonio</t>
  </si>
  <si>
    <t>245619807/43617/1.1.2./1</t>
  </si>
  <si>
    <t>3D3A6BA2-FC37-4C7B-9979-9C6C932BA9BF</t>
  </si>
  <si>
    <t>Gonio | 1.1.2. (+) შემოსავალი ლიფტების სერვისიდან - გეგმიური | ერა პალასი (ს.კ. 245619807) - შპს</t>
  </si>
  <si>
    <t>Modus batumi</t>
  </si>
  <si>
    <t>245565669/43592/1.1.2./1</t>
  </si>
  <si>
    <t>07BBF564-E19D-46EA-8A32-44F28241B4B1</t>
  </si>
  <si>
    <t>Modus batumi | 1.1.2. (+) შემოსავალი ლიფტების სერვისიდან - გეგმიური | მოდუსი (ს.კ. 245565669) - შპს</t>
  </si>
  <si>
    <t>ი. აბაშიძე 70 (ს.კ. ICE001082) - ამხანაგობა</t>
  </si>
  <si>
    <t>Abashidze 70</t>
  </si>
  <si>
    <t>1 6 31 1485</t>
  </si>
  <si>
    <t>ICE001082/44013/1.1.2./1</t>
  </si>
  <si>
    <t>AFEF3A3A-0240-4773-9C5F-B7AC3C14711D</t>
  </si>
  <si>
    <t>Abashidze 70 | 1.1.2. (+) შემოსავალი ლიფტების სერვისიდან - გეგმიური | ი. აბაშიძე 70 (ს.კ. ICE001082) - ამხანაგობა</t>
  </si>
  <si>
    <t>3D0E73E0-0C40-467D-922F-74E3D4746FBD</t>
  </si>
  <si>
    <t>დელისი 2020 (ს.კ. ICE001083) - ამხანაგობა</t>
  </si>
  <si>
    <t>Epic gazapkhuli</t>
  </si>
  <si>
    <t>1 6 31 1470</t>
  </si>
  <si>
    <t>ICE001083/44014/1.1.2./1</t>
  </si>
  <si>
    <t>F132898D-4C52-4676-8689-21E7C2709157</t>
  </si>
  <si>
    <t>Epic gazapkhuli | 1.1.2. (+) შემოსავალი ლიფტების სერვისიდან - გეგმიური | დელისი 2020 (ს.კ. ICE001083) - ამხანაგობა</t>
  </si>
  <si>
    <t>E18CBC98-9D65-4F4A-ADC0-B7350770D6F8</t>
  </si>
  <si>
    <t>ბაგები (ს.კ. 405330262) - შპს</t>
  </si>
  <si>
    <t>Epic Bagebi</t>
  </si>
  <si>
    <t>1 6 30 1471</t>
  </si>
  <si>
    <t>405330262/44013/1.1.1./1</t>
  </si>
  <si>
    <t>6F71BE16-57C6-4634-B19B-DAD451C7CB11</t>
  </si>
  <si>
    <t>Epic Bagebi | 1.1.1. (+) შემოსავალი ლიფტების რეალიზაციიდან | ბაგები (ს.კ. 405330262) - შპს</t>
  </si>
  <si>
    <t>C270A903-5EB0-4E5A-8448-B4A637D5211F</t>
  </si>
  <si>
    <t>Hilton Garden Inn Pipes 2</t>
  </si>
  <si>
    <t>402121887/43983/1.2.1./1</t>
  </si>
  <si>
    <t>53D78126-348D-47EC-8E18-ACA366D918B3</t>
  </si>
  <si>
    <t>Hilton Garden Inn Pipes 2 | 1.2.1. (+) შემოსავალი MEP დანადგარების რეალიზაციიდან | მეპერსი (ს.კ. 402121887) - შპს</t>
  </si>
  <si>
    <t>202177205/44013/1.1.2./1</t>
  </si>
  <si>
    <t>065B3CAD-864E-4949-AE0A-9170B8973736</t>
  </si>
  <si>
    <t>Tegeta Batumi | 1.1.2. (+) შემოსავალი ლიფტების სერვისიდან - გეგმიური | თეგეტა მოტორსი (ს.კ. 202177205) - შპს</t>
  </si>
  <si>
    <t>საქ სამეცნიერო-საგანმანათ. კომპ ქსელების ასოციაცია გრენა (ს.კ. 204931654) - ასოციაცია</t>
  </si>
  <si>
    <t>Grena MEP 1</t>
  </si>
  <si>
    <t>204931654/44004/1.2.1./1</t>
  </si>
  <si>
    <t>67800432-96FF-489A-983A-99BD3F4C4954</t>
  </si>
  <si>
    <t>Grena MEP 1 | 1.2.1. (+) შემოსავალი MEP დანადგარების რეალიზაციიდან | საქ სამეცნიერო-საგანმანათ. კომპ ქსელების ასოციაცია გრენა (ს.კ. 204931654) - ასოციაცია</t>
  </si>
  <si>
    <t>43A2E6CF-382D-45D9-9C82-D074B7CA8474</t>
  </si>
  <si>
    <t>405136758/43891/1.1.2./1</t>
  </si>
  <si>
    <t>AB270374-C6A2-4223-A667-ED4DD185CC7F</t>
  </si>
  <si>
    <t>Khiliani | 1.1.2. (+) შემოსავალი ლიფტების სერვისიდან - გეგმიური | ახალშენი 2016 (ს.კ. 405136758) - შპს</t>
  </si>
  <si>
    <t>Domus Paliashvilis 63</t>
  </si>
  <si>
    <t>1 6 31 863</t>
  </si>
  <si>
    <t>ICE000034/44019/1.1.2./1</t>
  </si>
  <si>
    <t>D1923AD8-5716-4970-9AD0-37642D2C4B69</t>
  </si>
  <si>
    <t>Domus Paliashvilis 63 | 1.1.2. (+) შემოსავალი ლიფტების სერვისიდან - გეგმიური | ფალიაშვილის 63 (ს.კ. ICE000034) - ამხანაგობა</t>
  </si>
  <si>
    <t>202376133/43102/1.1.2./1</t>
  </si>
  <si>
    <t>36DA9AC9-FD85-4E9B-B6AF-0CFCDD8E7D93</t>
  </si>
  <si>
    <t>Indeko - shartava 39 | 1.1.2. (+) შემოსავალი ლიფტების სერვისიდან - გეგმიური | ინდეკო (ს.კ. 202376133) - შპს</t>
  </si>
  <si>
    <t>დომუს სერვისი (ს.კ. 405311336) - შპს</t>
  </si>
  <si>
    <t>1 6 31 1233</t>
  </si>
  <si>
    <t>405311336/43647/1.1.2./1</t>
  </si>
  <si>
    <t>576EC610-01F5-4D9B-9A18-3AE87057BAE9</t>
  </si>
  <si>
    <t>Domus | 1.1.2. (+) შემოსავალი ლიფტების სერვისიდან - გეგმიური | დომუს სერვისი (ს.კ. 405311336) - შპს</t>
  </si>
  <si>
    <t>9B2B30F8-1FC4-427E-8478-DB1B57B48DDA</t>
  </si>
  <si>
    <t>UNIX Marselle 1</t>
  </si>
  <si>
    <t>405133822/44013/1.1.2./1</t>
  </si>
  <si>
    <t>91EE07CF-9713-420D-A132-7AEFD9A5F054</t>
  </si>
  <si>
    <t>UNIX Marselle 1 | 1.1.2. (+) შემოსავალი ლიფტების სერვისიდან - გეგმიური | იუნიქს ქონსთრაქშენ კომპანი (ს.კ. 405133822) - შპს</t>
  </si>
  <si>
    <t>204854014/43831/1.1.2./1</t>
  </si>
  <si>
    <t>C01D4ADB-B292-4EAB-9036-EE74F4FB870D</t>
  </si>
  <si>
    <t>Delisi | 1.1.2. (+) შემოსავალი ლიფტების სერვისიდან - გეგმიური | ბიზნეს ცენტრი დელისი (ს.კ. 204854014) - სს</t>
  </si>
  <si>
    <t>1 6 30 642 2</t>
  </si>
  <si>
    <t>245565669/43586/1.1.2./1</t>
  </si>
  <si>
    <t>2A0A1CC3-2FD5-4F5A-BF97-52EE5BDDE144</t>
  </si>
  <si>
    <t>Modus Kakhety HW | 1.1.2. (+) შემოსავალი ლიფტების სერვისიდან - გეგმიური | მოდუსი (ს.კ. 245565669) - შპს</t>
  </si>
  <si>
    <t>BD Property (ს.კ. 404390967) - შპს</t>
  </si>
  <si>
    <t>1 6 31 848</t>
  </si>
  <si>
    <t>404390967/43466/1.1.2./1</t>
  </si>
  <si>
    <t>D3F209CC-BD48-4729-87EA-24F29DD15FF4</t>
  </si>
  <si>
    <t>Tbilisi Gardens | 1.1.2. (+) შემოსავალი ლიფტების სერვისიდან - გეგმიური | BD Property (ს.კ. 404390967) - შპს</t>
  </si>
  <si>
    <t>97275D0F-23EB-47CD-8A0F-C93649EE6164</t>
  </si>
  <si>
    <t>გელა ხომერიკი (ს.კ. 33001011813) - ფიზ. პირი</t>
  </si>
  <si>
    <t>1 6 31 882</t>
  </si>
  <si>
    <t>33001011813/43132/1.1.2./1</t>
  </si>
  <si>
    <t>0172DB76-BF07-40C8-8007-921476501A04</t>
  </si>
  <si>
    <t>Kbuleti Str. - Khomeriki | 1.1.2. (+) შემოსავალი ლიფტების სერვისიდან - გეგმიური | გელა ხომერიკი (ს.კ. 33001011813) - ფიზ. პირი</t>
  </si>
  <si>
    <t>D92736A6-D9AA-4539-B5F8-0F34FACD5367</t>
  </si>
  <si>
    <t>405253381/43957/1.1.2./1</t>
  </si>
  <si>
    <t>1322892A-5957-4D09-88EC-FC474E90B292</t>
  </si>
  <si>
    <t>Tbilisi Palace | 1.1.2. (+) შემოსავალი ლიფტების სერვისიდან - გეგმიური | თბილისი პალასი (ს.კ. 405253381) - შპს</t>
  </si>
  <si>
    <t>245565669/43633/1.1.2./1</t>
  </si>
  <si>
    <t>7F33E521-91AC-45E6-BEDC-038FF8B6F75A</t>
  </si>
  <si>
    <t>Modus Agladze | 1.1.2. (+) შემოსავალი ლიფტების სერვისიდან - გეგმიური | მოდუსი (ს.კ. 245565669) - შპს</t>
  </si>
  <si>
    <t>445440577/43311/1.1.2./1</t>
  </si>
  <si>
    <t>7E7F4F08-6722-4720-ADA7-30669A9837B9</t>
  </si>
  <si>
    <t>New Time | 1.1.2. (+) შემოსავალი ლიფტების სერვისიდან - გეგმიური | ნიუ თაიმ (ს.კ. 445440577) - შპს</t>
  </si>
  <si>
    <t>445468798/43788/1.1.2./1</t>
  </si>
  <si>
    <t>5564FE9D-DA57-4C23-B925-E2D095D97D24</t>
  </si>
  <si>
    <t>ORBI Office Lift | 1.1.2. (+) შემოსავალი ლიფტების სერვისიდან - გეგმიური | ორბი ჯგუფი ბათუმი (ს.კ. 445468798) - შპს</t>
  </si>
  <si>
    <t>რედ-კო მენეჯმენტ გრუპი (ს.კ. 405198986) - შპს</t>
  </si>
  <si>
    <t>1 6 31 1166</t>
  </si>
  <si>
    <t>405198986/43879/1.1.2./1</t>
  </si>
  <si>
    <t>A7C8AABE-B230-4454-A8DA-93EE74161089</t>
  </si>
  <si>
    <t>Redco 1 | 1.1.2. (+) შემოსავალი ლიფტების სერვისიდან - გეგმიური | რედ-კო მენეჯმენტ გრუპი (ს.კ. 405198986) - შპს</t>
  </si>
  <si>
    <t>19F602E5-A978-4128-B38E-2D3540A8F675</t>
  </si>
  <si>
    <t>ჯი-ემ-თი მთაწმინდა (ს.კ. 203843396) - შპს</t>
  </si>
  <si>
    <t>203843396/43770/1.1.2./1</t>
  </si>
  <si>
    <t>991C9FFA-E5D2-4508-9686-89EF7630FD0F</t>
  </si>
  <si>
    <t>Moxy Zabruken Restaurant | 1.1.2. (+) შემოსავალი ლიფტების სერვისიდან - გეგმიური | ჯი-ემ-თი მთაწმინდა (ს.კ. 203843396) - შპს</t>
  </si>
  <si>
    <t>3C2A6CD6-D08E-4286-A3DF-9EB685C45CBF</t>
  </si>
  <si>
    <t>MOXY OFFICE</t>
  </si>
  <si>
    <t>203842333/43586/1.1.2./1</t>
  </si>
  <si>
    <t>31548D1C-A62E-4FFA-A6F0-2D3E0834752A</t>
  </si>
  <si>
    <t>MOXY OFFICE | 1.1.2. (+) შემოსავალი ლიფტების სერვისიდან - გეგმიური | ჯი-ემ-თი სასტუმროები (ს.კ. 203842333) - შპს</t>
  </si>
  <si>
    <t>1 6 31 1108</t>
  </si>
  <si>
    <t>400247899/43571/1.1.2./1</t>
  </si>
  <si>
    <t>85E695E4-28FF-4C98-A0E2-59689D6E4CA6</t>
  </si>
  <si>
    <t>Paster Hostel | 1.1.2. (+) შემოსავალი ლიფტების სერვისიდან - გეგმიური | 1920 (ს.კ. 400247899) - შპს</t>
  </si>
  <si>
    <t>404464030/43108/1.1.2./1</t>
  </si>
  <si>
    <t>EEFB7378-5E83-4D5D-91D0-794D1D10F07F</t>
  </si>
  <si>
    <t>Gelovani 52 | 1.1.2. (+) შემოსავალი ლიფტების სერვისიდან - გეგმიური | ეკომეტრი (ს.კ. 404464030) - შპს</t>
  </si>
  <si>
    <t>1 6 31 853</t>
  </si>
  <si>
    <t>445420875/44075/1.1.2./1</t>
  </si>
  <si>
    <t>5CD4B412-58AC-4380-AE6A-747C3CC488A5</t>
  </si>
  <si>
    <t>DAR TOWER | 1.1.2. (+) შემოსავალი ლიფტების სერვისიდან - გეგმიური | Dar Building (ს.კ. 445420875) - შპს</t>
  </si>
  <si>
    <t>Encoder</t>
  </si>
  <si>
    <t>1.1.3. (+) შემოსავალი ლიფტების სერვისიდან - არაგეგმიური</t>
  </si>
  <si>
    <t>404464030/44013/1.1.3./1</t>
  </si>
  <si>
    <t>FC82605A-4030-4C2A-8EFE-6F9BC6842F61</t>
  </si>
  <si>
    <t>Encoder | 1.1.3. (+) შემოსავალი ლიფტების სერვისიდან - არაგეგმიური | ეკომეტრი (ს.კ. 404464030) - შპს</t>
  </si>
  <si>
    <t>C491BFF3-6F7B-4412-9DF0-EAED6F3EE238</t>
  </si>
  <si>
    <t>445420875/44170/1.1.2./1</t>
  </si>
  <si>
    <t>5D7F9683-902A-436B-86B8-F3CF981F6C85</t>
  </si>
  <si>
    <t>OFFICE Dar Building | 1.1.2. (+) შემოსავალი ლიფტების სერვისიდან - გეგმიური | Dar Building (ს.კ. 445420875) - შპს</t>
  </si>
  <si>
    <t>61001051501/43622/1.1.2./1</t>
  </si>
  <si>
    <t>57F7E542-EE11-48FB-96F9-15131F005D4D</t>
  </si>
  <si>
    <t>Abuseridze - Batumi | 1.1.2. (+) შემოსავალი ლიფტების სერვისიდან - გეგმიური | ანა აბუსერიძე (ს.კ. 61001051501) - ფიზ. პირი</t>
  </si>
  <si>
    <t>245416401/43589/1.1.2./1</t>
  </si>
  <si>
    <t>FD8D72C0-37E0-47E4-A595-CE2288AB374D</t>
  </si>
  <si>
    <t>Batumi Stadium | 1.1.2. (+) შემოსავალი ლიფტების სერვისიდან - გეგმიური | ანაგი (ს.კ. 245416401) - შპს</t>
  </si>
  <si>
    <t>არქი დიღომი (ს.კ. 405225037) - შპს</t>
  </si>
  <si>
    <t>1 6 31 1717</t>
  </si>
  <si>
    <t>405225037/43956/1.1.2./1</t>
  </si>
  <si>
    <t>E0BA3C10-5FB6-4816-81CE-B5BAE20C122D</t>
  </si>
  <si>
    <t>Archi Digomi | 1.1.2. (+) შემოსავალი ლიფტების სერვისიდან - გეგმიური | არქი დიღომი (ს.კ. 405225037) - შპს</t>
  </si>
  <si>
    <t>AEB05B14-77B4-473B-AAFD-FC47BDF7BDAF</t>
  </si>
  <si>
    <t>445509334/43461/1.1.2./1</t>
  </si>
  <si>
    <t>4194F937-E12F-4BEE-AE41-ED29E3542132</t>
  </si>
  <si>
    <t>BAT Tower | 1.1.2. (+) შემოსავალი ლიფტების სერვისიდან - გეგმიური | ბათბილდინგი (ს.კ. 445509334) - შპს</t>
  </si>
  <si>
    <t>ბაკურიანი ბიზნეს ჯგუფი (ს.კ. 226166163) - შპს</t>
  </si>
  <si>
    <t>226166163/43608/1.1.2./1</t>
  </si>
  <si>
    <t>061C70BF-3363-4CE1-97EC-3F704E1FCECF</t>
  </si>
  <si>
    <t>Crystal Bakuriani | 1.1.2. (+) შემოსავალი ლიფტების სერვისიდან - გეგმიური | ბაკურიანი ბიზნეს ჯგუფი (ს.კ. 226166163) - შპს</t>
  </si>
  <si>
    <t>83EBEF94-D00F-4136-96C7-A3C68AAADFE9</t>
  </si>
  <si>
    <t>405171996/43767/1.1.2./1</t>
  </si>
  <si>
    <t>70724719-A960-437A-A800-B2F21E235FD7</t>
  </si>
  <si>
    <t>Med. University | 1.1.2. (+) შემოსავალი ლიფტების სერვისიდან - გეგმიური | ბეტა ჯგუფი (ს.კ. 405171996) - შპს</t>
  </si>
  <si>
    <t>405171996/43719/1.1.2./1</t>
  </si>
  <si>
    <t>F2E099BD-FBF9-4E4F-9F49-B23293EC0CD8</t>
  </si>
  <si>
    <t>IBIS Perovi | 1.1.2. (+) შემოსავალი ლიფტების სერვისიდან - გეგმიური | ბეტა ჯგუფი (ს.კ. 405171996) - შპს</t>
  </si>
  <si>
    <t>405171996/43804/1.1.2./1</t>
  </si>
  <si>
    <t>4863E815-E96B-40A3-B8D2-9A507B9FBE95</t>
  </si>
  <si>
    <t>IBIS Perov Dumbwaiter | 1.1.2. (+) შემოსავალი ლიფტების სერვისიდან - გეგმიური | ბეტა ჯგუფი (ს.კ. 405171996) - შპს</t>
  </si>
  <si>
    <t>406155841/43724/1.1.2./1</t>
  </si>
  <si>
    <t>9CFD239A-4BD2-402C-BC14-2C95514DD913</t>
  </si>
  <si>
    <t>Varketili | 1.1.2. (+) შემოსავალი ლიფტების სერვისიდან - გეგმიური | გიოკაპიტალი (ს.კ. 406155841) - შპს</t>
  </si>
  <si>
    <t>65002012107/43566/1.1.2./1</t>
  </si>
  <si>
    <t>6385E6FA-04D7-4EBF-854D-9B43C797C09B</t>
  </si>
  <si>
    <t>Kaklebi | 1.1.2. (+) შემოსავალი ლიფტების სერვისიდან - გეგმიური | გოჩა ჩხაიძე (ს.კ. 65002012107) - ფიზ. პირი</t>
  </si>
  <si>
    <t>248434038/43460/1.1.2./1</t>
  </si>
  <si>
    <t>D36328AA-95D4-49C8-911A-C573267803D5</t>
  </si>
  <si>
    <t>Green Cape | 1.1.2. (+) შემოსავალი ლიფტების სერვისიდან - გეგმიური | ელტური-2008 (ს.კ. 248434038) - შპს</t>
  </si>
  <si>
    <t>405134448/43546/1.1.2./1</t>
  </si>
  <si>
    <t>9780EFF7-0DFF-48D3-A489-92594CFB595A</t>
  </si>
  <si>
    <t>Thermoroom | 1.1.2. (+) შემოსავალი ლიფტების სერვისიდან - გეგმიური | თერმორუმი (ს.კ. 405134448) - შპს</t>
  </si>
  <si>
    <t>202376133/43762/1.1.2./1</t>
  </si>
  <si>
    <t>2DBBDB2A-AE3C-4D2E-9732-25F75C16DC1A</t>
  </si>
  <si>
    <t>Chakhrukhadze | 1.1.2. (+) შემოსავალი ლიფტების სერვისიდან - გეგმიური | ინდეკო (ს.კ. 202376133) - შპს</t>
  </si>
  <si>
    <t>იოსებ გუნთაიშვილი (ს.კ. 61001008820) - ფიზ. პირი</t>
  </si>
  <si>
    <t>Kobuleti Garden Inn</t>
  </si>
  <si>
    <t>61001008820/43824/1.1.2./1</t>
  </si>
  <si>
    <t>D28381C0-B27A-4E4C-B54B-186420AB3048</t>
  </si>
  <si>
    <t>Kobuleti Garden Inn | 1.1.2. (+) შემოსავალი ლიფტების სერვისიდან - გეგმიური | იოსებ გუნთაიშვილი (ს.კ. 61001008820) - ფიზ. პირი</t>
  </si>
  <si>
    <t>88114C6E-F2B4-44AC-AACB-3937108FCC9D</t>
  </si>
  <si>
    <t>კანალესა (ს.კ. 405021925) - შპს</t>
  </si>
  <si>
    <t>Aparthotel Vake</t>
  </si>
  <si>
    <t>405021925/43768/1.1.2./1</t>
  </si>
  <si>
    <t>A452FED2-BCEF-45B4-A40A-B18CD1747F27</t>
  </si>
  <si>
    <t>Aparthotel Vake | 1.1.2. (+) შემოსავალი ლიფტების სერვისიდან - გეგმიური | კანალესა (ს.კ. 405021925) - შპს</t>
  </si>
  <si>
    <t>2A9CB749-334E-4076-9125-B73DD63C7D94</t>
  </si>
  <si>
    <t>405229881/43769/1.1.2./1</t>
  </si>
  <si>
    <t>45DB2F98-7677-4764-9578-FE28296376AF</t>
  </si>
  <si>
    <t>Sololaki | 1.1.2. (+) შემოსავალი ლიფტების სერვისიდან - გეგმიური | კანოპუსი (ს.კ. 405229881) - შპს</t>
  </si>
  <si>
    <t>01008011243/43672/1.1.2./1</t>
  </si>
  <si>
    <t>90A47262-D355-4249-8FB7-FB5501E3B465</t>
  </si>
  <si>
    <t>Ortachala | 1.1.2. (+) შემოსავალი ლიფტების სერვისიდან - გეგმიური | მაია კვიჭიძე (ს.კ. 01008011243) - ფიზ. პირი</t>
  </si>
  <si>
    <t>204564729/43122/1.1.2./1</t>
  </si>
  <si>
    <t>94C3F1ED-B241-4AC2-8709-FDC471284D94</t>
  </si>
  <si>
    <t>Bagebi | 1.1.2. (+) შემოსავალი ლიფტების სერვისიდან - გეგმიური | ნირან პროპერტის დეველოპმენტი (ს.კ. 204564729) - შპს</t>
  </si>
  <si>
    <t>1 6 31 1270</t>
  </si>
  <si>
    <t>405231011/43767/1.1.2./1</t>
  </si>
  <si>
    <t>E942C8AD-0FFF-46B9-958C-5332E0F75B89</t>
  </si>
  <si>
    <t>Biota Park | 1.1.2. (+) შემოსავალი ლიფტების სერვისიდან - გეგმიური | ოლიმპ ჯორჯია (ს.კ. 405231011) - შპს</t>
  </si>
  <si>
    <t>1 6 31 998</t>
  </si>
  <si>
    <t>245621849/43348/1.1.2./1</t>
  </si>
  <si>
    <t>3C438861-094F-4792-ADC9-29FC48D9BB12</t>
  </si>
  <si>
    <t>Beach Tower | 1.1.2. (+) შემოსავალი ლიფტების სერვისიდან - გეგმიური | ორბი ჯგუფი (ს.კ. 245621849) - შპს</t>
  </si>
  <si>
    <t>ORBI CITY A</t>
  </si>
  <si>
    <t>1 6 31 773 1</t>
  </si>
  <si>
    <t>445468798/44013/1.1.2./1</t>
  </si>
  <si>
    <t>B60CF255-4AA3-4F6B-AFB7-5681954C6A79</t>
  </si>
  <si>
    <t>ORBI CITY A | 1.1.2. (+) შემოსავალი ლიფტების სერვისიდან - გეგმიური | ორბი ჯგუფი ბათუმი (ს.კ. 445468798) - შპს</t>
  </si>
  <si>
    <t>405198986/43732/1.1.2./1</t>
  </si>
  <si>
    <t>7F26EB7B-2E7C-4A75-8728-31AC9AD52FEE</t>
  </si>
  <si>
    <t>Gudauri Alpic | 1.1.2. (+) შემოსავალი ლიფტების სერვისიდან - გეგმიური | რედ-კო მენეჯმენტ გრუპი (ს.კ. 405198986) - შპს</t>
  </si>
  <si>
    <t>404564244/43886/1.1.2./1</t>
  </si>
  <si>
    <t>FBE8F7D7-AB34-4D32-8646-AB0CB9EC7987</t>
  </si>
  <si>
    <t>Renting BNB | 1.1.2. (+) შემოსავალი ლიფტების სერვისიდან - გეგმიური | რენთინგ ბიენბი (ს.კ. 404564244) - სს</t>
  </si>
  <si>
    <t>445481853/43816/1.1.2./1</t>
  </si>
  <si>
    <t>CF77CD66-BD5F-4839-897D-B40775CA9C74</t>
  </si>
  <si>
    <t>Rumi - batumi | 1.1.2. (+) შემოსავალი ლიფტების სერვისიდან - გეგმიური | რუმი (ს.კ. 445481853) - შპს</t>
  </si>
  <si>
    <t>212274812/43699/1.1.2./1</t>
  </si>
  <si>
    <t>B979C2B2-4F18-41FA-9937-5CEDC68EE335</t>
  </si>
  <si>
    <t>Aeroporti | 1.1.2. (+) შემოსავალი ლიფტების სერვისიდან - გეგმიური | ტრანსმშენი (ს.კ. 212274812) - სს</t>
  </si>
  <si>
    <t>1 6 31 1453</t>
  </si>
  <si>
    <t>405176982/44170/1.1.2./1</t>
  </si>
  <si>
    <t>F5002C98-BCD3-4F89-BA3F-A0705D2B1681</t>
  </si>
  <si>
    <t>Archi Jikia Block C | 1.1.2. (+) შემოსავალი ლიფტების სერვისიდან - გეგმიური | არქი საბურთალო (ს.კ. 405176982) - შპს</t>
  </si>
  <si>
    <t>405198986/43734/1.1.2./1</t>
  </si>
  <si>
    <t>0085F59A-37C7-4424-9251-C2428F3E6E7D</t>
  </si>
  <si>
    <t>Gudauri Redco Parking | 1.1.2. (+) შემოსავალი ლიფტების სერვისიდან - გეგმიური | რედ-კო მენეჯმენტ გრუპი (ს.კ. 405198986) - შპს</t>
  </si>
  <si>
    <t>1 6 31 971</t>
  </si>
  <si>
    <t>404851503/43354/1.1.2./1</t>
  </si>
  <si>
    <t>0EB1F4BD-032C-4A62-8299-F30448D70FF4</t>
  </si>
  <si>
    <t>City Mall | 1.1.2. (+) შემოსავალი ლიფტების სერვისიდან - გეგმიური | აი ჯი დეველოფმენტ ჯორჯია (ს.კ. 404851503) - შპს</t>
  </si>
  <si>
    <t>გუდაური ლოჯი (ს.კ. 402084221) - შპს</t>
  </si>
  <si>
    <t>402084221/43711/1.1.2./1</t>
  </si>
  <si>
    <t>C205D89E-2E55-44C0-A690-4A0274298F9A</t>
  </si>
  <si>
    <t>ENCORE Gudauri | 1.1.2. (+) შემოსავალი ლიფტების სერვისიდან - გეგმიური | გუდაური ლოჯი (ს.კ. 402084221) - შპს</t>
  </si>
  <si>
    <t>08D9917E-9D2C-4D04-A0C9-794059D0E55B</t>
  </si>
  <si>
    <t>448396021/42536/1.1.2./1</t>
  </si>
  <si>
    <t>0308AEC3-30A9-411F-9805-0D2F71F2198B</t>
  </si>
  <si>
    <t>Shvela | 1.1.2. (+) შემოსავალი ლიფტების სერვისიდან - გეგმიური | შველა (ს.კ. 448396021) - შპს</t>
  </si>
  <si>
    <t>248416432/42536/1.1.2./1</t>
  </si>
  <si>
    <t>850E50A8-0FAD-4499-9FF4-3555DAA33336</t>
  </si>
  <si>
    <t>Chempioni | 1.1.2. (+) შემოსავალი ლიფტების სერვისიდან - გეგმიური | ჩემპიონი 2 (ს.კ. 248416432) - შპს</t>
  </si>
  <si>
    <t>404481324/43146/1.1.2./1</t>
  </si>
  <si>
    <t>01BB45F4-491B-4BCC-B27D-6FDA17023B88</t>
  </si>
  <si>
    <t>Kbuleti Str. - Khomeriki | 1.1.2. (+) შემოსავალი ლიფტების სერვისიდან - გეგმიური | სითი დეველოპმენტ (ს.კ. 404481324) - შპს</t>
  </si>
  <si>
    <t>Hospital Generator</t>
  </si>
  <si>
    <t>204976179/44032/1.2.1./1</t>
  </si>
  <si>
    <t>FB0EE8E6-158C-4DA7-8FAE-ED32E09A1D20</t>
  </si>
  <si>
    <t>Hospital Generator | 1.2.1. (+) შემოსავალი MEP დანადგარების რეალიზაციიდან | თბილი სახლი (ს.კ. 204976179) - შპს</t>
  </si>
  <si>
    <t>Tskhneti House Valves</t>
  </si>
  <si>
    <t>402121887/43997/1.2.1./1</t>
  </si>
  <si>
    <t>5F53D4EF-21DF-4A59-8401-BB1245C0D8B9</t>
  </si>
  <si>
    <t>Tskhneti House Valves | 1.2.1. (+) შემოსავალი MEP დანადგარების რეალიზაციიდან | მეპერსი (ს.კ. 402121887) - შპს</t>
  </si>
  <si>
    <t>405330262/44013/1.1.2./1</t>
  </si>
  <si>
    <t>3618EDEB-286D-491B-8594-7033EC0CD557</t>
  </si>
  <si>
    <t>Epic Bagebi | 1.1.2. (+) შემოსავალი ლიფტების სერვისიდან - გეგმიური | ბაგები (ს.კ. 405330262) - შპს</t>
  </si>
  <si>
    <t>Hilton Garden VRV2</t>
  </si>
  <si>
    <t>402121887/44032/1.2.1./1</t>
  </si>
  <si>
    <t>51838B0D-DD89-4A12-B525-8D367543250C</t>
  </si>
  <si>
    <t>Hilton Garden VRV2 | 1.2.1. (+) შემოსავალი MEP დანადგარების რეალიზაციიდან | მეპერსი (ს.კ. 402121887) - შპს</t>
  </si>
  <si>
    <t>პაატა დვალიშვილი (ს.კ. 01001011731) - ფიზ. პირი</t>
  </si>
  <si>
    <t>Paata House</t>
  </si>
  <si>
    <t>01001011731/44032/1.2.1./1</t>
  </si>
  <si>
    <t>30259522-170B-46DB-BCEA-36D4C04025B4</t>
  </si>
  <si>
    <t>Paata House | 1.2.1. (+) შემოსავალი MEP დანადგარების რეალიზაციიდან | პაატა დვალიშვილი (ს.კ. 01001011731) - ფიზ. პირი</t>
  </si>
  <si>
    <t>D239BCA7-C0E0-431B-8055-6778FA312A38</t>
  </si>
  <si>
    <t>MHI Splits</t>
  </si>
  <si>
    <t>204976179/44053/1.2.1./1</t>
  </si>
  <si>
    <t>E9489C29-8AFF-4DD7-9089-2A094F602BF0</t>
  </si>
  <si>
    <t>MHI Splits | 1.2.1. (+) შემოსავალი MEP დანადგარების რეალიზაციიდან | თბილი სახლი (ს.კ. 204976179) - შპს</t>
  </si>
  <si>
    <t>P1 P2 Ceilings</t>
  </si>
  <si>
    <t>404851503/44054/1.1.1./1</t>
  </si>
  <si>
    <t>549138A5-B81C-40F1-B7A5-E69622BE26E5</t>
  </si>
  <si>
    <t>P1 P2 Ceilings | 1.1.1. (+) შემოსავალი ლიფტების რეალიზაციიდან | აი ჯი დეველოფმენტ ჯორჯია (ს.კ. 404851503) - შპს</t>
  </si>
  <si>
    <t>ქეთევანი ავალიანი (ს.კ. 60001034749) - ფიზ. პირი</t>
  </si>
  <si>
    <t>Chonkadze Home</t>
  </si>
  <si>
    <t>1 6 30 1481</t>
  </si>
  <si>
    <t>60001034749/44041/1.2.1./1</t>
  </si>
  <si>
    <t>163C4119-B1C7-4F27-830E-B834747A6363</t>
  </si>
  <si>
    <t>Chonkadze Home | 1.2.1. (+) შემოსავალი MEP დანადგარების რეალიზაციიდან | ქეთევანი ავალიანი (ს.კ. 60001034749) - ფიზ. პირი</t>
  </si>
  <si>
    <t>3A516BC6-5B32-480E-A832-CC303C538C11</t>
  </si>
  <si>
    <t>Chonkadze Home Split</t>
  </si>
  <si>
    <t>60001034749/44039/1.2.1./1</t>
  </si>
  <si>
    <t>D7419E4C-7B69-450C-8038-3EBFD263DECD</t>
  </si>
  <si>
    <t>Chonkadze Home Split | 1.2.1. (+) შემოსავალი MEP დანადგარების რეალიზაციიდან | ქეთევანი ავალიანი (ს.კ. 60001034749) - ფიზ. პირი</t>
  </si>
  <si>
    <t>Uninstall/Install 2</t>
  </si>
  <si>
    <t>445468798/43224/1.1.1./1</t>
  </si>
  <si>
    <t>D72D52DD-C778-46D7-BF4A-D3A3A3036DA6</t>
  </si>
  <si>
    <t>Uninstall|Install 2 | 1.1.1. (+) შემოსავალი ლიფტების რეალიზაციიდან | ორბი ჯგუფი ბათუმი (ს.კ. 445468798) - შპს</t>
  </si>
  <si>
    <t>Uninstall/Install 1</t>
  </si>
  <si>
    <t>445468798/43095/1.1.1./1</t>
  </si>
  <si>
    <t>849ECBD3-21CC-405B-A8C4-621B4912D3CB</t>
  </si>
  <si>
    <t>Uninstall|Install 1 | 1.1.1. (+) შემოსავალი ლიფტების რეალიზაციიდან | ორბი ჯგუფი ბათუმი (ს.კ. 445468798) - შპს</t>
  </si>
  <si>
    <t>Modus Wedding Hall</t>
  </si>
  <si>
    <t>1 6 30 642 5</t>
  </si>
  <si>
    <t>245565669/43976/1.1.1./1</t>
  </si>
  <si>
    <t>943A12D2-B154-408B-BD71-6FB3F860CAC8</t>
  </si>
  <si>
    <t>Modus Wedding Hall | 1.1.1. (+) შემოსავალი ლიფტების რეალიზაციიდან | მოდუსი (ს.კ. 245565669) - შპს</t>
  </si>
  <si>
    <t>ნორვეგიის სამეფოს საელჩო ქ. თბილისში (ს.კ. 205376608) - დიპლომატი</t>
  </si>
  <si>
    <t>Norway Embassy MEP1</t>
  </si>
  <si>
    <t>205376608/43983/1.2.1./1</t>
  </si>
  <si>
    <t>C5F7C66D-C0F5-4BD7-868A-BD0BF8CBCCB4</t>
  </si>
  <si>
    <t>Norway Embassy MEP1 | 1.2.1. (+) შემოსავალი MEP დანადგარების რეალიზაციიდან | ნორვეგიის სამეფოს საელჩო ქ. თბილისში (ს.კ. 205376608) - დიპლომატი</t>
  </si>
  <si>
    <t>378912CF-F98E-49C5-86EE-F343029B110A</t>
  </si>
  <si>
    <t>Turkish Repair</t>
  </si>
  <si>
    <t>445468798/43273/1.1.1./1</t>
  </si>
  <si>
    <t>6A60261F-4D2E-4156-8E79-882BCEC12952</t>
  </si>
  <si>
    <t>Turkish Repair | 1.1.1. (+) შემოსავალი ლიფტების რეალიზაციიდან | ორბი ჯგუფი ბათუმი (ს.კ. 445468798) - შპს</t>
  </si>
  <si>
    <t>ასოციაცია ატუ (ს.კ. 239402491) - არასამეწარმეო (არაკომერციული) იურიდიული პირი</t>
  </si>
  <si>
    <t>ATU Duck Type 2020</t>
  </si>
  <si>
    <t>239402491/44070/1.2.1./1</t>
  </si>
  <si>
    <t>62A84425-2431-42DB-8A77-4BCD9B8F13EC</t>
  </si>
  <si>
    <t>ATU Duck Type 2020 | 1.2.1. (+) შემოსავალი MEP დანადგარების რეალიზაციიდან | ასოციაცია ატუ (ს.კ. 239402491) - არასამეწარმეო (არაკომერციული) იურიდიული პირი</t>
  </si>
  <si>
    <t>B3E373C9-2E2A-4FBA-BEC3-C5CE93DC6D4B</t>
  </si>
  <si>
    <t>Compressors 1</t>
  </si>
  <si>
    <t>205129653/43878/1.2.1./1</t>
  </si>
  <si>
    <t>7ECC8BC0-1DD0-48FB-A138-1AB2CF5C27E8</t>
  </si>
  <si>
    <t>Compressors 1 | 1.2.1. (+) შემოსავალი MEP დანადგარების რეალიზაციიდან | თბილისი ცენტრალი (ს.კ. 205129653) - სს</t>
  </si>
  <si>
    <t>Compressor Instalation</t>
  </si>
  <si>
    <t>205129653/44005/1.2.1./1</t>
  </si>
  <si>
    <t>80817F8D-6F07-4AD5-9A74-C277FDF4687E</t>
  </si>
  <si>
    <t>Compressor Instalation | 1.2.1. (+) შემოსავალი MEP დანადგარების რეალიზაციიდან | თბილისი ცენტრალი (ს.კ. 205129653) - სს</t>
  </si>
  <si>
    <t>მონუმენტი 1880 (ს.კ. 402159980) - შპს</t>
  </si>
  <si>
    <t>Mitsubishi Splits</t>
  </si>
  <si>
    <t>402159980/43902/1.2.1./1</t>
  </si>
  <si>
    <t>4AED96E0-DB8E-4BF0-A866-B7492408CD65</t>
  </si>
  <si>
    <t>Mitsubishi Splits | 1.2.1. (+) შემოსავალი MEP დანადგარების რეალიზაციიდან | მონუმენტი 1880 (ს.კ. 402159980) - შპს</t>
  </si>
  <si>
    <t>CA4BC010-5210-4004-9D64-42DE442CC571</t>
  </si>
  <si>
    <t>ტურინვესტი (ს.კ. 245555554) - შპს</t>
  </si>
  <si>
    <t>Hilton Service Parts</t>
  </si>
  <si>
    <t>1 6 30 1468</t>
  </si>
  <si>
    <t>245555554/44062/1.2.1./1</t>
  </si>
  <si>
    <t>277C4480-EA4D-4C16-A668-709C6572DBCC</t>
  </si>
  <si>
    <t>Hilton Service Parts | 1.2.1. (+) შემოსავალი MEP დანადგარების რეალიზაციიდან | ტურინვესტი (ს.კ. 245555554) - შპს</t>
  </si>
  <si>
    <t>26DD56C7-5751-4761-A491-772703E8B7AC</t>
  </si>
  <si>
    <t>Filter supply and compresor change service</t>
  </si>
  <si>
    <t>205129653/44084/1.2.1./1</t>
  </si>
  <si>
    <t>C226202D-D865-4E63-9FE3-33CA85B0E1BB</t>
  </si>
  <si>
    <t>Filter supply and compresor change service | 1.2.1. (+) შემოსავალი MEP დანადგარების რეალიზაციიდან | თბილისი ცენტრალი (ს.კ. 205129653) - სს</t>
  </si>
  <si>
    <t>აკაკი მგელაძე (ს.კ. 61001034433) - ფიზ. პირი</t>
  </si>
  <si>
    <t>Conditioners</t>
  </si>
  <si>
    <t>61001034433/44091/1.2.1./1</t>
  </si>
  <si>
    <t>DC08644F-DC8A-4F5C-ADDE-5987253058B1</t>
  </si>
  <si>
    <t>Conditioners | 1.2.1. (+) შემოსავალი MEP დანადგარების რეალიზაციიდან | აკაკი მგელაძე (ს.კ. 61001034433) - ფიზ. პირი</t>
  </si>
  <si>
    <t>A19DBE70-93E6-453B-840F-63A4C42291DC</t>
  </si>
  <si>
    <t>მ2 (ს.კ. 404465529) - შპს</t>
  </si>
  <si>
    <t>INVERTER COOLING FAN</t>
  </si>
  <si>
    <t>404465529/44063/1.2.1./1</t>
  </si>
  <si>
    <t>D5F86A85-FBA6-4AF8-8441-B10F49E9FD59</t>
  </si>
  <si>
    <t>INVERTER COOLING FAN | 1.2.1. (+) შემოსავალი MEP დანადგარების რეალიზაციიდან | მ2 (ს.კ. 404465529) - შპს</t>
  </si>
  <si>
    <t>331D7AD9-06E8-4967-9C77-692788BBAD6D</t>
  </si>
  <si>
    <t>7Sky VRV Mockup</t>
  </si>
  <si>
    <t>402121887/44095/1.2.1./1</t>
  </si>
  <si>
    <t>219F1651-BC31-4FFE-9F29-616243FFA049</t>
  </si>
  <si>
    <t>7Sky VRV Mockup | 1.2.1. (+) შემოსავალი MEP დანადგარების რეალიზაციიდან | მეპერსი (ს.კ. 402121887) - შპს</t>
  </si>
  <si>
    <t>Compressors 2</t>
  </si>
  <si>
    <t>205129653/44091/1.2.1./1</t>
  </si>
  <si>
    <t>3D160DBA-BCB2-4A49-833B-E00DCC93BDBB</t>
  </si>
  <si>
    <t>Compressors 2 | 1.2.1. (+) შემოსავალი MEP დანადგარების რეალიზაციიდან | თბილისი ცენტრალი (ს.კ. 205129653) - სს</t>
  </si>
  <si>
    <t>Hilton Batumi VRF</t>
  </si>
  <si>
    <t>1.2.3. (+) შემოსავალი MEP დანადგარების სერვისიდან - არაგეგმიური</t>
  </si>
  <si>
    <t>1 6 31 1468</t>
  </si>
  <si>
    <t>245555554/44102/1.1.2./1</t>
  </si>
  <si>
    <t>ADDF5F3A-4117-410E-8C74-7B4CA5FF0D04</t>
  </si>
  <si>
    <t>Hilton Batumi VRF | 1.2.3. (+) შემოსავალი MEP დანადგარების სერვისიდან - არაგეგმიური | ტურინვესტი (ს.კ. 245555554) - შპს</t>
  </si>
  <si>
    <t>B5CAA716-CA9B-47D4-85D4-9954ED4DBAD2</t>
  </si>
  <si>
    <t>Rustavi MIA</t>
  </si>
  <si>
    <t>1 6 30 1235</t>
  </si>
  <si>
    <t>212274812/44060/1.1.1./1</t>
  </si>
  <si>
    <t>021FDEF2-6CB7-4CA2-BB7A-C2591856FA4B</t>
  </si>
  <si>
    <t>Rustavi MIA | 1.1.1. (+) შემოსავალი ლიფტების რეალიზაციიდან | ტრანსმშენი (ს.კ. 212274812) - სს</t>
  </si>
  <si>
    <t>Unix Marselle 2</t>
  </si>
  <si>
    <t>405133822/44102/1.1.2./1</t>
  </si>
  <si>
    <t>8852C85C-3176-4651-BCBB-8585B2842C8C</t>
  </si>
  <si>
    <t>Unix Marselle 2 | 1.1.2. (+) შემოსავალი ლიფტების სერვისიდან - გეგმიური | იუნიქს ქონსთრაქშენ კომპანი (ს.კ. 405133822) - შპს</t>
  </si>
  <si>
    <t>Meppers Hilton Garden Inn Carrier</t>
  </si>
  <si>
    <t>402121887/44105/1.2.1./1</t>
  </si>
  <si>
    <t>69A7700F-3EF5-4F71-A2F8-6FB637C08F41</t>
  </si>
  <si>
    <t>Meppers Hilton Garden Inn Carrier | 1.2.1. (+) შემოსავალი MEP დანადგარების რეალიზაციიდან | მეპერსი (ს.კ. 402121887) - შპს</t>
  </si>
  <si>
    <t>ჯემალ ინაიშვილი (ს.კ. 61001000802) - ფიზ. პირი</t>
  </si>
  <si>
    <t>Jemali House</t>
  </si>
  <si>
    <t>62201211-2503-4F94-B46A-D434C1788449</t>
  </si>
  <si>
    <t>Jemali House | 1.2.1. (+) შემოსავალი MEP დანადგარების რეალიზაციიდან | ჯემალ ინაიშვილი (ს.კ. 61001000802) - ფიზ. პირი</t>
  </si>
  <si>
    <t>F9B986D7-73AE-4F10-9DC3-1A4E90558499</t>
  </si>
  <si>
    <t>Inspection</t>
  </si>
  <si>
    <t>245555554/43998/1.1.2./1</t>
  </si>
  <si>
    <t>BF9B0807-4D4F-4465-85FF-3ACBB87B2A78</t>
  </si>
  <si>
    <t>Inspection | 1.1.2. (+) შემოსავალი ლიფტების სერვისიდან - გეგმიური | ტურინვესტი (ს.კ. 245555554) - შპს</t>
  </si>
  <si>
    <t>სტრაქტიფორმი (ს.კ. 405313940) - შპს</t>
  </si>
  <si>
    <t>405313940/43518/1.1.1./1</t>
  </si>
  <si>
    <t>366DF48D-B7A6-4A58-AE2E-49272461E869</t>
  </si>
  <si>
    <t>Gazapkhuli | 1.1.1. (+) შემოსავალი ლიფტების რეალიზაციიდან | სტრაქტიფორმი (ს.კ. 405313940) - შპს</t>
  </si>
  <si>
    <t>416473B3-5E1E-4C7E-9FF8-71C38522F082</t>
  </si>
  <si>
    <t>შპს სტელა + (ს.კ. 418475974) - შპს</t>
  </si>
  <si>
    <t xml:space="preserve">Stela  </t>
  </si>
  <si>
    <t>418475974/44099/1.2.1./1</t>
  </si>
  <si>
    <t>9B64AD53-7BFE-490F-8DA4-BF87DF5FA6AE</t>
  </si>
  <si>
    <t>Stela | 1.2.1. (+) შემოსავალი MEP დანადგარების რეალიზაციიდან | შპს სტელა + (ს.კ. 418475974) - შპს</t>
  </si>
  <si>
    <t>4379200F-9E1B-4867-A33B-C7040FC48CF9</t>
  </si>
  <si>
    <t>SRK45ZSP-S/SRC45ZSP-S</t>
  </si>
  <si>
    <t>61001034433/44114/1.2.1./1</t>
  </si>
  <si>
    <t>A00BF232-E4D4-40B5-88AD-806BDD7C6014</t>
  </si>
  <si>
    <t>SRK45ZSP-S|SRC45ZSP-S | 1.2.1. (+) შემოსავალი MEP დანადგარების რეალიზაციიდან | აკაკი მგელაძე (ს.კ. 61001034433) - ფიზ. პირი</t>
  </si>
  <si>
    <t>Thermoroom 2 units</t>
  </si>
  <si>
    <t>405134448/44117/1.2.1./1</t>
  </si>
  <si>
    <t>49335194-4507-4C89-82FE-FAE37CAA6EE3</t>
  </si>
  <si>
    <t>Thermoroom 2 units | 1.2.1. (+) შემოსავალი MEP დანადგარების რეალიზაციიდან | თერმორუმი (ს.კ. 405134448) - შპს</t>
  </si>
  <si>
    <t>გიორგი გულაშვილი (ს.კ. 01026006745) - ფიზ. პირი</t>
  </si>
  <si>
    <t>1 6 30 1511</t>
  </si>
  <si>
    <t>01026006745/44116/1.2.1./1</t>
  </si>
  <si>
    <t>080B0609-8AC5-4A35-8F67-C1E8D392E2F5</t>
  </si>
  <si>
    <t>Conditioners | 1.2.1. (+) შემოსავალი MEP დანადგარების რეალიზაციიდან | გიორგი გულაშვილი (ს.კ. 01026006745) - ფიზ. პირი</t>
  </si>
  <si>
    <t>696DFC2F-EC38-4D1F-8A79-4F37B31F4535</t>
  </si>
  <si>
    <t>სანრაიზ დეველოპმენტი (ს.კ. 405285221) - შპს</t>
  </si>
  <si>
    <t>Sunrise Batumi</t>
  </si>
  <si>
    <t>თეა ურიდია (ს.კ. 62001030230) - ფიზ. პირი</t>
  </si>
  <si>
    <t>1 6 30 1514</t>
  </si>
  <si>
    <t>405285221/44118/1.1.1./1</t>
  </si>
  <si>
    <t>3BE4829E-44A4-47CD-BE63-C250C40D1B55</t>
  </si>
  <si>
    <t>Sunrise Batumi | 1.1.1. (+) შემოსავალი ლიფტების რეალიზაციიდან | სანრაიზ დეველოპმენტი (ს.კ. 405285221) - შპს</t>
  </si>
  <si>
    <t>7F4998D7-42F1-45ED-9C10-DE5599AB161A</t>
  </si>
  <si>
    <t>A26DCE96-C08F-453E-9E26-10AAF72D142A</t>
  </si>
  <si>
    <t>გიორგი ბახტაძე (ს.კ. 01024067298) - ფიზ. პირი</t>
  </si>
  <si>
    <t>Jikia house</t>
  </si>
  <si>
    <t>01024067298/44127/1.2.1./1</t>
  </si>
  <si>
    <t>13EE18BD-CCE4-4A46-9493-F970255E5A5C</t>
  </si>
  <si>
    <t>Jikia house | 1.2.1. (+) შემოსავალი MEP დანადგარების რეალიზაციიდან | გიორგი ბახტაძე (ს.კ. 01024067298) - ფიზ. პირი</t>
  </si>
  <si>
    <t>19521391-5237-486E-B9F6-C4529F6D8E1D</t>
  </si>
  <si>
    <t>Paata House Splits</t>
  </si>
  <si>
    <t>01001011731/44127/1.2.1./1</t>
  </si>
  <si>
    <t>A7467957-6D0F-46F0-9188-0491DD97F3F8</t>
  </si>
  <si>
    <t>Paata House Splits | 1.2.1. (+) შემოსავალი MEP დანადგარების რეალიზაციიდან | პაატა დვალიშვილი (ს.კ. 01001011731) - ფიზ. პირი</t>
  </si>
  <si>
    <t>Mitsubishi Split Conditioners</t>
  </si>
  <si>
    <t>ნინო ბახტაძე (ს.კ. 01024071279) - ფიზ. პირი</t>
  </si>
  <si>
    <t>204976179/44120/1.2.1./1</t>
  </si>
  <si>
    <t>F0412171-41C0-4B65-A228-D0B169A59F36</t>
  </si>
  <si>
    <t>Mitsubishi Split Conditioners | 1.2.1. (+) შემოსავალი MEP დანადგარების რეალიზაციიდან | თბილი სახლი (ს.კ. 204976179) - შპს</t>
  </si>
  <si>
    <t>401318CA-BF39-49C3-9BDC-73836A8F9774</t>
  </si>
  <si>
    <t>AHI Carrier Fzc (ს.კ. ICE001144) - უცხოური საწარმო</t>
  </si>
  <si>
    <t>Poti Port Service</t>
  </si>
  <si>
    <t>დავით ნადირაძე (ს.კ. 01001014120) - ფიზ. პირი</t>
  </si>
  <si>
    <t>ICE001144/44078/1.2.3./1</t>
  </si>
  <si>
    <t>53F2A0EF-69DE-4231-8647-BE271EAFF618</t>
  </si>
  <si>
    <t>Poti Port Service | 1.2.3. (+) შემოსავალი MEP დანადგარების სერვისიდან - არაგეგმიური | AHI Carrier Fzc (ს.კ. ICE001144) - უცხოური საწარმო</t>
  </si>
  <si>
    <t>AEF33ADC-D3E1-4F29-9C04-1D160C138FDE</t>
  </si>
  <si>
    <t>C309CB7C-404D-431A-A8FB-29671DCA0C49</t>
  </si>
  <si>
    <t>ინსტალი (ს.კ. 404436570) - შპს</t>
  </si>
  <si>
    <t>MHI Conditioner</t>
  </si>
  <si>
    <t>404436570/43798/1.2.1./1</t>
  </si>
  <si>
    <t>B57F44DA-173F-4982-82AE-21A306C2B22E</t>
  </si>
  <si>
    <t>MHI Conditioner | 1.2.1. (+) შემოსავალი MEP დანადგარების რეალიზაციიდან | ინსტალი (ს.კ. 404436570) - შპს</t>
  </si>
  <si>
    <t>20FABFF1-1BAC-4741-A729-99202DDDFDD7</t>
  </si>
  <si>
    <t>Split Mitsubishi Conditioners (R410A)</t>
  </si>
  <si>
    <t>ცოტნე ჯმუხაძე (ს.კ. 01027089575) - ფიზ. პირი</t>
  </si>
  <si>
    <t>7370930E-DC0D-46C9-B0E3-571BCB140D9A</t>
  </si>
  <si>
    <t>Split Mitsubishi Conditioners (R410A) | 1.2.1. (+) შემოსავალი MEP დანადგარების რეალიზაციიდან | გიორგი გულაშვილი (ს.კ. 01026006745) - ფიზ. პირი</t>
  </si>
  <si>
    <t>83F0C711-34F6-45B3-A1ED-F85548418822</t>
  </si>
  <si>
    <t>გალერია თბილისი (ს.კ. 204558497) - შპს</t>
  </si>
  <si>
    <t>N2 lift service</t>
  </si>
  <si>
    <t>თეონა რომაშვილი (ს.კ. 01017023607) - ფიზ. პირი</t>
  </si>
  <si>
    <t>204558497/44130/1.1.3./1</t>
  </si>
  <si>
    <t>3DA92B0D-9FFF-4B92-AA85-26D103A4E032</t>
  </si>
  <si>
    <t>N2 lift service | 1.1.3. (+) შემოსავალი ლიფტების სერვისიდან - არაგეგმიური | გალერია თბილისი (ს.კ. 204558497) - შპს</t>
  </si>
  <si>
    <t>1D6C190E-3037-4435-BF28-B1D43DC3432D</t>
  </si>
  <si>
    <t>A4E9EDC7-B81F-4483-9069-A7790AEBE4FA</t>
  </si>
  <si>
    <t>Beach Tower Trouble</t>
  </si>
  <si>
    <t>402009857/44132/1.2.1./1</t>
  </si>
  <si>
    <t>6EB56C6C-4342-4259-AAE1-743464C025C5</t>
  </si>
  <si>
    <t>Beach Tower Trouble | 1.2.1. (+) შემოსავალი MEP დანადგარების რეალიზაციიდან | ტექნოკლიმა (ს.კ. 402009857) - შპს</t>
  </si>
  <si>
    <t>Kafelis Saxli</t>
  </si>
  <si>
    <t>245565669/44097/1.1.1./1</t>
  </si>
  <si>
    <t>E102A3D1-524E-4AAD-BC96-81D60D75A4A3</t>
  </si>
  <si>
    <t>Kafelis Saxli | 1.1.1. (+) შემოსავალი ლიფტების რეალიზაციიდან | მოდუსი (ს.კ. 245565669) - შპს</t>
  </si>
  <si>
    <t>Fan Propeller</t>
  </si>
  <si>
    <t>204976179/44140/1.2.1./1</t>
  </si>
  <si>
    <t>794560D8-FD88-4918-80C7-C550FDC68ABF</t>
  </si>
  <si>
    <t>Fan Propeller | 1.2.1. (+) შემოსავალი MEP დანადგარების რეალიზაციიდან | თბილი სახლი (ს.კ. 204976179) - შპს</t>
  </si>
  <si>
    <t>4 Units RC-EX3</t>
  </si>
  <si>
    <t>405134448/44126/1.2.1./1</t>
  </si>
  <si>
    <t>A7E6C5F8-C8AF-4F4A-8BFD-0891F6EB6546</t>
  </si>
  <si>
    <t>4 Units RC-EX3 | 1.2.1. (+) შემოსავალი MEP დანადგარების რეალიზაციიდან | თერმორუმი (ს.კ. 405134448) - შპს</t>
  </si>
  <si>
    <t>3 MHI SPLITS</t>
  </si>
  <si>
    <t>405134448/44152/1.2.1./1</t>
  </si>
  <si>
    <t>D2404F8C-8F50-4DAC-8C2E-26552253D955</t>
  </si>
  <si>
    <t>3 MHI SPLITS | 1.2.1. (+) შემოსავალი MEP დანადგარების რეალიზაციიდან | თერმორუმი (ს.კ. 405134448) - შპს</t>
  </si>
  <si>
    <t>აკაკი ახვლედიანი (ს.კ. 01024008652) - ფიზ. პირი</t>
  </si>
  <si>
    <t>Compressor</t>
  </si>
  <si>
    <t>01024008652/44151/1.2.1./1</t>
  </si>
  <si>
    <t>8E720888-0071-44CA-8FB6-008DB71626F0</t>
  </si>
  <si>
    <t>Compressor | 1.2.1. (+) შემოსავალი MEP დანადგარების რეალიზაციიდან | აკაკი ახვლედიანი (ს.კ. 01024008652) - ფიზ. პირი</t>
  </si>
  <si>
    <t>F178344C-B538-493A-91F1-E50A67F53023</t>
  </si>
  <si>
    <t>shorena.jijiashvili1980@gmail.com</t>
  </si>
  <si>
    <t>PU Ducts</t>
  </si>
  <si>
    <t>405134448/44138/1.2.1./1</t>
  </si>
  <si>
    <t>B4B4F708-0972-42BD-817C-C52BAA10AEF0</t>
  </si>
  <si>
    <t>PU Ducts | 1.2.1. (+) შემოსავალი MEP დანადგარების რეალიზაციიდან | თერმორუმი (ს.კ. 405134448) - შპს</t>
  </si>
  <si>
    <t>Orbi Spa</t>
  </si>
  <si>
    <t>1 6 30 998 2</t>
  </si>
  <si>
    <t>245621849/44112/1.1.1./1</t>
  </si>
  <si>
    <t>2B68759A-5E01-4B6C-B9D8-86B509BD73AF</t>
  </si>
  <si>
    <t>Orbi Spa | 1.1.1. (+) შემოსავალი ლიფტების რეალიზაციიდან | ორბი ჯგუფი (ს.კ. 245621849) - შპს</t>
  </si>
  <si>
    <t>აი-სი-ი (ს.კ. 400017245) - შპს</t>
  </si>
  <si>
    <t>ICE - Gazapkhuli Stock</t>
  </si>
  <si>
    <t>1_6 _20</t>
  </si>
  <si>
    <t>400017245/40544/1.1.1./1</t>
  </si>
  <si>
    <t>C5AC07F9-352A-4364-B700-7E1101AC0852</t>
  </si>
  <si>
    <t>ICE - Gazapkhuli Stock | 1.1.1. (+) შემოსავალი ლიფტების რეალიზაციიდან | აი-სი-ი (ს.კ. 400017245) - შპს</t>
  </si>
  <si>
    <t>2A55DEBB-261B-4CE9-BAE4-296DDEA037AB</t>
  </si>
  <si>
    <t xml:space="preserve">Paata House Thermostats </t>
  </si>
  <si>
    <t>01001011731/44183/1.2.1./1</t>
  </si>
  <si>
    <t>7BF44D02-B0DC-4C8A-B073-3AF38B2CF72C</t>
  </si>
  <si>
    <t>Paata House Thermostats  | 1.2.1. (+) შემოსავალი MEP დანადგარების რეალიზაციიდან | პაატა დვალიშვილი (ს.კ. 01001011731) - ფიზ. პირი</t>
  </si>
  <si>
    <t>Ford Center Propeler Motor</t>
  </si>
  <si>
    <t>204976179/44154/1.2.1./1</t>
  </si>
  <si>
    <t>EDF87557-DF6E-4E04-9A90-23496F0293C8</t>
  </si>
  <si>
    <t>Ford Center Propeler Motor | 1.2.1. (+) შემოსავალი MEP დანადგარების რეალიზაციიდან | თბილი სახლი (ს.კ. 204976179) - შპს</t>
  </si>
  <si>
    <t>N13 Elevator board</t>
  </si>
  <si>
    <t>204558497/44159/1.1.3./1</t>
  </si>
  <si>
    <t>C18AD321-297A-4CCD-A5E3-8012938B4B82</t>
  </si>
  <si>
    <t>N13 Elevator board | 1.1.3. (+) შემოსავალი ლიფტების სერვისიდან - არაგეგმიური | გალერია თბილისი (ს.კ. 204558497) - შპს</t>
  </si>
  <si>
    <t>Display &amp; Board</t>
  </si>
  <si>
    <t>405133822/44106/1.1.3./1</t>
  </si>
  <si>
    <t>730C476F-BFEA-4580-8081-A195DF6C17EE</t>
  </si>
  <si>
    <t>Display &amp; Board | 1.1.3. (+) შემოსავალი ლიფტების სერვისიდან - არაგეგმიური | იუნიქს ქონსთრაქშენ კომპანი (ს.კ. 405133822) - შპს</t>
  </si>
  <si>
    <t>მებოენჯინიერინგ (ს.კ. 405353399) - შპს</t>
  </si>
  <si>
    <t>Meboengineering</t>
  </si>
  <si>
    <t>1 6 30 1543</t>
  </si>
  <si>
    <t>405353399/44187/1.2.1./1</t>
  </si>
  <si>
    <t>66DA52BA-5CC9-4DB2-AB2F-E5D503A67FD1</t>
  </si>
  <si>
    <t>Meboengineering | 1.2.1. (+) შემოსავალი MEP დანადგარების რეალიზაციიდან | მებოენჯინიერინგ (ს.კ. 405353399) - შპს</t>
  </si>
  <si>
    <t>24E4EE43-5EF3-423D-9573-ECEC58B570C9</t>
  </si>
  <si>
    <t>არგო გრუპ ჯორჯია (ს.კ. 400113532) - შპს</t>
  </si>
  <si>
    <t>Havana club</t>
  </si>
  <si>
    <t>1 6 30 1529</t>
  </si>
  <si>
    <t>400113532/44162/1.2.1./1</t>
  </si>
  <si>
    <t>A571A00D-DA60-4571-8053-F614F87192AE</t>
  </si>
  <si>
    <t>Havana club | 1.2.1. (+) შემოსავალი MEP დანადგარების რეალიზაციიდან | არგო გრუპ ჯორჯია (ს.კ. 400113532) - შპს</t>
  </si>
  <si>
    <t>8BE1F54B-9D87-48F2-8C0A-2F20A5C303E9</t>
  </si>
  <si>
    <t>ლენოქსი (ს.კ. 418476893) - შპს</t>
  </si>
  <si>
    <t>Carrier Unit</t>
  </si>
  <si>
    <t>418476893/44166/1.2.1./1</t>
  </si>
  <si>
    <t>49FCFC77-A25C-4798-A811-A11D7B44CCA4</t>
  </si>
  <si>
    <t>Carrier Unit | 1.2.1. (+) შემოსავალი MEP დანადგარების რეალიზაციიდან | ლენოქსი (ს.კ. 418476893) - შპს</t>
  </si>
  <si>
    <t>8C656830-971B-4F16-823C-B3F9461FD619</t>
  </si>
  <si>
    <t>Dumpers</t>
  </si>
  <si>
    <t>08B11B3D-796F-4D80-82F9-149FC940360A</t>
  </si>
  <si>
    <t>Dumpers | 1.2.1. (+) შემოსავალი MEP დანადგარების რეალიზაციიდან | ლენოქსი (ს.კ. 418476893) - შპს</t>
  </si>
  <si>
    <t>ICE - Lilo Open Stock</t>
  </si>
  <si>
    <t>139CD247-57C9-4CC8-9B29-25F6F755ED38</t>
  </si>
  <si>
    <t>ICE - Lilo Open Stock | 1.1.1. (+) შემოსავალი ლიფტების რეალიზაციიდან | აი-სი-ი (ს.კ. 400017245) - შპს</t>
  </si>
  <si>
    <t>ICE - Lilo Closed Stock</t>
  </si>
  <si>
    <t>DA744D3C-6591-4CC4-9519-A01B5D7ADCF7</t>
  </si>
  <si>
    <t>ICE - Lilo Closed Stock | 1.1.1. (+) შემოსავალი ლიფტების რეალიზაციიდან | აი-სი-ი (ს.კ. 400017245) - შპს</t>
  </si>
  <si>
    <t>სფერა (ს.კ. 405412361 ) - შპს</t>
  </si>
  <si>
    <t>1 6 31 1559</t>
  </si>
  <si>
    <t>405412361 /44211/1.1.2./1</t>
  </si>
  <si>
    <t>1DA13BC6-9AA2-4D33-8B24-E5D5205BF210</t>
  </si>
  <si>
    <t>Bagebi | 1.1.2. (+) შემოსავალი ლიფტების სერვისიდან - გეგმიური | სფერა (ს.კ. 405412361 ) - შპს</t>
  </si>
  <si>
    <t>B71DB46F-9742-4111-9C3C-118F6E6DB370</t>
  </si>
  <si>
    <t>Axis office</t>
  </si>
  <si>
    <t>204976179/44195/1.2.1./1</t>
  </si>
  <si>
    <t>788E0111-02A0-4084-922B-9B4B18D3B711</t>
  </si>
  <si>
    <t>Axis office | 1.2.1. (+) შემოსავალი MEP დანადგარების რეალიზაციიდან | თბილი სახლი (ს.კ. 204976179) - შპს</t>
  </si>
  <si>
    <t>Jemali house Elevator</t>
  </si>
  <si>
    <t>1630 724 1</t>
  </si>
  <si>
    <t>61001000802/44075/1.1.1./1</t>
  </si>
  <si>
    <t>78DA1CFE-30D2-400B-93E4-D6C878C932C8</t>
  </si>
  <si>
    <t>Jemali house Elevator | 1.1.1. (+) შემოსავალი ლიფტების რეალიზაციიდან | ჯემალ ინაიშვილი (ს.კ. 61001000802) - ფიზ. პირი</t>
  </si>
  <si>
    <t>204976179/44173/1.1.3./1</t>
  </si>
  <si>
    <t>A772FB72-306F-40C9-B55C-7AE7407E466C</t>
  </si>
  <si>
    <t>Galleria Tbilisi | 1.1.3. (+) შემოსავალი ლიფტების სერვისიდან - არაგეგმიური | თბილი სახლი (ს.კ. 204976179) - შპს</t>
  </si>
  <si>
    <t>თინათინ ასათიანი (ს.კ. 01009008545) - ფიზ. პირი</t>
  </si>
  <si>
    <t>Asatiani - Kvariati</t>
  </si>
  <si>
    <t>01009008545/44239/1.2.1./1</t>
  </si>
  <si>
    <t>90F593D7-5C95-4BDB-84A7-8BBD126DF038</t>
  </si>
  <si>
    <t>Asatiani - Kvariati | 1.2.1. (+) შემოსავალი MEP დანადგარების რეალიზაციიდან | თინათინ ასათიანი (ს.კ. 01009008545) - ფიზ. პირი</t>
  </si>
  <si>
    <t>92C87C66-6CBF-4FCE-BD5B-BD20FDB791BF</t>
  </si>
  <si>
    <t>Mitsubishi Compressor</t>
  </si>
  <si>
    <t>204976179/44236/1.2.1./1</t>
  </si>
  <si>
    <t>CB33EDC0-148D-4378-97A5-6633BF7E40FF</t>
  </si>
  <si>
    <t>Mitsubishi Compressor | 1.2.1. (+) შემოსავალი MEP დანადგარების რეალიზაციიდან | თბილი სახლი (ს.კ. 204976179) - შპს</t>
  </si>
  <si>
    <t xml:space="preserve">Galleria Elevator Spare Parts </t>
  </si>
  <si>
    <t>204558497/44068/1.1.3./1</t>
  </si>
  <si>
    <t>43BD641D-3C9F-40D5-9E8C-49D404A896DA</t>
  </si>
  <si>
    <t>Galleria Elevator Spare Parts  | 1.1.3. (+) შემოსავალი ლიფტების სერვისიდან - არაგეგმიური | გალერია თბილისი (ს.კ. 204558497) - შპს</t>
  </si>
  <si>
    <t xml:space="preserve">Galleria Escalator Spare Part </t>
  </si>
  <si>
    <t>204558497/44243/1.1.3./1</t>
  </si>
  <si>
    <t>10C38DC7-E96A-4B59-AEDE-84EBBAF6195E</t>
  </si>
  <si>
    <t>Galleria Escalator Spare Part  | 1.1.3. (+) შემოსავალი ლიფტების სერვისიდან - არაგეგმიური | გალერია თბილისი (ს.კ. 204558497) - შპს</t>
  </si>
  <si>
    <t>ბკ ქონსთრაქშენი (ს.კ. 404537809) - შპს</t>
  </si>
  <si>
    <t>Archi Isani 2</t>
  </si>
  <si>
    <t>1 6 30 1538 2</t>
  </si>
  <si>
    <t>404537809/44165/1.1.1./1</t>
  </si>
  <si>
    <t>ADB80FD6-75D2-4715-BE23-7F79E37F6729</t>
  </si>
  <si>
    <t>Archi Isani 2 | 1.1.1. (+) შემოსავალი ლიფტების რეალიზაციიდან | ბკ ქონსთრაქშენი (ს.კ. 404537809) - შპს</t>
  </si>
  <si>
    <t>E3AEC4BA-46A6-4271-BBEC-0FFA64B013BE</t>
  </si>
  <si>
    <t>რუსთავი მოლი (ს.კ. 405271450) - შპს</t>
  </si>
  <si>
    <t>Rustavi Moll and Poti</t>
  </si>
  <si>
    <t>1 6 30 1555</t>
  </si>
  <si>
    <t>405271450/44185/1.1.1./1</t>
  </si>
  <si>
    <t>AD817A46-E3D6-48A4-9448-7FD84B6A1869</t>
  </si>
  <si>
    <t>Rustavi Moll and Poti | 1.1.1. (+) შემოსავალი ლიფტების რეალიზაციიდან | რუსთავი მოლი (ს.კ. 405271450) - შპს</t>
  </si>
  <si>
    <t>2CAC0320-27CD-4D39-A35D-9E45F2248ED4</t>
  </si>
  <si>
    <t>ზუგდიდი პალასი (ს.კ. 404583492) - შპს</t>
  </si>
  <si>
    <t>Zugdidi</t>
  </si>
  <si>
    <t>1 6 30 1554</t>
  </si>
  <si>
    <t>404583492/44185/1.1.1./1</t>
  </si>
  <si>
    <t>110B99BC-95C3-4ADE-8956-292EF046889B</t>
  </si>
  <si>
    <t>Zugdidi | 1.1.1. (+) შემოსავალი ლიფტების რეალიზაციიდან | ზუგდიდი პალასი (ს.კ. 404583492) - შპს</t>
  </si>
  <si>
    <t>2173AA5E-10F7-4394-B9F6-482BD48BD919</t>
  </si>
  <si>
    <t>Digomi elevators</t>
  </si>
  <si>
    <t>1 6 30 4 2</t>
  </si>
  <si>
    <t>204976179/44166/1.1.1./1</t>
  </si>
  <si>
    <t>332C83A8-D0E9-486D-AFAE-FDC74DF9119E</t>
  </si>
  <si>
    <t>Digomi elevators | 1.1.1. (+) შემოსავალი ლიფტების რეალიზაციიდან | თბილი სახლი (ს.კ. 204976179) - შპს</t>
  </si>
  <si>
    <t>VRF Sensor &amp; Fan motor</t>
  </si>
  <si>
    <t>205129653/44244/1.2.1./1</t>
  </si>
  <si>
    <t>AB99535B-7282-4C49-99AD-B7B5C4BFC7B2</t>
  </si>
  <si>
    <t>VRF Sensor &amp; Fan motor | 1.2.1. (+) შემოსავალი MEP დანადგარების რეალიზაციიდან | თბილისი ცენტრალი (ს.კ. 205129653) - სს</t>
  </si>
  <si>
    <t>Living Container</t>
  </si>
  <si>
    <t>1.3.1. (+) სხვადასხვა ინვენტარის რეალიზაცია</t>
  </si>
  <si>
    <t>402121887/44245/1.3.1./1</t>
  </si>
  <si>
    <t>AA3BF3FC-6268-4E8F-BEC3-0779A283897E</t>
  </si>
  <si>
    <t>Living Container | 1.3.1. (+) სხვადასხვა ინვენტარის რეალიზაცია | მეპერსი (ს.კ. 402121887) - შპს</t>
  </si>
  <si>
    <t>68627C8C-95F9-4383-9A95-1923038BB695</t>
  </si>
  <si>
    <t>ელიტ ელექტრონიქსი (ს.კ. 202268928) - შპს</t>
  </si>
  <si>
    <t>MHI Split</t>
  </si>
  <si>
    <t>202268928/43922/1.2.1./1</t>
  </si>
  <si>
    <t>4BBB6753-0B4E-4F5B-BB68-E06FF36148A2</t>
  </si>
  <si>
    <t>MHI Split | 1.2.1. (+) შემოსავალი MEP დანადგარების რეალიზაციიდან | ელიტ ელექტრონიქსი (ს.კ. 202268928) - შპს</t>
  </si>
  <si>
    <t>7920BD15-7996-44AE-B75F-5F4726C33E9A</t>
  </si>
  <si>
    <t>ოპტიმა (ს.კ. 405160819) - შპს</t>
  </si>
  <si>
    <t>Sveti</t>
  </si>
  <si>
    <t>405160819/44124/1.1.1./1</t>
  </si>
  <si>
    <t>6D18EA0C-07C4-4974-90C9-67B1BC0AB3B7</t>
  </si>
  <si>
    <t>Sveti | 1.1.1. (+) შემოსავალი ლიფტების რეალიზაციიდან | ოპტიმა (ს.კ. 405160819) - შპს</t>
  </si>
  <si>
    <t>8F8E8A11-9B71-4C85-B91E-A9EC404CBC96</t>
  </si>
  <si>
    <t>203842333/44251/1.1.3./1</t>
  </si>
  <si>
    <t>DA66F037-6E74-4365-89EC-71C75E6A827F</t>
  </si>
  <si>
    <t>Moxy Zaabruken Hotel 1 | 1.1.3. (+) შემოსავალი ლიფტების სერვისიდან - არაგეგმიური | ჯი-ემ-თი სასტუმროები (ს.კ. 203842333) - შპს</t>
  </si>
  <si>
    <t>Moxy Zaabruken Hotel 2</t>
  </si>
  <si>
    <t>203842333/44252/1.1.3./1</t>
  </si>
  <si>
    <t>9872B8EF-9C0D-4988-B318-D5961B54D631</t>
  </si>
  <si>
    <t>Moxy Zaabruken Hotel 2 | 1.1.3. (+) შემოსავალი ლიფტების სერვისიდან - არაგეგმიური | ჯი-ემ-თი სასტუმროები (ს.კ. 203842333) - შპს</t>
  </si>
  <si>
    <t>დავით დავითაშვილი (ს.კ. 24001002261) - ფიზ. პირი</t>
  </si>
  <si>
    <t>1 6 30 1573</t>
  </si>
  <si>
    <t>24001002261/44252/1.2.1./1</t>
  </si>
  <si>
    <t>0DF15D30-571F-43AD-B36A-19DC2909B6D3</t>
  </si>
  <si>
    <t>Mitsubishi Split Conditioners | 1.2.1. (+) შემოსავალი MEP დანადგარების რეალიზაციიდან | დავით დავითაშვილი (ს.კ. 24001002261) - ფიზ. პირი</t>
  </si>
  <si>
    <t>CB2DE391-A27A-4189-AA88-867A0711DE44</t>
  </si>
  <si>
    <t>Zara Brush</t>
  </si>
  <si>
    <t>404404774/44258/1.1.3./1</t>
  </si>
  <si>
    <t>2C44B5D3-D4BB-4666-8EB0-1B61108ABEF7</t>
  </si>
  <si>
    <t>Zara Brush | 1.1.3. (+) შემოსავალი ლიფტების სერვისიდან - არაგეგმიური | Spanish Retail Georgia (ს.კ. 404404774) - შპს</t>
  </si>
  <si>
    <t>F914EFFA-DF0F-4FE1-BC99-203DBBE71CB4</t>
  </si>
  <si>
    <t>Zara City Mall | 1.1.3. (+) შემოსავალი ლიფტების სერვისიდან - არაგეგმიური | Spanish Retail Georgia (ს.კ. 404404774) - შპს</t>
  </si>
  <si>
    <t>405171996/44258/1.1.3./1</t>
  </si>
  <si>
    <t>902CD182-EFD6-4535-879A-2D22B2BBAB54</t>
  </si>
  <si>
    <t>IBIS Perovi | 1.1.3. (+) შემოსავალი ლიფტების სერვისიდან - არაგეგმიური | ბეტა ჯგუფი (ს.კ. 405171996) - შპს</t>
  </si>
  <si>
    <t>445420875/44249/1.1.3./1</t>
  </si>
  <si>
    <t>8C71BC64-77CD-48AE-A719-3B4155A180C5</t>
  </si>
  <si>
    <t>DAR TOWER | 1.1.3. (+) შემოსავალი ლიფტების სერვისიდან - არაგეგმიური | Dar Building (ს.კ. 445420875) - შპს</t>
  </si>
  <si>
    <t>405133822/44249/1.1.3./1</t>
  </si>
  <si>
    <t>5BA4654C-95A6-41A4-ACF8-2E9CF225D016</t>
  </si>
  <si>
    <t>UNIX Ipolit Ivanov | 1.1.3. (+) შემოსავალი ლიფტების სერვისიდან - არაგეგმიური | იუნიქს ქონსთრაქშენ კომპანი (ს.კ. 405133822) - შპს</t>
  </si>
  <si>
    <t>445468798/44234/1.1.3./1</t>
  </si>
  <si>
    <t>D64B1AC6-1FE9-4DB9-B819-CF76F184770C</t>
  </si>
  <si>
    <t>TWIN TOWER | 1.1.3. (+) შემოსავალი ლიფტების სერვისიდან - არაგეგმიური | ორბი ჯგუფი ბათუმი (ს.კ. 445468798) - შპს</t>
  </si>
  <si>
    <t>245621849/44234/1.1.3./1</t>
  </si>
  <si>
    <t>4EC23D40-5EE5-458C-B5BC-525DD6FC2BA9</t>
  </si>
  <si>
    <t>Beach Tower | 1.1.3. (+) შემოსავალი ლიფტების სერვისიდან - არაგეგმიური | ორბი ჯგუფი (ს.კ. 245621849) - შპს</t>
  </si>
  <si>
    <t>გიორგი გუნაშვილი (ს.კ. 01005042868) - ფიზ. პირი</t>
  </si>
  <si>
    <t>1 6 30 1271</t>
  </si>
  <si>
    <t>405021925/43768/1.1.1./1</t>
  </si>
  <si>
    <t>FD53DEC2-1DDE-4467-9E7C-82320A263903</t>
  </si>
  <si>
    <t>Aparthotel Vake | 1.1.1. (+) შემოსავალი ლიფტების რეალიზაციიდან | კანალესა (ს.კ. 405021925) - შპს</t>
  </si>
  <si>
    <t>2FF3A4BD-5868-4142-BDF6-BC3816DFD386</t>
  </si>
  <si>
    <t>Archi Isani</t>
  </si>
  <si>
    <t>ნიკოლოზ ოთარაშვილი (ს.კ. 01026015799) - ფიზ. პირი</t>
  </si>
  <si>
    <t>1 6 30 1132 4</t>
  </si>
  <si>
    <t>245416401/44077/1.1.1./1</t>
  </si>
  <si>
    <t>83C02AB9-664A-431A-B644-AC026D7A5846</t>
  </si>
  <si>
    <t>Archi Isani | 1.1.1. (+) შემოსავალი ლიფტების რეალიზაციიდან | ანაგი (ს.კ. 245416401) - შპს</t>
  </si>
  <si>
    <t>86332895-C3C3-4313-AA1C-0D1B06C2386C</t>
  </si>
  <si>
    <t>ნინო ბერიძე (ს.კ. 61001080225) - ფიზ. პირი</t>
  </si>
  <si>
    <t>61001008820/43824/1.1.1./1</t>
  </si>
  <si>
    <t>E6202743-B0E9-49F5-9608-2EC295FA7172</t>
  </si>
  <si>
    <t>Kobuleti Garden Inn | 1.1.1. (+) შემოსავალი ლიფტების რეალიზაციიდან | იოსებ გუნთაიშვილი (ს.კ. 61001008820) - ფიზ. პირი</t>
  </si>
  <si>
    <t>AD901E05-ADD9-42DE-89BA-4D9A21C89BCF</t>
  </si>
  <si>
    <t>ბალტიის ბიზნეს განვითარება (ს.კ. 400098078 ) - შპს</t>
  </si>
  <si>
    <t>Thermostats and joints</t>
  </si>
  <si>
    <t>400098078 /44283/1.2.1./1</t>
  </si>
  <si>
    <t>E8D5552E-313D-4FCF-9D30-B98B197B6ACC</t>
  </si>
  <si>
    <t>Thermostats and joints | 1.2.1. (+) შემოსავალი MEP დანადგარების რეალიზაციიდან | ბალტიის ბიზნეს განვითარება (ს.კ. 400098078 ) - შპს</t>
  </si>
  <si>
    <t>683C3DF5-4CB1-4571-B08C-7154A4496822</t>
  </si>
  <si>
    <t>Mitsubishi Conditioner</t>
  </si>
  <si>
    <t>405134448/44278/1.2.1./1</t>
  </si>
  <si>
    <t>C586AC0E-3B96-40DA-ABB7-0B19B8064172</t>
  </si>
  <si>
    <t>Mitsubishi Conditioner | 1.2.1. (+) შემოსავალი MEP დანადგარების რეალიზაციიდან | თერმორუმი (ს.კ. 405134448) - შპს</t>
  </si>
  <si>
    <t>ირინა ბაგრატიონი (ს.კ. 62001000738) - ფიზ. პირი</t>
  </si>
  <si>
    <t>Mitsubishi Split Condicioner</t>
  </si>
  <si>
    <t>1 6 30 1149</t>
  </si>
  <si>
    <t>62001000738/44284/1.2.1./1</t>
  </si>
  <si>
    <t>54304F4D-DFE3-4BF3-8802-5BEFB5793B76</t>
  </si>
  <si>
    <t>Mitsubishi Split Condicioner | 1.2.1. (+) შემოსავალი MEP დანადგარების რეალიზაციიდან | ირინა ბაგრატიონი (ს.კ. 62001000738) - ფიზ. პირი</t>
  </si>
  <si>
    <t>95F45B38-3701-4DA4-88FE-C53F96F7223C</t>
  </si>
  <si>
    <t>ემ-ეს-სი ჯორჯია (ს.კ. 205276681) - შპს</t>
  </si>
  <si>
    <t>Rent-Tamarashvili</t>
  </si>
  <si>
    <t>1.3.2. (+) იჯარიდან მიღებული შემოსავალი</t>
  </si>
  <si>
    <t>1_6_44</t>
  </si>
  <si>
    <t>205276681/44278/1.3.2./1</t>
  </si>
  <si>
    <t>245040BF-9857-4BA8-A6E0-CC4D6BF1C0DA</t>
  </si>
  <si>
    <t>Rent-Tamarashvili | 1.3.2. (+) იჯარიდან მიღებული შემოსავალი | ემ-ეს-სი ჯორჯია (ს.კ. 205276681) - შპს</t>
  </si>
  <si>
    <t>DB8A7407-60A7-468B-97C8-72D31D12D117</t>
  </si>
  <si>
    <t>EB478E19-2E14-4D4C-900E-B9CF3561E540</t>
  </si>
  <si>
    <t>M2 conditioner instalatio</t>
  </si>
  <si>
    <t>1 6 30 1538</t>
  </si>
  <si>
    <t>404537809/44179/1.2.3./1</t>
  </si>
  <si>
    <t>0DC6CA59-634F-462E-989C-FBD7AB27545C</t>
  </si>
  <si>
    <t>M2 conditioner instalatio | 1.2.3. (+) შემოსავალი MEP დანადგარების სერვისიდან - არაგეგმიური | ბკ ქონსთრაქშენი (ს.კ. 404537809) - შპს</t>
  </si>
  <si>
    <t>Redisson Red VRV</t>
  </si>
  <si>
    <t>400098078 /44291/1.2.1./1</t>
  </si>
  <si>
    <t>8C35AE1C-A6AB-42B6-9EE6-4FA33CE10E1E</t>
  </si>
  <si>
    <t>Redisson Red VRV | 1.2.1. (+) შემოსავალი MEP დანადგარების რეალიზაციიდან | ბალტიის ბიზნეს განვითარება (ს.კ. 400098078 ) - შპს</t>
  </si>
  <si>
    <t>CENTER OF ELECTRICAT GOODS (ს.კ. ICE001696) - უცხოური საწარმო</t>
  </si>
  <si>
    <t>SAUDI</t>
  </si>
  <si>
    <t>ICE001696/44280/1.2.1./1</t>
  </si>
  <si>
    <t>B2A08978-D922-469E-8E22-8010DCEBC223</t>
  </si>
  <si>
    <t>SAUDI | 1.2.1. (+) შემოსავალი MEP დანადგარების რეალიზაციიდან | CENTER OF ELECTRICAT GOODS (ს.კ. ICE001696) - უცხოური საწარმო</t>
  </si>
  <si>
    <t>4AB3C0A1-63AE-4FCF-90FB-089A7E8985D1</t>
  </si>
  <si>
    <t xml:space="preserve">Abashidze 70 </t>
  </si>
  <si>
    <t>ICE001082/44298/1.1.3./1</t>
  </si>
  <si>
    <t>CD0D21E5-A18E-4593-A72D-8C014E2BE149</t>
  </si>
  <si>
    <t>Abashidze 70  | 1.1.3. (+) შემოსავალი ლიფტების სერვისიდან - არაგეგმიური | ი. აბაშიძე 70 (ს.კ. ICE001082) - ამხანაგობა</t>
  </si>
  <si>
    <t>Ford Center</t>
  </si>
  <si>
    <t>204976179/44280/1.2.1./1</t>
  </si>
  <si>
    <t>B8DF279B-A563-4A9E-A572-71092D60DFDC</t>
  </si>
  <si>
    <t>Ford Center | 1.2.1. (+) შემოსავალი MEP დანადგარების რეალიზაციიდან | თბილი სახლი (ს.კ. 204976179) - შპს</t>
  </si>
  <si>
    <t>Hotel Radius</t>
  </si>
  <si>
    <t>204976179/44301/1.2.1./1</t>
  </si>
  <si>
    <t>9BC9B19C-886C-4EF5-A43C-8D1A0AB616F3</t>
  </si>
  <si>
    <t>Hotel Radius | 1.2.1. (+) შემოსავალი MEP დანადგარების რეალიზაციიდან | თბილი სახლი (ს.კ. 204976179) - შპს</t>
  </si>
  <si>
    <t>სტუდიო  (ს.კ. 405429987 ) - შპს</t>
  </si>
  <si>
    <t xml:space="preserve">SOLOLAKI VRF </t>
  </si>
  <si>
    <t>1 6 30 1606</t>
  </si>
  <si>
    <t>405429987 /44315/1.2.1./1</t>
  </si>
  <si>
    <t>1FBCCD92-F5A8-4225-91DD-DCD8DF379BAE</t>
  </si>
  <si>
    <t>SOLOLAKI VRF  | 1.2.1. (+) შემოსავალი MEP დანადგარების რეალიზაციიდან | სტუდიო  (ს.კ. 405429987 ) - შპს</t>
  </si>
  <si>
    <t>D15F8998-6E45-4D86-B01A-2F0FFDF61114</t>
  </si>
  <si>
    <t>გიორგი მარგებაძე (ს.კ. 01025019447) - ფიზ. პირი</t>
  </si>
  <si>
    <t>2 Units Mitsubishi Split Conditioner</t>
  </si>
  <si>
    <t>01025019447/44329/1.2.1./1</t>
  </si>
  <si>
    <t>5699445E-FB58-4ECB-BE76-17B8232DBF8B</t>
  </si>
  <si>
    <t>2 Units Mitsubishi Split Conditioner | 1.2.1. (+) შემოსავალი MEP დანადგარების რეალიზაციიდან | გიორგი მარგებაძე (ს.კ. 01025019447) - ფიზ. პირი</t>
  </si>
  <si>
    <t>B437C7DF-108A-4B75-B00F-01A3AA261703</t>
  </si>
  <si>
    <t>თენგიზ სარჯველაძე (ს.კ. 61001018248) - ფიზ. პირი</t>
  </si>
  <si>
    <t>SARJVELADZE - VRF</t>
  </si>
  <si>
    <t>1 6 30 1614</t>
  </si>
  <si>
    <t>61001018248/44208/1.2.1./1</t>
  </si>
  <si>
    <t>CCC27BA8-7504-4433-935B-C84F0425246D</t>
  </si>
  <si>
    <t>SARJVELADZE - VRF | 1.2.1. (+) შემოსავალი MEP დანადგარების რეალიზაციიდან | თენგიზ სარჯველაძე (ს.კ. 61001018248) - ფიზ. პირი</t>
  </si>
  <si>
    <t>8FB0EC97-AA52-41D1-8516-B3C255D651F7</t>
  </si>
  <si>
    <t>პალადა (ს.კ. 205180472) - შპს</t>
  </si>
  <si>
    <t>Samkharauli SOS</t>
  </si>
  <si>
    <t>1 6 30 504</t>
  </si>
  <si>
    <t>205180472/44287/1.2.1./1</t>
  </si>
  <si>
    <t>4B566549-74E9-41C8-8391-72C2AD451C7B</t>
  </si>
  <si>
    <t>Samkharauli SOS | 1.2.1. (+) შემოსავალი MEP დანადგარების რეალიზაციიდან | პალადა (ს.კ. 205180472) - შპს</t>
  </si>
  <si>
    <t>31D45C00-CEC1-4C42-8E96-8127B22496EB</t>
  </si>
  <si>
    <t>ATU Conditioners</t>
  </si>
  <si>
    <t>239402491/44336/1.2.1./1</t>
  </si>
  <si>
    <t>295BB4D6-362D-4F8D-8F3C-5C31FE2D84D5</t>
  </si>
  <si>
    <t>ATU Conditioners | 1.2.1. (+) შემოსავალი MEP დანადგარების რეალიზაციიდან | ასოციაცია ატუ (ს.კ. 239402491) - არასამეწარმეო (არაკომერციული) იურიდიული პირი</t>
  </si>
  <si>
    <t>HIEX</t>
  </si>
  <si>
    <t>402121887/44256/1.2.1./1</t>
  </si>
  <si>
    <t>B6E0A204-58B5-494C-916D-CF90B1FC158B</t>
  </si>
  <si>
    <t>HIEX | 1.2.1. (+) შემოსავალი MEP დანადგარების რეალიზაციიდან | მეპერსი (ს.კ. 402121887) - შპს</t>
  </si>
  <si>
    <t>ბეთბი (ს.კ. 204882190 ) - შპს</t>
  </si>
  <si>
    <t xml:space="preserve">Germany Embassy </t>
  </si>
  <si>
    <t>1 6 30 1635</t>
  </si>
  <si>
    <t>204882190 /44336/1.2.1./1</t>
  </si>
  <si>
    <t>67037D5C-5BCA-4FC1-A900-E85128C5635F</t>
  </si>
  <si>
    <t>Germany Embassy  | 1.2.1. (+) შემოსავალი MEP დანადგარების რეალიზაციიდან | ბეთბი (ს.კ. 204882190 ) - შპს</t>
  </si>
  <si>
    <t>EB68A48E-56D3-4801-8842-5ADFBBED62C4</t>
  </si>
  <si>
    <t>204882190 /44341/1.2.2./1</t>
  </si>
  <si>
    <t>B9FD8DFD-ACCC-4897-A244-E0780733CEA0</t>
  </si>
  <si>
    <t>Germany Embassy  | 1.2.2. (+) შემოსავალი MEP დანადგარების სერვისიდან - გეგმიური | ბეთბი (ს.კ. 204882190 ) - შპს</t>
  </si>
  <si>
    <t>204882190 /44336/1.1.3./1</t>
  </si>
  <si>
    <t>D953DB46-2A80-436C-958A-A42BC2C32408</t>
  </si>
  <si>
    <t>Germany Embassy  | 1.2.3. (+) შემოსავალი MEP დანადგარების სერვისიდან - არაგეგმიური | ბეთბი (ს.კ. 204882190 ) - შპს</t>
  </si>
  <si>
    <t>თაბორი რიზორთსი (ს.კ. 405147755 ) - შპს</t>
  </si>
  <si>
    <t>Tabori Resorts</t>
  </si>
  <si>
    <t>405147755 /44333/1.2.1./1</t>
  </si>
  <si>
    <t>6DBEF53F-401E-44E0-9814-80DDDCB72384</t>
  </si>
  <si>
    <t>Tabori Resorts | 1.2.1. (+) შემოსავალი MEP დანადგარების რეალიზაციიდან | თაბორი რიზორთსი (ს.კ. 405147755 ) - შპს</t>
  </si>
  <si>
    <t>738F3469-9A4B-4388-A057-181EF691F93E</t>
  </si>
  <si>
    <t>Tbili Sakhli Digomi</t>
  </si>
  <si>
    <t>204976179/44075/1.1.1./1</t>
  </si>
  <si>
    <t>253BD701-F3DE-4528-A4AE-AD150CF28316</t>
  </si>
  <si>
    <t>Tbili Sakhli Digomi | 1.1.1. (+) შემოსავალი ლიფტების რეალიზაციიდან | თბილი სახლი (ს.კ. 204976179) - შპს</t>
  </si>
  <si>
    <t>გრიგოლ ცირეკიძე (ს.კ. 01007008822) - ფიზ. პირი</t>
  </si>
  <si>
    <t>Tsirekidze - Mitsubishi Split Conditioner</t>
  </si>
  <si>
    <t>01007008822/44349/1.2.1./1</t>
  </si>
  <si>
    <t>11037C10-1318-4614-A60F-754E1147CE9E</t>
  </si>
  <si>
    <t>Tsirekidze - Mitsubishi Split Conditioner | 1.2.1. (+) შემოსავალი MEP დანადგარების რეალიზაციიდან | გრიგოლ ცირეკიძე (ს.კ. 01007008822) - ფიზ. პირი</t>
  </si>
  <si>
    <t>EE204598-CC64-48B0-9F9F-E325686ED810</t>
  </si>
  <si>
    <t>Norwegian Embassy</t>
  </si>
  <si>
    <t>205376608/44356/1.2.1./1</t>
  </si>
  <si>
    <t>C1390D34-BF59-475B-A80E-0AE757B25D27</t>
  </si>
  <si>
    <t>Norwegian Embassy | 1.2.1. (+) შემოსავალი MEP დანადგარების რეალიზაციიდან | ნორვეგიის სამეფოს საელჩო ქ. თბილისში (ს.კ. 205376608) - დიპლომატი</t>
  </si>
  <si>
    <t>კრწანისი როიალ რეზიდენსი (ს.კ. 404569837) - შპს</t>
  </si>
  <si>
    <t>Krtsanisi Residence</t>
  </si>
  <si>
    <t>404569837/44363/1.2.1./1</t>
  </si>
  <si>
    <t>F54A67D3-6554-4E60-A206-69BC6652A169</t>
  </si>
  <si>
    <t>Krtsanisi Residence | 1.2.1. (+) შემოსავალი MEP დანადგარების რეალიზაციიდან | კრწანისი როიალ რეზიდენსი (ს.კ. 404569837) - შპს</t>
  </si>
  <si>
    <t>08D1C5F5-CD74-4351-833E-A1B294127921</t>
  </si>
  <si>
    <t>გრინ ლაიფ (ს.კ. 404477730) - შპს</t>
  </si>
  <si>
    <t>Okrokana</t>
  </si>
  <si>
    <t>1 6 30 1580</t>
  </si>
  <si>
    <t>404477730/44253/1.1.1./1</t>
  </si>
  <si>
    <t>F9565BE8-F96B-4443-9495-DF9FF7F2DE6D</t>
  </si>
  <si>
    <t>Okrokana | 1.1.1. (+) შემოსავალი ლიფტების რეალიზაციიდან | გრინ ლაიფ (ს.კ. 404477730) - შპს</t>
  </si>
  <si>
    <t>7885E9EF-3269-491C-91E3-5E98A71863CD</t>
  </si>
  <si>
    <t>Okrokana  MEP</t>
  </si>
  <si>
    <t>404477730/44309/1.2.1./1</t>
  </si>
  <si>
    <t>17AA883E-0952-423F-92AB-AB644127C587</t>
  </si>
  <si>
    <t>Okrokana  MEP | 1.2.1. (+) შემოსავალი MEP დანადგარების რეალიზაციიდან | გრინ ლაიფ (ს.კ. 404477730) - შპს</t>
  </si>
  <si>
    <t>Krtsanisi Residence 1</t>
  </si>
  <si>
    <t>404569837/44368/1.2.1./1</t>
  </si>
  <si>
    <t>B2C29FA7-FAAB-409D-9C60-153629AF1011</t>
  </si>
  <si>
    <t>Krtsanisi Residence 1 | 1.2.1. (+) შემოსავალი MEP დანადგარების რეალიზაციიდან | კრწანისი როიალ რეზიდენსი (ს.კ. 404569837) - შპს</t>
  </si>
  <si>
    <t>ბექა ლეჟავა (ს.კ. 01009014629) - ფიზ. პირი</t>
  </si>
  <si>
    <t>Lezhava - Mitsubishi Split Conditioner</t>
  </si>
  <si>
    <t>1 6 30 1652</t>
  </si>
  <si>
    <t>01009014629/44369/1.2.1./1</t>
  </si>
  <si>
    <t>2C9BC2B2-3114-464D-BFAB-15A69088E204</t>
  </si>
  <si>
    <t>Lezhava - Mitsubishi Split Conditioner | 1.2.1. (+) შემოსავალი MEP დანადგარების რეალიზაციიდან | ბექა ლეჟავა (ს.კ. 01009014629) - ფიზ. პირი</t>
  </si>
  <si>
    <t>415016FC-2E12-41BF-A2FC-AA3E7475751A</t>
  </si>
  <si>
    <t>გიორგი გაგნიძე (ს.კ. 01027023991) - ფიზ. პირი</t>
  </si>
  <si>
    <t>Gagnidze - Mitsubishi Split Conditioner</t>
  </si>
  <si>
    <t>თამარი დვალიშვილი (ს.კ. 01019021033) - ფიზ. პირი</t>
  </si>
  <si>
    <t>1 6 30 1651</t>
  </si>
  <si>
    <t>01027023991/44369/1.2.1./1</t>
  </si>
  <si>
    <t>5095A22C-341E-47B7-883D-118C3212BEB6</t>
  </si>
  <si>
    <t>Gagnidze - Mitsubishi Split Conditioner | 1.2.1. (+) შემოსავალი MEP დანადგარების რეალიზაციიდან | გიორგი გაგნიძე (ს.კ. 01027023991) - ფიზ. პირი</t>
  </si>
  <si>
    <t>EC7AFECD-A5A6-4AA2-8997-05ADC012B4EF</t>
  </si>
  <si>
    <t>B2931E48-3277-49C0-B41B-D5F9C4CA15EE</t>
  </si>
  <si>
    <t>Gagnidze - Mitsubishi Split Conditioner Instalation</t>
  </si>
  <si>
    <t>0BFA7858-C205-453E-8FB3-CFD81D7F14AE</t>
  </si>
  <si>
    <t>Gagnidze - Mitsubishi Split Conditioner Instalation | 1.2.1. (+) შემოსავალი MEP დანადგარების რეალიზაციიდან | გიორგი გაგნიძე (ს.კ. 01027023991) - ფიზ. პირი</t>
  </si>
  <si>
    <t>Hilton Batumi VRF Service</t>
  </si>
  <si>
    <t>245555554/44368/1.2.2./1</t>
  </si>
  <si>
    <t>BFF752D7-1527-48D2-A677-69843D831669</t>
  </si>
  <si>
    <t>Hilton Batumi VRF Service | 1.2.2. (+) შემოსავალი MEP დანადგარების სერვისიდან - გეგმიური | ტურინვესტი (ს.კ. 245555554) - შპს</t>
  </si>
  <si>
    <t>სოკარ ჯორჯია პეტროლეუმი (ს.კ. 202352514) - შპს</t>
  </si>
  <si>
    <t>10 Units Mitsubishi Split Conditioner</t>
  </si>
  <si>
    <t>202352514/44372/1.2.1./1</t>
  </si>
  <si>
    <t>25DE0BBA-BB92-433B-9EF1-8A99D709779B</t>
  </si>
  <si>
    <t>10 Units Mitsubishi Split Conditioner | 1.2.1. (+) შემოსავალი MEP დანადგარების რეალიზაციიდან | სოკარ ჯორჯია პეტროლეუმი (ს.კ. 202352514) - შპს</t>
  </si>
  <si>
    <t>8EAF0D8D-92BE-4709-B21A-592D4F372042</t>
  </si>
  <si>
    <t>ანა თალაკვაძე (ს.კ. 01001003747) - ფიზ. პირი</t>
  </si>
  <si>
    <t>Talakvadze - Mitsubishi Split Conditioner</t>
  </si>
  <si>
    <t>01001003747/44375/1.2.1./1</t>
  </si>
  <si>
    <t>F1BF095E-8231-4CE2-896C-292CD8300A73</t>
  </si>
  <si>
    <t>Talakvadze - Mitsubishi Split Conditioner | 1.2.1. (+) შემოსავალი MEP დანადგარების რეალიზაციიდან | ანა თალაკვაძე (ს.კ. 01001003747) - ფიზ. პირი</t>
  </si>
  <si>
    <t>0DD68E80-3361-4FB3-9275-31E828438ADC</t>
  </si>
  <si>
    <t>რუსუდან ბრაგვაძე (ს.კ. 01024067897) - ფიზ. პირი</t>
  </si>
  <si>
    <t>Bragvadze - Mitsubishi Split Conditioner</t>
  </si>
  <si>
    <t>01024067897/44378/1.2.1./1</t>
  </si>
  <si>
    <t>B4CE2B7E-624E-4F3B-9471-0B062C85E8F8</t>
  </si>
  <si>
    <t>Bragvadze - Mitsubishi Split Conditioner | 1.2.1. (+) შემოსავალი MEP დანადგარების რეალიზაციიდან | რუსუდან ბრაგვაძე (ს.კ. 01024067897) - ფიზ. პირი</t>
  </si>
  <si>
    <t>27BE7E23-FFE5-4CD0-B081-F330DBB2EDBF</t>
  </si>
  <si>
    <t>ონისე იოსელიანი (ს.კ. 01009020969) - ფიზ. პირი</t>
  </si>
  <si>
    <t>Ioseliani - Mitsubishi Split Conditioner</t>
  </si>
  <si>
    <t>01009020969/44378/1.2.1./1</t>
  </si>
  <si>
    <t>F3E5ACC9-4FD1-4256-BED3-5A4B95F48BD1</t>
  </si>
  <si>
    <t>Ioseliani - Mitsubishi Split Conditioner | 1.2.1. (+) შემოსავალი MEP დანადგარების რეალიზაციიდან | ონისე იოსელიანი (ს.კ. 01009020969) - ფიზ. პირი</t>
  </si>
  <si>
    <t>150EE4A2-4E30-43C4-B94F-3DA3A283FD5B</t>
  </si>
  <si>
    <t>დავით მაჭავარიანი (ს.კ. 01031006443) - ფიზ. პირი</t>
  </si>
  <si>
    <t>Machavariani - 3 Units Mitsubishi Split Conditioner</t>
  </si>
  <si>
    <t>01031006443/44379/1.2.1./1</t>
  </si>
  <si>
    <t>FE67AE9A-A8DD-4AC1-9804-5B2EB570F00B</t>
  </si>
  <si>
    <t>Machavariani - 3 Units Mitsubishi Split Conditioner | 1.2.1. (+) შემოსავალი MEP დანადგარების რეალიზაციიდან | დავით მაჭავარიანი (ს.კ. 01031006443) - ფიზ. პირი</t>
  </si>
  <si>
    <t>8832AAFF-F2AE-44E8-876A-E1B1B305B48C</t>
  </si>
  <si>
    <t>Green life - 2 Units Mitsubishi Split Conditioner</t>
  </si>
  <si>
    <t>1 6 30 1580 1</t>
  </si>
  <si>
    <t>404477730/44379/1.2.1./1</t>
  </si>
  <si>
    <t>2BA776E5-9B1A-453D-9B11-10AA2601C462</t>
  </si>
  <si>
    <t>Green life - 2 Units Mitsubishi Split Conditioner | 1.2.1. (+) შემოსავალი MEP დანადგარების რეალიზაციიდან | გრინ ლაიფ (ს.კ. 404477730) - შპს</t>
  </si>
  <si>
    <t>ირაკლი თავართქილაძე (ს.კ. 61001014004) - ფიზ. პირი</t>
  </si>
  <si>
    <t>Tavartkiladze - Mitsubishi Split Conditioner</t>
  </si>
  <si>
    <t>61001014004/44383/1.2.1./1</t>
  </si>
  <si>
    <t>0477E04F-A631-4E98-A274-BD38F2269178</t>
  </si>
  <si>
    <t>Tavartkiladze - Mitsubishi Split Conditioner | 1.2.1. (+) შემოსავალი MEP დანადგარების რეალიზაციიდან | ირაკლი თავართქილაძე (ს.კ. 61001014004) - ფიზ. პირი</t>
  </si>
  <si>
    <t>D4783163-8E1D-47D8-B183-54109C9F72EF</t>
  </si>
  <si>
    <t>ვენჯორჯია (ს.კ. 404885335) - შპს</t>
  </si>
  <si>
    <t>Wendys Compressors</t>
  </si>
  <si>
    <t>1 6 31 225</t>
  </si>
  <si>
    <t>404885335/44386/1.2.1./1</t>
  </si>
  <si>
    <t>1C4D425B-1862-4B65-9A50-F0827C6BBDB2</t>
  </si>
  <si>
    <t>Wendys Compressors | 1.2.1. (+) შემოსავალი MEP დანადგარების რეალიზაციიდან | ვენჯორჯია (ს.კ. 404885335) - შპს</t>
  </si>
  <si>
    <t>1B684003-1740-451A-A1EC-48E5DB8B05D7</t>
  </si>
  <si>
    <t>მაქრო ტურიზმ (ს.კ. 404492759) - შპს</t>
  </si>
  <si>
    <t>IBIS ORTACHALA MEP + VRF Washing</t>
  </si>
  <si>
    <t>404492759/44385/1.2.1./1</t>
  </si>
  <si>
    <t>388D50BC-735A-4D45-A8E5-0CCCD4A0941A</t>
  </si>
  <si>
    <t>IBIS ORTACHALA MEP + VRF Washing | 1.2.1. (+) შემოსავალი MEP დანადგარების რეალიზაციიდან | მაქრო ტურიზმ (ს.კ. 404492759) - შპს</t>
  </si>
  <si>
    <t>48FE0F65-3537-41CE-9A86-F1731BB59E25</t>
  </si>
  <si>
    <t>Tbilisi Central MHI Compressor</t>
  </si>
  <si>
    <t>1 6 30 1371</t>
  </si>
  <si>
    <t>205129653/44389/1.2.1./1</t>
  </si>
  <si>
    <t>B4D90CA1-AB04-40A7-93BE-F9B4F171032D</t>
  </si>
  <si>
    <t>Tbilisi Central MHI Compressor | 1.2.1. (+) შემოსავალი MEP დანადგარების რეალიზაციიდან | თბილისი ცენტრალი (ს.კ. 205129653) - სს</t>
  </si>
  <si>
    <t>აისბერგი 2 (ს.კ. 215127725) - შპს</t>
  </si>
  <si>
    <t>ICEBERG</t>
  </si>
  <si>
    <t>1 6 30 1599</t>
  </si>
  <si>
    <t>215127725/44317/1.1.1./1</t>
  </si>
  <si>
    <t>EE11BA1E-7E0C-45E3-BD16-704D5062A778</t>
  </si>
  <si>
    <t>ICEBERG | 1.1.1. (+) შემოსავალი ლიფტების რეალიზაციიდან | აისბერგი 2 (ს.კ. 215127725) - შპს</t>
  </si>
  <si>
    <t>94A66A38-9C06-4CF8-BD70-E15F7054355C</t>
  </si>
  <si>
    <t>ეიჩ გრუპ კონსტრაქშენ (ს.კ. 445510411) - შპს</t>
  </si>
  <si>
    <t>7th Heaven Mockup 2</t>
  </si>
  <si>
    <t>445510411/44348/1.2.1./1</t>
  </si>
  <si>
    <t>00E49759-7F95-4756-93D9-AFBBC1721877</t>
  </si>
  <si>
    <t>7th Heaven Mockup 2 | 1.2.1. (+) შემოსავალი MEP დანადგარების რეალიზაციიდან | ეიჩ გრუპ კონსტრაქშენ (ს.კ. 445510411) - შპს</t>
  </si>
  <si>
    <t>FD75B701-F0B0-4EFD-934E-9BC3480483AE</t>
  </si>
  <si>
    <t>Inverter Board and Buttons</t>
  </si>
  <si>
    <t>405133822/44329/1.1.3./1</t>
  </si>
  <si>
    <t>FD995793-412F-44A2-828A-97643944E79E</t>
  </si>
  <si>
    <t>Inverter Board and Buttons | 1.1.3. (+) შემოსავალი ლიფტების სერვისიდან - არაგეგმიური | იუნიქს ქონსთრაქშენ კომპანი (ს.კ. 405133822) - შპს</t>
  </si>
  <si>
    <t>Mziuri Office</t>
  </si>
  <si>
    <t>1 6 30 1132 5</t>
  </si>
  <si>
    <t>245416401/44392/1.1.1./1</t>
  </si>
  <si>
    <t>68E60BFC-794B-4930-8623-83A6EAEC4EEB</t>
  </si>
  <si>
    <t>Mziuri Office | 1.1.1. (+) შემოსავალი ლიფტების რეალიზაციიდან | ანაგი (ს.კ. 245416401) - შპს</t>
  </si>
  <si>
    <t>მზიური რეზორტ (ს.კ. 404462256) - შპს</t>
  </si>
  <si>
    <t>Mziuri Garden</t>
  </si>
  <si>
    <t>1630 1703 1</t>
  </si>
  <si>
    <t>404462256/44398/1.1.1./1</t>
  </si>
  <si>
    <t>72A4E017-677E-4C04-8946-3A941DA81F07</t>
  </si>
  <si>
    <t>Mziuri Garden | 1.1.1. (+) შემოსავალი ლიფტების რეალიზაციიდან | მზიური რეზორტ (ს.კ. 404462256) - შპს</t>
  </si>
  <si>
    <t>933470D5-D1F0-4CB0-8738-317256F1B307</t>
  </si>
  <si>
    <t>Tbilisi Central Conditioners system</t>
  </si>
  <si>
    <t>205129653/44413/1.2.1./1</t>
  </si>
  <si>
    <t>EB0EFE21-F26B-4E3C-A378-8C460BEC7D38</t>
  </si>
  <si>
    <t>Tbilisi Central Conditioners system | 1.2.1. (+) შემოსავალი MEP დანადგარების რეალიზაციიდან | თბილისი ცენტრალი (ს.კ. 205129653) - სს</t>
  </si>
  <si>
    <t>გრინ დეველოპმენტი (ს.კ. 204452412) - შპს</t>
  </si>
  <si>
    <t>Lisi Green</t>
  </si>
  <si>
    <t>1 6 30 1697</t>
  </si>
  <si>
    <t>204452412/44414/1.1.1./1</t>
  </si>
  <si>
    <t>05075E08-C469-4344-970E-4AF1BE573411</t>
  </si>
  <si>
    <t>Lisi Green | 1.1.1. (+) შემოსავალი ლიფტების რეალიზაციიდან | გრინ დეველოპმენტი (ს.კ. 204452412) - შპს</t>
  </si>
  <si>
    <t>25CDD3DB-B92D-4066-8363-867726289059</t>
  </si>
  <si>
    <t>ჯი თი ჯი კაპიტალი (ს.კ. 405307350) - შპს</t>
  </si>
  <si>
    <t>Disabled Platform</t>
  </si>
  <si>
    <t>1 6 30 1617</t>
  </si>
  <si>
    <t>405307350/44326/1.1.1./1</t>
  </si>
  <si>
    <t>46E338E4-B5D7-4F56-8DAF-10D23A299F44</t>
  </si>
  <si>
    <t>Disabled Platform | 1.1.1. (+) შემოსავალი ლიფტების რეალიზაციიდან | ჯი თი ჯი კაპიტალი (ს.კ. 405307350) - შპს</t>
  </si>
  <si>
    <t>1018E99A-DFDB-452F-BF44-0F3B42213AA9</t>
  </si>
  <si>
    <t>Carrier AC</t>
  </si>
  <si>
    <t>204976179/44420/1.2.1./1</t>
  </si>
  <si>
    <t>FBF5D449-C6D6-4821-99A4-5050C11AE20B</t>
  </si>
  <si>
    <t>Carrier AC | 1.2.1. (+) შემოსავალი MEP დანადგარების რეალიზაციიდან | თბილი სახლი (ს.კ. 204976179) - შპს</t>
  </si>
  <si>
    <t>Akhaltsikhe Compressor</t>
  </si>
  <si>
    <t>204976179/44230/1.2.1./1</t>
  </si>
  <si>
    <t>DD87F96F-2DDE-46CD-8140-86CA6D815A40</t>
  </si>
  <si>
    <t>Akhaltsikhe Compressor | 1.2.1. (+) შემოსავალი MEP დანადგარების რეალიზაციიდან | თბილი სახლი (ს.კ. 204976179) - შპს</t>
  </si>
  <si>
    <t>პენსილვანიის (აშშ) საგუშაგო კოშკის, ბიბლიისა და
ტრაქტატების საზოგადოების ფილიალი საქართველოში (ს.კ. 206093494) - უცხოური არასამეწარმეო იურიდიული პირის ფილიალი</t>
  </si>
  <si>
    <t>Toshiba Outdoor Unit</t>
  </si>
  <si>
    <t>206093494/44434/1.2.1./1</t>
  </si>
  <si>
    <t>6E0930C6-BD7B-47D3-8C6D-2C31634A01E6</t>
  </si>
  <si>
    <t>Toshiba Outdoor Unit | 1.2.1. (+) შემოსავალი MEP დანადგარების რეალიზაციიდან | პენსილვანიის (აშშ) საგუშაგო კოშკის, ბიბლიისა და
ტრაქტატების საზოგადოების ფილიალი საქართველოში (ს.კ. 206093494) - უცხოური არასამეწარმეო იურიდიული პირის ფილიალი</t>
  </si>
  <si>
    <t>046B5A1C-4C60-4272-A65C-20FC658BEFEC</t>
  </si>
  <si>
    <t>ეკატერინა ბერდიშევა (ს.კ. 762917460) - ფიზ. პირი</t>
  </si>
  <si>
    <t>Hilton 1703</t>
  </si>
  <si>
    <t>762917460/44424/1.2.1./1</t>
  </si>
  <si>
    <t>A0F5E8C8-F574-497B-8136-430475789711</t>
  </si>
  <si>
    <t>Hilton 1703 | 1.2.1. (+) შემოსავალი MEP დანადგარების რეალიზაციიდან | ეკატერინა ბერდიშევა (ს.კ. 762917460) - ფიზ. პირი</t>
  </si>
  <si>
    <t>4D14C355-EC7F-4B2D-A2C7-CE79B3AEAD88</t>
  </si>
  <si>
    <t>Gogotishvili kaklebi</t>
  </si>
  <si>
    <t>204976179/44427/1.2.1./1</t>
  </si>
  <si>
    <t>7F14CD1F-83C7-47D4-A33E-ED0751BF2CB8</t>
  </si>
  <si>
    <t>Gogotishvili kaklebi | 1.2.1. (+) შემოსავალი MEP დანადგარების რეალიზაციიდან | თბილი სახლი (ს.კ. 204976179) - შპს</t>
  </si>
  <si>
    <t>SIGRAM (ს.კ. ICE001752) - უცხოური საწარმო</t>
  </si>
  <si>
    <t>Armenia Project</t>
  </si>
  <si>
    <t>ICE001752/44383/1.2.1./1</t>
  </si>
  <si>
    <t>B9DA0AD3-690A-4CA3-8981-98AFCBCC6791</t>
  </si>
  <si>
    <t>Armenia Project | 1.2.1. (+) შემოსავალი MEP დანადგარების რეალიზაციიდან | SIGRAM (ს.კ. ICE001752) - უცხოური საწარმო</t>
  </si>
  <si>
    <t>719CFA1F-8A29-4D35-BF48-504F010EA546</t>
  </si>
  <si>
    <t>სუპრემე სოლუთიონს (ს.კ. 445587320) - შპს</t>
  </si>
  <si>
    <t>Supreme Solutions</t>
  </si>
  <si>
    <t>445587320/44467/1.2.1./1</t>
  </si>
  <si>
    <t>E33988DD-3F3B-4397-B736-73C95D7557AE</t>
  </si>
  <si>
    <t>Supreme Solutions | 1.2.1. (+) შემოსავალი MEP დანადგარების რეალიზაციიდან | სუპრემე სოლუთიონს (ს.კ. 445587320) - შპს</t>
  </si>
  <si>
    <t>5E3E7CDB-6C59-424F-BE60-1115A70E3B8E</t>
  </si>
  <si>
    <t>HOTEL IBIS VRV Service</t>
  </si>
  <si>
    <t>1 6 31 1655</t>
  </si>
  <si>
    <t>404492759/44400/1.2.3./1</t>
  </si>
  <si>
    <t>A5B0D7A8-41BF-419C-BEFF-6C24D5E3B233</t>
  </si>
  <si>
    <t>HOTEL IBIS VRV Service | 1.2.3. (+) შემოსავალი MEP დანადგარების სერვისიდან - არაგეგმიური | მაქრო ტურიზმ (ს.კ. 404492759) - შპს</t>
  </si>
  <si>
    <t>Makhata</t>
  </si>
  <si>
    <t>1 6 30 1132 6</t>
  </si>
  <si>
    <t>245416401/44474/1.1.1./1</t>
  </si>
  <si>
    <t>F3E662E0-2276-4959-AEF7-FAA08D2B5257</t>
  </si>
  <si>
    <t>Makhata | 1.1.1. (+) შემოსავალი ლიფტების რეალიზაციიდან | ანაგი (ს.კ. 245416401) - შპს</t>
  </si>
  <si>
    <t>ბიელსი (ს.კ. 404507182) - შპს</t>
  </si>
  <si>
    <t>BLC VRF</t>
  </si>
  <si>
    <t>1 6 30 1707</t>
  </si>
  <si>
    <t>404507182/44428/1.2.1./1</t>
  </si>
  <si>
    <t>4932E4A3-203D-47F8-9146-F2227B6DD2BB</t>
  </si>
  <si>
    <t>BLC VRF | 1.2.1. (+) შემოსავალი MEP დანადგარების რეალიზაციიდან | ბიელსი (ს.კ. 404507182) - შპს</t>
  </si>
  <si>
    <t>659DF8DF-26D9-41A4-81E1-287946E368FA</t>
  </si>
  <si>
    <t>ემ ელ სი ლოჯისტიკს (ს.კ. 405380181) - შპს</t>
  </si>
  <si>
    <t>Jgenti Warehouse</t>
  </si>
  <si>
    <t>1 6 30 1720</t>
  </si>
  <si>
    <t>405380181/44466/1.1.1./1</t>
  </si>
  <si>
    <t>F8FE7D90-F5DA-49F4-9668-66C44E339AB9</t>
  </si>
  <si>
    <t>Jgenti Warehouse | 1.1.1. (+) შემოსავალი ლიფტების რეალიზაციიდან | ემ ელ სი ლოჯისტიკს (ს.კ. 405380181) - შპს</t>
  </si>
  <si>
    <t>14F0723B-2DFE-490E-80A0-15A1B4545C49</t>
  </si>
  <si>
    <t>გიდანი (ს.კ. 205259780) - შპს</t>
  </si>
  <si>
    <t>Vake Apartment</t>
  </si>
  <si>
    <t>1 6 30 1732</t>
  </si>
  <si>
    <t>205259780/44470/1.2.1./1</t>
  </si>
  <si>
    <t>3455D38B-7359-49D2-8DA9-D57E251D22BC</t>
  </si>
  <si>
    <t>Vake Apartment | 1.2.1. (+) შემოსავალი MEP დანადგარების რეალიზაციიდან | გიდანი (ს.კ. 205259780) - შპს</t>
  </si>
  <si>
    <t>C150916F-F6F1-4AAB-ADBF-39138A6288BA</t>
  </si>
  <si>
    <t>ანტონ ვორონინი (ს.კ. 03187803411) - ფიზ. პირი</t>
  </si>
  <si>
    <t xml:space="preserve">Anton Voronin -HILTON BATUMI </t>
  </si>
  <si>
    <t>03187803411/44484/1.2.1./1</t>
  </si>
  <si>
    <t>C33BDAEB-0F9D-45DA-8F8A-D080739C67CA</t>
  </si>
  <si>
    <t>Anton Voronin -HILTON BATUMI  | 1.2.1. (+) შემოსავალი MEP დანადგარების რეალიზაციიდან | ანტონ ვორონინი (ს.კ. 03187803411) - ფიზ. პირი</t>
  </si>
  <si>
    <t>BE85F113-ED2E-49E3-82F1-CFA5A146ACFA</t>
  </si>
  <si>
    <t>აჭარის პროექტების მართვის კომპანია (ს.კ. 445409415) - შპს</t>
  </si>
  <si>
    <t>1 6 31 1739</t>
  </si>
  <si>
    <t>445409415/44476/1.1.2./1</t>
  </si>
  <si>
    <t>48BDFDAC-9334-451B-99C2-00839670B7C6</t>
  </si>
  <si>
    <t>Batumi Stadium | 1.1.2. (+) შემოსავალი ლიფტების სერვისიდან - გეგმიური | აჭარის პროექტების მართვის კომპანია (ს.კ. 445409415) - შპს</t>
  </si>
  <si>
    <t>9CC4F811-3CFB-458A-B444-2C67195A5178</t>
  </si>
  <si>
    <t>მშვილდოსანი (ს.კ. 404385401) - შპს</t>
  </si>
  <si>
    <t>Mshvildosani - Mitsubishi Conditioner</t>
  </si>
  <si>
    <t>404385401/44511/1.2.1./1</t>
  </si>
  <si>
    <t>BDC6A343-35DF-4438-B271-A93AA6CB9752</t>
  </si>
  <si>
    <t>Mshvildosani - Mitsubishi Conditioner | 1.2.1. (+) შემოსავალი MEP დანადგარების რეალიზაციიდან | მშვილდოსანი (ს.კ. 404385401) - შპს</t>
  </si>
  <si>
    <t>C0FA4151-5E85-487D-96C5-68E4CE197C87</t>
  </si>
  <si>
    <t>ნინო სირბილაძე (ს.კ. 01008033246) - ფიზ. პირი</t>
  </si>
  <si>
    <t>Shartava 39</t>
  </si>
  <si>
    <t>1 6 31 1626</t>
  </si>
  <si>
    <t>01008033246/44317/1.1.2./1</t>
  </si>
  <si>
    <t>150F2BB6-D108-42DA-B719-736A38723D4D</t>
  </si>
  <si>
    <t>Shartava 39 | 1.1.2. (+) შემოსავალი ლიფტების სერვისიდან - გეგმიური | ნინო სირბილაძე (ს.კ. 01008033246) - ფიზ. პირი</t>
  </si>
  <si>
    <t>079E40C8-D88D-476C-BDEF-D2EBF2E4E276</t>
  </si>
  <si>
    <t>Kitchen Fan</t>
  </si>
  <si>
    <t>239402491/44529/1.2.1./1</t>
  </si>
  <si>
    <t>3D5D929F-3463-45E5-9F02-79F8C75DB4C4</t>
  </si>
  <si>
    <t>Kitchen Fan | 1.2.1. (+) შემოსავალი MEP დანადგარების რეალიზაციიდან | ასოციაცია ატუ (ს.კ. 239402491) - არასამეწარმეო (არაკომერციული) იურიდიული პირი</t>
  </si>
  <si>
    <t>ტიგრან ხაჩატრიან (ს.კ. 65130000512) - ფიზ. პირი</t>
  </si>
  <si>
    <t>Khachatrian - Mitsubishi Split Conditioner</t>
  </si>
  <si>
    <t>1 6 30 1751</t>
  </si>
  <si>
    <t>65130000512/44536/1.2.1./1</t>
  </si>
  <si>
    <t>4799E7CE-CC53-4FAF-B671-8E593922F7CD</t>
  </si>
  <si>
    <t>Khachatrian - Mitsubishi Split Conditioner | 1.2.1. (+) შემოსავალი MEP დანადგარების რეალიზაციიდან | ტიგრან ხაჩატრიან (ს.კ. 65130000512) - ფიზ. პირი</t>
  </si>
  <si>
    <t>842A48FE-651B-4120-9F5E-F00AF55C0692</t>
  </si>
  <si>
    <t>Fans and Dumper</t>
  </si>
  <si>
    <t>418476893/44531/1.2.1./1</t>
  </si>
  <si>
    <t>FA3D0A89-18D5-47BB-8E21-ACD82DCED4FD</t>
  </si>
  <si>
    <t>Fans and Dumper | 1.2.1. (+) შემოსავალი MEP დანადგარების რეალიზაციიდან | ლენოქსი (ს.კ. 418476893) - შპს</t>
  </si>
  <si>
    <t>პრემიუმ ჯგუფი (ს.კ. 445522907) - შპს</t>
  </si>
  <si>
    <t>Premium Group</t>
  </si>
  <si>
    <t>1 6 30 1820</t>
  </si>
  <si>
    <t>445522907/44554/1.1.1./1</t>
  </si>
  <si>
    <t>CA21A428-93AA-4FDF-980E-486EC36530FC</t>
  </si>
  <si>
    <t>Premium Group | 1.1.1. (+) შემოსავალი ლიფტების რეალიზაციიდან | პრემიუმ ჯგუფი (ს.კ. 445522907) - შპს</t>
  </si>
  <si>
    <t>C1B734D0-6642-4B4C-AD22-ABF60C8F299C</t>
  </si>
  <si>
    <t>ჰავანა (ს.კ. 405022817) - შპს</t>
  </si>
  <si>
    <t>HAVANA CLUB KIFSHIDZE</t>
  </si>
  <si>
    <t>405022817/44571/1.2.3./1</t>
  </si>
  <si>
    <t>B669FD06-8B10-470B-BE04-D96A1E457018</t>
  </si>
  <si>
    <t>HAVANA CLUB KIFSHIDZE | 1.2.3. (+) შემოსავალი MEP დანადგარების სერვისიდან - არაგეგმიური | ჰავანა (ს.კ. 405022817) - შპს</t>
  </si>
  <si>
    <t>AFCD9F23-05C7-4391-B0B8-DCFA0C2F7F05</t>
  </si>
  <si>
    <t>Sea Tower</t>
  </si>
  <si>
    <t>245621849/44293/1.1.1./1</t>
  </si>
  <si>
    <t>FDCA881B-9BEC-41C6-80D0-19AC10CDCC8D</t>
  </si>
  <si>
    <t>Sea Tower | 1.1.1. (+) შემოსავალი ლიფტების რეალიზაციიდან | ორბი ჯგუფი (ს.კ. 245621849) - შპს</t>
  </si>
  <si>
    <t>მაია მესხი (ს.კ. 01024009520) - ფიზ. პირი</t>
  </si>
  <si>
    <t>MESKHI - 4 Units Mitsubishi Conditioner</t>
  </si>
  <si>
    <t>01024009520/44585/1.2.1./1</t>
  </si>
  <si>
    <t>50B022E8-0E8D-406F-A6CA-C79BEF92A6C7</t>
  </si>
  <si>
    <t>MESKHI - 4 Units Mitsubishi Conditioner | 1.2.1. (+) შემოსავალი MEP დანადგარების რეალიზაციიდან | მაია მესხი (ს.კ. 01024009520) - ფიზ. პირი</t>
  </si>
  <si>
    <t>A2A92AE7-925E-47DE-A372-1EB823A2A6D7</t>
  </si>
  <si>
    <t>SARJVELADZE - Multisplit</t>
  </si>
  <si>
    <t>61001018248/44357/1.2.1./1</t>
  </si>
  <si>
    <t>ABFCDA07-6250-4B68-AFFB-B896A63BE1B6</t>
  </si>
  <si>
    <t>SARJVELADZE - Multisplit | 1.2.1. (+) შემოსავალი MEP დანადგარების რეალიზაციიდან | თენგიზ სარჯველაძე (ს.კ. 61001018248) - ფიზ. პირი</t>
  </si>
  <si>
    <t>ბმა ქ. ბათუმი, ნინოშვილის N23ა (ს.კ. ICE001801) - ამხანაგობა</t>
  </si>
  <si>
    <t>Batumi, Ninoshvilis 23</t>
  </si>
  <si>
    <t>1 6 31 1817</t>
  </si>
  <si>
    <t>ICE001801/44562/1.1.2./1</t>
  </si>
  <si>
    <t>341D1EA2-1897-42FA-B1C6-AF74C2B745F7</t>
  </si>
  <si>
    <t>Batumi, Ninoshvilis 23 | 1.1.2. (+) შემოსავალი ლიფტების სერვისიდან - გეგმიური | ბმა ქ. ბათუმი, ნინოშვილის N23ა (ს.კ. ICE001801) - ამხანაგობა</t>
  </si>
  <si>
    <t>C1FE4361-F19C-4AAD-9122-7023B52DA711</t>
  </si>
  <si>
    <t>კაპიტალ გრუპი (ს.კ. 405296255) - შპს</t>
  </si>
  <si>
    <t>SAKCABELI</t>
  </si>
  <si>
    <t>1 6 30 1847</t>
  </si>
  <si>
    <t>405296255/44614/1.2.1./1</t>
  </si>
  <si>
    <t>A19E9D26-09AD-4255-819B-9373E4343D2E</t>
  </si>
  <si>
    <t>SAKCABELI | 1.2.1. (+) შემოსავალი MEP დანადგარების რეალიზაციიდან | კაპიტალ გრუპი (ს.კ. 405296255) - შპს</t>
  </si>
  <si>
    <t>77AF1960-EC8C-4658-B33E-8D26E449F36A</t>
  </si>
  <si>
    <t>ირაკლი ბუხიაშვილი (ს.კ. 01031007136) - ფიზ. პირი</t>
  </si>
  <si>
    <t>Lisi Villa MEP &amp; Smart house</t>
  </si>
  <si>
    <t>01031007136/44595/1.2.1./1</t>
  </si>
  <si>
    <t>A98AEB61-0717-49C6-8E93-F00DDBD6A8DC</t>
  </si>
  <si>
    <t>Lisi Villa MEP &amp; Smart house | 1.2.1. (+) შემოსავალი MEP დანადგარების რეალიზაციიდან | ირაკლი ბუხიაშვილი (ს.კ. 01031007136) - ფიზ. პირი</t>
  </si>
  <si>
    <t>EEF71586-275A-4382-B2B2-0CE0940A8FD6</t>
  </si>
  <si>
    <t>Galleria Tbilisi - Escalator Handrail rollers</t>
  </si>
  <si>
    <t>დახურული</t>
  </si>
  <si>
    <t>204558497/44523/1.1.3./1</t>
  </si>
  <si>
    <t>272DE8FC-2CD2-4C41-BEDE-30C53C15D314</t>
  </si>
  <si>
    <t>Galleria Tbilisi - Escalator Handrail rollers | 1.1.3. (+) შემოსავალი ლიფტების სერვისიდან - არაგეგმიური | გალერია თბილისი (ს.კ. 204558497) - შპს</t>
  </si>
  <si>
    <t>Orbi City D2 block</t>
  </si>
  <si>
    <t>1 6 30 773 7</t>
  </si>
  <si>
    <t>445468798/44546/1.1.1./1</t>
  </si>
  <si>
    <t>A14A73A4-6449-4ED8-96BB-94AE30C5A311</t>
  </si>
  <si>
    <t>Orbi City D2 block | 1.1.1. (+) შემოსავალი ლიფტების რეალიზაციიდან | ორბი ჯგუფი ბათუმი (ს.კ. 445468798) - შპს</t>
  </si>
  <si>
    <t>Orbi city D1 block</t>
  </si>
  <si>
    <t>1 6 30 773 5</t>
  </si>
  <si>
    <t>445468798/44496/1.1.1./1</t>
  </si>
  <si>
    <t>07AEFB68-2673-4B70-A963-413918AF6741</t>
  </si>
  <si>
    <t>Orbi city D1 block | 1.1.1. (+) შემოსავალი ლიფტების რეალიზაციიდან | ორბი ჯგუფი ბათუმი (ს.კ. 445468798) - შპს</t>
  </si>
  <si>
    <t>Sea Tower Additional</t>
  </si>
  <si>
    <t>245621849/44581/1.1.1./1</t>
  </si>
  <si>
    <t>C2805E58-E921-469C-A01A-9E824ED82099</t>
  </si>
  <si>
    <t>Sea Tower Additional | 1.1.1. (+) შემოსავალი ლიფტების რეალიზაციიდან | ორბი ჯგუფი (ს.კ. 245621849) - შპს</t>
  </si>
  <si>
    <t>ოლეკსანდრ შიპოშა (ს.კ. 19891103-00237) - ფიზ. პირი</t>
  </si>
  <si>
    <t>Shyposha - Hilton Batumi  Apartment</t>
  </si>
  <si>
    <t>19891103-00237/44644/1.2.1./1</t>
  </si>
  <si>
    <t>2A5E8033-FAF4-4FFF-9566-79E0DAFF5DAC</t>
  </si>
  <si>
    <t>Shyposha - Hilton Batumi  Apartment | 1.2.1. (+) შემოსავალი MEP დანადგარების რეალიზაციიდან | ოლეკსანდრ შიპოშა (ს.კ. 19891103-00237) - ფიზ. პირი</t>
  </si>
  <si>
    <t>6CA0F547-5BC0-4947-824D-B84A8D012EE7</t>
  </si>
  <si>
    <t>კლიმატ ინჟინერინგი (ს.კ. 405164584) - შპს</t>
  </si>
  <si>
    <t>Fan Motor</t>
  </si>
  <si>
    <t>405164584/44480/1.2.1./1</t>
  </si>
  <si>
    <t>D9C7317F-1A7E-41E4-A66E-C50365E0034B</t>
  </si>
  <si>
    <t>Fan Motor | 1.2.1. (+) შემოსავალი MEP დანადგარების რეალიზაციიდან | კლიმატ ინჟინერინგი (ს.კ. 405164584) - შპს</t>
  </si>
  <si>
    <t>934ACF0F-2594-4C3F-9AF0-B7472C14257A</t>
  </si>
  <si>
    <t>გიორგი ლორთქიფანიძე (ს.კ. 01009002617) - ფიზ. პირი</t>
  </si>
  <si>
    <t>Lortkipanidze - Mitsubishi Conditioner</t>
  </si>
  <si>
    <t>01009002617/44645/1.2.1./1</t>
  </si>
  <si>
    <t>02CDC31F-D22B-4866-AFAE-513BA7A86530</t>
  </si>
  <si>
    <t>Lortkipanidze - Mitsubishi Conditioner | 1.2.1. (+) შემოსავალი MEP დანადგარების რეალიზაციიდან | გიორგი ლორთქიფანიძე (ს.კ. 01009002617) - ფიზ. პირი</t>
  </si>
  <si>
    <t>026E84AF-5543-4EA9-80AF-407FC0E41968</t>
  </si>
  <si>
    <t>ალიანსი თბილისი (ს.კ. 405144703) - შპს</t>
  </si>
  <si>
    <t>Alliance Highline</t>
  </si>
  <si>
    <t>1 6 30 1791</t>
  </si>
  <si>
    <t>405144703/44582/1.1.1./1</t>
  </si>
  <si>
    <t>DC975886-9BF9-42C8-AFBE-87695AA01262</t>
  </si>
  <si>
    <t>Alliance Highline | 1.1.1. (+) შემოსავალი ლიფტების რეალიზაციიდან | ალიანსი თბილისი (ს.კ. 405144703) - შპს</t>
  </si>
  <si>
    <t>73F7A185-024C-4137-BCF6-0AF1157D6600</t>
  </si>
  <si>
    <t>Kaklebi doors repears</t>
  </si>
  <si>
    <t>65002012107/44643/1.1.3./1</t>
  </si>
  <si>
    <t>A3CC070F-345E-4516-B64B-60DBC450A8EE</t>
  </si>
  <si>
    <t>Kaklebi doors repears | 1.1.3. (+) შემოსავალი ლიფტების სერვისიდან - არაგეგმიური | გოჩა ჩხაიძე (ს.კ. 65002012107) - ფიზ. პირი</t>
  </si>
  <si>
    <t>იევგენ ოვეშნიაქოვ (ს.კ. 1982092803392) - ფიზ. პირი</t>
  </si>
  <si>
    <t>Iveshniakov - Conditioner</t>
  </si>
  <si>
    <t>1982092803392/44644/1.2.1./1</t>
  </si>
  <si>
    <t>411B72AF-F983-4A0D-8BBE-C8E1C5E1DA28</t>
  </si>
  <si>
    <t>Iveshniakov - Conditioner | 1.2.1. (+) შემოსავალი MEP დანადგარების რეალიზაციიდან | იევგენ ოვეშნიაქოვ (ს.კ. 1982092803392) - ფიზ. პირი</t>
  </si>
  <si>
    <t>2BE0B019-5123-46B7-AD88-7A56ACE72918</t>
  </si>
  <si>
    <t>Supreme Solutions VRV</t>
  </si>
  <si>
    <t>445587320/44547/1.2.1./1</t>
  </si>
  <si>
    <t>E8B09C68-F084-4AC0-9095-D107A7A5B682</t>
  </si>
  <si>
    <t>Supreme Solutions VRV | 1.2.1. (+) შემოსავალი MEP დანადგარების რეალიზაციიდან | სუპრემე სოლუთიონს (ს.კ. 445587320) - შპს</t>
  </si>
  <si>
    <t>ილია იაკობიძე (ს.კ. 01008053571) - ფიზ. პირი</t>
  </si>
  <si>
    <t>Iakobidze - Mitsubishi Conditioner</t>
  </si>
  <si>
    <t>01008053571/44665/1.2.1./1</t>
  </si>
  <si>
    <t>5872F0BB-AB6A-4A31-BD17-24A33D9981B4</t>
  </si>
  <si>
    <t>Iakobidze - Mitsubishi Conditioner | 1.2.1. (+) შემოსავალი MEP დანადგარების რეალიზაციიდან | ილია იაკობიძე (ს.კ. 01008053571) - ფიზ. პირი</t>
  </si>
  <si>
    <t>3F1EB616-2884-429C-81CE-FD771A90FE2E</t>
  </si>
  <si>
    <t>ბეჟან სამხარაძე (ს.კ. 01024029963) - ფიზ. პირი</t>
  </si>
  <si>
    <t>Samkharadze - 2 Units Mitsubishi Conditioner</t>
  </si>
  <si>
    <t>01024029963/44669/1.2.1./1</t>
  </si>
  <si>
    <t>DC29629E-9A02-4442-B53F-71350CFB5A8F</t>
  </si>
  <si>
    <t>Samkharadze - 2 Units Mitsubishi Conditioner | 1.2.1. (+) შემოსავალი MEP დანადგარების რეალიზაციიდან | ბეჟან სამხარაძე (ს.კ. 01024029963) - ფიზ. პირი</t>
  </si>
  <si>
    <t>CAF9F1A5-1957-489C-B385-09AC1701F074</t>
  </si>
  <si>
    <t>Inaishvili - 2 Units Mitsubishi Conditioner</t>
  </si>
  <si>
    <t>61001000802/44683/1.2.1./1</t>
  </si>
  <si>
    <t>390E884C-8C3A-41AE-B092-DC7B92CAFE7E</t>
  </si>
  <si>
    <t>Inaishvili - 2 Units Mitsubishi Conditioner | 1.2.1. (+) შემოსავალი MEP დანადგარების რეალიზაციიდან | ჯემალ ინაიშვილი (ს.კ. 61001000802) - ფიზ. პირი</t>
  </si>
  <si>
    <t>MOXY HOTEL</t>
  </si>
  <si>
    <t>4E4AC57D-6605-4F1D-B999-7E2F5BEC4CD4</t>
  </si>
  <si>
    <t>MOXY HOTEL | 1.1.2. (+) შემოსავალი ლიფტების სერვისიდან - გეგმიური | ჯი-ემ-თი სასტუმროები (ს.კ. 203842333) - შპს</t>
  </si>
  <si>
    <t>Baratashvili</t>
  </si>
  <si>
    <t>445420875/44409/1.1.2./1</t>
  </si>
  <si>
    <t>6A882251-3DE5-47F0-8EA4-3CB46367B476</t>
  </si>
  <si>
    <t>Baratashvili | 1.1.2. (+) შემოსავალი ლიფტების სერვისიდან - გეგმიური | Dar Building (ს.კ. 445420875) - შპს</t>
  </si>
  <si>
    <t>ანა ფირცხალავა (ს.კ. 62003014448) - ინდ. მეწარმე</t>
  </si>
  <si>
    <t>1 6 31 1865</t>
  </si>
  <si>
    <t>71525840-B5A6-4072-8CED-599FA5A57798</t>
  </si>
  <si>
    <t>Biota Park | 1.1.2. (+) შემოსავალი ლიფტების სერვისიდან - გეგმიური | ანა ფირცხალავა (ს.კ. 62003014448) - ინდ. მეწარმე</t>
  </si>
  <si>
    <t>C54EB547-1BF2-4318-8B7A-B4FF1707E167</t>
  </si>
  <si>
    <t>მპ დეველოპმენტი (ს.კ. 404960217) - შპს</t>
  </si>
  <si>
    <t xml:space="preserve">Rustavi and Poti Mall </t>
  </si>
  <si>
    <t>1 6 31 810</t>
  </si>
  <si>
    <t>405271450/44652/1.1.2./1</t>
  </si>
  <si>
    <t>CAB7A927-2DEC-4953-8315-C062AF6048CD</t>
  </si>
  <si>
    <t>Rustavi and Poti Mall | 1.1.2. (+) შემოსავალი ლიფტების სერვისიდან - გეგმიური | რუსთავი მოლი (ს.კ. 405271450) - შპს</t>
  </si>
  <si>
    <t>2BAD18DC-6E49-4AD3-9FDC-1B422FF3B90D</t>
  </si>
  <si>
    <t>Poti</t>
  </si>
  <si>
    <t>00AF6EDA-0A83-4781-948C-6128CE9B212F</t>
  </si>
  <si>
    <t>Poti | 1.1.2. (+) შემოსავალი ლიფტების სერვისიდან - გეგმიური | რუსთავი მოლი (ს.კ. 405271450) - შპს</t>
  </si>
  <si>
    <t>პრაიმ არქი (ს.კ. 406132929) - შპს</t>
  </si>
  <si>
    <t>Archi Isani C</t>
  </si>
  <si>
    <t>1 6 31 1877</t>
  </si>
  <si>
    <t>406132929/44474/1.1.2./1</t>
  </si>
  <si>
    <t>EC8ACDF0-B918-46AE-B853-6B9B147F81EC</t>
  </si>
  <si>
    <t>Archi Isani C | 1.1.2. (+) შემოსავალი ლიფტების სერვისიდან - გეგმიური | პრაიმ არქი (ს.კ. 406132929) - შპს</t>
  </si>
  <si>
    <t>72217FB1-5EF9-48C3-8334-52575EBFC828</t>
  </si>
  <si>
    <t>Archi Isani D Block</t>
  </si>
  <si>
    <t>406132929/44691/1.1.2./1</t>
  </si>
  <si>
    <t>13B83657-2E92-45D5-AA6D-20D15037A1D6</t>
  </si>
  <si>
    <t>Archi Isani D Block | 1.1.2. (+) შემოსავალი ლიფტების სერვისიდან - გეგმიური | პრაიმ არქი (ს.კ. 406132929) - შპს</t>
  </si>
  <si>
    <t>Dighomi</t>
  </si>
  <si>
    <t>204976179/44075/1.1.2./1</t>
  </si>
  <si>
    <t>4FCA824F-7FDE-4D6D-9442-C6451402B4B7</t>
  </si>
  <si>
    <t>Dighomi | 1.1.2. (+) შემოსავალი ლიფტების სერვისიდან - გეგმიური | თბილი სახლი (ს.კ. 204976179) - შპს</t>
  </si>
  <si>
    <t>Mestia</t>
  </si>
  <si>
    <t>204976179/43466/1.1.2./1</t>
  </si>
  <si>
    <t>7A07961A-9E7E-4222-BB76-1A367BEB3AB1</t>
  </si>
  <si>
    <t>Mestia | 1.1.2. (+) შემოსავალი ლიფტების სერვისიდან - გეგმიური | თბილი სახლი (ს.კ. 204976179) - შპს</t>
  </si>
  <si>
    <t>Janashia</t>
  </si>
  <si>
    <t>C41B98D5-4119-4CB3-8D99-98517A940254</t>
  </si>
  <si>
    <t>Janashia | 1.1.2. (+) შემოსავალი ლიფტების სერვისიდან - გეგმიური | თბილი სახლი (ს.კ. 204976179) - შპს</t>
  </si>
  <si>
    <t>ORBI CITY C</t>
  </si>
  <si>
    <t>445468798/44562/1.1.2./1</t>
  </si>
  <si>
    <t>0C1F69B1-A479-4D6A-93F1-EAC12C4730CE</t>
  </si>
  <si>
    <t>ORBI CITY C | 1.1.2. (+) შემოსავალი ლიფტების სერვისიდან - გეგმიური | ორბი ჯგუფი ბათუმი (ს.კ. 445468798) - შპს</t>
  </si>
  <si>
    <t>კომპანია ჯდჯ (ს.კ. 405119964) - შპს</t>
  </si>
  <si>
    <t>Chavchavadze 30</t>
  </si>
  <si>
    <t>405119964/44089/1.1.2./1</t>
  </si>
  <si>
    <t>5AB8BC71-BBF1-4D83-AE22-5A15F7AD6EA9</t>
  </si>
  <si>
    <t>Chavchavadze 30 | 1.1.2. (+) შემოსავალი ლიფტების სერვისიდან - გეგმიური | კომპანია ჯდჯ (ს.კ. 405119964) - შპს</t>
  </si>
  <si>
    <t>B6D1A89E-F7B8-4B57-98D9-CDE962395C63</t>
  </si>
  <si>
    <t>ფრანგული უბანი ფრანგული უბნის "დ" და "ე" ბლოკების ამხანაგობა (ს.კ. 200316657) - ამხანაგობა</t>
  </si>
  <si>
    <t>UNIX MARSEL</t>
  </si>
  <si>
    <t>200316657/43466/1.1.2./1</t>
  </si>
  <si>
    <t>4C70090C-46DF-496C-AA6E-73B4DB1D3B17</t>
  </si>
  <si>
    <t>UNIX MARSEL | 1.1.2. (+) შემოსავალი ლიფტების სერვისიდან - გეგმიური | ფრანგული უბანი ფრანგული უბნის ,,დ'' და ,,ე'' ბლოკების ამხანაგობა (ს.კ. 200316657) - ამხანაგობა</t>
  </si>
  <si>
    <t>E56C25E1-F15A-4390-BB92-B64890A90093</t>
  </si>
  <si>
    <t>ფრანგული დასახლების ა-ბ-გ ბლოკების ამხანაგობა (ს.კ. 200317273) - ამხანაგობა</t>
  </si>
  <si>
    <t>UNIX IPOLIT IVANOV</t>
  </si>
  <si>
    <t>1 6 31 1750</t>
  </si>
  <si>
    <t>200317273/43466/1.1.2./1</t>
  </si>
  <si>
    <t>52027283-5C5B-4FB8-86C1-ACAC8033D7BB</t>
  </si>
  <si>
    <t>UNIX IPOLIT IVANOV | 1.1.2. (+) შემოსავალი ლიფტების სერვისიდან - გეგმიური | ფრანგული დასახლების ა-ბ-გ ბლოკების ამხანაგობა (ს.კ. 200317273) - ამხანაგობა</t>
  </si>
  <si>
    <t>6878FB60-0B5E-4898-ABCD-60ACC55A458D</t>
  </si>
  <si>
    <t>გორგილაძის 88ა (ს.კ. ICE001857) - ამხანაგობა</t>
  </si>
  <si>
    <t>Gorgiladzis 88a</t>
  </si>
  <si>
    <t>რატი რომაშვილი (ს.კ. 01017049157) - ფიზ. პირი</t>
  </si>
  <si>
    <t>ICE001857/44501/1.1.2./1</t>
  </si>
  <si>
    <t>6739192B-BE6E-486B-9E6B-5B138112743F</t>
  </si>
  <si>
    <t>Gorgiladzis 88a | 1.1.2. (+) შემოსავალი ლიფტების სერვისიდან - გეგმიური | გორგილაძის 88ა (ს.კ. ICE001857) - ამხანაგობა</t>
  </si>
  <si>
    <t>FE4FCC52-C6FC-42E2-BE3D-E360FEE52DEF</t>
  </si>
  <si>
    <t>DF44A1C6-0A8E-490A-924F-42D9CE2E573F</t>
  </si>
  <si>
    <t>ისანი პალასი (ს.კ. ICE001858) - ამხანაგობა</t>
  </si>
  <si>
    <t>Isani Palace</t>
  </si>
  <si>
    <t>1 6 31 1607</t>
  </si>
  <si>
    <t>ICE001858/44651/1.1.2./1</t>
  </si>
  <si>
    <t>4EFF1D30-E9A2-4B2E-8E29-8E87933F3AC3</t>
  </si>
  <si>
    <t>Isani Palace | 1.1.2. (+) შემოსავალი ლიფტების სერვისიდან - გეგმიური | ისანი პალასი (ს.კ. ICE001858) - ამხანაგობა</t>
  </si>
  <si>
    <t>C2317420-4845-4771-96EF-8159FBEF74FF</t>
  </si>
  <si>
    <t>1 6 31 1713</t>
  </si>
  <si>
    <t>405380181/44682/1.1.2./1</t>
  </si>
  <si>
    <t>8E1C3019-5E66-470C-82E0-D83E9881E246</t>
  </si>
  <si>
    <t>Jgenti Warehouse | 1.1.2. (+) შემოსავალი ლიფტების სერვისიდან - გეგმიური | ემ ელ სი ლოჯისტიკს (ს.კ. 405380181) - შპს</t>
  </si>
  <si>
    <t>ნინოწმინდა (ს.კ. 438115754) - შპს</t>
  </si>
  <si>
    <t>Ninotsminda - Mitsubishi Conditioner</t>
  </si>
  <si>
    <t>438115754/44697/1.2.1./1</t>
  </si>
  <si>
    <t>3CEDF6A3-8AD9-4CF7-BD9B-FA7B624E1742</t>
  </si>
  <si>
    <t>Ninotsminda - Mitsubishi Conditioner | 1.2.1. (+) შემოსავალი MEP დანადგარების რეალიზაციიდან | ნინოწმინდა (ს.კ. 438115754) - შპს</t>
  </si>
  <si>
    <t>FF29019D-6300-4647-97ED-EEB49D7F8A9D</t>
  </si>
  <si>
    <t>Modus Kakhety HW 2</t>
  </si>
  <si>
    <t>245565669/43466/1.1.2./1</t>
  </si>
  <si>
    <t>73CF56BA-474C-4F53-BBB3-D472BF9C9ECF</t>
  </si>
  <si>
    <t>Modus Kakhety HW 2 | 1.1.2. (+) შემოსავალი ლიფტების სერვისიდან - გეგმიური | მოდუსი (ს.კ. 245565669) - შპს</t>
  </si>
  <si>
    <t>Batumi Apartaments</t>
  </si>
  <si>
    <t>1 6 48</t>
  </si>
  <si>
    <t>400017245/44562/1.3.1./1</t>
  </si>
  <si>
    <t>E92822A0-3507-4608-9999-28DEEFF5237D</t>
  </si>
  <si>
    <t>Batumi Apartaments | 1.3.1. (+) სხვადასხვა ინვენტარის რეალიზაცია | აი-სი-ი (ს.კ. 400017245) - შპს</t>
  </si>
  <si>
    <t>დემურ დიასამიძე (ს.კ. 61001029125) - ფიზ. პირი</t>
  </si>
  <si>
    <t>Tsikhisdziri</t>
  </si>
  <si>
    <t>1 6 30 1876</t>
  </si>
  <si>
    <t>61001029125/44652/1.2.1./1</t>
  </si>
  <si>
    <t>582158FB-E56A-449E-9DEC-3B02E99690A7</t>
  </si>
  <si>
    <t>Tsikhisdziri | 1.2.1. (+) შემოსავალი MEP დანადგარების რეალიზაციიდან | დემურ დიასამიძე (ს.კ. 61001029125) - ფიზ. პირი</t>
  </si>
  <si>
    <t>51469664-FF07-46CE-A2D1-3851CE293B88</t>
  </si>
  <si>
    <t>ლაიქ ჰაუსი (ს.კ. 445478563) - შპს</t>
  </si>
  <si>
    <t>Holiday Inn</t>
  </si>
  <si>
    <t>1 6 30 2142</t>
  </si>
  <si>
    <t>445478563/44602/1.1.1./1</t>
  </si>
  <si>
    <t>2702712B-A1E7-43FA-8C75-F84D4BD6D43F</t>
  </si>
  <si>
    <t>Holiday Inn | 1.1.1. (+) შემოსავალი ლიფტების რეალიზაციიდან | ლაიქ ჰაუსი (ს.კ. 445478563) - შპს</t>
  </si>
  <si>
    <t>E5065FFE-1CD4-4C87-A053-0558ECFC9B1D</t>
  </si>
  <si>
    <t>ნუცუბიძე (ს.კ. 405387861) - შპს</t>
  </si>
  <si>
    <t>Park Home Saburtalo</t>
  </si>
  <si>
    <t>1 6 30 1911 1</t>
  </si>
  <si>
    <t>405387861/44701/1.1.1./1</t>
  </si>
  <si>
    <t>016A3ACC-14B7-48A0-A8C1-C5485BD40EDD</t>
  </si>
  <si>
    <t>Park Home Saburtalo | 1.1.1. (+) შემოსავალი ლიფტების რეალიზაციიდან | ნუცუბიძე (ს.კ. 405387861) - შპს</t>
  </si>
  <si>
    <t>272FF8D3-4909-409A-99B0-E2C8CA3BB9AF</t>
  </si>
  <si>
    <t>BLC VRF Service</t>
  </si>
  <si>
    <t>404507182/44715/1.2.3./1</t>
  </si>
  <si>
    <t>FF479744-33DF-4D30-8471-BC78F6E40577</t>
  </si>
  <si>
    <t>BLC VRF Service | 1.2.3. (+) შემოსავალი MEP დანადგარების სერვისიდან - არაგეგმიური | ბიელსი (ს.კ. 404507182) - შპს</t>
  </si>
  <si>
    <t>ზურაბ ბეროშვილი (ს.კ. 01008016853) - ფიზ. პირი</t>
  </si>
  <si>
    <t>Beroshvili - Mitsubishi Split Conditioner</t>
  </si>
  <si>
    <t>01008016853/44719/1.2.1./1</t>
  </si>
  <si>
    <t>9E0D99F4-EDD9-4413-8BF9-FF5A090BFC4C</t>
  </si>
  <si>
    <t>Beroshvili - Mitsubishi Split Conditioner | 1.2.1. (+) შემოსავალი MEP დანადგარების რეალიზაციიდან | ზურაბ ბეროშვილი (ს.კ. 01008016853) - ფიზ. პირი</t>
  </si>
  <si>
    <t>6D35EE90-BD58-4E7D-8589-8EC87F57E04F</t>
  </si>
  <si>
    <t>ნიკოლოზ სეთურიძე (ს.კ. 01017017831) - ფიზ. პირი</t>
  </si>
  <si>
    <t>Seturidze - Mitsubishi Conditioner</t>
  </si>
  <si>
    <t>01017017831/44725/1.2.1./1</t>
  </si>
  <si>
    <t>94F792A8-0A79-4BFE-AA88-7289C35686CA</t>
  </si>
  <si>
    <t>Seturidze - Mitsubishi Conditioner | 1.2.1. (+) შემოსავალი MEP დანადგარების რეალიზაციიდან | ნიკოლოზ სეთურიძე (ს.კ. 01017017831) - ფიზ. პირი</t>
  </si>
  <si>
    <t>3F658A46-5957-4636-8191-BBE06C564EA7</t>
  </si>
  <si>
    <t>7th sky</t>
  </si>
  <si>
    <t>1 6 30 1502</t>
  </si>
  <si>
    <t>ICE001124/44755/1.1.1./3GTVRO</t>
  </si>
  <si>
    <t>7fdd6160-db67-4d95-a4fc-7ae6ccc0c50a</t>
  </si>
  <si>
    <t>7th sky | 1.1.1. (+) შემოსავალი ლიფტების რეალიზაციიდან | ეიჩ გრუპ კონსტრაქშენ (ს.კ. 445510411) - შპს</t>
  </si>
  <si>
    <t>ALLIANCE HIGHLINES CHILLERS</t>
  </si>
  <si>
    <t>ICE000118/44727/1.2.1./QVXXKU</t>
  </si>
  <si>
    <t>b00cd68e-053a-4994-80e0-dad77e2461da</t>
  </si>
  <si>
    <t>ALLIANCE HIGHLINES CHILLERS | 1.2.1. (+) შემოსავალი MEP დანადგარების რეალიზაციიდან | მეპერსი (ს.კ. 402121887) - შპს</t>
  </si>
  <si>
    <t>ვერგე (ს.კ. 425365507) - შპს</t>
  </si>
  <si>
    <t>Moxy hotel Service</t>
  </si>
  <si>
    <t>ICE001877/44755/1.2.3./0XWT7V</t>
  </si>
  <si>
    <t>a01720ab-7170-466b-916a-85a0ee7dfb6a</t>
  </si>
  <si>
    <t>Moxy hotel Service | 1.2.3. (+) შემოსავალი MEP დანადგარების სერვისიდან - არაგეგმიური | ვერგე (ს.კ. 425365507) - შპს</t>
  </si>
  <si>
    <t>b4a248a5-14b1-4b9b-96b6-186c1fb4b4d8</t>
  </si>
  <si>
    <t>გრიინ ინვესტ (ს.კ. 445450850) - შპს</t>
  </si>
  <si>
    <t>Askaneli Restaurant</t>
  </si>
  <si>
    <t>ICE000243/44753/1.2.3./ESJ7CG</t>
  </si>
  <si>
    <t>083ac5c9-6da9-4bdc-b93b-dd60b42c8cc9</t>
  </si>
  <si>
    <t>Askaneli Restaurant | 1.2.3. (+) შემოსავალი MEP დანადგარების სერვისიდან - არაგეგმიური | გრიინ ინვესტ (ს.კ. 445450850) - შპს</t>
  </si>
  <si>
    <t>B40068C7-11CB-41B5-A54B-9395249A5F92</t>
  </si>
  <si>
    <t>Galleria Tbilisi - Escalator Combs</t>
  </si>
  <si>
    <t>ICE000112/44747/1.1.3./8K5VMS</t>
  </si>
  <si>
    <t>beb3b0ee-c827-42c0-a283-0b86f554af6e</t>
  </si>
  <si>
    <t>Galleria Tbilisi - Escalator Combs | 1.1.3. (+) შემოსავალი ლიფტების სერვისიდან - არაგეგმიური | გალერია თბილისი (ს.კ. 204558497) - შპს</t>
  </si>
  <si>
    <t>ATU Conditioners 2</t>
  </si>
  <si>
    <t>ICE000144/44734/1.2.1./N9PD0S</t>
  </si>
  <si>
    <t>d276735d-4cd8-453e-98e3-1bb5ace1a265</t>
  </si>
  <si>
    <t>ATU Conditioners 2 | 1.2.1. (+) შემოსავალი MEP დანადგარების რეალიზაციიდან | ასოციაცია ატუ (ს.კ. 239402491) - არასამეწარმეო (არაკომერციული) იურიდიული პირი</t>
  </si>
  <si>
    <t>Okrokana Service</t>
  </si>
  <si>
    <t>1 6 31 1580</t>
  </si>
  <si>
    <t>ICE001706/44713/1.1.2./VTIPM1</t>
  </si>
  <si>
    <t>d3ba7e7c-b0d0-4092-84cc-fa3bd4ad9f85</t>
  </si>
  <si>
    <t>Okrokana Service | 1.1.2. (+) შემოსავალი ლიფტების სერვისიდან - გეგმიური | გრინ ლაიფ (ს.კ. 404477730) - შპს</t>
  </si>
  <si>
    <t>შოთა მონადირიშვილი (ს.კ. 01024051928) - ფიზ. პირი</t>
  </si>
  <si>
    <t xml:space="preserve">Monadirishvili - Mitsubishi Conditioner </t>
  </si>
  <si>
    <t>ICE001876/44718/1.2.1./L8PQVB</t>
  </si>
  <si>
    <t>4631583d-647c-4d35-b27c-0f6c2495469b</t>
  </si>
  <si>
    <t>Monadirishvili - Mitsubishi Conditioner  | 1.2.1. (+) შემოსავალი MEP დანადგარების რეალიზაციიდან | შოთა მონადირიშვილი (ს.კ. 01024051928) - ფიზ. პირი</t>
  </si>
  <si>
    <t>FB20B5F4-212D-4E39-B5D5-EDCC2F8F507F</t>
  </si>
  <si>
    <t>ICE000014/44705/1.2.1./4LP03T</t>
  </si>
  <si>
    <t>87c718f1-2605-4905-ab2d-949bc6ed80d9</t>
  </si>
  <si>
    <t>Compressor | 1.2.1. (+) შემოსავალი MEP დანადგარების რეალიზაციიდან | თბილი სახლი (ს.კ. 204976179) - შპს</t>
  </si>
  <si>
    <t>ვოიარგ ლიმითედ (ს.კ. 405346102) - შპს</t>
  </si>
  <si>
    <t>VOYARG ASSY CONTROL</t>
  </si>
  <si>
    <t>ICE001878/44708/1.2.1./PDIG8X</t>
  </si>
  <si>
    <t>5bd4920c-8403-4ba4-b865-a271c999b332</t>
  </si>
  <si>
    <t>VOYARG ASSY CONTROL | 1.2.1. (+) შემოსავალი MEP დანადგარების რეალიზაციიდან | ვოიარგ ლიმითედ (ს.კ. 405346102) - შპს</t>
  </si>
  <si>
    <t>e741733c-b798-4f98-9c57-c569f4b042ea</t>
  </si>
  <si>
    <t>Shato Mukhrani Filters</t>
  </si>
  <si>
    <t>ICE000804/44768/1.2.1./TYRMPV</t>
  </si>
  <si>
    <t>1b32c213-6c67-4c1a-a767-a06e197a43ae</t>
  </si>
  <si>
    <t>Shato Mukhrani Filters | 1.2.1. (+) შემოსავალი MEP დანადგარების რეალიზაციიდან | შატო მუხრანი (ს.კ. 205000381) - სს</t>
  </si>
  <si>
    <t>ბაგრატიონი რეზიდენსი (ს.კ. 445572568) - შპს</t>
  </si>
  <si>
    <t>Bagrationi</t>
  </si>
  <si>
    <t>1 6 30 1927</t>
  </si>
  <si>
    <t>ICE001880/44737/1.1.1./2T1HQF</t>
  </si>
  <si>
    <t>9518b3a0-051a-4732-b24d-e59f121af873</t>
  </si>
  <si>
    <t>Bagrationi | 1.1.1. (+) შემოსავალი ლიფტების რეალიზაციიდან | ბაგრატიონი რეზიდენსი (ს.კ. 445572568) - შპს</t>
  </si>
  <si>
    <t>58fa8342-2181-4246-af05-590de2ef9e8d</t>
  </si>
  <si>
    <t>აიდისი (ს.კ. 204998342) - შპს</t>
  </si>
  <si>
    <t>IDC Mitsubishi Conditioner</t>
  </si>
  <si>
    <t>ICE001881/44767/1.2.1./O2PFTZ</t>
  </si>
  <si>
    <t>a22792ae-98f7-4990-a17d-8080e8e8bca5</t>
  </si>
  <si>
    <t>IDC Mitsubishi Conditioner | 1.2.1. (+) შემოსავალი MEP დანადგარების რეალიზაციიდან | აიდისი (ს.კ. 204998342) - შპს</t>
  </si>
  <si>
    <t>84fbebbf-ffe3-4de2-b726-6c20f7de3e5e</t>
  </si>
  <si>
    <t>ალიანსი ფრივილიჯი (ს.კ. 412718466) - შპს</t>
  </si>
  <si>
    <t>Alliance Previlige</t>
  </si>
  <si>
    <t>1 6 30 1952</t>
  </si>
  <si>
    <t>ICE001882/44774/1.1.1./AYODT5</t>
  </si>
  <si>
    <t>70a35471-a9c1-45d1-bfaf-a8c98abeaed7</t>
  </si>
  <si>
    <t>Alliance Previlige | 1.1.1. (+) შემოსავალი ლიფტების რეალიზაციიდან | ალიანსი ფრივილიჯი (ს.კ. 412718466) - შპს</t>
  </si>
  <si>
    <t>dbbb87c7-d197-4838-8a24-faf3e22917cc</t>
  </si>
  <si>
    <t>გრანდ მოლი (ს.კ. 445524479) - შპს</t>
  </si>
  <si>
    <t>Batumi Mall</t>
  </si>
  <si>
    <t>1 6 30 1959</t>
  </si>
  <si>
    <t>ICE001883/44778/1.1.1./WBWRVQ</t>
  </si>
  <si>
    <t>6f2dbefb-3202-4b51-bd70-ea1bd9534729</t>
  </si>
  <si>
    <t>Batumi Mall | 1.1.1. (+) შემოსავალი ლიფტების რეალიზაციიდან | გრანდ მოლი (ს.კ. 445524479) - შპს</t>
  </si>
  <si>
    <t>fb5cb65c-f87e-4ad2-a3ed-fa346097ef17</t>
  </si>
  <si>
    <t>ინდეკო ჰოსფითალითი (ს.კ. 405508026) - შპს</t>
  </si>
  <si>
    <t>Shavteli Street</t>
  </si>
  <si>
    <t>ICE001884/44788/1.1.2./V39ORF</t>
  </si>
  <si>
    <t>62a037bd-1204-4a28-996f-855d80be40c5</t>
  </si>
  <si>
    <t>Shavteli Street | 1.1.2. (+) შემოსავალი ლიფტების სერვისიდან - გეგმიური | ინდეკო ჰოსფითალითი (ს.კ. 405508026) - შპს</t>
  </si>
  <si>
    <t>1436a7f5-9177-4e1d-85e3-61dfd225db33</t>
  </si>
  <si>
    <t>Conditioner Parts</t>
  </si>
  <si>
    <t>ICE000032/NaN/1.2.1./GE5FQI</t>
  </si>
  <si>
    <t>d91c249a-2c4d-4283-9a90-f48d3ffadf6c</t>
  </si>
  <si>
    <t>Conditioner Parts | 1.2.1. (+) შემოსავალი MEP დანადგარების რეალიზაციიდან | თბილისი ცენტრალი (ს.კ. 205129653) - სს</t>
  </si>
  <si>
    <t>Chiller Compressors</t>
  </si>
  <si>
    <t>ICE000032/44790/1.2.1./3A5BUY</t>
  </si>
  <si>
    <t>e74c8db3-ddb3-4186-ae37-00a9984b2262</t>
  </si>
  <si>
    <t>Chiller Compressors | 1.2.1. (+) შემოსავალი MEP დანადგარების რეალიზაციიდან | თბილისი ცენტრალი (ს.კ. 205129653) - სს</t>
  </si>
  <si>
    <t>ICE001849/44652/1.1.2./VU6JKX</t>
  </si>
  <si>
    <t>1 6 30 1493 2</t>
  </si>
  <si>
    <t>ICE001128/44075/1.2.1./YXVT03</t>
  </si>
  <si>
    <t>გიორგი ნიქაბაძე (ს.კ. 01030030896) - ფიზ. პირი</t>
  </si>
  <si>
    <t>Toshiba Split</t>
  </si>
  <si>
    <t>ICE000437/44758/1.2.1./0UW7SL</t>
  </si>
  <si>
    <t>c5a02d60-3c42-41be-b64a-371c3fd08fda</t>
  </si>
  <si>
    <t>Toshiba Split | 1.2.1. (+) შემოსავალი MEP დანადგარების რეალიზაციიდან | გიორგი ნიქაბაძე (ს.კ. 01030030896) - ფიზ. პირი</t>
  </si>
  <si>
    <t>C5D1F87D-8C4D-42C3-8E4A-B47A5A7D4D4A</t>
  </si>
  <si>
    <t>ზენ იოგა სტუდიო (ს.კ. 205288856) - შპს</t>
  </si>
  <si>
    <t>Yoga Center</t>
  </si>
  <si>
    <t>1 6 30 1984</t>
  </si>
  <si>
    <t>ICE001886/44852/1.2.1./TVL4XR</t>
  </si>
  <si>
    <t>3d1dc457-9f05-41a4-ae86-f443e9936353</t>
  </si>
  <si>
    <t>Yoga Center | 1.2.1. (+) შემოსავალი MEP დანადგარების რეალიზაციიდან | ზენ იოგა სტუდიო (ს.კ. 205288856) - შპს</t>
  </si>
  <si>
    <t>81885caa-698e-4700-b0c0-60d0a5119680</t>
  </si>
  <si>
    <t>Moxy Hotel Rooftop Service</t>
  </si>
  <si>
    <t>ac2abdf7-c970-467c-af5b-35cf909642f4</t>
  </si>
  <si>
    <t>Moxy Hotel Rooftop Service | 1.2.3. (+) შემოსავალი MEP დანადგარების სერვისიდან - არაგეგმიური | ვერგე (ს.კ. 425365507) - შპს</t>
  </si>
  <si>
    <t>ICE001877/44854/1.2.3./LX172K</t>
  </si>
  <si>
    <t>გიორგი კურტანიძე (ს.კ. 11001002721) - ფიზ. პირი</t>
  </si>
  <si>
    <t>Mitsubishi VRF System</t>
  </si>
  <si>
    <t>1 6 30 1092</t>
  </si>
  <si>
    <t>ICE000564/44859/1.2.1./DQKSRA</t>
  </si>
  <si>
    <t>ec909037-e405-41bf-9bc1-c961967df04e</t>
  </si>
  <si>
    <t>Mitsubishi VRF System | 1.2.1. (+) შემოსავალი MEP დანადგარების რეალიზაციიდან | გიორგი კურტანიძე (ს.კ. 11001002721) - ფიზ. პირი</t>
  </si>
  <si>
    <t>13540E1C-4780-43C3-B08E-70C721E67E41</t>
  </si>
  <si>
    <t>8 Units Elevator Service</t>
  </si>
  <si>
    <t>ICE000004/44858/1.1.3./6MPT8V</t>
  </si>
  <si>
    <t>24f7bfb6-e62e-4ac7-ae2c-6cae7b9628f2</t>
  </si>
  <si>
    <t>8 Units Elevator Service | 1.1.3. (+) შემოსავალი ლიფტების სერვისიდან - არაგეგმიური | დომუს სერვისი (ს.კ. 405311336) - შპს</t>
  </si>
  <si>
    <t>ვ-ჯეო რესტორნები (ს.კ. 405404076) - შპს</t>
  </si>
  <si>
    <t>V-JEO Restaurant Platform</t>
  </si>
  <si>
    <t>1 6 30 1994</t>
  </si>
  <si>
    <t>ICE001887/44860/1.1.1./EMBQ1W</t>
  </si>
  <si>
    <t>42af9194-e383-4f14-92d7-e3ab5d060023</t>
  </si>
  <si>
    <t>V-JEO Restaurant Platform | 1.1.1. (+) შემოსავალი ლიფტების რეალიზაციიდან | ვ-ჯეო რესტორნები (ს.კ. 405404076) - შპს</t>
  </si>
  <si>
    <t>b178ee69-8398-4d71-9a3b-727043bba954</t>
  </si>
  <si>
    <t>გოლდენ გრუპ (ს.კ. 445519831) - შპს</t>
  </si>
  <si>
    <t>Saturday Mode</t>
  </si>
  <si>
    <t>ICE001888/44835/1.1.3./S6PH8X</t>
  </si>
  <si>
    <t>d126262c-dbc0-459a-9ecf-e2cee027e985</t>
  </si>
  <si>
    <t>Saturday Mode | 1.1.3. (+) შემოსავალი ლიფტების სერვისიდან - არაგეგმიური | გოლდენ გრუპ (ს.კ. 445519831) - შპს</t>
  </si>
  <si>
    <t>6db1636b-2fd7-4d19-886e-7f4fdecc76fd</t>
  </si>
  <si>
    <t>White square</t>
  </si>
  <si>
    <t>ICE000118/44870/1.1.1./6CUISF</t>
  </si>
  <si>
    <t>dbd32fa4-83cc-4ef2-aeaa-8eef98900c56</t>
  </si>
  <si>
    <t>White square | 1.1.1. (+) შემოსავალი ლიფტების რეალიზაციიდან | მეპერსი (ს.კ. 402121887) - შპს</t>
  </si>
  <si>
    <t>თი ელ ქონსთრაქშენ (ს.კ. 445520525) - შპს</t>
  </si>
  <si>
    <t>Goderdzi Hotel AHU</t>
  </si>
  <si>
    <t>ICE001890/44800/1.2.1./4SR2SX</t>
  </si>
  <si>
    <t>88447f3e-4227-4c99-8cf8-67037c5ffac5</t>
  </si>
  <si>
    <t>Goderdzi Hotel AHU | 1.2.1. (+) შემოსავალი MEP დანადგარების რეალიზაციიდან | თი ელ ქონსთრაქშენ (ს.კ. 445520525) - შპს</t>
  </si>
  <si>
    <t>68612348-6cfb-49fe-b24b-cac04030d5a7</t>
  </si>
  <si>
    <t>თამილა ჭურკვეიძე (ს.კ. 61006026727) - ფიზ. პირი</t>
  </si>
  <si>
    <t>Churkveidze - 2 Units Conditioner</t>
  </si>
  <si>
    <t>ICE001893/44882/1.2.1./9X7OVA</t>
  </si>
  <si>
    <t>6213f7c7-afe1-4e2d-996f-36da99526997</t>
  </si>
  <si>
    <t>Churkveidze - 2 Units Conditioner | 1.2.1. (+) შემოსავალი MEP დანადგარების რეალიზაციიდან | თამილა ჭურკვეიძე (ს.კ. 61006026727) - ფიზ. პირი</t>
  </si>
  <si>
    <t>62adb203-22a8-4c9a-a654-f4abd3761f58</t>
  </si>
  <si>
    <t>1TV</t>
  </si>
  <si>
    <t>1 6 30 4 4</t>
  </si>
  <si>
    <t>ICE000014/44866/1.1.1./XDWOXH</t>
  </si>
  <si>
    <t>769a66f7-239b-4b07-9247-181ba26f119d</t>
  </si>
  <si>
    <t>1TV | 1.1.1. (+) შემოსავალი ლიფტების რეალიზაციიდან | თბილი სახლი (ს.კ. 204976179) - შპს</t>
  </si>
  <si>
    <t>თემურ უსტიაშვილი (ს.კ. 61001007309) - ფიზ. პირი</t>
  </si>
  <si>
    <t>Diesel Generator Service</t>
  </si>
  <si>
    <t>ICE000631/44859/1.2.3./XFPVR8</t>
  </si>
  <si>
    <t>609c623f-d3a4-469e-91c7-a7c5ffacb0fc</t>
  </si>
  <si>
    <t>Diesel Generator Service | 1.2.3. (+) შემოსავალი MEP დანადგარების სერვისიდან - არაგეგმიური | თემურ უსტიაშვილი (ს.კ. 61001007309) - ფიზ. პირი</t>
  </si>
  <si>
    <t>E9C2253A-B4A6-4693-9A79-2AE9F4E5F66B</t>
  </si>
  <si>
    <t>თბილისი სითი (ს.კ. 405034537) - შპს</t>
  </si>
  <si>
    <t>Cooling Tower Belts</t>
  </si>
  <si>
    <t>ICE001894/44872/1.2.1./EMOLPP</t>
  </si>
  <si>
    <t>b1e1d0d3-3078-495e-8667-dc50cc397b43</t>
  </si>
  <si>
    <t>Cooling Tower Belts | 1.2.1. (+) შემოსავალი MEP დანადგარების რეალიზაციიდან | თბილისი სითი (ს.კ. 405034537) - შპს</t>
  </si>
  <si>
    <t>c12720de-3276-40e2-abd0-b542e0a18f02</t>
  </si>
  <si>
    <t>Macdonalds Orkhevi</t>
  </si>
  <si>
    <t>ICE000014/44835/1.2.2./4GZACN</t>
  </si>
  <si>
    <t>8bc6c19b-97f2-4132-8098-d17b7934309a</t>
  </si>
  <si>
    <t>Macdonalds Orkhevi | 1.2.2. (+) შემოსავალი MEP დანადგარების სერვისიდან - გეგმიური | თბილი სახლი (ს.კ. 204976179) - შპს</t>
  </si>
  <si>
    <t>Macdonalds Isani</t>
  </si>
  <si>
    <t>ICE000014/44866/1.2.2./5FJVW8</t>
  </si>
  <si>
    <t>5d79a202-227f-46ed-ac97-9b5c8899aaa3</t>
  </si>
  <si>
    <t>Macdonalds Isani | 1.2.2. (+) შემოსავალი MEP დანადგარების სერვისიდან - გეგმიური | თბილი სახლი (ს.კ. 204976179) - შპს</t>
  </si>
  <si>
    <t>Gold Market</t>
  </si>
  <si>
    <t>ICE000032/44861/1.2.1./4VVQP1</t>
  </si>
  <si>
    <t>86ef1332-8bc1-4ccc-8a9c-e79bc84c69cc</t>
  </si>
  <si>
    <t>Gold Market | 1.2.1. (+) შემოსავალი MEP დანადგარების რეალიზაციიდან | თბილისი ცენტრალი (ს.კ. 205129653) - სს</t>
  </si>
  <si>
    <t>SAKCABELI - Fan</t>
  </si>
  <si>
    <t>ICE001267/44834/1.2.2./ZPVOFX</t>
  </si>
  <si>
    <t>d6f67cb9-fc9f-480c-8810-a925042a1330</t>
  </si>
  <si>
    <t>SAKCABELI - Fan | 1.2.2. (+) შემოსავალი MEP დანადგარების სერვისიდან - გეგმიური | ლენოქსი (ს.კ. 418476893) - შპს</t>
  </si>
  <si>
    <t>იბრაიმ შალიკაძე (ს.კ. 61006002758) - ფიზ. პირი</t>
  </si>
  <si>
    <t>IBRAHIM GRILS</t>
  </si>
  <si>
    <t>ICE001896/44889/1.2.1./U92RA5</t>
  </si>
  <si>
    <t>ba6961cc-1c74-41c9-b229-82eff87cfbdd</t>
  </si>
  <si>
    <t>IBRAHIM GRILS | 1.2.1. (+) შემოსავალი MEP დანადგარების რეალიზაციიდან | იბრაიმ შალიკაძე (ს.კ. 61006002758) - ფიზ. პირი</t>
  </si>
  <si>
    <t>95fd8a07-50e2-4f93-b641-f8fc33a8f6d2</t>
  </si>
  <si>
    <t>Philip Morries Elevator Repair</t>
  </si>
  <si>
    <t>ICE000021/44883/1.1.3./A379OG</t>
  </si>
  <si>
    <t>d0dfb7e1-9ca2-4e35-9f4f-7db378cc7b8b</t>
  </si>
  <si>
    <t>Philip Morries Elevator Repair | 1.1.3. (+) შემოსავალი ლიფტების სერვისიდან - არაგეგმიური | ჯი-ემ-თი სასტუმროები (ს.კ. 203842333) - შპს</t>
  </si>
  <si>
    <t>DT MUHENDISLIK VE TAAHHUT A.S. (ს.კ. 0) - უცხოური საწარმო</t>
  </si>
  <si>
    <t>TBC Chillers</t>
  </si>
  <si>
    <t>ICE001903/44917/1.2.1./JL4P7U</t>
  </si>
  <si>
    <t>34ddb99b-0555-4a3e-9e84-ce906d1e5f4d</t>
  </si>
  <si>
    <t>TBC Chillers | 1.2.1. (+) შემოსავალი MEP დანადგარების რეალიზაციიდან | DT MUHENDISLIK VE TAAHHUT A.S. (ს.კ. 0) - უცხოური საწარმო</t>
  </si>
  <si>
    <t>e73bbc35-c413-4683-8c6f-c015c511dffa</t>
  </si>
  <si>
    <t>დნთ ქონსთრაქშენ (ს.კ. 405418196) - შპს</t>
  </si>
  <si>
    <t>TBC Refregerant</t>
  </si>
  <si>
    <t>ICE1904/44917/1.2.1./9N8UKR</t>
  </si>
  <si>
    <t>1ee8831c-7b71-4b83-b948-f43843a68b54</t>
  </si>
  <si>
    <t>TBC Refregerant | 1.2.1. (+) შემოსავალი MEP დანადგარების რეალიზაციიდან | დნთ ქონსთრაქშენ (ს.კ. 405418196) - შპს</t>
  </si>
  <si>
    <t>830b062b-b828-450d-8340-a3eabbf037ce</t>
  </si>
  <si>
    <t>TBC Fancoils</t>
  </si>
  <si>
    <t>ICE001903/44917/1.2.1./QQTVCW</t>
  </si>
  <si>
    <t>df3bc660-2d88-4c2e-919b-a5268936542c</t>
  </si>
  <si>
    <t>TBC Fancoils | 1.2.1. (+) შემოსავალი MEP დანადგარების რეალიზაციიდან | DT MUHENDISLIK VE TAAHHUT A.S. (ს.კ. 0) - უცხოური საწარმო</t>
  </si>
  <si>
    <t>TBC AHU</t>
  </si>
  <si>
    <t>ICE1904/44917/1.2.1./O8BOFH</t>
  </si>
  <si>
    <t>7213db89-283a-482f-a6cc-6b9783c8b947</t>
  </si>
  <si>
    <t>TBC AHU | 1.2.1. (+) შემოსავალი MEP დანადგარების რეალიზაციიდან | დნთ ქონსთრაქშენ (ს.კ. 405418196) - შპს</t>
  </si>
  <si>
    <t>Kvareli Elevators</t>
  </si>
  <si>
    <t>1 6 30 541 6</t>
  </si>
  <si>
    <t>ICE000043/44866/1.1.1./TV7AQC</t>
  </si>
  <si>
    <t>97467425-3024-4e47-a9e4-7fae80ccd880</t>
  </si>
  <si>
    <t>Kvareli Elevators | 1.1.1. (+) შემოსავალი ლიფტების რეალიზაციიდან | ინდეკო (ს.კ. 202376133) - შპს</t>
  </si>
  <si>
    <t>ინდეკო სი ემ  (ს.კ. 405508339) - შპს</t>
  </si>
  <si>
    <t>Kvareli VRV</t>
  </si>
  <si>
    <t>ICE1905/44866/1.2.1./6TJBQV</t>
  </si>
  <si>
    <t>66d9df28-01b5-4f93-88bb-2b5fac652ad7</t>
  </si>
  <si>
    <t>Kvareli VRV | 1.2.1. (+) შემოსავალი MEP დანადგარების რეალიზაციიდან | ინდეკო სი ემ  (ს.კ. 405508339) - შპს</t>
  </si>
  <si>
    <t>ba94ed59-522c-4852-994c-130ef7e8cd30</t>
  </si>
  <si>
    <t>Kvareli AHU</t>
  </si>
  <si>
    <t>ICE1905/44866/1.2.1./TC1D7T</t>
  </si>
  <si>
    <t>2a0fd654-9360-49d7-a8a9-4b107127951e</t>
  </si>
  <si>
    <t>Kvareli AHU | 1.2.1. (+) შემოსავალი MEP დანადგარების რეალიზაციიდან | ინდეკო სი ემ  (ს.კ. 405508339) - შპს</t>
  </si>
  <si>
    <t>შატო დე ვერე (ს.კ. 405357224) - სს</t>
  </si>
  <si>
    <t>Chato di Vere</t>
  </si>
  <si>
    <t>1 6 30 2037</t>
  </si>
  <si>
    <t>ICE001906/44905/1.1.1./5VLWZR</t>
  </si>
  <si>
    <t>96eaf1a3-2f7c-4af8-bc23-29814db64545</t>
  </si>
  <si>
    <t>Chato di Vere | 1.1.1. (+) შემოსავალი ლიფტების რეალიზაციიდან | შატო დე ვერე (ს.კ. 405357224) - სს</t>
  </si>
  <si>
    <t>80df9929-4edd-411e-b6a3-b5e9f30e5fa0</t>
  </si>
  <si>
    <t>ასკანელი ვაინერი &amp; დისტილერი (ს.კ. 205010888) - შპს</t>
  </si>
  <si>
    <t>Askaneli Kvareli</t>
  </si>
  <si>
    <t>1 6 30 2102</t>
  </si>
  <si>
    <t>ICE001907/44896/1.1.1./U5J6LO</t>
  </si>
  <si>
    <t>42a65f49-f18f-4bda-9070-13bd45302953</t>
  </si>
  <si>
    <t>Askaneli Kvareli | 1.1.1. (+) შემოსავალი ლიფტების რეალიზაციიდან | ასკანელი ვაინერი &amp; დისტილერი (ს.კ. 205010888) - შპს</t>
  </si>
  <si>
    <t>0ea1ff2e-cd21-42e6-8652-3079bf1d48b2</t>
  </si>
  <si>
    <t>იეჰოვას მოწმეთა ქრისტიანული კრება საქართველოში (ს.კ. 406134678) - საჯარო სამართლის იურიდიული პირი</t>
  </si>
  <si>
    <t>Watch Tower</t>
  </si>
  <si>
    <t>ICE000145/44918/1.2.1./2XRYJE</t>
  </si>
  <si>
    <t>e4210bd2-fb2b-41af-8034-a705ff42d187</t>
  </si>
  <si>
    <t>Watch Tower | 1.2.1. (+) შემოსავალი MEP დანადგარების რეალიზაციიდან | იეჰოვას მოწმეთა ქრისტიანული კრება საქართველოში (ს.კ. 406134678) - საჯარო სამართლის იურიდიული პირი</t>
  </si>
  <si>
    <t>91DBD569-D92B-4DE1-81A0-7446C323A19C</t>
  </si>
  <si>
    <t>Gori Mall</t>
  </si>
  <si>
    <t>1 6 30 810</t>
  </si>
  <si>
    <t>ICE001427/44925/1.1.1./JID2RU</t>
  </si>
  <si>
    <t>07bb9243-11c7-4752-b253-97344fa40f3a</t>
  </si>
  <si>
    <t>Gori Mall | 1.1.1. (+) შემოსავალი ლიფტების რეალიზაციიდან | მპ დეველოპმენტი (ს.კ. 404960217) - შპს</t>
  </si>
  <si>
    <t>სითი სისტემს (ს.კ. 405319668) - შპს</t>
  </si>
  <si>
    <t>Motor DC</t>
  </si>
  <si>
    <t>ICE001918/44944/1.2.1./E93OV0</t>
  </si>
  <si>
    <t>38fa946e-78aa-4ed9-9d8e-db82dcf798e7</t>
  </si>
  <si>
    <t>Motor DC | 1.2.1. (+) შემოსავალი MEP დანადგარების რეალიზაციიდან | სითი სისტემს (ს.კ. 405319668) - შპს</t>
  </si>
  <si>
    <t>2490dae3-255a-413e-b60e-82d1999b0290</t>
  </si>
  <si>
    <t>Beauty Life (ს.კ. 204557639) - შპს</t>
  </si>
  <si>
    <t>Beauty Life</t>
  </si>
  <si>
    <t>1630 2064</t>
  </si>
  <si>
    <t>ICE001923/44946/1.2.1./XCVTV9</t>
  </si>
  <si>
    <t>1279700f-a7de-4cea-b2d1-44c49af62fd9</t>
  </si>
  <si>
    <t>Beauty Life | 1.2.1. (+) შემოსავალი MEP დანადგარების რეალიზაციიდან | Beauty Life (ს.კ. 204557639) - შპს</t>
  </si>
  <si>
    <t>6f986c6a-0419-4e51-b724-a6cb819550b1</t>
  </si>
  <si>
    <t>ელთ ბილდინგი (ს.კ. 445471285) - შპს</t>
  </si>
  <si>
    <t>ELT BUILDING</t>
  </si>
  <si>
    <t>1 6 30 2101</t>
  </si>
  <si>
    <t>ICE001922/44585/1.1.1./I0N7CX</t>
  </si>
  <si>
    <t>bc3f57bb-8758-4550-9a02-e814eb170c54</t>
  </si>
  <si>
    <t>ELT BUILDING | 1.1.1. (+) შემოსავალი ლიფტების რეალიზაციიდან | ელთ ბილდინგი (ს.კ. 445471285) - შპს</t>
  </si>
  <si>
    <t>4919eb9d-4646-43e8-92f6-429e479dfb02</t>
  </si>
  <si>
    <t>Iumashev Stock</t>
  </si>
  <si>
    <t>ICE000169/36892/1.1.1./JGS8TT</t>
  </si>
  <si>
    <t>5e3ae24f-6052-49c6-9539-798920a861ae</t>
  </si>
  <si>
    <t>Iumashev Stock | 1.1.1. (+) შემოსავალი ლიფტების რეალიზაციიდან | აი-სი-ი (ს.კ. 400017245) - შპს</t>
  </si>
  <si>
    <t>Dar Building Doors</t>
  </si>
  <si>
    <t>ICE000012/44953/1.1.1./0ROM78</t>
  </si>
  <si>
    <t>0373d326-7feb-42eb-990c-3af94f0089e3</t>
  </si>
  <si>
    <t>Dar Building Doors | 1.1.1. (+) შემოსავალი ლიფტების რეალიზაციიდან | Dar Building (ს.კ. 445420875) - შპს</t>
  </si>
  <si>
    <t>Macdonalds Ortachala Rooftop System</t>
  </si>
  <si>
    <t>1 6 31 4 6</t>
  </si>
  <si>
    <t>ICE000014/44914/1.2.3./IPHQBX</t>
  </si>
  <si>
    <t>2b337b80-f35d-4ea5-b222-e0e8c000067a</t>
  </si>
  <si>
    <t>Macdonalds Ortachala Rooftop System | 1.2.3. (+) შემოსავალი MEP დანადგარების სერვისიდან - არაგეგმიური | თბილი სახლი (ს.კ. 204976179) - შპს</t>
  </si>
  <si>
    <t>Moxy Hotel Service 2023</t>
  </si>
  <si>
    <t>ICE001877/44949/1.2.3./PAHM9X</t>
  </si>
  <si>
    <t>3256f792-aa75-43f9-9aa9-e5d2abc77792</t>
  </si>
  <si>
    <t>Moxy Hotel Service 2023 | 1.2.3. (+) შემოსავალი MEP დანადგარების სერვისიდან - არაგეგმიური | ვერგე (ს.კ. 425365507) - შპს</t>
  </si>
  <si>
    <t>Chavchavadze Stock</t>
  </si>
  <si>
    <t>ICE000169/36526/1.3.1./LSQFA8</t>
  </si>
  <si>
    <t>e27d0114-30c4-4a29-8271-7cf903b942ab</t>
  </si>
  <si>
    <t>Chavchavadze Stock | 1.3.1. (+) სხვადასხვა ინვენტარის რეალიზაცია | აი-სი-ი (ს.კ. 400017245) - შპს</t>
  </si>
  <si>
    <t>Batumi Office Stock</t>
  </si>
  <si>
    <t>ICE000169/36526/1.3.1./7WJQXP</t>
  </si>
  <si>
    <t>1599bf02-997e-469d-9096-8557eb953dad</t>
  </si>
  <si>
    <t>Batumi Office Stock | 1.3.1. (+) სხვადასხვა ინვენტარის რეალიზაცია | აი-სი-ი (ს.კ. 400017245) - შპს</t>
  </si>
  <si>
    <t>გიორგი ჩხიკვიშვილი (ს.კ. 55001026533) - ფიზ. პირი</t>
  </si>
  <si>
    <t>Didi dighomi LOP</t>
  </si>
  <si>
    <t>ICE002026/44952/1.2.3./SWQRMY</t>
  </si>
  <si>
    <t>36f78c14-fe6c-4a5c-b47b-0eec5a6d2774</t>
  </si>
  <si>
    <t>Didi dighomi LOP | 1.2.3. (+) შემოსავალი MEP დანადგარების სერვისიდან - არაგეგმიური | გიორგი ჩხიკვიშვილი (ს.კ. 55001026533) - ფიზ. პირი</t>
  </si>
  <si>
    <t>adad13a6-7d16-40a4-a2ba-4f8cda09441a</t>
  </si>
  <si>
    <t>ICE000014/44952/1.1.3./C6TUO8</t>
  </si>
  <si>
    <t>7af9a2cf-efaa-4068-b9e5-776d77265019</t>
  </si>
  <si>
    <t>Didi dighomi LOP | 1.1.3. (+) შემოსავალი ლიფტების სერვისიდან - არაგეგმიური | თბილი სახლი (ს.კ. 204976179) - შპს</t>
  </si>
  <si>
    <t>Gas Co</t>
  </si>
  <si>
    <t>ICE000118/44593/1.1.1./5WYTD9</t>
  </si>
  <si>
    <t>241bb860-e2e9-420d-86c8-20fe3416d93c</t>
  </si>
  <si>
    <t>Gas Co | 1.1.1. (+) შემოსავალი ლიფტების რეალიზაციიდან | მეპერსი (ს.კ. 402121887) - შპს</t>
  </si>
  <si>
    <t>ELL‐GA‐MAN (ს.კ. 0) - უცხოური საწარმო</t>
  </si>
  <si>
    <t>Kostia Armenia Elmagan</t>
  </si>
  <si>
    <t>ICE002032/44944/1.2.1./7G5KVZ</t>
  </si>
  <si>
    <t>b455a95f-37f3-47d3-8efb-ca7b7017f3d6</t>
  </si>
  <si>
    <t>Kostia Armenia Elmagan | 1.2.1. (+) შემოსავალი MEP დანადგარების რეალიზაციიდან | ELL‐GA‐MAN (ს.კ. 0) - უცხოური საწარმო</t>
  </si>
  <si>
    <t>12941286-d054-4c3b-9910-04d6e3a4e33a</t>
  </si>
  <si>
    <t>Elevator Rope</t>
  </si>
  <si>
    <t>ICE000019/44909/1.1.3./WJCQRS</t>
  </si>
  <si>
    <t>64e9d62c-acb0-491a-a10e-5ad9141e78b8</t>
  </si>
  <si>
    <t>Elevator Rope | 1.1.3. (+) შემოსავალი ლიფტების სერვისიდან - არაგეგმიური | გალერია ჰოტელ მენეჯმენტი (ს.კ. 404567508) - შპს</t>
  </si>
  <si>
    <t>Waikiki Flo</t>
  </si>
  <si>
    <t>ICE000032/44959/1.2.3./FZDORH</t>
  </si>
  <si>
    <t>9fa80c94-64fb-4b66-bb90-3765753e1e44</t>
  </si>
  <si>
    <t>Waikiki Flo | 1.2.3. (+) შემოსავალი MEP დანადგარების სერვისიდან - არაგეგმიური | თბილისი ცენტრალი (ს.კ. 205129653) - სს</t>
  </si>
  <si>
    <t>Macdonalds Orkhevi Rooftop System</t>
  </si>
  <si>
    <t>ICE000014/44826/1.2.3./FX78JT</t>
  </si>
  <si>
    <t>cc3aaef9-fd5b-45c6-b416-96cf78ba30df</t>
  </si>
  <si>
    <t>Macdonalds Orkhevi Rooftop System | 1.2.3. (+) შემოსავალი MEP დანადგარების სერვისიდან - არაგეგმიური | თბილი სახლი (ს.კ. 204976179) - შპს</t>
  </si>
  <si>
    <t>Beauty Life MEP</t>
  </si>
  <si>
    <t>ICE001923/44581/1.2.1./O704IW</t>
  </si>
  <si>
    <t>507e8d73-197b-4278-8461-30cea6a9a1cb</t>
  </si>
  <si>
    <t>Beauty Life MEP | 1.2.1. (+) შემოსავალი MEP დანადგარების რეალიზაციიდან | Beauty Life (ს.კ. 204557639) - შპს</t>
  </si>
  <si>
    <t>Beauty Life MEP Installation</t>
  </si>
  <si>
    <t>ICE001923/44964/1.2.1./1T0KB5</t>
  </si>
  <si>
    <t>52cfbe12-fb35-4a80-9461-1a3148bbb342</t>
  </si>
  <si>
    <t>Beauty Life MEP Installation | 1.2.1. (+) შემოსავალი MEP დანადგარების რეალიზაციიდან | Beauty Life (ს.კ. 204557639) - შპს</t>
  </si>
  <si>
    <t>Heat Pumps</t>
  </si>
  <si>
    <t>ICE001753/44867/1.2.1./BOVFUJ</t>
  </si>
  <si>
    <t>4a5004d6-b85b-41e0-99b0-a33785e10645</t>
  </si>
  <si>
    <t>Heat Pumps | 1.2.1. (+) შემოსავალი MEP დანადგარების რეალიზაციიდან | სუპრემე სოლუთიონს (ს.კ. 445587320) - შპს</t>
  </si>
  <si>
    <t>Ceiling Cassette Type &amp; Remote Control</t>
  </si>
  <si>
    <t>ICE001753/44916/1.2.1./ODWS9V</t>
  </si>
  <si>
    <t>d2ae423a-fa4e-4277-93aa-a9cd216811e7</t>
  </si>
  <si>
    <t>Ceiling Cassette Type &amp; Remote Control | 1.2.1. (+) შემოსავალი MEP დანადგარების რეალიზაციიდან | სუპრემე სოლუთიონს (ს.კ. 445587320) - შპს</t>
  </si>
  <si>
    <t>Alliance Chiller Repair</t>
  </si>
  <si>
    <t>ICE000118/44972/1.2.1./3SIV8N</t>
  </si>
  <si>
    <t>17033b8c-e298-498e-9d1d-bfa663214fdd</t>
  </si>
  <si>
    <t>Alliance Chiller Repair | 1.2.1. (+) შემოსავალი MEP დანადგარების რეალიზაციიდან | მეპერსი (ს.კ. 402121887) - შპს</t>
  </si>
  <si>
    <t>Meppers Casino</t>
  </si>
  <si>
    <t>ICE000118/44972/1.2.1./JSLFDX</t>
  </si>
  <si>
    <t>43c78800-d4d2-4a51-a033-a3b62e7b15b8</t>
  </si>
  <si>
    <t>Meppers Casino | 1.2.1. (+) შემოსავალი MEP დანადგარების რეალიზაციიდან | მეპერსი (ს.კ. 402121887) - შპს</t>
  </si>
  <si>
    <t>Galeria Panoramic Buttons</t>
  </si>
  <si>
    <t>ICE000112/44977/1.1.3./DFCGUL</t>
  </si>
  <si>
    <t>484d112b-6487-49f4-892c-432a18ce641b</t>
  </si>
  <si>
    <t>Galeria Panoramic Buttons | 1.1.3. (+) შემოსავალი ლიფტების სერვისიდან - არაგეგმიური | გალერია თბილისი (ს.კ. 204558497) - შპს</t>
  </si>
  <si>
    <t>Cooling Tower Pomp</t>
  </si>
  <si>
    <t>ICE001894/44973/1.2.1./CR2JUI</t>
  </si>
  <si>
    <t>f272a413-c9c6-408a-a62e-ef675c0d05e0</t>
  </si>
  <si>
    <t>Cooling Tower Pomp | 1.2.1. (+) შემოსავალი MEP დანადგარების რეალიზაციიდან | თბილისი სითი (ს.კ. 405034537) - შპს</t>
  </si>
  <si>
    <t>ICE000014/44978/1.2.1./K6CRTJ</t>
  </si>
  <si>
    <t>c69dece7-f496-4235-be0f-9da29321c89e</t>
  </si>
  <si>
    <t>H&amp;M | 1.2.1. (+) შემოსავალი MEP დანადგარების რეალიზაციიდან | თბილი სახლი (ს.კ. 204976179) - შპს</t>
  </si>
  <si>
    <t>Moxy Compressor</t>
  </si>
  <si>
    <t>ICE000020/44985/1.2.1./N0V36P</t>
  </si>
  <si>
    <t>399d704a-ce6a-4c42-9993-99e7abaf419b</t>
  </si>
  <si>
    <t>Moxy Compressor | 1.2.1. (+) შემოსავალი MEP დანადგარების რეალიზაციიდან | ჯი-ემ-თი მთაწმინდა (ს.კ. 203843396) - შპს</t>
  </si>
  <si>
    <t>Darchidze Home</t>
  </si>
  <si>
    <t>1 6 30 853 3</t>
  </si>
  <si>
    <t>ICE000012/44455/1.1.1./EVQLUG</t>
  </si>
  <si>
    <t>d65dc67a-c91e-4710-979f-0d94f5ddb5f9</t>
  </si>
  <si>
    <t>Darchidze Home | 1.1.1. (+) შემოსავალი ლიფტების რეალიზაციიდან | Dar Building (ს.კ. 445420875) - შპს</t>
  </si>
  <si>
    <t>მელიქიშვილი ინნ (ს.კ. 405463546) - შპს</t>
  </si>
  <si>
    <t>Afisha</t>
  </si>
  <si>
    <t>1 6 30 2172</t>
  </si>
  <si>
    <t>ICE002069/44998/1.1.1./FA7J8Q</t>
  </si>
  <si>
    <t>9f8ed6b9-f51b-4974-a77f-2e33583fd63d</t>
  </si>
  <si>
    <t>Afisha | 1.1.1. (+) შემოსავალი ლიფტების რეალიზაციიდან | მელიქიშვილი ინნ (ს.კ. 405463546) - შპს</t>
  </si>
  <si>
    <t>c8fdb161-d4e2-4c71-9458-6ae2614d6229</t>
  </si>
  <si>
    <t>პრემიუმ დეველოპმენტ კომპანი (ს.კ. 404597691) - შპს</t>
  </si>
  <si>
    <t>Barnovi</t>
  </si>
  <si>
    <t>Barnovi | 1.1.1. (+) შემოსავალი ლიფტების რეალიზაციიდან | პრემიუმ დეველოპმენტ კომპანი (ს.კ. 404597691) - შპს</t>
  </si>
  <si>
    <t>729fab4f-5211-4133-9178-b60f971d318f</t>
  </si>
  <si>
    <t>გრანდ მაისონ (ს.კ. 445575333) - შპს</t>
  </si>
  <si>
    <t>Calligraphy Hilton</t>
  </si>
  <si>
    <t>1 6 30 2053 1</t>
  </si>
  <si>
    <t>ICE002074/44922/1.1.1./O1E0WK</t>
  </si>
  <si>
    <t>c4991b70-92fa-4d49-afa6-fbe17d3f7d5f</t>
  </si>
  <si>
    <t>Calligraphy Hilton | 1.1.1. (+) შემოსავალი ლიფტების რეალიზაციიდან | გრანდ მაისონ (ს.კ. 445575333) - შპს</t>
  </si>
  <si>
    <t>4c3a3cd9-98c7-4a67-9efe-b03541fe6177</t>
  </si>
  <si>
    <t>ბულვარ ფოინთ (ს.კ. 445527494) - შპს</t>
  </si>
  <si>
    <t>Gumbati Boulevard Point</t>
  </si>
  <si>
    <t>1 6 30 2107</t>
  </si>
  <si>
    <t>ICE002075/44984/1.1.1./H12UP5</t>
  </si>
  <si>
    <t>85114460-e291-4477-bab4-57c1a7da9ba1</t>
  </si>
  <si>
    <t>Gumbati Boulevard Point | 1.1.1. (+) შემოსავალი ლიფტების რეალიზაციიდან | ბულვარ ფოინთ (ს.კ. 445527494) - შპს</t>
  </si>
  <si>
    <t>d0b71cce-b077-400a-9722-963ef3d1f7a0</t>
  </si>
  <si>
    <t>სფერა (ს.კ. 405412361) - შპს</t>
  </si>
  <si>
    <t>Batteries</t>
  </si>
  <si>
    <t>ICE001277/45001/1.1.3./68SF9U</t>
  </si>
  <si>
    <t>d7d18138-abc2-4a48-83bf-11f655f787ee</t>
  </si>
  <si>
    <t>Batteries | 1.1.3. (+) შემოსავალი ლიფტების სერვისიდან - არაგეგმიური | სფერა (ს.კ. 405412361) - შპს</t>
  </si>
  <si>
    <t>Central Office</t>
  </si>
  <si>
    <t>ICE000032/45013/1.2.1./WTQXSP</t>
  </si>
  <si>
    <t>45603235-6762-4618-a162-e5185e62d463</t>
  </si>
  <si>
    <t>Central Office | 1.2.1. (+) შემოსავალი MEP დანადგარების რეალიზაციიდან | თბილისი ცენტრალი (ს.კ. 205129653) - სს</t>
  </si>
  <si>
    <t>McDonalds Tsereteli</t>
  </si>
  <si>
    <t>ICE000014/45021/1.2.1./ARIWPX</t>
  </si>
  <si>
    <t>114ab34b-069e-41d2-8980-e9ab37f708c2</t>
  </si>
  <si>
    <t>McDonalds Tsereteli | 1.2.1. (+) შემოსავალი MEP დანადგარების რეალიზაციიდან | თბილი სახლი (ს.კ. 204976179) - შპს</t>
  </si>
  <si>
    <t>დრს ინტერნეიშენალ (ს.კ. 421279182) - შპს</t>
  </si>
  <si>
    <t>DRS AHU</t>
  </si>
  <si>
    <t>ICE002106/44922/1.2.1./Q0VTN3</t>
  </si>
  <si>
    <t>291d1023-6d7d-4e76-9d5c-bafd22b2d1df</t>
  </si>
  <si>
    <t>DRS AHU | 1.2.1. (+) შემოსავალი MEP დანადგარების რეალიზაციიდან | დრს ინტერნეიშენალ (ს.კ. 421279182) - შპს</t>
  </si>
  <si>
    <t>be223411-77aa-4717-a468-70bac3cee5ba</t>
  </si>
  <si>
    <t>1TV Fireboxes</t>
  </si>
  <si>
    <t>ICE000014/44986/1.2.1./XD0YPJ</t>
  </si>
  <si>
    <t>5b9bbcea-65ad-447e-b953-72656ef4dfed</t>
  </si>
  <si>
    <t>1TV Fireboxes | 1.2.1. (+) შემოსავალი MEP დანადგარების რეალიზაციიდან | თბილი სახლი (ს.კ. 204976179) - შპს</t>
  </si>
  <si>
    <t>კაზა დი ბათუმი (ს.კ. 405389397) - შპს</t>
  </si>
  <si>
    <t>Batumi office rental</t>
  </si>
  <si>
    <t>ICE001112/44057/1.3.2./1BUZYD</t>
  </si>
  <si>
    <t>e9c2f796-1747-4be3-b301-c28cfc381dec</t>
  </si>
  <si>
    <t>Batumi office rental | 1.3.2. (+) იჯარიდან მიღებული შემოსავალი | კაზა დი ბათუმი (ს.კ. 405389397) - შპს</t>
  </si>
  <si>
    <t>7B714BC6-6914-42A2-8E42-3565165F1489</t>
  </si>
  <si>
    <t>Digomi Elevator Service</t>
  </si>
  <si>
    <t>1 6 31 2060</t>
  </si>
  <si>
    <t>ICE002026/44927/1.1.2./AVZ3WP</t>
  </si>
  <si>
    <t>d64e89d4-5e06-419d-853e-cdc9fc33f100</t>
  </si>
  <si>
    <t>Digomi Elevator Service | 1.1.2. (+) შემოსავალი ლიფტების სერვისიდან - გეგმიური | გიორგი ჩხიკვიშვილი (ს.კ. 55001026533) - ფიზ. პირი</t>
  </si>
  <si>
    <t xml:space="preserve">Unix Lop &amp; Display </t>
  </si>
  <si>
    <t>ICE000008/44426/1.1.1./ZPWMSX</t>
  </si>
  <si>
    <t>1d49edfe-7b52-4f74-8d55-94ba2f180fae</t>
  </si>
  <si>
    <t>Unix Lop &amp; Display  | 1.1.1. (+) შემოსავალი ლიფტების რეალიზაციიდან | იუნიქს ქონსთრაქშენ კომპანი (ს.კ. 405133822) - შპს</t>
  </si>
  <si>
    <t>Lisi Green Apartaments</t>
  </si>
  <si>
    <t>ICE001742/45017/1.1.1./RE1PYV</t>
  </si>
  <si>
    <t>52008f18-ba5b-4a6c-a3c2-11b3b04a12ec</t>
  </si>
  <si>
    <t>Lisi Green Apartaments | 1.1.1. (+) შემოსავალი ლიფტების რეალიზაციიდან | გრინ დეველოპმენტი (ს.კ. 204452412) - შპს</t>
  </si>
  <si>
    <t>სახლი ძველ ბათუმში (ს.კ. 445433610) - შპს</t>
  </si>
  <si>
    <t>Chkonia Elevator</t>
  </si>
  <si>
    <t>1 6 30 2169</t>
  </si>
  <si>
    <t>ICE002123/45017/1.1.1./JOQTGL</t>
  </si>
  <si>
    <t>89b62d34-69c6-4d75-9082-21ae2a575cd2</t>
  </si>
  <si>
    <t>Chkonia Elevator | 1.1.1. (+) შემოსავალი ლიფტების რეალიზაციიდან | სახლი ძველ ბათუმში (ს.კ. 445433610) - შპს</t>
  </si>
  <si>
    <t>d8ec4c2f-8b68-413b-94fb-7491c3500643</t>
  </si>
  <si>
    <t>HGI DOOR</t>
  </si>
  <si>
    <t>ICE000118/45035/1.1.1./YIPG40</t>
  </si>
  <si>
    <t>ff726ffe-984d-4c8e-93d1-0cde30c09915</t>
  </si>
  <si>
    <t>HGI DOOR | 1.2.1. (+) შემოსავალი MEP დანადგარების რეალიზაციიდან | მეპერსი (ს.კ. 402121887) - შპს</t>
  </si>
  <si>
    <t>Calligraphy Hilton 2</t>
  </si>
  <si>
    <t>1 6 30 2053</t>
  </si>
  <si>
    <t>ICE002074/44986/1.3.2./MUNRS1</t>
  </si>
  <si>
    <t>c3a3712d-535f-4bbb-960a-7b3bbf0ceb61</t>
  </si>
  <si>
    <t>Calligraphy Hilton 2 | 1.1.1. (+) შემოსავალი ლიფტების რეალიზაციიდან | გრანდ მაისონ (ს.კ. 445575333) - შპს</t>
  </si>
  <si>
    <t>ანაგი დეველოპმენტი 1 (ს.კ. 404567713) - შპს</t>
  </si>
  <si>
    <t>Park Home Vake Galleria Elevator</t>
  </si>
  <si>
    <t>1 6 30 2176 1</t>
  </si>
  <si>
    <t>ICE002130/45037/1.1.1./52WO6O</t>
  </si>
  <si>
    <t>4786fd1f-1178-455d-8319-f9da57fd8b64</t>
  </si>
  <si>
    <t>Park Home Vake Galleria Elevator | 1.1.1. (+) შემოსავალი ლიფტების რეალიზაციიდან | ანაგი დეველოპმენტი 1 (ს.კ. 404567713) - შპს</t>
  </si>
  <si>
    <t>a95a2d00-27d9-45bb-932b-1fee2c37e12f</t>
  </si>
  <si>
    <t>სამშენებლო კომპანია სურმანიძეები (ს.კ. 445455846) - შპს</t>
  </si>
  <si>
    <t>Surmanidzeebi</t>
  </si>
  <si>
    <t>1 6 30 2136</t>
  </si>
  <si>
    <t>ICE002136/45013/1.1.1./BHAE6Y</t>
  </si>
  <si>
    <t>8f2f7aed-4d82-4397-a4ea-323e61adbb46</t>
  </si>
  <si>
    <t>Surmanidzeebi | 1.1.1. (+) შემოსავალი ლიფტების რეალიზაციიდან | სამშენებლო კომპანია სურმანიძეები (ს.კ. 445455846) - შპს</t>
  </si>
  <si>
    <t>c70fd842-c346-4a84-bd1e-4722b5d1a274</t>
  </si>
  <si>
    <t>ზვიად ჯორბენაძე (ს.კ. 61001067900) - ფიზ. პირი</t>
  </si>
  <si>
    <t>Honda Civic</t>
  </si>
  <si>
    <t>ICE002129/44965/1.3.1./VGLRMV</t>
  </si>
  <si>
    <t>941e1441-95a1-4cee-b83b-2c61c507985c</t>
  </si>
  <si>
    <t>Honda Civic | 1.3.1. (+) სხვადასხვა ინვენტარის რეალიზაცია | ზვიად ჯორბენაძე (ს.კ. 61001067900) - ფიზ. პირი</t>
  </si>
  <si>
    <t>0fcd4c13-f8a0-4818-af10-86eaa3835e9a</t>
  </si>
  <si>
    <t>Dar Building Additional floors</t>
  </si>
  <si>
    <t>ICE000012/44886/1.1.1./Z7TK6X</t>
  </si>
  <si>
    <t>5b5344f4-07bf-4d7c-917c-b1b40647365c</t>
  </si>
  <si>
    <t>Dar Building Additional floors | 1.1.1. (+) შემოსავალი ლიფტების რეალიზაციიდან | Dar Building (ს.კ. 445420875) - შპს</t>
  </si>
  <si>
    <t>Multisplits PHS</t>
  </si>
  <si>
    <t>1 6 30 1911 2</t>
  </si>
  <si>
    <t>ICE001874/45047/1.2.1./JNHF5Y</t>
  </si>
  <si>
    <t>5c4ac886-3367-47a8-8a0f-c90fcbf09056</t>
  </si>
  <si>
    <t>Multisplits PHS | 1.2.1. (+) შემოსავალი MEP დანადგარების რეალიზაციიდან | ნუცუბიძე (ს.კ. 405387861) - შპს</t>
  </si>
  <si>
    <t>Vake Sewage</t>
  </si>
  <si>
    <t>1 6 30 2011 5</t>
  </si>
  <si>
    <t>ICE1905/45057/1.2.3./QUMAW7</t>
  </si>
  <si>
    <t>a0dc3a44-ff44-406c-9a35-625b0c375406</t>
  </si>
  <si>
    <t>Vake Sewage | 1.2.3. (+) შემოსავალი MEP დანადგარების სერვისიდან - არაგეგმიური | ინდეკო სი ემ  (ს.კ. 405508339) - შპს</t>
  </si>
  <si>
    <t>ელენა მამმადოვა (ს.კ. 01794001582) - ფიზ. პირი</t>
  </si>
  <si>
    <t>Multisplit</t>
  </si>
  <si>
    <t>ICE002152/45047/1.2.1./VCF8DR</t>
  </si>
  <si>
    <t>07e39a1b-b47b-4ba4-aedb-422b32920f28</t>
  </si>
  <si>
    <t>Multisplit | 1.2.1. (+) შემოსავალი MEP დანადგარების რეალიზაციიდან | ელენა მამმადოვა (ს.კ. 01794001582) - ფიზ. პირი</t>
  </si>
  <si>
    <t>9aae924c-d530-4bd0-9c1d-c0555fe1bdd8</t>
  </si>
  <si>
    <t>დავით ნიკოლეიშვილი (ს.კ. 01027021475) - ფიზ. პირი</t>
  </si>
  <si>
    <t>ICE002153/45065/1.2.1./WXT6EM</t>
  </si>
  <si>
    <t>3fb97ee9-631f-42c6-bdca-dbfd70394b1e</t>
  </si>
  <si>
    <t>Multisplit | 1.2.1. (+) შემოსავალი MEP დანადგარების რეალიზაციიდან | დავით ნიკოლეიშვილი (ს.კ. 01027021475) - ფიზ. პირი</t>
  </si>
  <si>
    <t>96e814a7-0ea0-4456-822e-aace5104bb21</t>
  </si>
  <si>
    <t>Radius Hotel</t>
  </si>
  <si>
    <t>ICE000014/45064/1.2.3./TXMPDT</t>
  </si>
  <si>
    <t>62e37f16-7154-4a43-8ffe-0e513bd9a0b3</t>
  </si>
  <si>
    <t>Radius Hotel | 1.2.3. (+) შემოსავალი MEP დანადგარების სერვისიდან - არაგეგმიური | თბილი სახლი (ს.კ. 204976179) - შპს</t>
  </si>
  <si>
    <t>ფუჯინ სილქ ფროფერთის (ს.კ. 405273421) - შპს</t>
  </si>
  <si>
    <t>IBIS Airport</t>
  </si>
  <si>
    <t>1 6 30 2227</t>
  </si>
  <si>
    <t>ICE002155/45063/1.1.1./X82ASM</t>
  </si>
  <si>
    <t>ca9deb3d-d5ee-4c04-895a-eb76a052daa7</t>
  </si>
  <si>
    <t>IBIS Airport | 1.1.1. (+) შემოსავალი ლიფტების რეალიზაციიდან | ფუჯინ სილქ ფროფერთის (ს.კ. 405273421) - შპს</t>
  </si>
  <si>
    <t>29819612-a8bd-4077-9dca-f8fa83efd344</t>
  </si>
  <si>
    <t>MHI Control Module</t>
  </si>
  <si>
    <t>ICE000118/45068/1.2.1./R8H0FQ</t>
  </si>
  <si>
    <t>4246f582-09d7-4be3-b051-3545dd92b417</t>
  </si>
  <si>
    <t>MHI Control Module | 1.2.1. (+) შემოსავალი MEP დანადგარების რეალიზაციიდან | მეპერსი (ს.კ. 402121887) - შპს</t>
  </si>
  <si>
    <t>აიემდი (ს.კ. 405203462) - შპს</t>
  </si>
  <si>
    <t>Paco</t>
  </si>
  <si>
    <t>ICE002171/45083/1.2.1./T3FS57</t>
  </si>
  <si>
    <t>d2bbf476-3a4e-41dc-8ab6-f79660138b81</t>
  </si>
  <si>
    <t>Paco | 1.2.1. (+) შემოსავალი MEP დანადგარების რეალიზაციიდან | აიემდი (ს.კ. 405203462) - შპს</t>
  </si>
  <si>
    <t>cff9dc1e-06da-4399-84fd-f1b90087db9d</t>
  </si>
  <si>
    <t>სამიტი ქონსთრაქშენ (ს.კ. 406328184) - შპს</t>
  </si>
  <si>
    <t>Summit</t>
  </si>
  <si>
    <t>1 6 30 2211</t>
  </si>
  <si>
    <t>ICE002170/45091/1.1.1./UTRVW2</t>
  </si>
  <si>
    <t>08936dc9-0304-4142-beba-61315bee23b5</t>
  </si>
  <si>
    <t>Summit | 1.1.1. (+) შემოსავალი ლიფტების რეალიზაციიდან | სამიტი ქონსთრაქშენ (ს.კ. 406328184) - შპს</t>
  </si>
  <si>
    <t>b54b4a98-20a8-4003-b7a9-7ff81336509a</t>
  </si>
  <si>
    <t>Kontakt Home</t>
  </si>
  <si>
    <t>ICE000032/45099/1.2.1./ASEQTN</t>
  </si>
  <si>
    <t>e6fe1cf0-a4b8-4e34-9a39-525f707c342c</t>
  </si>
  <si>
    <t>Kontakt Home | 1.2.1. (+) შემოსავალი MEP დანადგარების რეალიზაციიდან | თბილისი ცენტრალი (ს.კ. 205129653) - სს</t>
  </si>
  <si>
    <t>Vake Fire Fighting</t>
  </si>
  <si>
    <t>1 6 30 2176 2</t>
  </si>
  <si>
    <t>ICE002130/45078/1.2.1./UQIQUV</t>
  </si>
  <si>
    <t>5e8c28b6-119f-4764-bd50-805b7118009e</t>
  </si>
  <si>
    <t>Vake Fire Fighting | 1.2.1. (+) შემოსავალი MEP დანადგარების რეალიზაციიდან | ანაგი დეველოპმენტი 1 (ს.კ. 404567713) - შპს</t>
  </si>
  <si>
    <t>Vake VRV</t>
  </si>
  <si>
    <t>1 6 30 2011 4</t>
  </si>
  <si>
    <t>ICE1905/45078/1.2.1./6GSUQW</t>
  </si>
  <si>
    <t>55787cc8-c7dd-4a23-9669-c83c2863fb2e</t>
  </si>
  <si>
    <t>Vake VRV | 1.2.1. (+) შემოსავალი MEP დანადგარების რეალიზაციიდან | ინდეკო სი ემ  (ს.კ. 405508339) - შპს</t>
  </si>
  <si>
    <t>Founder Home</t>
  </si>
  <si>
    <t>ICE001265/45062/1.2.1./RF24S3</t>
  </si>
  <si>
    <t>cc20c9d4-7dd6-4aca-8fee-67c931041e9b</t>
  </si>
  <si>
    <t>Founder Home | 1.2.1. (+) შემოსავალი MEP დანადგარების რეალიზაციიდან | არგო გრუპ ჯორჯია (ს.კ. 400113532) - შპს</t>
  </si>
  <si>
    <t>გამა (ს.კ. 204425906) - შპს</t>
  </si>
  <si>
    <t>Havana Club Mziuri</t>
  </si>
  <si>
    <t>1 6 30 2185</t>
  </si>
  <si>
    <t>ICE002175/45078/1.2.1./SUU52O</t>
  </si>
  <si>
    <t>2ae6b16b-be5c-48a1-a8d9-51e053f4f122</t>
  </si>
  <si>
    <t>Havana Club Mziuri | 1.2.1. (+) შემოსავალი MEP დანადგარების რეალიზაციიდან | გამა (ს.კ. 204425906) - შპს</t>
  </si>
  <si>
    <t>9d479107-f451-448d-8205-8209116e776d</t>
  </si>
  <si>
    <t>BLC Service</t>
  </si>
  <si>
    <t>ICE001765/45104/1.2.3./5LAZUT</t>
  </si>
  <si>
    <t>a97997c1-bee4-4370-b013-a11ccec9cc2f</t>
  </si>
  <si>
    <t>BLC Service | 1.2.3. (+) შემოსავალი MEP დანადგარების სერვისიდან - არაგეგმიური | ბიელსი (ს.კ. 404507182) - შპს</t>
  </si>
  <si>
    <t>Shartava</t>
  </si>
  <si>
    <t>ICE000118/45108/1.1.1./95WZ7W</t>
  </si>
  <si>
    <t>9f39081e-da54-4b36-8e76-a61025d8a505</t>
  </si>
  <si>
    <t>Shartava | 1.1.1. (+) შემოსავალი ლიფტების რეალიზაციიდან | მეპერსი (ს.კ. 402121887) - შპს</t>
  </si>
  <si>
    <t>ICE002070/45110/1.1.1./N3R0Q7</t>
  </si>
  <si>
    <t>edcc23a1-daf5-47c1-b7f2-46b6b93c967c</t>
  </si>
  <si>
    <t>ავტოტრანსპორტი 91 (ს.კ. 212670091) - შპს</t>
  </si>
  <si>
    <t>Digomi trade center</t>
  </si>
  <si>
    <t>ვლადიმერი ცერცვაძე (ს.კ. 01006011583) - ფიზ. პირი</t>
  </si>
  <si>
    <t>1 6 30 2241</t>
  </si>
  <si>
    <t>ICE002188/45124/1.1.1./Z1573T</t>
  </si>
  <si>
    <t>0c670545-0080-494a-9715-866f00f3f6d6</t>
  </si>
  <si>
    <t>Digomi trade center | 1.1.1. (+) შემოსავალი ლიფტების რეალიზაციიდან | ავტოტრანსპორტი 91 (ს.კ. 212670091) - შპს</t>
  </si>
  <si>
    <t>3996dec0-72d8-4e84-aa05-ef12be35540f</t>
  </si>
  <si>
    <t>fd6be193-fd0d-47e3-96b1-e5a6e1948c27</t>
  </si>
  <si>
    <t>Hilton Batumi VTF System Parts</t>
  </si>
  <si>
    <t>ICE001080/45121/1.2.1./S9OEYC</t>
  </si>
  <si>
    <t>ec15a6bf-2cbf-422c-bdc7-02fd532342a3</t>
  </si>
  <si>
    <t>Hilton Batumi VTF System Parts | 1.2.1. (+) შემოსავალი MEP დანადგარების რეალიზაციიდან | ტურინვესტი (ს.კ. 245555554) - შპს</t>
  </si>
  <si>
    <t>Kvareli Pool AHU</t>
  </si>
  <si>
    <t>ICE1905/45141/1.2.1./K7SOD3</t>
  </si>
  <si>
    <t>22059889-dd7b-4edd-b729-9115c05b7e37</t>
  </si>
  <si>
    <t>Kvareli Pool AHU | 1.2.1. (+) შემოსავალი MEP დანადგარების რეალიზაციიდან | ინდეკო სი ემ  (ს.კ. 405508339) - შპს</t>
  </si>
  <si>
    <t>პრომეჩი (ს.კ. 445496213) - შპს</t>
  </si>
  <si>
    <t>Batumi Restaurant Promech</t>
  </si>
  <si>
    <t>ICE002202/45127/1.2.1./XZKAIE</t>
  </si>
  <si>
    <t>b0be5274-ae97-423e-8f09-7f2271128fc0</t>
  </si>
  <si>
    <t>Batumi Restaurant Promech | 1.2.1. (+) შემოსავალი MEP დანადგარების რეალიზაციიდან | პრომეჩი (ს.კ. 445496213) - შპს</t>
  </si>
  <si>
    <t>056243e1-d8ba-4179-92bf-3e7184f1a861</t>
  </si>
  <si>
    <t>Central Compressors 2023</t>
  </si>
  <si>
    <t>ICE000032/45145/1.2.1./A9237D</t>
  </si>
  <si>
    <t>6a96f913-7fc9-420f-9a28-f08c0966d903</t>
  </si>
  <si>
    <t>Central Compressors 2023 | 1.2.1. (+) შემოსავალი MEP დანადგარების რეალიზაციიდან | თბილისი ცენტრალი (ს.კ. 205129653) - სს</t>
  </si>
  <si>
    <t>Escalator PCB</t>
  </si>
  <si>
    <t>ICE000112/45007/1.1.3./LRQV7T</t>
  </si>
  <si>
    <t>1201270d-7b5c-49b7-b018-4a907af6c80a</t>
  </si>
  <si>
    <t>Escalator PCB | 1.1.3. (+) შემოსავალი ლიფტების სერვისიდან - არაგეგმიური | გალერია თბილისი (ს.კ. 204558497) - შპს</t>
  </si>
  <si>
    <t>Park Home Mziuri Rooftop</t>
  </si>
  <si>
    <t>ICE000014/45152/1.2.1./GPXOYW</t>
  </si>
  <si>
    <t>d43b879c-f195-4d3e-9993-6904d02fe92e</t>
  </si>
  <si>
    <t>Park Home Mziuri Rooftop | 1.2.1. (+) შემოსავალი MEP დანადგარების რეალიზაციიდან | თბილი სახლი (ს.კ. 204976179) - შპს</t>
  </si>
  <si>
    <t>Ramishvili VRF Instalation</t>
  </si>
  <si>
    <t>1 6 30 2011 8</t>
  </si>
  <si>
    <t>ICE1905/45154/1.2.1./12AT6C</t>
  </si>
  <si>
    <t>40cbbbc9-6d45-44b5-b444-aad5b7898901</t>
  </si>
  <si>
    <t>Ramishvili VRF Instalation | 1.2.1. (+) შემოსავალი MEP დანადგარების რეალიზაციიდან | ინდეკო სი ემ  (ს.კ. 405508339) - შპს</t>
  </si>
  <si>
    <t>SCHERCO TRADING AG (ს.კ. ICE002054) - უცხოური საწარმო</t>
  </si>
  <si>
    <t>Amera Bank 3</t>
  </si>
  <si>
    <t>ICE002054/45147/1.2.1./HUB5VY</t>
  </si>
  <si>
    <t>8633f9a0-0740-4210-ad2c-2c07d58023c9</t>
  </si>
  <si>
    <t>Amera Bank 3 | 1.2.1. (+) შემოსავალი MEP დანადგარების რეალიზაციიდან | SCHERCO TRADING AG (ს.კ. ICE002054) - უცხოური საწარმო</t>
  </si>
  <si>
    <t>9b9261d9-c555-41c5-b2ed-e426d38a4046</t>
  </si>
  <si>
    <t>Nutsubidze</t>
  </si>
  <si>
    <t>1 6 30 1559</t>
  </si>
  <si>
    <t>ICE001277/45149/1.1.1./KMPUYF</t>
  </si>
  <si>
    <t>baf8c1ad-ba54-4470-8429-9ea13b05d403</t>
  </si>
  <si>
    <t>Nutsubidze | 1.1.1. (+) შემოსავალი ლიფტების რეალიზაციიდან | სფერა (ს.კ. 405412361) - შპს</t>
  </si>
  <si>
    <t>Orbi C block reprograming</t>
  </si>
  <si>
    <t>ICE000002/-612401/1.1.1./LVRJGK</t>
  </si>
  <si>
    <t>487d50cd-4c0b-492a-a348-7ffb8cc84fa6</t>
  </si>
  <si>
    <t>Orbi C block reprograming | 1.1.1. (+) შემოსავალი ლიფტების რეალიზაციიდან | ორბი ჯგუფი (ს.კ. 245621849) - შპს</t>
  </si>
  <si>
    <t>Orbi D1 block reprograming</t>
  </si>
  <si>
    <t>ICE000002/45057/1.1.1./6TE98O</t>
  </si>
  <si>
    <t>01fd2a41-941d-4242-aead-a59939c0a310</t>
  </si>
  <si>
    <t>Orbi D1 block reprograming | 1.1.1. (+) შემოსავალი ლიფტების რეალიზაციიდან | ორბი ჯგუფი ბათუმი (ს.კ. 445468798) - შპს</t>
  </si>
  <si>
    <t>სანა მენტე (ს.კ. 405627022) - შპს</t>
  </si>
  <si>
    <t>Rehab VRF</t>
  </si>
  <si>
    <t>1 6 30 2223 2</t>
  </si>
  <si>
    <t>ICE002206/45118/1.2.1./T56QVE</t>
  </si>
  <si>
    <t>c805db3b-b5a0-423a-a595-2f8747197154</t>
  </si>
  <si>
    <t>Rehab VRF | 1.2.1. (+) შემოსავალი MEP დანადგარების რეალიზაციიდან | სანა მენტე (ს.კ. 405627022) - შპს</t>
  </si>
  <si>
    <t>c0b77bb7-83ab-4024-9056-742018da5474</t>
  </si>
  <si>
    <t>Rehab VRF Installation</t>
  </si>
  <si>
    <t>ICE002206/45119/1.2.1./T0DQ6F</t>
  </si>
  <si>
    <t>36ae3a96-77d4-4b3e-af11-1190de1c9e62</t>
  </si>
  <si>
    <t>Rehab VRF Installation | 1.2.1. (+) შემოსავალი MEP დანადგარების რეალიზაციიდან | სანა მენტე (ს.კ. 405627022) - შპს</t>
  </si>
  <si>
    <t>ფეიმანე ქალამიან (ს.კ. 01797002696) - ფიზ. პირი</t>
  </si>
  <si>
    <t>Kalamian - Mitsubishi Conditioner</t>
  </si>
  <si>
    <t>ICE002207/45155/1.2.1./PH3XUA</t>
  </si>
  <si>
    <t>1968d0be-3775-4213-a43c-a1eb2b4463c5</t>
  </si>
  <si>
    <t>Kalamian - Mitsubishi Conditioner | 1.2.1. (+) შემოსავალი MEP დანადგარების რეალიზაციიდან | ფეიმანე ქალამიან (ს.კ. 01797002696) - ფიზ. პირი</t>
  </si>
  <si>
    <t>b6998308-186a-4cda-b4b0-91d4643e7caa</t>
  </si>
  <si>
    <t>Rehab Elevators</t>
  </si>
  <si>
    <t>1 6 30 2223 1</t>
  </si>
  <si>
    <t>ICE002206/45119/1.1.1./KXNPZ5</t>
  </si>
  <si>
    <t>09f3b0fe-b189-4d75-a0ce-6bbab4a07918</t>
  </si>
  <si>
    <t>Rehab Elevators | 1.1.1. (+) შემოსავალი ლიფტების რეალიზაციიდან | სანა მენტე (ს.კ. 405627022) - შპს</t>
  </si>
  <si>
    <t>ბერკეტი-დიზაინი (ს.კ. 204909812) - შპს</t>
  </si>
  <si>
    <t>MHI Products</t>
  </si>
  <si>
    <t>ICE000109/45163/1.2.1./1HDX0V</t>
  </si>
  <si>
    <t>a389eb6f-dbb0-48a5-a16c-463ff453a49e</t>
  </si>
  <si>
    <t>MHI Products | 1.2.1. (+) შემოსავალი MEP დანადგარების რეალიზაციიდან | ბერკეტი-დიზაინი (ს.კ. 204909812) - შპს</t>
  </si>
  <si>
    <t>BF286322-BCFC-403B-B707-B476132F6DD3</t>
  </si>
  <si>
    <t>Doors change</t>
  </si>
  <si>
    <t>დავით ჩიტაიშვილი (ს.კ. 01030049942) - ფიზ. პირი</t>
  </si>
  <si>
    <t>1 6 30 1703 2</t>
  </si>
  <si>
    <t>ICE001741/45167/1.1.3./Q2B3LK</t>
  </si>
  <si>
    <t>bb5aa003-4709-4b84-b34a-e5972a2aeba6</t>
  </si>
  <si>
    <t>Doors change | 1.1.3. (+) შემოსავალი ლიფტების სერვისიდან - არაგეგმიური | მზიური რეზორტ (ს.კ. 404462256) - შპს</t>
  </si>
  <si>
    <t>f226abbb-d682-476f-9fea-3665c62bccb6</t>
  </si>
  <si>
    <t>Rehab Sewage</t>
  </si>
  <si>
    <t>ICE002206/45108/1.2.3./XRMUJI</t>
  </si>
  <si>
    <t>38a77239-0fb4-46cc-8d7d-24b496b6edb3</t>
  </si>
  <si>
    <t>Rehab Sewage | 1.2.3. (+) შემოსავალი MEP დანადგარების სერვისიდან - არაგეგმიური | სანა მენტე (ს.კ. 405627022) - შპს</t>
  </si>
  <si>
    <t>მასტერ ოქეი (ს.კ. 402010471) - შპს</t>
  </si>
  <si>
    <t>2 Units Mitsubishi Conditioner</t>
  </si>
  <si>
    <t>ICE002215/45174/1.2.1./FZOGMV</t>
  </si>
  <si>
    <t>f212a910-48b7-498f-aaf6-f4db782fabd0</t>
  </si>
  <si>
    <t>2 Units Mitsubishi Conditioner | 1.2.1. (+) შემოსავალი MEP დანადგარების რეალიზაციიდან | მასტერ ოქეი (ს.კ. 402010471) - შპს</t>
  </si>
  <si>
    <t>a0033d80-db06-4e8b-8076-16df0eed7a22</t>
  </si>
  <si>
    <t>Ford Center Compressor Control Board</t>
  </si>
  <si>
    <t>ICE000014/45168/1.2.1./DVIRS2</t>
  </si>
  <si>
    <t>6437eb9d-d258-4248-aea1-ce4eaaa7aa9b</t>
  </si>
  <si>
    <t>Ford Center Compressor Control Board | 1.2.1. (+) შემოსავალი MEP დანადგარების რეალიზაციიდან | თბილი სახლი (ს.კ. 204976179) - შპს</t>
  </si>
  <si>
    <t>პალმ აპარტამენტი (ს.კ. 445614381) - შპს</t>
  </si>
  <si>
    <t>Palm Apartments</t>
  </si>
  <si>
    <t>1 6 30 2228</t>
  </si>
  <si>
    <t>ICE002221/45118/1.1.1./DR5MP9</t>
  </si>
  <si>
    <t>3b997bb5-00c5-4577-87b9-e8f1edd0138a</t>
  </si>
  <si>
    <t>Palm Apartments | 1.1.1. (+) შემოსავალი ლიფტების რეალიზაციიდან | პალმ აპარტამენტი (ს.კ. 445614381) - შპს</t>
  </si>
  <si>
    <t>bb626e89-30fe-4cee-a96c-2bd575e6fdcd</t>
  </si>
  <si>
    <t>გუმბათი აპარტი კვარიათი (ს.კ. 445580782) - შპს</t>
  </si>
  <si>
    <t>Gumbati Apart Kvariati</t>
  </si>
  <si>
    <t>1 6 30 2260</t>
  </si>
  <si>
    <t>ICE2222/45142/1.1.1./QQ58DM</t>
  </si>
  <si>
    <t>aac70fb5-413e-4415-a4c2-43209ede6023</t>
  </si>
  <si>
    <t>Gumbati Apart Kvariati | 1.1.1. (+) შემოსავალი ლიფტების რეალიზაციიდან | გუმბათი აპარტი კვარიათი (ს.კ. 445580782) - შპს</t>
  </si>
  <si>
    <t>57c12b0b-0ce9-4985-b5a2-5b3ffb02ee7d</t>
  </si>
  <si>
    <t>P4 P5 Elevator Sensor</t>
  </si>
  <si>
    <t>ICE000012/45182/1.1.3./WYP47H</t>
  </si>
  <si>
    <t>bb2e558a-fce9-44a5-b1a9-f99f461a92ef</t>
  </si>
  <si>
    <t>P4 P5 Elevator Sensor | 1.1.3. (+) შემოსავალი ლიფტების სერვისიდან - არაგეგმიური | Dar Building (ს.კ. 445420875) - შპს</t>
  </si>
  <si>
    <t>Building elevator spareparts</t>
  </si>
  <si>
    <t>ICE001874/45170/1.1.3./OUAPCW</t>
  </si>
  <si>
    <t>1aa67a2e-97fc-4acc-a9f4-34c63f8f808a</t>
  </si>
  <si>
    <t>Building elevator spareparts | 1.1.3. (+) შემოსავალი ლიფტების სერვისიდან - არაგეგმიური | ნუცუბიძე (ს.კ. 405387861) - შპს</t>
  </si>
  <si>
    <t>Batumi McDonald's Rooftop</t>
  </si>
  <si>
    <t>ICE000014/45187/1.1.3./PLE0DK</t>
  </si>
  <si>
    <t>4564c27e-98e4-48cb-bfd4-6fce8ab3be17</t>
  </si>
  <si>
    <t>Batumi McDonald's Rooftop | 1.1.3. (+) შემოსავალი ლიფტების სერვისიდან - არაგეგმიური | თბილი სახლი (ს.კ. 204976179) - შპს</t>
  </si>
  <si>
    <t>Kvareli Mockup</t>
  </si>
  <si>
    <t>ICE1905/44908/1.2.1./WPUZO9</t>
  </si>
  <si>
    <t>8f037e09-90e9-4c9b-a993-afd83ccc0168</t>
  </si>
  <si>
    <t>Kvareli Mockup | 1.2.1. (+) შემოსავალი MEP დანადგარების რეალიზაციიდან | ინდეკო სი ემ  (ს.კ. 405508339) - შპს</t>
  </si>
  <si>
    <t>Kvareli VRF FILTER Installation</t>
  </si>
  <si>
    <t>ICE1905/45064/1.2.1./OT2PEV</t>
  </si>
  <si>
    <t>6f2e0f98-f2a0-4f33-b359-d639c5918972</t>
  </si>
  <si>
    <t>Kvareli VRF FILTER Installation | 1.2.1. (+) შემოსავალი MEP დანადგარების რეალიზაციიდან | ინდეკო სი ემ  (ს.კ. 405508339) - შპს</t>
  </si>
  <si>
    <t>Batumi Multisplits Instalation</t>
  </si>
  <si>
    <t>ICE001697/45196/1.2.3./OJFXLR</t>
  </si>
  <si>
    <t>2189eac4-47d5-4cb9-aa64-9e984ff0a0db</t>
  </si>
  <si>
    <t>Batumi Multisplits Instalation | 1.2.3. (+) შემოსავალი MEP დანადგარების სერვისიდან - არაგეგმიური | თენგიზ სარჯველაძე (ს.კ. 61001018248) - ფიზ. პირი</t>
  </si>
  <si>
    <t>Rooftop Parts</t>
  </si>
  <si>
    <t>ICE000020/44882/1.2.1./R5SZSD</t>
  </si>
  <si>
    <t>89e63c65-0c75-4997-9a1b-929d9804c011</t>
  </si>
  <si>
    <t>Rooftop Parts | 1.2.1. (+) შემოსავალი MEP დანადგარების რეალიზაციიდან | ჯი-ემ-თი მთაწმინდა (ს.კ. 203843396) - შპს</t>
  </si>
  <si>
    <t>VRF Materials</t>
  </si>
  <si>
    <t>1 6 30 2223 3</t>
  </si>
  <si>
    <t>ICE002206/45170/1.2.1./4U2OSN</t>
  </si>
  <si>
    <t>95e2ef5c-9438-42f4-824b-80841e2868f7</t>
  </si>
  <si>
    <t>VRF Materials | 1.2.1. (+) შემოსავალი MEP დანადგარების რეალიზაციიდან | სანა მენტე (ს.კ. 405627022) - შპს</t>
  </si>
  <si>
    <t>დიღომი 2ბ სერვისი (ს.კ. 405476319) - შპს</t>
  </si>
  <si>
    <t>Dighomi 2B</t>
  </si>
  <si>
    <t>1 6 31 2266</t>
  </si>
  <si>
    <t>ICE002273/45139/1.1.2./6W3VMF</t>
  </si>
  <si>
    <t>f1fdd175-3a75-4da2-8bfd-8ab11ac03bd4</t>
  </si>
  <si>
    <t>Dighomi 2B | 1.1.2. (+) შემოსავალი ლიფტების სერვისიდან - გეგმიური | დიღომი 2ბ სერვისი (ს.კ. 405476319) - შპს</t>
  </si>
  <si>
    <t>3ae947be-c7e8-4c9b-a3f7-202f90d8534c</t>
  </si>
  <si>
    <t>Dighomi 2B Push Button</t>
  </si>
  <si>
    <t>ICE002273/45181/1.1.3./VU4KOW</t>
  </si>
  <si>
    <t>7ddad25f-27c2-44d5-9764-7a8dcd599a6f</t>
  </si>
  <si>
    <t>Dighomi 2B Push Button | 1.1.3. (+) შემოსავალი ლიფტების სერვისიდან - არაგეგმიური | დიღომი 2ბ სერვისი (ს.კ. 405476319) - შპს</t>
  </si>
  <si>
    <t>Vehicle TOYOTA 2014</t>
  </si>
  <si>
    <t>ICE000436/44866/1.3.1./I1UA2W</t>
  </si>
  <si>
    <t>46ced0cf-f8e8-40db-8161-4be66840d7fb</t>
  </si>
  <si>
    <t>Vehicle TOYOTA 2014 | 1.3.1. (+) სხვადასხვა ინვენტარის რეალიზაცია | გიორგი ბახტაძე (ს.კ. 01024067298) - ფიზ. პირი</t>
  </si>
  <si>
    <t>McDonalds Marjanishvili Rooftop</t>
  </si>
  <si>
    <t>ICE000014/45085/1.2.1./TUXNWO</t>
  </si>
  <si>
    <t>58e66a51-4df4-45a2-8ce1-b070b0fadf53</t>
  </si>
  <si>
    <t>McDonalds Marjanishvili Rooftop | 1.2.1. (+) შემოსავალი MEP დანადგარების რეალიზაციიდან | თბილი სახლი (ს.კ. 204976179) - შპს</t>
  </si>
  <si>
    <t>Kvareli VRV Installation</t>
  </si>
  <si>
    <t>1 6 30 2011 3</t>
  </si>
  <si>
    <t>ICE1905/44986/1.1.1./7IKQP5</t>
  </si>
  <si>
    <t>44ee63f2-ba08-4974-a1bb-5e7685edc6bc</t>
  </si>
  <si>
    <t>Kvareli VRV Installation | 1.2.1. (+) შემოსავალი MEP დანადგარების რეალიზაციიდან | ინდეკო სი ემ  (ს.კ. 405508339) - შპს</t>
  </si>
  <si>
    <t>Kvareli Additional VRF Installation</t>
  </si>
  <si>
    <t>ICE1905/45210/1.2.1./OEIVTW</t>
  </si>
  <si>
    <t>34b8252a-b352-4b53-8829-831191f45f9d</t>
  </si>
  <si>
    <t>Kvareli Additional VRF Installation | 1.2.1. (+) შემოსავალი MEP დანადგარების რეალიზაციიდან | ინდეკო სი ემ  (ს.კ. 405508339) - შპს</t>
  </si>
  <si>
    <t>ვრფ სისტემის დიაგნოსტიკა ინვ#-03/10</t>
  </si>
  <si>
    <t>ICE001881/45200/1.2.3./05REW2</t>
  </si>
  <si>
    <t>382737af-5914-449b-afca-4ffcd5b1eff8</t>
  </si>
  <si>
    <t>ვრფ სისტემის დიაგნოსტიკა ინვ#-03/10 | 1.2.3. (+) შემოსავალი MEP დანადგარების სერვისიდან - არაგეგმიური | აიდისი (ს.კ. 204998342) - შპს</t>
  </si>
  <si>
    <t>Batumi Stock</t>
  </si>
  <si>
    <t>ICE000169/45200/1.1.1./WCOTVP</t>
  </si>
  <si>
    <t>1c74e4d0-0cbe-4773-80d1-3a4d5f1ae5df</t>
  </si>
  <si>
    <t>Batumi Stock | 1.1.1. (+) შემოსავალი ლიფტების რეალიზაციიდან | აი-სი-ი (ს.კ. 400017245) - შპს</t>
  </si>
  <si>
    <t>Lisi Development 1 UNIT</t>
  </si>
  <si>
    <t>ICE000118/45225/1.1.1./X5PO9Y</t>
  </si>
  <si>
    <t>aa0b9453-b8ba-4dbc-8979-c1022c5aeac2</t>
  </si>
  <si>
    <t>Lisi Development 1 UNIT | 1.1.1. (+) შემოსავალი ლიფტების რეალიზაციიდან | მეპერსი (ს.კ. 402121887) - შპს</t>
  </si>
  <si>
    <t>დეკა დიდი დიღომი (ს.კ. 405569665) - შპს</t>
  </si>
  <si>
    <t>Deka Digomi</t>
  </si>
  <si>
    <t>1 6 30 2303</t>
  </si>
  <si>
    <t>ICE002282/45210/1.1.1./OXBYSN</t>
  </si>
  <si>
    <t>b92c6fb2-c824-4dd4-b4f8-0ba598efd62d</t>
  </si>
  <si>
    <t>Deka Digomi | 1.1.1. (+) შემოსავალი ლიფტების რეალიზაციიდან | დეკა დიდი დიღომი (ს.კ. 405569665) - შპს</t>
  </si>
  <si>
    <t>10949402-30d0-47ee-aa9d-276f36d955dd</t>
  </si>
  <si>
    <t>Car Platform</t>
  </si>
  <si>
    <t>ICE002130/45108/1.1.1./I0WWU9</t>
  </si>
  <si>
    <t>a0f00f4d-4bb0-4b09-9f9c-ed7cbb850265</t>
  </si>
  <si>
    <t>Car Platform | 1.1.1. (+) შემოსავალი ლიფტების რეალიზაციიდან | ანაგი დეველოპმენტი 1 (ს.კ. 404567713) - შპს</t>
  </si>
  <si>
    <t>არეალი (ს.კ. 448389994) - შპს</t>
  </si>
  <si>
    <t>Areali</t>
  </si>
  <si>
    <t>1 6 30 2299</t>
  </si>
  <si>
    <t>ICE002283/45170/1.1.1./IERQ38</t>
  </si>
  <si>
    <t>26da9e97-399d-469c-aa11-e061edd24207</t>
  </si>
  <si>
    <t>Areali | 1.1.1. (+) შემოსავალი ლიფტების რეალიზაციიდან | არეალი (ს.კ. 448389994) - შპს</t>
  </si>
  <si>
    <t>f51b97a2-8a30-484a-86fd-afe8641e24ed</t>
  </si>
  <si>
    <t>Kvareli FF Pump</t>
  </si>
  <si>
    <t>ICE1905/45243/1.2.1./Y0B5TC</t>
  </si>
  <si>
    <t>51c4f399-7516-49f6-8866-15dfa81b0dfa</t>
  </si>
  <si>
    <t>Kvareli FF Pump | 1.2.1. (+) შემოსავალი MEP დანადგარების რეალიზაციიდან | ინდეკო სი ემ  (ს.კ. 405508339) - შპს</t>
  </si>
  <si>
    <t>Ramishvili Toshiba Installation</t>
  </si>
  <si>
    <t>ICE1905/45292/1.2.3./6RQAWP</t>
  </si>
  <si>
    <t>42a33c36-9ecc-4af0-9c4d-51b064a5f4be</t>
  </si>
  <si>
    <t>Ramishvili Toshiba Installation | 1.2.3. (+) შემოსავალი MEP დანადგარების სერვისიდან - არაგეგმიური | ინდეკო სი ემ  (ს.კ. 405508339) - შპს</t>
  </si>
  <si>
    <t>Ramishvili Toshiba Ventilation Equipment</t>
  </si>
  <si>
    <t>1 6 30 2011 13</t>
  </si>
  <si>
    <t>ICE1905/45231/1.2.1./W0LVU8</t>
  </si>
  <si>
    <t>7a8b7cb9-8b2a-4f36-8266-3229fc6cdc10</t>
  </si>
  <si>
    <t>Ramishvili Toshiba Ventilation Equipment | 1.2.1. (+) შემოსავალი MEP დანადგარების რეალიზაციიდან | ინდეკო სი ემ  (ს.კ. 405508339) - შპს</t>
  </si>
  <si>
    <t>Kvareli Additional VRV Controllers</t>
  </si>
  <si>
    <t>ICE1905/45203/1.2.1./IVNXS4</t>
  </si>
  <si>
    <t>85619090-cfc9-414d-b63c-31f431322e8b</t>
  </si>
  <si>
    <t>Kvareli Additional VRV Controllers | 1.2.1. (+) შემოსავალი MEP დანადგარების რეალიზაციიდან | ინდეკო სი ემ  (ს.კ. 405508339) - შპს</t>
  </si>
  <si>
    <t>Kvareli Dammaged Indoor 2 Units</t>
  </si>
  <si>
    <t>ICE1905/45203/1.2.1./QSAOQ2</t>
  </si>
  <si>
    <t>c7bf5a1d-f3dc-4d45-a4b3-ae3a08abb27e</t>
  </si>
  <si>
    <t>Kvareli Dammaged Indoor 2 Units | 1.2.1. (+) შემოსავალი MEP დანადგარების რეალიზაციიდან | ინდეკო სი ემ  (ს.კ. 405508339) - შპს</t>
  </si>
  <si>
    <t>VRF Service</t>
  </si>
  <si>
    <t>1630 634</t>
  </si>
  <si>
    <t>ICE000109/45231/1.2.3./UU51NH</t>
  </si>
  <si>
    <t>93834e5b-2fd1-4660-a4ca-d1f781b03d90</t>
  </si>
  <si>
    <t>VRF Service | 1.2.3. (+) შემოსავალი MEP დანადგარების სერვისიდან - არაგეგმიური | ბერკეტი-დიზაინი (ს.კ. 204909812) - შპს</t>
  </si>
  <si>
    <t>ავენიუ ბაი ორბი (ს.კ. 445488749) - შპს</t>
  </si>
  <si>
    <t>Bagrationi Avenue</t>
  </si>
  <si>
    <t>ICE002291/45231/1.1.1./RQ1K3F</t>
  </si>
  <si>
    <t>1db66f5a-cd02-4227-8346-8d530e7ddd6b</t>
  </si>
  <si>
    <t>Bagrationi Avenue | 1.1.1. (+) შემოსავალი ლიფტების რეალიზაციიდან | ავენიუ ბაი ორბი (ს.კ. 445488749) - შპს</t>
  </si>
  <si>
    <t>79dd9f3e-f8fc-44d0-991d-84b033122a43</t>
  </si>
  <si>
    <t>არგო მენეჯმენტი  (ს.კ. 445391647) - შპს</t>
  </si>
  <si>
    <t>Radisson Batumi Reabilitation</t>
  </si>
  <si>
    <t>ლევან წერეთელი (ს.კ. 01007013287) - ფიზ. პირი</t>
  </si>
  <si>
    <t>1 6 30 2307</t>
  </si>
  <si>
    <t>ICE002302/45200/1.1.3./P1NC7M</t>
  </si>
  <si>
    <t>480e736d-51e2-4a6d-86f4-8a71c80dd24d</t>
  </si>
  <si>
    <t>Radisson Batumi Reabilitation | 1.1.3. (+) შემოსავალი ლიფტების სერვისიდან - არაგეგმიური | არგო მენეჯმენტი  (ს.კ. 445391647) - შპს</t>
  </si>
  <si>
    <t>4122dbf7-d9ab-4887-8878-b24f2e384d89</t>
  </si>
  <si>
    <t>4c25a3b7-d112-4c46-aa9a-b2513a44f1b7</t>
  </si>
  <si>
    <t>B Block Divider Materials</t>
  </si>
  <si>
    <t>1.1.4. (+) შემოსავალი ლიფტების შახტის გამყოფები</t>
  </si>
  <si>
    <t>ლაშა თედორაძე (ს.კ. 61008003787) - ფიზ. პირი</t>
  </si>
  <si>
    <t>ICE001124/45203/1.1.4./CKPDS7</t>
  </si>
  <si>
    <t>cc9b4fb4-2fc0-446f-b08e-95be3e015a3a</t>
  </si>
  <si>
    <t>B Block Divider Materials | 1.1.4. (+) შემოსავალი ლიფტების შახტის გამყოფები | ეიჩ გრუპ კონსტრაქშენ (ს.კ. 445510411) - შპს</t>
  </si>
  <si>
    <t>954A7962-CBD4-4685-8632-CAED15DD0A33</t>
  </si>
  <si>
    <t>01DFE71D-5350-4A02-ABCD-C6A3C15B94EE</t>
  </si>
  <si>
    <t>ტელეგრაფი (ს.კ. 404505406) - შპს</t>
  </si>
  <si>
    <t>Reinstallation</t>
  </si>
  <si>
    <t>ICE002297/45200/1.2.3./1T2DOR</t>
  </si>
  <si>
    <t>296398f5-32da-48d7-8649-3400d7102186</t>
  </si>
  <si>
    <t>Reinstallation | 1.2.3. (+) შემოსავალი MEP დანადგარების სერვისიდან - არაგეგმიური | ტელეგრაფი (ს.კ. 404505406) - შპს</t>
  </si>
  <si>
    <t>28c83760-9609-45b5-ba2b-10af914dc649</t>
  </si>
  <si>
    <t>Zurab Margvelashvili</t>
  </si>
  <si>
    <t>ICE000014/45231/1.2.1./F1TRXP</t>
  </si>
  <si>
    <t>2f9e7948-8da7-4630-8e1f-2164cb9dc44f</t>
  </si>
  <si>
    <t>Zurab Margvelashvili | 1.2.1. (+) შემოსავალი MEP დანადგარების რეალიზაციიდან | თბილი სახლი (ს.კ. 204976179) - შპს</t>
  </si>
  <si>
    <t>ვახტანგი ხაბაზი (ს.კ. 61004063799) - ფიზ. პირი</t>
  </si>
  <si>
    <t>Khabazi Kobuleti</t>
  </si>
  <si>
    <t>1 6 30 2347</t>
  </si>
  <si>
    <t>ICE002306/45264/1.1.1./4F2RPV</t>
  </si>
  <si>
    <t>0fd47e4e-273e-460f-8104-df710082a6e3</t>
  </si>
  <si>
    <t>Khabazi Kobuleti | 1.1.1. (+) შემოსავალი ლიფტების რეალიზაციიდან | ვახტანგი ხაბაზი (ს.კ. 61004063799) - ფიზ. პირი</t>
  </si>
  <si>
    <t>7da2982f-8cef-4eb7-ab5d-1b22651ade10</t>
  </si>
  <si>
    <t>Kvareli Sprinklers</t>
  </si>
  <si>
    <t>ICE1905/45203/1.2.1./N9QDTM</t>
  </si>
  <si>
    <t>84775209-02e2-47b7-ab93-434105e43323</t>
  </si>
  <si>
    <t>Kvareli Sprinklers | 1.2.1. (+) შემოსავალი MEP დანადგარების რეალიზაციიდან | ინდეკო სი ემ  (ს.კ. 405508339) - შპს</t>
  </si>
  <si>
    <t>Kvareli Fire Valve</t>
  </si>
  <si>
    <t>ICE1905/45203/1.2.1./I8QTVR</t>
  </si>
  <si>
    <t>39868c8f-40b2-4d1a-9d7b-5c9aa3a74a08</t>
  </si>
  <si>
    <t>Kvareli Fire Valve | 1.2.1. (+) შემოსავალი MEP დანადგარების რეალიზაციიდან | ინდეკო სი ემ  (ს.კ. 405508339) - შპს</t>
  </si>
  <si>
    <t>Ramishvili Firefighting</t>
  </si>
  <si>
    <t>1 6 30 2011 6</t>
  </si>
  <si>
    <t>ICE1905/45261/1.2.1./L4SOSG</t>
  </si>
  <si>
    <t>7b52b8fb-689a-4d49-8d34-bc72a92f96e7</t>
  </si>
  <si>
    <t>Ramishvili Firefighting | 1.2.1. (+) შემოსავალი MEP დანადგარების რეალიზაციიდან | ინდეკო სი ემ  (ს.კ. 405508339) - შპს</t>
  </si>
  <si>
    <t>Ramishvili Ventilation</t>
  </si>
  <si>
    <t>ICE1905/45261/1.2.1./MCZ3HW</t>
  </si>
  <si>
    <t>983d4226-1568-4120-9a00-7ada71216d53</t>
  </si>
  <si>
    <t>Ramishvili Ventilation | 1.2.1. (+) შემოსავალი MEP დანადგარების რეალიზაციიდან | ინდეკო სი ემ  (ს.კ. 405508339) - შპს</t>
  </si>
  <si>
    <t>VRF Repair</t>
  </si>
  <si>
    <t>ICE001881/45267/1.2.3./X31QRL</t>
  </si>
  <si>
    <t>cbb5c2d7-c64b-42c9-af69-16b45493c0dd</t>
  </si>
  <si>
    <t>VRF Repair | 1.2.3. (+) შემოსავალი MEP დანადგარების სერვისიდან - არაგეგმიური | აიდისი (ს.კ. 204998342) - შპს</t>
  </si>
  <si>
    <t>Saakadze McDonalds Rooftops lounching</t>
  </si>
  <si>
    <t>ICE000014/45261/1.2.2./WS3FQH</t>
  </si>
  <si>
    <t>9caa02e5-e5ab-4d2d-8e44-d3cafa253c14</t>
  </si>
  <si>
    <t>Saakadze McDonalds Rooftops lounching | 1.2.2. (+) შემოსავალი MEP დანადგარების სერვისიდან - გეგმიური | თბილი სახლი (ს.კ. 204976179) - შპს</t>
  </si>
  <si>
    <t>იორკ ჰოლდინგ გრუპი (ს.კ. 430800733) - შპს</t>
  </si>
  <si>
    <t>Kuwait Villa</t>
  </si>
  <si>
    <t>1 6 30 2322</t>
  </si>
  <si>
    <t>ICE002326/45200/1.1.1./SAHQBU</t>
  </si>
  <si>
    <t>79ec2226-b764-414f-a89b-8b373172eccd</t>
  </si>
  <si>
    <t>Kuwait Villa | 1.1.1. (+) შემოსავალი ლიფტების რეალიზაციიდან | იორკ ჰოლდინგ გრუპი (ს.კ. 430800733) - შპს</t>
  </si>
  <si>
    <t>e2fdc997-fb84-4392-a1c5-6f31e02526f7</t>
  </si>
  <si>
    <t>DIAGNOSTICA MEDICAL CORPORATION (ს.კ.  01202228) - უცხოური საწარმო</t>
  </si>
  <si>
    <t>Laboratoria</t>
  </si>
  <si>
    <t>ICE002327/45104/1.2.1./JKTTAQ</t>
  </si>
  <si>
    <t>f438b982-9914-413c-b500-5c67e2c42ff2</t>
  </si>
  <si>
    <t>Laboratoria | 1.2.1. (+) შემოსავალი MEP დანადგარების რეალიზაციიდან | DIAGNOSTICA MEDICAL CORPORATION (ს.კ.  01202228) - უცხოური საწარმო</t>
  </si>
  <si>
    <t>aa934aac-5710-48b1-9f92-8758072e74af</t>
  </si>
  <si>
    <t>gvantsalebanidze21@gmail.com</t>
  </si>
  <si>
    <t>Svogan LLC (ს.კ. 0) - უცხოური საწარმო</t>
  </si>
  <si>
    <t>Laboratoria2</t>
  </si>
  <si>
    <t>ICE002327/45028/1.2.1./QW6XCY</t>
  </si>
  <si>
    <t>e2eee0d4-7f27-4681-b208-ed6998ade489</t>
  </si>
  <si>
    <t>Laboratoria2 | 1.2.1. (+) შემოსავალი MEP დანადგარების რეალიზაციიდან | Svogan LLC (ს.კ. 0) - უცხოური საწარმო</t>
  </si>
  <si>
    <t>ada4b871-9f07-4e9c-9745-637ba83cab2f</t>
  </si>
  <si>
    <t>ევროპროდუქტი (ს.კ. 202227134) - შპს</t>
  </si>
  <si>
    <t>1 6 30 1522</t>
  </si>
  <si>
    <t>ICE001258/45019/1.1.1./ULCNUQ</t>
  </si>
  <si>
    <t>b56a9f5c-9602-4b8f-81a8-9d7a45cfd0bc</t>
  </si>
  <si>
    <t>Kaklebi | 1.1.1. (+) შემოსავალი ლიფტების რეალიზაციიდან | ევროპროდუქტი (ს.კ. 202227134) - შპს</t>
  </si>
  <si>
    <t>4437EBC3-984C-475E-84DF-3153C2A50708</t>
  </si>
  <si>
    <t>ICE001258/45259/1.1.2./XXE0VP</t>
  </si>
  <si>
    <t>e8a6e825-a7af-4503-ab81-fa285d3ac8d3</t>
  </si>
  <si>
    <t>Kaklebi | 1.1.2. (+) შემოსავალი ლიფტების სერვისიდან - გეგმიური | ევროპროდუქტი (ს.კ. 202227134) - შპს</t>
  </si>
  <si>
    <t>Pirosmani King Solomon</t>
  </si>
  <si>
    <t>ICE001888/45093/1.1.2./BUXPEN</t>
  </si>
  <si>
    <t>40514d95-7eb9-485c-8d7b-66063e9fa051</t>
  </si>
  <si>
    <t>Pirosmani King Solomon | 1.1.2. (+) შემოსავალი ლიფტების სერვისიდან - გეგმიური | გოლდენ გრუპ (ს.კ. 445519831) - შპს</t>
  </si>
  <si>
    <t>Sunrise Shartava</t>
  </si>
  <si>
    <t>ICE001140/45200/1.1.2./GVX6OU</t>
  </si>
  <si>
    <t>96ea85b6-ed1c-4a7f-9207-0f2adca47803</t>
  </si>
  <si>
    <t>Sunrise Shartava | 1.1.2. (+) შემოსავალი ლიფტების სერვისიდან - გეგმიური | სანრაიზ დეველოპმენტი (ს.კ. 405285221) - შპს</t>
  </si>
  <si>
    <t>Parnavaz Mepis 26</t>
  </si>
  <si>
    <t>ICE002273/45139/1.1.2./QOJB1T</t>
  </si>
  <si>
    <t>dbacb19b-c9f3-43d5-b317-3aacc1ccaeac</t>
  </si>
  <si>
    <t>Parnavaz mepis 26 | 1.1.2. (+) შემოსავალი ლიფტების სერვისიდან - გეგმიური | დიღომი 2ბ სერვისი (ს.კ. 405476319) - შპს</t>
  </si>
  <si>
    <t>Aleqseevka</t>
  </si>
  <si>
    <t>ICE001766/45170/1.1.2./JP6DS2</t>
  </si>
  <si>
    <t>a9f12776-d4df-490f-9568-76a563f60b71</t>
  </si>
  <si>
    <t>Aleqseevka | 1.1.2. (+) შემოსავალი ლიფტების სერვისიდან - გეგმიური | ემ ელ სი ლოჯისტიკს (ს.კ. 405380181) - შპს</t>
  </si>
  <si>
    <t>Arqi mindeli</t>
  </si>
  <si>
    <t>ICE000941/44531/1.1.2./XENYAU</t>
  </si>
  <si>
    <t>2421757e-72bb-4e3c-91e5-45543eb1955e</t>
  </si>
  <si>
    <t>Arqi mindeli | 1.1.2. (+) შემოსავალი ლიფტების სერვისიდან - გეგმიური | არქი საბურთალო (ს.კ. 405176982) - შპს</t>
  </si>
  <si>
    <t>ჯი ემ თი (ს.კ. 435431445) - შპს</t>
  </si>
  <si>
    <t>Marriots</t>
  </si>
  <si>
    <t>ICE1927/45292/1.1.2./FHVBQU</t>
  </si>
  <si>
    <t>0381a5c5-6a6d-4390-ab1e-6cebc3fa3a63</t>
  </si>
  <si>
    <t>Marriots | 1.1.2. (+) შემოსავალი ლიფტების სერვისიდან - გეგმიური | ჯი ემ თი (ს.კ. 435431445) - შპს</t>
  </si>
  <si>
    <t>f0e74704-bbe8-4b66-ab47-e463d9818101</t>
  </si>
  <si>
    <t>შ.პ.ს ბეტა ჰოთელს (ს.კ. 404585686) - შპს</t>
  </si>
  <si>
    <t>Akhvlediani 22</t>
  </si>
  <si>
    <t>ICE002330/44835/1.1.2./V5ME0W</t>
  </si>
  <si>
    <t>66f718a2-359b-4815-a3ab-19c0ca474a03</t>
  </si>
  <si>
    <t>Akhvlediani 22 | 1.1.2. (+) შემოსავალი ლიფტების სერვისიდან - გეგმიური | შ.პ.ს ბეტა ჰოთელს (ს.კ. 404585686) - შპს</t>
  </si>
  <si>
    <t>67db0446-9f2c-4963-99f1-7b3593938048</t>
  </si>
  <si>
    <t>კონსტანტინე ესაძე (ს.კ. 01009007850) - ფიზ. პირი</t>
  </si>
  <si>
    <t>Varazis 42</t>
  </si>
  <si>
    <t>ICE2331/45266/1.1.2./7JDV3W</t>
  </si>
  <si>
    <t>43511dc2-5ae3-4d82-8fd5-5e36b2761788</t>
  </si>
  <si>
    <t>Varazis 42 | 1.1.2. (+) შემოსავალი ლიფტების სერვისიდან - გეგმიური | კონსტანტინე ესაძე (ს.კ. 01009007850) - ფიზ. პირი</t>
  </si>
  <si>
    <t>a1a33d48-00a5-47eb-b6d2-e2a4ba886b04</t>
  </si>
  <si>
    <t>ეკატერინე ელისაბედაშვილი (ს.კ. 01019021472) - ფიზ. პირი</t>
  </si>
  <si>
    <t>Tskneti 51</t>
  </si>
  <si>
    <t>1631 2200</t>
  </si>
  <si>
    <t>ICE2332/45047/1.1.2./VAWCB0</t>
  </si>
  <si>
    <t>5c0ef5f8-b269-4f4d-a28a-7b7ffe944582</t>
  </si>
  <si>
    <t>Tskneti 51 | 1.1.2. (+) შემოსავალი ლიფტების სერვისიდან - გეგმიური | ეკატერინე ელისაბედაშვილი (ს.კ. 01019021472) - ფიზ. პირი</t>
  </si>
  <si>
    <t>c6fd871b-6503-4016-a944-8d66e0c0b2b9</t>
  </si>
  <si>
    <t>გრინლაიფ რეზიდენსი (ს.კ. 65002012550) - ამხანაგობა</t>
  </si>
  <si>
    <t>Okroyana</t>
  </si>
  <si>
    <t>ICE2333/45170/1.1.2./I6PT9J</t>
  </si>
  <si>
    <t>164ed54b-7598-4abe-879d-57ca8606f224</t>
  </si>
  <si>
    <t>Okroyana | 1.1.2. (+) შემოსავალი ლიფტების სერვისიდან - გეგმიური | გრინლაიფ რეზიდენსი (ს.კ. 65002012550) - ამხანაგობა</t>
  </si>
  <si>
    <t>2359c3bf-5b5c-47e8-af26-6afb7fcfdcc4</t>
  </si>
  <si>
    <t>მმს გრუპ (ს.კ. 445472774) - შპს</t>
  </si>
  <si>
    <t>mms group poti</t>
  </si>
  <si>
    <t>1 6 30 959</t>
  </si>
  <si>
    <t>ICE000618/45140/1.1.1./RYHVMN</t>
  </si>
  <si>
    <t>3b17cc5c-76ef-4e87-af6f-ea83aed78933</t>
  </si>
  <si>
    <t>mms group poti | 1.1.1. (+) შემოსავალი ლიფტების რეალიზაციიდან | მმს გრუპ (ს.კ. 445472774) - შპს</t>
  </si>
  <si>
    <t>D3053038-D0EF-4A29-A967-019DA8E78E0E</t>
  </si>
  <si>
    <t>Kvareli Residence</t>
  </si>
  <si>
    <t>ICE000118/45261/1.1.1./QIYL0B</t>
  </si>
  <si>
    <t>d0612a34-384f-4c73-92eb-c87f1c9ec412</t>
  </si>
  <si>
    <t>Kvareli Residence | 1.1.1. (+) შემოსავალი ლიფტების რეალიზაციიდან | მეპერსი (ს.კ. 402121887) - შპს</t>
  </si>
  <si>
    <t>Refugee Tbilisi</t>
  </si>
  <si>
    <t>1 6 30 1132 7</t>
  </si>
  <si>
    <t>ICE000033/45261/1.1.1./QCT6W2</t>
  </si>
  <si>
    <t>f38187c6-ded0-4c0b-a01c-7b024ab809fb</t>
  </si>
  <si>
    <t>Refugee Tbilisi | 1.1.1. (+) შემოსავალი ლიფტების რეალიზაციიდან | ანაგი (ს.კ. 245416401) - შპს</t>
  </si>
  <si>
    <t>GRG VRF Lounching abashidze</t>
  </si>
  <si>
    <t>ICE000014/45286/1.2.3./FBIQN9</t>
  </si>
  <si>
    <t>a959679b-542c-4b5b-abc6-9363ae3ca772</t>
  </si>
  <si>
    <t>GRG VRF Lounching abashidze | 1.2.3. (+) შემოსავალი MEP დანადგარების სერვისიდან - არაგეგმიური | თბილი სახლი (ს.კ. 204976179) - შპს</t>
  </si>
  <si>
    <t>საქკაბელი (ს.კ. 230026888) - სს</t>
  </si>
  <si>
    <t>VRV Service</t>
  </si>
  <si>
    <t>ICE000143/45286/1.2.2./O7VWCO</t>
  </si>
  <si>
    <t>fa5c2cb3-0a40-41c0-b49f-1d53a4e467f8</t>
  </si>
  <si>
    <t>VRV Service | 1.2.2. (+) შემოსავალი MEP დანადგარების სერვისიდან - გეგმიური | საქკაბელი (ს.კ. 230026888) - სს</t>
  </si>
  <si>
    <t>F7F095B6-FE57-40F1-97A5-BDD67B1849A7</t>
  </si>
  <si>
    <t>PCB</t>
  </si>
  <si>
    <t>ICE000125/45261/1.1.3./Z0U1TK</t>
  </si>
  <si>
    <t>8ef98bb4-46de-465f-8e8d-0451b1364872</t>
  </si>
  <si>
    <t>PCB | 1.1.3. (+) შემოსავალი ლიფტების სერვისიდან - არაგეგმიური | 1920 (ს.კ. 400247899) - შპს</t>
  </si>
  <si>
    <t>ICE000023/45261/1.1.3./630OTH</t>
  </si>
  <si>
    <t>6b931bff-bc20-4d76-967e-e24a2efc8d28</t>
  </si>
  <si>
    <t>PCB | 1.1.3. (+) შემოსავალი ლიფტების სერვისიდან - არაგეგმიური | ეიჩ ენდ ემ ჰენეს ენდ მაურიც ჯორჯია (ს.კ. 405164192) - შპს</t>
  </si>
  <si>
    <t>Central Thermal Curtains</t>
  </si>
  <si>
    <t>ICE000032/45286/1.2.1./XMHSOW</t>
  </si>
  <si>
    <t>604444b8-4c21-428f-944a-402d544fee8c</t>
  </si>
  <si>
    <t>Central Thermal Curtains | 1.2.1. (+) შემოსავალი MEP დანადგარების რეალიზაციიდან | თბილისი ცენტრალი (ს.კ. 205129653) - სს</t>
  </si>
  <si>
    <t>Kvareli 3 units PFD Box</t>
  </si>
  <si>
    <t>ICE1905/45309/1.2.1./NP9853</t>
  </si>
  <si>
    <t>07066b48-2e48-40b9-954f-8c7b665da5bd</t>
  </si>
  <si>
    <t>Kvareli 3 units PFD Box | 1.2.1. (+) შემოსავალი MEP დანადგარების რეალიზაციიდან | ინდეკო სი ემ  (ს.კ. 405508339) - შპს</t>
  </si>
  <si>
    <t>Ramishvili Toshiba Installation Materials</t>
  </si>
  <si>
    <t>ICE1905/45309/1.2.1./TWELFT</t>
  </si>
  <si>
    <t>bb30cf11-f2b7-4538-b4ae-4e6b2d3e152f</t>
  </si>
  <si>
    <t>Ramishvili Toshiba Installation Materials | 1.2.1. (+) შემოსავალი MEP დანადგარების რეალიზაციიდან | ინდეკო სი ემ  (ს.კ. 405508339) - შპს</t>
  </si>
  <si>
    <t>მტზ კომპანი (ს.კ. 445525478) - შპს</t>
  </si>
  <si>
    <t>MTZ</t>
  </si>
  <si>
    <t>1 6 30 2487</t>
  </si>
  <si>
    <t>ICE002292/45200/1.1.1./EC7QBP</t>
  </si>
  <si>
    <t>49abdf1f-68e9-42f1-ab2d-8bc5c3a6fd07</t>
  </si>
  <si>
    <t>MTZ | 1.1.1. (+) შემოსავალი ლიფტების რეალიზაციიდან | მტზ კომპანი (ს.კ. 445525478) - შპს</t>
  </si>
  <si>
    <t>ccabf454-5bc9-4a0f-a645-c4107db2dd65</t>
  </si>
  <si>
    <t>ლაქი ქონსთრაქშენ (ს.კ. 405370708) - შპს</t>
  </si>
  <si>
    <t>Roomix Tsintsadze</t>
  </si>
  <si>
    <t>ICE002358/45327/1.1.1./SNST9B</t>
  </si>
  <si>
    <t>a7380446-a51d-44c2-abf1-0d3a9899d3a2</t>
  </si>
  <si>
    <t>Roomix Tsintsadze | 1.1.1. (+) შემოსავალი ლიფტების რეალიზაციიდან | ლაქი ქონსთრაქშენ (ს.კ. 405370708) - შპს</t>
  </si>
  <si>
    <t>70db2095-a71a-4737-90f8-20712f6b22fe</t>
  </si>
  <si>
    <t>EurAsia Klimat LLC (ს.კ. 230840027493) - უცხოური საწარმო</t>
  </si>
  <si>
    <t>MHI KZ 1</t>
  </si>
  <si>
    <t>ICE002361/45334/1.2.1./ZASFLV</t>
  </si>
  <si>
    <t>28f6d5e5-fb67-45f8-b809-5cfd36f97a16</t>
  </si>
  <si>
    <t>MHI KZ 1 | 1.2.1. (+) შემოსავალი MEP დანადგარების რეალიზაციიდან | EurAsia Klimat LLC (ს.კ. 230840027493) - უცხოური საწარმო</t>
  </si>
  <si>
    <t>a69d3dd6-7d2b-487f-89bd-41cd390d4f92</t>
  </si>
  <si>
    <t>Basis Bank</t>
  </si>
  <si>
    <t>ICE000118/45323/1.1.1./EBRHZO</t>
  </si>
  <si>
    <t>e8770a08-9484-4394-9de3-e3935258b642</t>
  </si>
  <si>
    <t>Basis Bank | 1.1.1. (+) შემოსავალი ლიფტების რეალიზაციიდან | მეპერსი (ს.კ. 402121887) - შპს</t>
  </si>
  <si>
    <t>European School</t>
  </si>
  <si>
    <t>ICE000014/45323/1.1.1./Y3U7RQ</t>
  </si>
  <si>
    <t>6e5808e2-a29e-4464-81e9-2e3d666a15d3</t>
  </si>
  <si>
    <t>European School | 1.1.1. (+) შემოსავალი ლიფტების რეალიზაციიდან | თბილი სახლი (ს.კ. 204976179) - შპს</t>
  </si>
  <si>
    <t>Tbilisi Office</t>
  </si>
  <si>
    <t>ICE000001/45625/1.1.1./WORTYV</t>
  </si>
  <si>
    <t>4df01905-84ef-4091-8953-a22ae03f9ce6</t>
  </si>
  <si>
    <t>Tbilisi Office | 1.1.1. (+) შემოსავალი ლიფტების რეალიზაციიდან | ორბი ჯგუფი ბათუმი (ს.კ. 445468798) - შპს</t>
  </si>
  <si>
    <t>Rehab Sewage Materials</t>
  </si>
  <si>
    <t>ICE002206/45200/1.2.1./WWOTAK</t>
  </si>
  <si>
    <t>7887aca3-740d-4e53-9411-ba8242f5967c</t>
  </si>
  <si>
    <t>Rehab Sewage Materials | 1.2.1. (+) შემოსავალი MEP დანადგარების რეალიზაციიდან | სანა მენტე (ს.კ. 405627022) - შპს</t>
  </si>
  <si>
    <t>Marjanishvili McDonalds rooftop lounch</t>
  </si>
  <si>
    <t>ICE000014/45323/1.2.3./Q9CUPH</t>
  </si>
  <si>
    <t>f177879d-9632-4101-a3b1-c6803f0916ca</t>
  </si>
  <si>
    <t>Marjanishvili McDonalds rooftop lounch | 1.2.3. (+) შემოსავალი MEP დანადგარების სერვისიდან - არაგეგმიური | თბილი სახლი (ს.კ. 204976179) - შპს</t>
  </si>
  <si>
    <t>Rehab Elevator Service</t>
  </si>
  <si>
    <t>1 6 31 2223</t>
  </si>
  <si>
    <t>ICE002206/45327/1.1.2./G2V89Z</t>
  </si>
  <si>
    <t>ded3025d-334a-4727-976f-86da84c255b3</t>
  </si>
  <si>
    <t>Rehab Elevator Service | 1.1.2. (+) შემოსავალი ლიფტების სერვისიდან - გეგმიური | სანა მენტე (ს.კ. 405627022) - შპს</t>
  </si>
  <si>
    <t>მარდი ჰილსი (ს.კ. 405572633) - შპს</t>
  </si>
  <si>
    <t>Mardi Hills</t>
  </si>
  <si>
    <t>1 6 30 2433</t>
  </si>
  <si>
    <t>ICE002369/45343/1.1.1./CK1VLR</t>
  </si>
  <si>
    <t>718513f9-2755-4018-830d-913ed00cc4ed</t>
  </si>
  <si>
    <t>Mardi Hills | 1.1.1. (+) შემოსავალი ლიფტების რეალიზაციიდან | მარდი ჰილსი (ს.კ. 405572633) - შპს</t>
  </si>
  <si>
    <t>4ff0f14c-18c2-4c6e-bbd4-433567fb5d13</t>
  </si>
  <si>
    <t>არსენალ რეზიდენსი (ს.კ. 406259668) - შპს</t>
  </si>
  <si>
    <t>Arsenal</t>
  </si>
  <si>
    <t>1 6 30 2478</t>
  </si>
  <si>
    <t>ICE002431/45358/1.1.1./PD6EVW</t>
  </si>
  <si>
    <t>dface0a5-db2c-4fc9-93e6-ba7fc760d878</t>
  </si>
  <si>
    <t>Arsenal | 1.1.1. (+) შემოსავალი ლიფტების რეალიზაციიდან | არსენალ რეზიდენსი (ს.კ. 406259668) - შპს</t>
  </si>
  <si>
    <t>47fc6b08-c195-42a2-a278-4bb92c38215a</t>
  </si>
  <si>
    <t>GAS CO Additional</t>
  </si>
  <si>
    <t>ICE000118/45352/1.1.1./VJ5G0U</t>
  </si>
  <si>
    <t>3cdf2630-031f-4a44-b14e-796215b8ab47</t>
  </si>
  <si>
    <t>GAS CO Additional | 1.1.1. (+) შემოსავალი ლიფტების რეალიზაციიდან | მეპერსი (ს.კ. 402121887) - შპს</t>
  </si>
  <si>
    <t>როტა (ს.კ. 445569484) - შპს</t>
  </si>
  <si>
    <t>Porta Tower</t>
  </si>
  <si>
    <t>1 6 30 2440</t>
  </si>
  <si>
    <t>ICE002437/45356/1.2.1./ISPE1D</t>
  </si>
  <si>
    <t>76cae4ca-14f9-4f0a-86e3-a9df2e66b7d2</t>
  </si>
  <si>
    <t>Porta Tower | 1.2.1. (+) შემოსავალი MEP დანადგარების რეალიზაციიდან | როტა (ს.კ. 445569484) - შპს</t>
  </si>
  <si>
    <t>33242781-7ede-4229-9843-adff806e25f4</t>
  </si>
  <si>
    <t>პროპერთი ინვესტ გრუპ (ს.კ. 405483285) - შპს</t>
  </si>
  <si>
    <t>Shalva Nutsubidze</t>
  </si>
  <si>
    <t>ICE002440/45352/1.1.1./BWYWO4</t>
  </si>
  <si>
    <t>943421a8-3197-42e0-8e9e-c06fcef579af</t>
  </si>
  <si>
    <t>Shalva Nutsubidze | 1.1.1. (+) შემოსავალი ლიფტების რეალიზაციიდან | პროპერთი ინვესტ გრუპ (ს.კ. 405483285) - შპს</t>
  </si>
  <si>
    <t>cddd77f0-2302-4d80-a93c-c148cd4b4b40</t>
  </si>
  <si>
    <t>გრანდე ჯგუფი (ს.კ. 404557127) - შპს</t>
  </si>
  <si>
    <t>Grande Krtsanisi</t>
  </si>
  <si>
    <t>1 6 30 2479</t>
  </si>
  <si>
    <t>ICE002441/45292/1.1.1./U7RAPB</t>
  </si>
  <si>
    <t>7c5fe502-ef1c-4e5a-a31e-4f338243d134</t>
  </si>
  <si>
    <t>Grande Krtsanisi | 1.1.1. (+) შემოსავალი ლიფტების რეალიზაციიდან | გრანდე ჯგუფი (ს.კ. 404557127) - შპს</t>
  </si>
  <si>
    <t>afcf1e96-482e-4089-8c1f-ba702ce22a77</t>
  </si>
  <si>
    <t>სქაი ბათუმი (ს.კ. 445552866) - შპს</t>
  </si>
  <si>
    <t>Gumbati Port Line</t>
  </si>
  <si>
    <t>1 6 30 2290</t>
  </si>
  <si>
    <t>ICE002443/45142/1.1.1./1Q8PYO</t>
  </si>
  <si>
    <t>21bca106-f31b-4dea-a174-984a6618d488</t>
  </si>
  <si>
    <t>Gumbati Port Line | 1.1.1. (+) შემოსავალი ლიფტების რეალიზაციიდან | სქაი ბათუმი (ს.კ. 445552866) - შპს</t>
  </si>
  <si>
    <t>51116bcd-7d52-4a9b-8943-d90e557988b0</t>
  </si>
  <si>
    <t>Alliance Highline FCU</t>
  </si>
  <si>
    <t>ICE002106/45210/1.2.1./DTVWFI</t>
  </si>
  <si>
    <t>9c11b7e9-5437-430b-a09a-41333f4f4f63</t>
  </si>
  <si>
    <t>Alliance Highline FCU | 1.2.1. (+) შემოსავალი MEP დანადგარების რეალიზაციიდან | დრს ინტერნეიშენალ (ს.კ. 421279182) - შპს</t>
  </si>
  <si>
    <t>Alliance Highline Thermostat</t>
  </si>
  <si>
    <t>ICE002106/45352/1.2.1./TX5RM8</t>
  </si>
  <si>
    <t>2cfbda54-f6d4-45b4-8be3-493e6826cd37</t>
  </si>
  <si>
    <t>Alliance Highline Thermostat | 1.2.1. (+) შემოსავალი MEP დანადგარების რეალიზაციიდან | დრს ინტერნეიშენალ (ს.კ. 421279182) - შპს</t>
  </si>
  <si>
    <t>ბესიკ ბერიძე (ს.კ. 01024001602) - ფიზ. პირი</t>
  </si>
  <si>
    <t>1 6 30 2323</t>
  </si>
  <si>
    <t>ICE002301/45236/1.2.1./SDVUIL</t>
  </si>
  <si>
    <t>2eb3c870-011f-4e35-a69e-8e33a5606cac</t>
  </si>
  <si>
    <t>MHI Products | 1.2.1. (+) შემოსავალი MEP დანადგარების რეალიზაციიდან | ბესიკ ბერიძე (ს.კ. 01024001602) - ფიზ. პირი</t>
  </si>
  <si>
    <t>a5835c0d-1e9d-4163-a328-16338bac23a5</t>
  </si>
  <si>
    <t>შატბერაშვილის 45 (ს.კ. 405629583) - შპს</t>
  </si>
  <si>
    <t>Shatberashvili 45</t>
  </si>
  <si>
    <t>1 6 30 2515</t>
  </si>
  <si>
    <t>ICE002453/45380/1.1.1./2WQQX4</t>
  </si>
  <si>
    <t>d5d18a0f-96b4-4fd2-b0f3-8711fd2250fb</t>
  </si>
  <si>
    <t>Shatberashvili 45 | 1.1.1. (+) შემოსავალი ლიფტების რეალიზაციიდან | შატბერაშვილის 45 (ს.კ. 405629583) - შპს</t>
  </si>
  <si>
    <t>5eab0795-4aa0-4463-ab1d-c1479107adeb</t>
  </si>
  <si>
    <t>Bochorma</t>
  </si>
  <si>
    <t>ICE002130/45323/1.1.1./1T6ZTS</t>
  </si>
  <si>
    <t>77940a07-673c-4724-a4aa-c946113a576a</t>
  </si>
  <si>
    <t>Bochorma | 1.1.1. (+) შემოსავალი ლიფტების რეალიზაციიდან | ანაგი დეველოპმენტი 1 (ს.კ. 404567713) - შპს</t>
  </si>
  <si>
    <t>საბურთალო ც სერვისი (ს.კ. 405476337) - შპს</t>
  </si>
  <si>
    <t>Archi Jikia</t>
  </si>
  <si>
    <t>ICE002460/45200/1.1.2./RSFLHW</t>
  </si>
  <si>
    <t>8af91e8f-51c5-44e9-a98b-f8c3caddeab6</t>
  </si>
  <si>
    <t>Archi Jikia | 1.1.2. (+) შემოსავალი ლიფტების სერვისიდან - გეგმიური | საბურთალო ც სერვისი (ს.კ. 405476337) - შპს</t>
  </si>
  <si>
    <t>3836cba6-ae69-41ef-a315-575084a0e5a5</t>
  </si>
  <si>
    <t>ისანი ც სერვისი 1 (ს.კ. 405476300) - შპს</t>
  </si>
  <si>
    <t>Archi Isani C1</t>
  </si>
  <si>
    <t>ICE002461/45292/1.1.2./S9K5XP</t>
  </si>
  <si>
    <t>2e8821cd-745d-4085-ac69-4491b771d14e</t>
  </si>
  <si>
    <t>Archi Isani C1 | 1.1.2. (+) შემოსავალი ლიფტების სერვისიდან - გეგმიური | ისანი ც სერვისი 1 (ს.კ. 405476300) - შპს</t>
  </si>
  <si>
    <t>7b6d9729-fd51-434e-b843-35b5747c8aad</t>
  </si>
  <si>
    <t>ისანი ც სერვისი 2 (ს.კ. 405476239) - შპს</t>
  </si>
  <si>
    <t>Archi Isani C2</t>
  </si>
  <si>
    <t>ICE2462/45292/1.1.2./AI8N9V</t>
  </si>
  <si>
    <t>6fbbd2ad-a245-4720-aac7-c133066457c4</t>
  </si>
  <si>
    <t>Archi Isani C2 | 1.1.2. (+) შემოსავალი ლიფტების სერვისიდან - გეგმიური | ისანი ც სერვისი 2 (ს.კ. 405476239) - შპს</t>
  </si>
  <si>
    <t>fa4c2d9d-30ee-44b2-895b-def767ca720e</t>
  </si>
  <si>
    <t>ისანი ც სერვისი 3 (ს.კ. 405476293) - შპს</t>
  </si>
  <si>
    <t>Archi Isani C3</t>
  </si>
  <si>
    <t>ICE2463/45292/1.1.2./9RZKVI</t>
  </si>
  <si>
    <t>ccf174ba-f7e4-4f35-9e32-47b8abfb9ecc</t>
  </si>
  <si>
    <t>Archi Isani C3 | 1.1.2. (+) შემოსავალი ლიფტების სერვისიდან - გეგმიური | ისანი ც სერვისი 3 (ს.კ. 405476293) - შპს</t>
  </si>
  <si>
    <t>d0e05e01-2b77-4814-9357-1afa4e6840fb</t>
  </si>
  <si>
    <t>ისანი დ სერვისი 1 (ს.კ. 405534827) - შპს</t>
  </si>
  <si>
    <t>Archi Isani D1</t>
  </si>
  <si>
    <t>ICE002464/45292/1.1.2./VWFAKX</t>
  </si>
  <si>
    <t>84e94800-fd73-4bf0-839c-0c8608bd5361</t>
  </si>
  <si>
    <t>Archi Isani D1 | 1.1.2. (+) შემოსავალი ლიფტების სერვისიდან - გეგმიური | ისანი დ სერვისი 1 (ს.კ. 405534827) - შპს</t>
  </si>
  <si>
    <t>d8ccd6eb-8968-4dde-9d27-f749fe868f0e</t>
  </si>
  <si>
    <t>ისანი დ სერვისი 2 (ს.კ. 405534863) - შპს</t>
  </si>
  <si>
    <t>Archi Isani D2</t>
  </si>
  <si>
    <t>1 6 31 2395</t>
  </si>
  <si>
    <t>ICE2465/45292/1.1.2./CITE5O</t>
  </si>
  <si>
    <t>0de8f5a3-d87b-4649-a3cf-5e44f733f284</t>
  </si>
  <si>
    <t>Archi Isani D2 | 1.1.2. (+) შემოსავალი ლიფტების სერვისიდან - გეგმიური | ისანი დ სერვისი 2 (ს.კ. 405534863) - შპს</t>
  </si>
  <si>
    <t>1d881f9c-7485-48af-a623-355b4fec316b</t>
  </si>
  <si>
    <t>ბეტა ჰოთელს (ს.კ. 404585686) - შპს</t>
  </si>
  <si>
    <t>IBIS Perov</t>
  </si>
  <si>
    <t>ICE002330/44835/1.1.2./S0YKP4</t>
  </si>
  <si>
    <t>b79db27b-4270-4cc8-ac5b-9114377d676b</t>
  </si>
  <si>
    <t>IBIS Perov | 1.1.2. (+) შემოსავალი ლიფტების სერვისიდან - გეგმიური | ბეტა ჰოთელს (ს.კ. 404585686) - შპს</t>
  </si>
  <si>
    <t>ამხანაგობა ბარათაშვილი 24 (ს.კ. ICE002467) - ამხანაგობა</t>
  </si>
  <si>
    <t>Baratashvili 24 DAR Building</t>
  </si>
  <si>
    <t>1 6 31 1961</t>
  </si>
  <si>
    <t>ICE002467/44774/1.1.2./VHA1WS</t>
  </si>
  <si>
    <t>e5aa83c7-7336-42b3-adbe-bcd77589b951</t>
  </si>
  <si>
    <t>Baratashvili 24 DAR Building | 1.1.2. (+) შემოსავალი ლიფტების სერვისიდან - გეგმიური | ამხანაგობა ბარათაშვილი 24 (ს.კ. ICE002467) - ამხანაგობა</t>
  </si>
  <si>
    <t>c06aa3be-bac2-459a-b58d-6b775f79f978</t>
  </si>
  <si>
    <t>ირაკლი კირცხალია (ს.კ. 01031005361) - ფიზ. პირი</t>
  </si>
  <si>
    <t>Epic Mziuri</t>
  </si>
  <si>
    <t>ICE002468/44805/1.1.2./OVQWU3</t>
  </si>
  <si>
    <t>1a4f7950-3ff2-4c27-a0f7-031f5d295a00</t>
  </si>
  <si>
    <t>Epic Mziuri | 1.1.2. (+) შემოსავალი ლიფტების სერვისიდან - გეგმიური | ირაკლი კირცხალია (ს.კ. 01031005361) - ფიზ. პირი</t>
  </si>
  <si>
    <t>de0ca828-ece8-4317-85d2-b5ce4076311c</t>
  </si>
  <si>
    <t>CASA DI BATUMI</t>
  </si>
  <si>
    <t>1 6 30 1486</t>
  </si>
  <si>
    <t>ICE001112/45105/1.1.1./RVF4BA</t>
  </si>
  <si>
    <t>1aa74853-22c6-45d3-bcb4-8a6ad960c25d</t>
  </si>
  <si>
    <t>CASA DI BATUMI | 1.1.1. (+) შემოსავალი ლიფტების რეალიზაციიდან | კაზა დი ბათუმი (ს.კ. 405389397) - შპს</t>
  </si>
  <si>
    <t>Grand Mall Batumi</t>
  </si>
  <si>
    <t>1 6 31 1959</t>
  </si>
  <si>
    <t>ICE001883/45200/1.1.2./S90IQR</t>
  </si>
  <si>
    <t>8fb1444a-6705-42af-a10e-b74ac62e4876</t>
  </si>
  <si>
    <t>Grand Mall Batumi | 1.1.2. (+) შემოსავალი ლიფტების სერვისიდან - გეგმიური | გრანდ მოლი (ს.კ. 445524479) - შპს</t>
  </si>
  <si>
    <t>Afisha Service</t>
  </si>
  <si>
    <t>1 6 31 2172</t>
  </si>
  <si>
    <t>ICE002069/45292/1.1.2./HXFOWP</t>
  </si>
  <si>
    <t>b4545c67-a31a-4b01-b60e-895432bb9ece</t>
  </si>
  <si>
    <t>Afisha Service | 1.1.2. (+) შემოსავალი ლიფტების სერვისიდან - გეგმიური | მელიქიშვილი ინნ (ს.კ. 405463546) - შპს</t>
  </si>
  <si>
    <t>1 TV Service</t>
  </si>
  <si>
    <t>ICE000014/45292/1.1.2./NUIB08</t>
  </si>
  <si>
    <t>9ca3527c-2e17-4d5e-b95f-f4f9af9c8f45</t>
  </si>
  <si>
    <t>1 TV Service | 1.1.2. (+) შემოსავალი ლიფტების სერვისიდან - გეგმიური | თბილი სახლი (ს.კ. 204976179) - შპს</t>
  </si>
  <si>
    <t>7th Sky Service</t>
  </si>
  <si>
    <t>ICE001124/45292/1.1.2./I1J0P2</t>
  </si>
  <si>
    <t>be52609c-9f8d-4a8f-9386-2ef0e7538f65</t>
  </si>
  <si>
    <t>7th Sky Service | 1.1.2. (+) შემოსავალი ლიფტების სერვისიდან - გეგმიური | ეიჩ გრუპ კონსტრაქშენ (ს.კ. 445510411) - შპს</t>
  </si>
  <si>
    <t>Alliance Highline Service</t>
  </si>
  <si>
    <t>ICE001822/45292/1.1.2./TYV1WP</t>
  </si>
  <si>
    <t>68eaa004-8e63-435c-99f5-01c79d60e3c6</t>
  </si>
  <si>
    <t>Alliance Highline Service | 1.1.2. (+) შემოსავალი ლიფტების სერვისიდან - გეგმიური | ალიანსი თბილისი (ს.კ. 405144703) - შპს</t>
  </si>
  <si>
    <t>ჯორჯიან გოლდ ინვესტ (ს.კ. 405602968) - სს</t>
  </si>
  <si>
    <t>Installation</t>
  </si>
  <si>
    <t>ICE002475/45375/1.2.3./4PT69C</t>
  </si>
  <si>
    <t>6f68e719-7e41-4de7-9bd6-8f1f83113386</t>
  </si>
  <si>
    <t>Installation | 1.2.3. (+) შემოსავალი MEP დანადგარების სერვისიდან - არაგეგმიური | ჯორჯიან გოლდ ინვესტ (ს.კ. 405602968) - სს</t>
  </si>
  <si>
    <t>e9c2c691-a5fa-47fe-b9ff-74f2fce6a33d</t>
  </si>
  <si>
    <t>ICE001882/45292/1.1.2./5WAKVZ</t>
  </si>
  <si>
    <t>d22fc7c9-f775-46e7-8a80-5f8e01959689</t>
  </si>
  <si>
    <t>Alliance Previlige | 1.1.2. (+) შემოსავალი ლიფტების სერვისიდან - გეგმიური | ალიანსი ფრივილიჯი (ს.კ. 412718466) - შპს</t>
  </si>
  <si>
    <t>Alliance Pevilige Service</t>
  </si>
  <si>
    <t>ICE001882/45292/1.1.2./P7SCEF</t>
  </si>
  <si>
    <t>076c347a-79b7-406c-a032-20726a4cdb01</t>
  </si>
  <si>
    <t>Alliance Pevilige Service | 1.1.2. (+) შემოსავალი ლიფტების სერვისიდან - გეგმიური | ალიანსი ფრივილიჯი (ს.კ. 412718466) - შპს</t>
  </si>
  <si>
    <t>Askaneli Kvareli Service</t>
  </si>
  <si>
    <t>ICE001907/45292/1.1.2./XC65VP</t>
  </si>
  <si>
    <t>f62f27ae-6686-47b4-87fc-e4f7c93382f4</t>
  </si>
  <si>
    <t>Askaneli Kvareli Service | 1.1.2. (+) შემოსავალი ლიფტების სერვისიდან - გეგმიური | ასკანელი ვაინერი &amp; დისტილერი (ს.კ. 205010888) - შპს</t>
  </si>
  <si>
    <t>Bagrationi Residence Service</t>
  </si>
  <si>
    <t>ICE001880/45292/1.1.2./H3NRW0</t>
  </si>
  <si>
    <t>c5b8c8ea-aab0-4b6f-9c81-cd5592911991</t>
  </si>
  <si>
    <t>Bagrationi Residence Service | 1.1.2. (+) შემოსავალი ლიფტების სერვისიდან - გეგმიური | ბაგრატიონი რეზიდენსი (ს.კ. 445572568) - შპს</t>
  </si>
  <si>
    <t>Barnovi Service</t>
  </si>
  <si>
    <t>ICE002070/45292/1.1.2./OUXMIU</t>
  </si>
  <si>
    <t>3adecafc-fdae-4cf5-9baa-2fa52abe03b2</t>
  </si>
  <si>
    <t>Barnovi Service | 1.1.2. (+) შემოსავალი ლიფტების სერვისიდან - გეგმიური | პრემიუმ დეველოპმენტ კომპანი (ს.კ. 404597691) - შპს</t>
  </si>
  <si>
    <t>Caligraph Hilton Service</t>
  </si>
  <si>
    <t>ICE002074/45292/1.1.2./XTORLR</t>
  </si>
  <si>
    <t>1595d88e-76a9-441d-b45e-efda718c7eff</t>
  </si>
  <si>
    <t>Caligraph Hilton Service | 1.1.2. (+) შემოსავალი ლიფტების სერვისიდან - გეგმიური | გრანდ მაისონ (ს.კ. 445575333) - შპს</t>
  </si>
  <si>
    <t>Chateau Di Vere</t>
  </si>
  <si>
    <t>ICE001906/45292/1.1.2./0OYNBC</t>
  </si>
  <si>
    <t>11686e76-5a10-4cc5-bf69-3c417086442b</t>
  </si>
  <si>
    <t>Chateau Di Vere | 1.1.2. (+) შემოსავალი ლიფტების სერვისიდან - გეგმიური | შატო დე ვერე (ს.კ. 405357224) - სს</t>
  </si>
  <si>
    <t>ELT Building Service</t>
  </si>
  <si>
    <t>ICE001922/45292/1.1.2./XVS4GR</t>
  </si>
  <si>
    <t>ab3e19ec-199a-4403-835f-0f9d6640a135</t>
  </si>
  <si>
    <t>ELT Building Service | 1.1.2. (+) შემოსავალი ლიფტების სერვისიდან - გეგმიური | ელთ ბილდინგი (ს.კ. 445471285) - შპს</t>
  </si>
  <si>
    <t>ბი ეს არ-სი დი ჯი დეველოპმენტი (ს.კ. 204513687) - შპს</t>
  </si>
  <si>
    <t>Mziuri Office Service</t>
  </si>
  <si>
    <t>ICE002477/45292/1.1.2./6TMZDJ</t>
  </si>
  <si>
    <t>ab6e18e5-59fb-4578-b3de-c59bff7b844c</t>
  </si>
  <si>
    <t>Mziuri Office Service | 1.1.2. (+) შემოსავალი ლიფტების სერვისიდან - გეგმიური | ბი ეს არ-სი დი ჯი დეველოპმენტი (ს.კ. 204513687) - შპს</t>
  </si>
  <si>
    <t>d5d3619e-0a2b-48b6-bce0-50adcfb8378e</t>
  </si>
  <si>
    <t>Gori Mall Service</t>
  </si>
  <si>
    <t>ICE000088/45292/1.1.2./EL0HQD</t>
  </si>
  <si>
    <t>fd27b728-cd75-4020-b91c-5b647e0711bb</t>
  </si>
  <si>
    <t>Gori Mall Service | 1.1.2. (+) შემოსავალი ლიფტების სერვისიდან - გეგმიური | მპ დეველოპმენტი (ს.კ. 404960217) - შპს</t>
  </si>
  <si>
    <t>ICE002075/45292/1.1.2./ONTQSQ</t>
  </si>
  <si>
    <t>1ac1335c-bb19-420b-8959-0b9b6d02d4df</t>
  </si>
  <si>
    <t>Gumbati Boulevard Point | 1.1.2. (+) შემოსავალი ლიფტების სერვისიდან - გეგმიური | ბულვარ ფოინთ (ს.კ. 445527494) - შპს</t>
  </si>
  <si>
    <t>ICE2222/45292/1.1.2./Y1PJLX</t>
  </si>
  <si>
    <t>71ffa1eb-3625-42a3-9385-070268670c56</t>
  </si>
  <si>
    <t>Gumbati Apart Kvariati | 1.1.2. (+) შემოსავალი ლიფტების სერვისიდან - გეგმიური | გუმბათი აპარტი კვარიათი (ს.კ. 445580782) - შპს</t>
  </si>
  <si>
    <t>ICE002443/45292/1.1.2./RVVQ1S</t>
  </si>
  <si>
    <t>6fc6ec1c-7fe8-4c59-b5b0-0099ea2e5ab8</t>
  </si>
  <si>
    <t>Gumbati Port Line | 1.1.2. (+) შემოსავალი ლიფტების სერვისიდან - გეგმიური | სქაი ბათუმი (ს.კ. 445552866) - შპს</t>
  </si>
  <si>
    <t>IBIS Airport Service</t>
  </si>
  <si>
    <t>ICE002155/45292/1.1.2./WUY0QG</t>
  </si>
  <si>
    <t>037e51f5-47ea-48c4-9697-a202656500c5</t>
  </si>
  <si>
    <t>IBIS Airport Service | 1.1.2. (+) შემოსავალი ლიფტების სერვისიდან - გეგმიური | ფუჯინ სილქ ფროფერთის (ს.კ. 405273421) - შპს</t>
  </si>
  <si>
    <t>Kvareli Elevators Service</t>
  </si>
  <si>
    <t>ICE001884/45292/1.1.2./OI5VUW</t>
  </si>
  <si>
    <t>055323fb-ac01-425f-ab71-fcd601f49e1c</t>
  </si>
  <si>
    <t>Kvareli Elevators Service | 1.1.2. (+) შემოსავალი ლიფტების სერვისიდან - გეგმიური | ინდეკო ჰოსფითალითი (ს.კ. 405508026) - შპს</t>
  </si>
  <si>
    <t>მედლოგ ფოთი (ს.კ. 215083139) - შპს</t>
  </si>
  <si>
    <t>Medlog Poti</t>
  </si>
  <si>
    <t>1 6 31 2497</t>
  </si>
  <si>
    <t>ICE002478/45292/1.1.2./MK6WZ7</t>
  </si>
  <si>
    <t>0625089c-8b72-4209-8c39-8f3491579a80</t>
  </si>
  <si>
    <t>Medlog Poti | 1.1.2. (+) შემოსავალი ლიფტების სერვისიდან - გეგმიური | მედლოგ ფოთი (ს.კ. 215083139) - შპს</t>
  </si>
  <si>
    <t>9912deb2-2ed7-4d7e-b552-3371e32546a3</t>
  </si>
  <si>
    <t>Mziuri Gardens Service</t>
  </si>
  <si>
    <t>1 6 31 1703</t>
  </si>
  <si>
    <t>ICE001741/45292/1.1.2./ZW5HXS</t>
  </si>
  <si>
    <t>11fca413-dadc-4a4c-89c0-b7b52150dba2</t>
  </si>
  <si>
    <t>Mziuri Gardens Service | 1.1.2. (+) შემოსავალი ლიფტების სერვისიდან - გეგმიური | მზიური რეზორტ (ს.კ. 404462256) - შპს</t>
  </si>
  <si>
    <t>D1 Block Service</t>
  </si>
  <si>
    <t>1 6 31 773</t>
  </si>
  <si>
    <t>ICE000001/45292/1.1.2./48BWAY</t>
  </si>
  <si>
    <t>7835377d-23cd-4ca1-9a56-8610de5a7094</t>
  </si>
  <si>
    <t>D1 Block Service | 1.1.2. (+) შემოსავალი ლიფტების სერვისიდან - გეგმიური | ორბი ჯგუფი ბათუმი (ს.კ. 445468798) - შპს</t>
  </si>
  <si>
    <t>D2 Block Service</t>
  </si>
  <si>
    <t>ICE000001/45292/1.1.2./0SJP5U</t>
  </si>
  <si>
    <t>cae2d340-0823-4570-8401-f80babf5af47</t>
  </si>
  <si>
    <t>D2 Block Service | 1.1.2. (+) შემოსავალი ლიფტების სერვისიდან - გეგმიური | ორბი ჯგუფი ბათუმი (ს.კ. 445468798) - შპს</t>
  </si>
  <si>
    <t>Park Home Saburtalo Service</t>
  </si>
  <si>
    <t>ICE001874/45292/1.1.2./YLURXS</t>
  </si>
  <si>
    <t>9d7cf72e-7356-45a1-86b9-e96b3738f600</t>
  </si>
  <si>
    <t>Park Home Saburtalo Service | 1.1.2. (+) შემოსავალი ლიფტების სერვისიდან - გეგმიური | ნუცუბიძე (ს.კ. 405387861) - შპს</t>
  </si>
  <si>
    <t>Budget Dummy (ს.კ. ICE002065) - შპს</t>
  </si>
  <si>
    <t>Shartava Meppers</t>
  </si>
  <si>
    <t>ICE002065/45292/1.1.2./F0TYOV</t>
  </si>
  <si>
    <t>9bcd48ab-d336-44bf-a18f-40a488d486dc</t>
  </si>
  <si>
    <t>Shartava Meppers | 1.1.2. (+) შემოსავალი ლიფტების სერვისიდან - გეგმიური | Budget Dummy (ს.კ. ICE002065) - შპს</t>
  </si>
  <si>
    <t>61ff53f7-d5c4-429e-9c3c-1e621fd2f21a</t>
  </si>
  <si>
    <t>ICE002170/45292/1.1.2./QHXNI1</t>
  </si>
  <si>
    <t>26b0b776-c82e-4bf8-b851-6125c7d5a28f</t>
  </si>
  <si>
    <t>Summit | 1.1.2. (+) შემოსავალი ლიფტების სერვისიდან - გეგმიური | სამიტი ქონსთრაქშენ (ს.კ. 406328184) - შპს</t>
  </si>
  <si>
    <t>ICE002136/45292/1.1.2./RNQWWA</t>
  </si>
  <si>
    <t>546c5d60-9463-422a-a7cc-b2c425b16a6b</t>
  </si>
  <si>
    <t>Surmanidzeebi | 1.1.2. (+) შემოსავალი ლიფტების სერვისიდან - გეგმიური | სამშენებლო კომპანია სურმანიძეები (ს.კ. 445455846) - შპს</t>
  </si>
  <si>
    <t>Palm Apartments Service</t>
  </si>
  <si>
    <t>ICE002221/45292/1.1.2./I0C8QV</t>
  </si>
  <si>
    <t>e8cfb672-add5-4faa-ad22-a302a1962bb4</t>
  </si>
  <si>
    <t>Palm Apartments Service | 1.1.2. (+) შემოსავალი ლიფტების სერვისიდან - გეგმიური | პალმ აპარტამენტი (ს.კ. 445614381) - შპს</t>
  </si>
  <si>
    <t>არგო მენეჯმენტი (ს.კ. 445391647) - შპს</t>
  </si>
  <si>
    <t>Radisson Batumi Services</t>
  </si>
  <si>
    <t>ICE002302/45292/1.1.2./DXUBTH</t>
  </si>
  <si>
    <t>ed40166c-65af-49d0-a0dd-a0491bb63a64</t>
  </si>
  <si>
    <t>Radisson Batumi Services | 1.1.2. (+) შემოსავალი ლიფტების სერვისიდან - გეგმიური | არგო მენეჯმენტი  (ს.კ. 445391647) - შპს</t>
  </si>
  <si>
    <t>Admiral Batumi Service</t>
  </si>
  <si>
    <t>ICE001884/45292/1.1.2./WCBQUX</t>
  </si>
  <si>
    <t>5b0e6f5e-7523-4d16-829d-a37fa54804c4</t>
  </si>
  <si>
    <t>Admiral Batumi Service | 1.1.2. (+) შემოსავალი ლიფტების სერვისიდან - გეგმიური | ინდეკო (ს.კ. 202376133) - შპს</t>
  </si>
  <si>
    <t>ბაგები 2022 (ს.კ. ICE002479) - ამხანაგობა</t>
  </si>
  <si>
    <t>ICE002479/45292/1.1.2./EAKWHL</t>
  </si>
  <si>
    <t>f8e71221-a379-4784-a3e3-e58c59b72586</t>
  </si>
  <si>
    <t>Epic Bagebi | 1.1.2. (+) შემოსავალი ლიფტების სერვისიდან - გეგმიური | ბაგები 2022 (ს.კ. ICE002479) - ამხანაგობა</t>
  </si>
  <si>
    <t>9d675342-5e2c-4104-bf20-db2fb5454ebf</t>
  </si>
  <si>
    <t>Digomi Trade Center</t>
  </si>
  <si>
    <t>ICE002188/45292/1.1.2./O1GTRW</t>
  </si>
  <si>
    <t>ff70400c-3a99-4cc8-be63-f6bb24e0ec02</t>
  </si>
  <si>
    <t>Digomi Trade Center | 1.1.2. (+) შემოსავალი ლიფტების სერვისიდან - გეგმიური | ავტოტრანსპორტი 91 (ს.კ. 212670091) - შპს</t>
  </si>
  <si>
    <t>Krtsanisi Villa Residence Meppers</t>
  </si>
  <si>
    <t>ICE000118/45292/1.1.1./ORFV3V</t>
  </si>
  <si>
    <t>fb450f01-100d-42ab-8f6f-8cf875718dcd</t>
  </si>
  <si>
    <t>Krtsanisi Villa Residence Meppers | 1.1.1. (+) შემოსავალი ლიფტების რეალიზაციიდან | მეპერსი (ს.კ. 402121887) - შპს</t>
  </si>
  <si>
    <t>ICE000118/45292/1.1.2./3R2NVT</t>
  </si>
  <si>
    <t>44e3bc1e-c684-42ce-b79f-aee33b9b16fe</t>
  </si>
  <si>
    <t>Krtsanisi Villa Residence Meppers | 1.1.2. (+) შემოსავალი ლიფტების სერვისიდან - გეგმიური | მეპერსი (ს.კ. 402121887) - შპს</t>
  </si>
  <si>
    <t>Admiral design</t>
  </si>
  <si>
    <t>1 6 30 2011 15</t>
  </si>
  <si>
    <t>ICE1905/45413/1.2.3./FQQ2IE</t>
  </si>
  <si>
    <t>04882c6c-dd6b-4874-9e9a-ebe0e6e4391e</t>
  </si>
  <si>
    <t>Admiral design | 1.2.3. (+) შემოსავალი MEP დანადგარების სერვისიდან - არაგეგმიური | ინდეკო სი ემ  (ს.კ. 405508339) - შპს</t>
  </si>
  <si>
    <t>Admiral Generator Transport</t>
  </si>
  <si>
    <t>ICE1905/45413/1.2.3./OUQ83B</t>
  </si>
  <si>
    <t>ae140623-8850-41b6-b1d8-976155c57113</t>
  </si>
  <si>
    <t>Admiral Generator Transport | 1.2.3. (+) შემოსავალი MEP დანადგარების სერვისიდან - არაგეგმიური | ინდეკო სი ემ  (ს.კ. 405508339) - შპს</t>
  </si>
  <si>
    <t>Compressor Repair</t>
  </si>
  <si>
    <t>ICE001923/45413/1.2.3./SQ1MWO</t>
  </si>
  <si>
    <t>fce7faf4-86f5-43ea-b502-9904fe8f81e6</t>
  </si>
  <si>
    <t>Compressor Repair | 1.2.3. (+) შემოსავალი MEP დანადგარების სერვისიდან - არაგეგმიური | Beauty Life (ს.კ. 204557639) - შპს</t>
  </si>
  <si>
    <t>Admiral</t>
  </si>
  <si>
    <t>ICE1905/45413/1.2.3./6RBC0L</t>
  </si>
  <si>
    <t>dedde9b8-c981-4d49-9a64-321230018684</t>
  </si>
  <si>
    <t>Admiral | 1.2.3. (+) შემოსავალი MEP დანადგარების სერვისიდან - არაგეგმიური | ინდეკო სი ემ  (ს.კ. 405508339) - შპს</t>
  </si>
  <si>
    <t>Ramishvili VRV Outdoor Units Transport</t>
  </si>
  <si>
    <t>ICE1905/45426/1.2.3./HKDUF2</t>
  </si>
  <si>
    <t>821ac8e7-29ff-417a-a4dd-2ec0b8afbd91</t>
  </si>
  <si>
    <t>Ramishvili VRV Outdoor Units Transport  | 1.2.3. (+) შემოსავალი MEP დანადგარების სერვისიდან - არაგეგმიური | ინდეკო სი ემ  (ს.კ. 405508339) - შპს</t>
  </si>
  <si>
    <t>ბურაქ ქონსტრაქშენ	 (ს.კ. 404670682) - შპს</t>
  </si>
  <si>
    <t>Porta Apartments 4003</t>
  </si>
  <si>
    <t>1 6 30 2504</t>
  </si>
  <si>
    <t>ICE2564/45432/1.2.1./3UIZ1K</t>
  </si>
  <si>
    <t>78c09c67-22dc-4729-b7b9-983dc8d1d2ea</t>
  </si>
  <si>
    <t>Porta Apartments 4003 | 1.2.1. (+) შემოსავალი MEP დანადგარების რეალიზაციიდან | ბურაქ ქონსტრაქშენ	 (ს.კ. 404670682) - შპს</t>
  </si>
  <si>
    <t>423132b9-3a82-4b97-b534-1ecce73e257d</t>
  </si>
  <si>
    <t>Porta Apartments 2906</t>
  </si>
  <si>
    <t>ICE2564/45432/1.2.1./9B5ECD</t>
  </si>
  <si>
    <t>c5eea265-199c-42af-afa3-007ddd6ee158</t>
  </si>
  <si>
    <t>Porta Apartments 2906 | 1.2.1. (+) შემოსავალი MEP დანადგარების რეალიზაციიდან | ბურაქ ქონსტრაქშენ	 (ს.კ. 404670682) - შპს</t>
  </si>
  <si>
    <t>Roomix Unloading</t>
  </si>
  <si>
    <t>ICE002358/45448/1.1.3./B74KQH</t>
  </si>
  <si>
    <t>43e76f38-d974-496b-9f40-2786957b1a4a</t>
  </si>
  <si>
    <t>Roomix Unloading | 1.1.3. (+) შემოსავალი ლიფტების სერვისიდან - არაგეგმიური | ლაქი ქონსთრაქშენ (ს.კ. 405370708) - შპს</t>
  </si>
  <si>
    <t>Rope Change</t>
  </si>
  <si>
    <t>ICE000004/45383/1.1.3./578JUX</t>
  </si>
  <si>
    <t>11ec48ff-6b2e-4450-836e-09ce55085254</t>
  </si>
  <si>
    <t>Rope Change | 1.1.3. (+) შემოსავალი ლიფტების სერვისიდან - არაგეგმიური | დომუს სერვისი (ს.კ. 405311336) - შპს</t>
  </si>
  <si>
    <t>ნუგზარ წერეთელი (ს.კ. 01017023738) - ფიზ. პირი</t>
  </si>
  <si>
    <t>MHI Conditioners</t>
  </si>
  <si>
    <t>ICE002570/45456/1.2.1./3WKYOV</t>
  </si>
  <si>
    <t>6cba4fac-3b4a-43e1-9b30-24ca5e490f83</t>
  </si>
  <si>
    <t>MHI Conditioners | 1.2.1. (+) შემოსავალი MEP დანადგარების რეალიზაციიდან | ნუგზარ წერეთელი (ს.კ. 01017023738) - ფიზ. პირი</t>
  </si>
  <si>
    <t>70b1a8bd-11a4-4da0-b024-9f9e48b4b055</t>
  </si>
  <si>
    <t>თბილისი დრაი პორტი (ს.კ. 405483454) - შპს</t>
  </si>
  <si>
    <t>Dry Port Elevator</t>
  </si>
  <si>
    <t>ICE002573/45383/1.1.1./QXCPT6</t>
  </si>
  <si>
    <t>be3b2e15-69c7-4585-8ba0-b2a9becf2a62</t>
  </si>
  <si>
    <t>Dry Port Elevator | 1.1.1. (+) შემოსავალი ლიფტების რეალიზაციიდან | თბილისი დრაი პორტი (ს.კ. 405483454) - შპს</t>
  </si>
  <si>
    <t>7ae5b6db-73b8-444e-bdea-71062d3bda50</t>
  </si>
  <si>
    <t>Dry Port HVAC</t>
  </si>
  <si>
    <t>1 6 30 2492</t>
  </si>
  <si>
    <t>ICE002573/45383/1.2.1./IYXQRU</t>
  </si>
  <si>
    <t>77a6b2c5-5cdf-471f-b550-be776a162e6b</t>
  </si>
  <si>
    <t>Dry Port HVAC | 1.2.1. (+) შემოსავალი MEP დანადგარების რეალიზაციიდან | თბილისი დრაი პორტი (ს.კ. 405483454) - შპს</t>
  </si>
  <si>
    <t>სასტუმრო აქვა ბათუმი (ს.კ. 445646720) - შპს</t>
  </si>
  <si>
    <t>1 6 31 1975</t>
  </si>
  <si>
    <t>ICE002334/45292/1.1.2./2USYNC</t>
  </si>
  <si>
    <t>656089ad-59f3-4aa8-85bd-4c98cb08ccfe</t>
  </si>
  <si>
    <t>New Time | 1.1.2. (+) შემოსავალი ლიფტების სერვისიდან - გეგმიური | სასტუმრო აქვა ბათუმი (ს.კ. 445646720) - შპს</t>
  </si>
  <si>
    <t>5e1b5cc8-90da-4a55-a108-54f9e5fdad65</t>
  </si>
  <si>
    <t>autocad080@gmail.com</t>
  </si>
  <si>
    <t>დეკა ვერონა (ს.კ. 405570519) - შპს</t>
  </si>
  <si>
    <t>Deka Verona</t>
  </si>
  <si>
    <t>1 6 30 2556</t>
  </si>
  <si>
    <t>ICE002577/45444/1.1.1./5XTCEO</t>
  </si>
  <si>
    <t>0f3d70dc-38b6-492f-8399-6ef5ea0c155a</t>
  </si>
  <si>
    <t>Deka Verona | 1.1.1. (+) შემოსავალი ლიფტების რეალიზაციიდან | დეკა ვერონა (ს.კ. 405570519) - შპს</t>
  </si>
  <si>
    <t>f242e8d0-3197-4b35-90dd-54859cce4bca</t>
  </si>
  <si>
    <t>Simetria Lisi 1 Unit</t>
  </si>
  <si>
    <t>ICE000118/45444/1.1.1./DZW8J4</t>
  </si>
  <si>
    <t>4e488bc2-3912-46f1-991c-d248c6def61d</t>
  </si>
  <si>
    <t>Simetria Lisi 1 Unit | 1.1.1. (+) შემოსავალი ლიფტების რეალიზაციიდან | მეპერსი (ს.კ. 402121887) - შპს</t>
  </si>
  <si>
    <t>აპოლო გ.ს. (ს.კ. 202430468) - შპს</t>
  </si>
  <si>
    <t>KINGS GARDEN 1 UNIT</t>
  </si>
  <si>
    <t>ICE002580/45475/1.2.1./QF4XX7</t>
  </si>
  <si>
    <t>ad47b706-0eb9-46ee-964b-edf7002ac8a6</t>
  </si>
  <si>
    <t>KINGS GARDEN 1 UNIT | 1.2.1. (+) შემოსავალი MEP დანადგარების რეალიზაციიდან | აპოლო გ.ს. (ს.კ. 202430468) - შპს</t>
  </si>
  <si>
    <t>faa2b90d-c93e-48df-b336-59e76f241404</t>
  </si>
  <si>
    <t>Chakhrukhadze Compressor</t>
  </si>
  <si>
    <t>1630 1960</t>
  </si>
  <si>
    <t>ICE1905/45505/1.2.1./9QRQCN</t>
  </si>
  <si>
    <t>a18d5f90-5889-4d5a-b4f9-4d14f634d385</t>
  </si>
  <si>
    <t>Chakhrukhadze Compressor | 1.2.1. (+) შემოსავალი MEP დანადგარების რეალიზაციიდან | ინდეკო სი ემ  (ს.კ. 405508339) - შპს</t>
  </si>
  <si>
    <t>ხიდი 2006 (ს.კ. 245556991) - შპს</t>
  </si>
  <si>
    <t>Goderdzi EP</t>
  </si>
  <si>
    <t>1 6 30 2571</t>
  </si>
  <si>
    <t>ICE002588/45511/1.1.1./T1XLZ9</t>
  </si>
  <si>
    <t>1e6586c3-730a-4da0-87b6-442e59ac3426</t>
  </si>
  <si>
    <t>Goderdzi EP | 1.1.1. (+) შემოსავალი ლიფტების რეალიზაციიდან | ხიდი 2006 (ს.კ. 245556991) - შპს</t>
  </si>
  <si>
    <t>b94d66cd-3ee4-438e-9691-8b9de0f595ce</t>
  </si>
  <si>
    <t>ბაუჰაუს ქონსთრაქშენი (ს.კ. 405610272) - შპს</t>
  </si>
  <si>
    <t>Figures</t>
  </si>
  <si>
    <t>ICE002589/45505/1.1.1./8NI3CU</t>
  </si>
  <si>
    <t>f67cc96b-365f-4a30-9819-a3ee7ad41b1f</t>
  </si>
  <si>
    <t>Figures | 1.1.1. (+) შემოსავალი ლიფტების რეალიზაციიდან | ბაუჰაუს ქონსთრაქშენი (ს.კ. 405610272) - შპს</t>
  </si>
  <si>
    <t>261f89e4-5f76-409f-99a1-14d417daf8cb</t>
  </si>
  <si>
    <t>McDonalds Didi Digomi Rooftop Lounch</t>
  </si>
  <si>
    <t>ICE000014/45505/1.1.1./L0GJ5P</t>
  </si>
  <si>
    <t>20ccabde-8dfd-4f1c-9a8d-b33609cbd197</t>
  </si>
  <si>
    <t>McDonalds Didi Digomi Rooftop Lounch | 1.1.1. (+) შემოსავალი ლიფტების რეალიზაციიდან | თბილი სახლი (ს.კ. 204976179) - შპს</t>
  </si>
  <si>
    <t>გიანთი პალასი (ს.კ. 405128268) - შპს</t>
  </si>
  <si>
    <t>Lisi Veranda 8</t>
  </si>
  <si>
    <t>ICE002606/45505/1.1.1./TPKXWE</t>
  </si>
  <si>
    <t>4efb8f89-6cef-4fa6-bab2-0d06a3924154</t>
  </si>
  <si>
    <t>Lisi Veranda 8 | 1.1.1. (+) შემოსავალი ლიფტების რეალიზაციიდან | გიანთი პალასი (ს.კ. 405128268) - შპს</t>
  </si>
  <si>
    <t>d4b3ff47-1d44-4a70-9d35-770289d93de1</t>
  </si>
  <si>
    <t>ამბასადორი ბათუმი (ს.კ. 445515719) - შპს</t>
  </si>
  <si>
    <t>Ambassador Batumi</t>
  </si>
  <si>
    <t>ICE2537/45538/1.2.1./T13P4Q</t>
  </si>
  <si>
    <t>6c41ba45-8b1f-47a6-847a-88a0357f8a87</t>
  </si>
  <si>
    <t>Ambassador Batumi | 1.2.1. (+) შემოსავალი MEP დანადგარების რეალიზაციიდან | ამბასადორი ბათუმი (ს.კ. 445515719) - შპს</t>
  </si>
  <si>
    <t>58bc2f80-d8e3-451f-a47d-a7bd05ff94be</t>
  </si>
  <si>
    <t>Multiple Rooftops</t>
  </si>
  <si>
    <t>ICE000014/45412/1.2.1./JHZYOG</t>
  </si>
  <si>
    <t>81188a2b-4db5-4878-8744-5a74e7daa243</t>
  </si>
  <si>
    <t>Multiple Rooftops | 1.2.1. (+) შემოსავალი MEP დანადგარების რეალიზაციიდან | თბილი სახლი (ს.კ. 204976179) - შპს</t>
  </si>
  <si>
    <t>LUX</t>
  </si>
  <si>
    <t>თათია სეფერთელაძე (ს.კ. 61004073208) - ფიზ. პირი</t>
  </si>
  <si>
    <t>ICE000118/45536/1.1.1./TX1N2W</t>
  </si>
  <si>
    <t>eec3d256-1657-4bbd-b4f6-e7b43062d791</t>
  </si>
  <si>
    <t>LUX | 1.1.1. (+) შემოსავალი ლიფტების რეალიზაციიდან | მეპერსი (ს.კ. 402121887) - შპს</t>
  </si>
  <si>
    <t>c16820cb-b0fb-42f4-837e-8657b575f62a</t>
  </si>
  <si>
    <t>ნიუ გრუპ მაღლივი (ს.კ. 405391491) - შპს</t>
  </si>
  <si>
    <t>New Group University</t>
  </si>
  <si>
    <t>ICE002617/45536/1.1.1./L0U4SC</t>
  </si>
  <si>
    <t>93c267f9-fe22-46ba-8ada-aa222b56264d</t>
  </si>
  <si>
    <t>New Group University | 1.1.1. (+) შემოსავალი ლიფტების რეალიზაციიდან | ნიუ გრუპ მაღლივი (ს.კ. 405391491) - შპს</t>
  </si>
  <si>
    <t>779e6a2e-7b52-4c0d-9e5f-eb92c63e767b</t>
  </si>
  <si>
    <t>Kvareli FF Pump Installation</t>
  </si>
  <si>
    <t>ICE1905/45555/1.2.1./OKD68Q</t>
  </si>
  <si>
    <t>5bf9dba3-9371-4768-941c-56f076a346c8</t>
  </si>
  <si>
    <t>Kvareli FF Pump Installation | 1.2.1. (+) შემოსავალი MEP დანადგარების რეალიზაციიდან | ინდეკო სი ემ  (ს.კ. 405508339) - შპს</t>
  </si>
  <si>
    <t>All Mcdonalds</t>
  </si>
  <si>
    <t>ICE000014/45536/1.1.3./WMRJ1R</t>
  </si>
  <si>
    <t>56e9b94c-2722-40e9-ad02-c6b794e7bdc2</t>
  </si>
  <si>
    <t>All Mcdonalds | 1.1.3. (+) შემოსავალი ლიფტების სერვისიდან - არაგეგმიური | თბილი სახლი (ს.კ. 204976179) - შპს</t>
  </si>
  <si>
    <t>შპს წინანდლის მამულები (ს.კ. 204557372) - შპს</t>
  </si>
  <si>
    <t>Fan Repair</t>
  </si>
  <si>
    <t>ICE002619/45553/1.2.3./5AWU7L</t>
  </si>
  <si>
    <t>e0a48cf2-3e46-4fe0-b378-7068851486f0</t>
  </si>
  <si>
    <t>Fan Repair | 1.2.3. (+) შემოსავალი MEP დანადგარების სერვისიდან - არაგეგმიური | შპს წინანდლის მამულები (ს.კ. 204557372) - შპს</t>
  </si>
  <si>
    <t>7889d1fa-15ab-4efe-af5b-f3c03fbef8b6</t>
  </si>
  <si>
    <t>ბათუმი დეველოპმენტ ალიანსი (ს.კ. 445455908) - შპს</t>
  </si>
  <si>
    <t>Modern Residence</t>
  </si>
  <si>
    <t>ICE002621/45536/1.1.1./J52B8H</t>
  </si>
  <si>
    <t>336a8fdd-12e9-4666-b3e9-11bc693b4bee</t>
  </si>
  <si>
    <t>Modern Residence | 1.1.1. (+) შემოსავალი ლიფტების რეალიზაციიდან | ბათუმი დეველოპმენტ ალიანსი (ს.კ. 445455908) - შპს</t>
  </si>
  <si>
    <t>9569d532-c9b8-45dd-9719-457fbef53d9a</t>
  </si>
  <si>
    <t>Kings Garden</t>
  </si>
  <si>
    <t>1 6 30 2558</t>
  </si>
  <si>
    <t>ICE002580/45505/1.2.1./WX0NMK</t>
  </si>
  <si>
    <t>589dbdba-b269-413c-aece-5d2c616c2e8a</t>
  </si>
  <si>
    <t>Kings Garden | 1.2.1. (+) შემოსავალი MEP დანადგარების რეალიზაციიდან | აპოლო გ.ს. (ს.კ. 202430468) - შპს</t>
  </si>
  <si>
    <t>Kvareli Repair</t>
  </si>
  <si>
    <t>1 6 30 541 7</t>
  </si>
  <si>
    <t>ICE000043/45474/1.2.1./ZUM91N</t>
  </si>
  <si>
    <t>684e42f3-7912-48db-b577-9d9d2834f4de</t>
  </si>
  <si>
    <t>Kvareli Repair | 1.2.1. (+) შემოსავალი MEP დანადგარების რეალიზაციიდან | ინდეკო (ს.კ. 202376133) - შპს</t>
  </si>
  <si>
    <t>DRY PORT GENSET</t>
  </si>
  <si>
    <t>ICE002573/45383/1.2.1./WUTB3L</t>
  </si>
  <si>
    <t>4edfbc43-de9a-40c4-a175-3a5160b26129</t>
  </si>
  <si>
    <t>DRY PORT GENSET | 1.2.1. (+) შემოსავალი MEP დანადგარების რეალიზაციიდან | თბილისი დრაი პორტი (ს.კ. 405483454) - შპს</t>
  </si>
  <si>
    <t>2025 Spareparts</t>
  </si>
  <si>
    <t>ICE000112/45560/1.1.1./S874Y3</t>
  </si>
  <si>
    <t>5d10339c-2bf9-4ed7-bb5d-af271377e5da</t>
  </si>
  <si>
    <t>2025 Spareparts | 1.1.1. (+) შემოსავალი ლიფტების რეალიზაციიდან | გალერია თბილისი (ს.კ. 204558497) - შპს</t>
  </si>
  <si>
    <t>ბილდია (ს.კ. 404535035) - შპს</t>
  </si>
  <si>
    <t>Ginger Gane</t>
  </si>
  <si>
    <t>ICE002629/45429/1.1.1./H6ZWQ4</t>
  </si>
  <si>
    <t>897118e9-0e13-4b0f-9ece-1019e4706477</t>
  </si>
  <si>
    <t>Ginger Gane | 1.1.1. (+) შემოსავალი ლიფტების რეალიზაციიდან | ბილდია (ს.კ. 404535035) - შპს</t>
  </si>
  <si>
    <t>9c7a8162-ce80-43e1-9033-ed354b64357d</t>
  </si>
  <si>
    <t>მეკარტ ჯორჯია (ს.კ. 445474852) - შპს</t>
  </si>
  <si>
    <t>Crown Plaza HVAC</t>
  </si>
  <si>
    <t>ICE002630/45601/1.2.1./APL6PZ</t>
  </si>
  <si>
    <t>49874021-2275-4952-b2ab-173fe2385788</t>
  </si>
  <si>
    <t>Crown Plaza HVAC | 1.2.1. (+) შემოსავალი MEP დანადგარების რეალიზაციიდან | მეკარტ ჯორჯია (ს.კ. 445474852) - შპს</t>
  </si>
  <si>
    <t>f7630583-8d8d-482e-800e-f264fb53a791</t>
  </si>
  <si>
    <t>ქობულეთი გარდენ ქეი (ს.კ. 446987379) - შპს</t>
  </si>
  <si>
    <t>Kobuleti Garden Key</t>
  </si>
  <si>
    <t>ICE002631/45582/1.1.1./2O3U85</t>
  </si>
  <si>
    <t>93d2092b-4021-4df4-a3eb-3dba0b157eae</t>
  </si>
  <si>
    <t>Kobuleti Garden Key | 1.1.1. (+) შემოსავალი ლიფტების რეალიზაციიდან | ქობულეთი გარდენ ქეი (ს.კ. 446987379) - შპს</t>
  </si>
  <si>
    <t>95213753-94b8-4d29-86ed-72b36302e472</t>
  </si>
  <si>
    <t>დიღომი 3 (ს.კ. 404566046) - შპს</t>
  </si>
  <si>
    <t>Archi Digomi Installation</t>
  </si>
  <si>
    <t>1 6 30 2732</t>
  </si>
  <si>
    <t>ICE002637/45597/1.1.1./THWC3V</t>
  </si>
  <si>
    <t>9ef4122a-07e1-41a6-9b9e-b496ab6bc865</t>
  </si>
  <si>
    <t>Archi Digomi Installation | 1.1.1. (+) შემოსავალი ლიფტების რეალიზაციიდან | დიღომი 3 (ს.კ. 404566046) - შპს</t>
  </si>
  <si>
    <t>34369527-d51a-41ce-91af-eb81de271892</t>
  </si>
  <si>
    <t>Tegeta Chiller</t>
  </si>
  <si>
    <t>1 6 30 93</t>
  </si>
  <si>
    <t>ICE000038/45469/1.2.1./40VB1R</t>
  </si>
  <si>
    <t>a9639004-c58b-4243-bd5c-f81f8061e740</t>
  </si>
  <si>
    <t>Tegeta Chiller | 1.2.1. (+) შემოსავალი MEP დანადგარების რეალიზაციიდან | თეგეტა მოტორსი (ს.კ. 202177205) - შპს</t>
  </si>
  <si>
    <t>აპარტ ქონ (ს.კ. 402204413) - შპს</t>
  </si>
  <si>
    <t>Tagi</t>
  </si>
  <si>
    <t>ICE002640/45607/1.1.1./HL6OR5</t>
  </si>
  <si>
    <t>9caba3be-0508-4edb-bfbf-6ec2a5f33389</t>
  </si>
  <si>
    <t>Tagi | 1.1.1. (+) შემოსავალი ლიფტების რეალიზაციიდან | აპარტ ქონ (ს.კ. 402204413) - შპს</t>
  </si>
  <si>
    <t>a3d0a2c3-99a3-49c1-bfa4-351bf50bc2ca</t>
  </si>
  <si>
    <t>Ambassador Goderdzi</t>
  </si>
  <si>
    <t>1 6 30 2589 2</t>
  </si>
  <si>
    <t>ICE2537/45628/1.2.1./BIWGS9</t>
  </si>
  <si>
    <t>612db50b-afe9-4897-a0ee-10488cb1f6ee</t>
  </si>
  <si>
    <t>Ambassador Goderdzi | 1.2.1. (+) შემოსავალი MEP დანადგარების რეალიზაციიდან | ამბასადორი ბათუმი (ს.კ. 445515719) - შპს</t>
  </si>
  <si>
    <t>ნიუ გრუპ დეველოპმენტი (ს.კ. 405650727) - შპს</t>
  </si>
  <si>
    <t>New Group Kavtaradze</t>
  </si>
  <si>
    <t>ICE002696/45627/1.1.1./URLTEW</t>
  </si>
  <si>
    <t>b763ac1f-21a6-4815-ab20-f52e62b7c55c</t>
  </si>
  <si>
    <t>New Group Kavtaradze | 1.1.1. (+) შემოსავალი ლიფტების რეალიზაციიდან | ნიუ გრუპ დეველოპმენტი (ს.კ. 405650727) - შპს</t>
  </si>
  <si>
    <t>3fa873fb-3998-4756-b45f-2f6c3f9c48d7</t>
  </si>
  <si>
    <t>Compressors 2024</t>
  </si>
  <si>
    <t>ICE002297/45983/1.2.1./OVDXXS</t>
  </si>
  <si>
    <t>adac254c-8de8-4cf6-aa2a-51205dfa9d4a</t>
  </si>
  <si>
    <t>Compressors 2024 | 1.2.1. (+) შემოსავალი MEP დანადგარების რეალიზაციიდან | ტელეგრაფი (ს.კ. 404505406) - შპს</t>
  </si>
  <si>
    <t>Kvareli Staff House</t>
  </si>
  <si>
    <t>ICE000043/45658/1.2.1./SUA8V9</t>
  </si>
  <si>
    <t>fa663957-1afd-4a7d-bf1e-18f0811873fc</t>
  </si>
  <si>
    <t>Kvareli Staff House | 1.2.1. (+) შემოსავალი MEP დანადგარების რეალიზაციიდან | ინდეკო სი ემ  (ს.კ. 405508339) - შპს</t>
  </si>
  <si>
    <t>თმ ჯგუფი (ს.კ. 405226802) - შპს</t>
  </si>
  <si>
    <t>Kazbegi</t>
  </si>
  <si>
    <t>ICE002701/45658/1.1.1./L1SURS</t>
  </si>
  <si>
    <t>bf8b7613-3fc4-44a9-80cf-70be3150709e</t>
  </si>
  <si>
    <t>Kazbegi | 1.1.1. (+) შემოსავალი ლიფტების რეალიზაციიდან | თმ ჯგუფი (ს.კ. 405226802) - შპს</t>
  </si>
  <si>
    <t>3bfecaf0-3360-4369-b862-dba8e8888c72</t>
  </si>
  <si>
    <t>Batumi Office Rent MEPPERS</t>
  </si>
  <si>
    <t>ICE000118/45519/1.3.2./ODTARV</t>
  </si>
  <si>
    <t>a156beb2-3cfe-4186-b196-18f13dbc52fb</t>
  </si>
  <si>
    <t>Batumi Office Rent MEPPERS | 1.3.2. (+) იჯარიდან მიღებული შემოსავალი | მეპერსი (ს.კ. 402121887) - შპს</t>
  </si>
  <si>
    <t>Batumi Office Rent CASA</t>
  </si>
  <si>
    <t>ICE001112/45519/1.3.2./PAMOQ2</t>
  </si>
  <si>
    <t>55e48fbc-93f2-4b8e-819b-0e6675283ee0</t>
  </si>
  <si>
    <t>Batumi Office Rent CASA | 1.3.2. (+) იჯარიდან მიღებული შემოსავალი | კაზა დი ბათუმი (ს.კ. 405389397) - შპს</t>
  </si>
  <si>
    <t>კომპაქტ მუხიანი (ს.კ. 405568675) - შპს</t>
  </si>
  <si>
    <t>Compact Mukhiani</t>
  </si>
  <si>
    <t>1 6 30 2667</t>
  </si>
  <si>
    <t>ICE002704/45674/1.1.1./QU5T6J</t>
  </si>
  <si>
    <t>06a814a3-da5b-4022-b934-2030a6344726</t>
  </si>
  <si>
    <t>Compact Mukhiani | 1.1.1. (+) შემოსავალი ლიფტების რეალიზაციიდან | კომპაქტ მუხიანი (ს.კ. 405568675) - შპს</t>
  </si>
  <si>
    <t>4ae41a6d-ac3e-44e2-bd81-442223e3d5e8</t>
  </si>
  <si>
    <t>DMS (ს.კ. 404868728) - შპს</t>
  </si>
  <si>
    <t>Buttons</t>
  </si>
  <si>
    <t>ICE2706/45658/1.1.3./PN65R3</t>
  </si>
  <si>
    <t>1f331018-ef65-4dbf-8121-94414670b98f</t>
  </si>
  <si>
    <t>Buttons | 1.1.3. (+) შემოსავალი ლიფტების სერვისიდან - არაგეგმიური | DMS (ს.კ. 404868728) - შპს</t>
  </si>
  <si>
    <t>2aa423e9-6a2d-4193-b467-03bdf7da3a0c</t>
  </si>
  <si>
    <t>ყვარლის მარანი (ს.კ. 441554499) - შპს</t>
  </si>
  <si>
    <t>Kvareli Marani</t>
  </si>
  <si>
    <t>ICE002705/45627/1.1.2./DKNPHY</t>
  </si>
  <si>
    <t>442d6392-f8f0-4503-b007-fc28df392923</t>
  </si>
  <si>
    <t>Kvareli Marani | 1.1.2. (+) შემოსავალი ლიფტების სერვისიდან - გეგმიური | ყვარლის მარანი (ს.კ. 441554499) - შპს</t>
  </si>
  <si>
    <t>953399c4-7628-4f67-a268-fd36c0a59459</t>
  </si>
  <si>
    <t>Hampton Unloading</t>
  </si>
  <si>
    <t>ICE000118/45658/1.1.3./Q5TOLR</t>
  </si>
  <si>
    <t>c6134fba-9c49-4b8e-98f1-17ed5de5456b</t>
  </si>
  <si>
    <t>Hampton Unloading | 1.1.3. (+) შემოსავალი ლიფტების სერვისიდან - არაგეგმიური | მეპერსი (ს.კ. 402121887) - შპს</t>
  </si>
  <si>
    <t>Hampton</t>
  </si>
  <si>
    <t>ICE000118/45658/1.1.1./7WVRS2</t>
  </si>
  <si>
    <t>a7180120-519b-4c0c-9eed-bf3eb90a8f85</t>
  </si>
  <si>
    <t>Hampton | 1.1.1. (+) შემოსავალი ლიფტების რეალიზაციიდან | მეპერსი (ს.კ. 402121887) - შპს</t>
  </si>
  <si>
    <t>Lisi Veranda 8 Unloading</t>
  </si>
  <si>
    <t>ICE002606/45658/1.1.1./QIDBR4</t>
  </si>
  <si>
    <t>2a95e52d-a73e-43c7-af46-577e4425d9b9</t>
  </si>
  <si>
    <t>Lisi Veranda 8 Unloading | 1.1.1. (+) შემოსავალი ლიფტების რეალიზაციიდან | გიანთი პალასი (ს.კ. 405128268) - შპს</t>
  </si>
  <si>
    <t>სიბიდი დეველოპმენტი (ს.კ. 404382921) - შპს</t>
  </si>
  <si>
    <t>EastPoint Chiller</t>
  </si>
  <si>
    <t>ICE2711/45638/1.2.1./X2TNO3</t>
  </si>
  <si>
    <t>ff4b548c-b47c-423b-96fc-755c9e0df9c1</t>
  </si>
  <si>
    <t>EastPoint Chiller | 1.2.1. (+) შემოსავალი MEP დანადგარების რეალიზაციიდან | სიბიდი დეველოპმენტი (ს.კ. 404382921) - შპს</t>
  </si>
  <si>
    <t>ced534c2-b8b9-43c9-9746-b763c50283d2</t>
  </si>
  <si>
    <t>dito.sichinava@gmail.com</t>
  </si>
  <si>
    <t>სანრაიზ პალასი (ს.კ. 445692518) - შპს</t>
  </si>
  <si>
    <t>Sunrise Palace</t>
  </si>
  <si>
    <t>ICE2719/45602/1.1.1./4TWUSE</t>
  </si>
  <si>
    <t>5bbb243b-d772-41d9-ac5b-400c1e7b2673</t>
  </si>
  <si>
    <t>Sunrise Palace | 1.1.1. (+) შემოსავალი ლიფტების რეალიზაციიდან | სანრაიზ პალასი (ს.კ. 445692518) - შპს</t>
  </si>
  <si>
    <t>3a545140-2831-4b72-ac09-50b44ee6c21d</t>
  </si>
  <si>
    <t>ვოლსი საბურთალო (ს.კ. 405372109) - შპს</t>
  </si>
  <si>
    <t>Sandro Euli</t>
  </si>
  <si>
    <t>ICE2715/45545/1.1.1./8419SP</t>
  </si>
  <si>
    <t>4e3be3fc-fc98-490b-bb3a-cf4d1eb35df5</t>
  </si>
  <si>
    <t>Sandro Euli | 1.1.1. (+) შემოსავალი ლიფტების რეალიზაციიდან | ვოლსი საბურთალო (ს.კ. 405372109) - შპს</t>
  </si>
  <si>
    <t>4038f9e4-505c-4f44-8ad5-e23fbb2e1cc8</t>
  </si>
  <si>
    <t>ემ სი ქონსთრაქშენ (ს.კ. 445558496) - შპს</t>
  </si>
  <si>
    <t>Crown Plaza</t>
  </si>
  <si>
    <t>1 6 30 2625</t>
  </si>
  <si>
    <t>ICE2734/45601/1.2.1./X9WTXQ</t>
  </si>
  <si>
    <t>fd52dbce-dc49-4d84-94c3-3dcf9801ff1b</t>
  </si>
  <si>
    <t>Crown Plaza | 1.2.1. (+) შემოსავალი MEP დანადგარების რეალიზაციიდან | ემ სი ქონსთრაქშენ (ს.კ. 445558496) - შპს</t>
  </si>
  <si>
    <t>d913e4c2-ee1a-4516-9da9-24ab80e6bae7</t>
  </si>
  <si>
    <t>ოქროს სანაპირო (ს.კ. 445465773) - შპს</t>
  </si>
  <si>
    <t>Golden Beach Kvariati</t>
  </si>
  <si>
    <t>ICE2714/45463/1.1.1./1QPQEZ</t>
  </si>
  <si>
    <t>72df828f-338b-4a61-857e-41d75526cba4</t>
  </si>
  <si>
    <t>Golden Beach Kvariati | 1.1.1. (+) შემოსავალი ლიფტების რეალიზაციიდან | ოქროს სანაპირო (ს.კ. 445465773) - შპს</t>
  </si>
  <si>
    <t>fc76d846-a1a8-4d93-8907-16b776e3004b</t>
  </si>
  <si>
    <t>Tegeta AHU</t>
  </si>
  <si>
    <t>ICE000038/45489/1.2.1./HX9UTL</t>
  </si>
  <si>
    <t>d5fe337b-7c64-4cd2-b394-3fd25464e5e2</t>
  </si>
  <si>
    <t>Tegeta AHU | 1.2.1. (+) შემოსავალი MEP დანადგარების რეალიზაციიდან | თეგეტა მოტორსი (ს.კ. 202177205) - შპს</t>
  </si>
  <si>
    <t>თბილისი ეარფორთ ჰოთელ (ს.კ. 406471269) - შპს</t>
  </si>
  <si>
    <t>Ibis Tbilisi Airport</t>
  </si>
  <si>
    <t>ICE2713/45597/1.1.2./S615YW</t>
  </si>
  <si>
    <t>9f2640f3-ae0c-49f8-9061-1ced93783d1b</t>
  </si>
  <si>
    <t>Ibis Tbilisi Airport | 1.1.2. (+) შემოსავალი ლიფტების სერვისიდან - გეგმიური | თბილისი ეარფორთ ჰოთელ (ს.კ. 406471269) - შპს</t>
  </si>
  <si>
    <t>36746e69-7093-4ed4-ab56-8af69b3f9839</t>
  </si>
  <si>
    <t>Aparthotel Service</t>
  </si>
  <si>
    <t>ICE000009/45590/1.1.3./ZO05ES</t>
  </si>
  <si>
    <t>600f100b-fe10-471e-90a9-5bc7931d086f</t>
  </si>
  <si>
    <t>Aparthotel Service | 1.1.3. (+) შემოსავალი ლიფტების სერვისიდან - არაგეგმიური | კანალესა (ს.კ. 405021925) - შპს</t>
  </si>
  <si>
    <t>კაფე ცენტრალი (ს.კ. 445685884) - შპს</t>
  </si>
  <si>
    <t>Batumi Cafe Central</t>
  </si>
  <si>
    <t>1 6 31 2559</t>
  </si>
  <si>
    <t>ICE2723/45474/1.1.2./DR0PGA</t>
  </si>
  <si>
    <t>25a7bb25-b2f6-4465-93ed-f0906f277c70</t>
  </si>
  <si>
    <t>Batumi Cafe Central | 1.1.2. (+) შემოსავალი ლიფტების სერვისიდან - გეგმიური | კაფე ცენტრალი (ს.კ. 445685884) - შპს</t>
  </si>
  <si>
    <t>4c5156a1-1518-4887-a947-d3dd8dde5f77</t>
  </si>
  <si>
    <t>ნატალია ვასილიევა (ს.კ. 01019013928) - ფიზ. პირი</t>
  </si>
  <si>
    <t>Mitsubisi Vasilieva</t>
  </si>
  <si>
    <t>ICE2733/45625/1.1.3./2ARSG4</t>
  </si>
  <si>
    <t>5ba10e73-ad9a-41dc-99a7-2d0d2442a590</t>
  </si>
  <si>
    <t>Mitsubisi Vasilieva | 1.1.3. (+) შემოსავალი ლიფტების სერვისიდან - არაგეგმიური | ნატალია ვასილიევა (ს.კ. 01019013928) - ფიზ. პირი</t>
  </si>
  <si>
    <t>25ed3d2c-1cba-476c-8eae-fd1f2a53c252</t>
  </si>
  <si>
    <t>ეკატერინე გელაშვილი (ს.კ. 01023000852) - ფიზ. პირი</t>
  </si>
  <si>
    <t>ICE2735/45621/1.2.1./KMBIHA</t>
  </si>
  <si>
    <t>a2e3f215-3821-413c-986a-762d210a2b0c</t>
  </si>
  <si>
    <t>Multisplit | 1.2.1. (+) შემოსავალი MEP დანადგარების რეალიზაციიდან | ეკატერინე გელაშვილი (ს.კ. 01023000852) - ფიზ. პირი</t>
  </si>
  <si>
    <t>ec6f69d6-60bd-4f09-920e-1d59a669cda0</t>
  </si>
  <si>
    <t>Service Irakli Kirtshkhalia</t>
  </si>
  <si>
    <t>ICE000013/45047/1.1.2./7IBPTW</t>
  </si>
  <si>
    <t>92925da9-ca4e-467c-996d-6feda3590026</t>
  </si>
  <si>
    <t>Service Irakli Kirtshkhalia | 1.1.2. (+) შემოსავალი ლიფტების სერვისიდან - გეგმიური | ნინო კირცხალია (ს.კ. 01031005362) - ფიზ. პირი</t>
  </si>
  <si>
    <t>მურუსიძე გიორგი (ს.კ. 61001034832) - ფიზ. პირი</t>
  </si>
  <si>
    <t>Air Conditioner</t>
  </si>
  <si>
    <t>ICE2737/45581/1.2.1./P8T97V</t>
  </si>
  <si>
    <t>667cb813-7b0b-44fb-b185-d5b8ae40dab8</t>
  </si>
  <si>
    <t>Air Conditioner | 1.2.1. (+) შემოსავალი MEP დანადგარების რეალიზაციიდან | მურუსიძე გიორგი (ს.კ. 61001034832) - ფიზ. პირი</t>
  </si>
  <si>
    <t>c53753f4-3fee-4509-82e2-dfcb32ff825f</t>
  </si>
  <si>
    <t>პარავიანი ალვინა (ს.კ. 01014004683) - ფიზ. პირი</t>
  </si>
  <si>
    <t>Conditioner blocks</t>
  </si>
  <si>
    <t>ICE2738/45559/1.2.1./H6K9QN</t>
  </si>
  <si>
    <t>4b812a0f-4a6a-4130-875a-66dedb91ad2a</t>
  </si>
  <si>
    <t>Conditioner blocks | 1.2.1. (+) შემოსავალი MEP დანადგარების რეალიზაციიდან | პარავიანი ალვინა (ს.კ. 01014004683) - ფიზ. პირი</t>
  </si>
  <si>
    <t>916786e4-622b-4979-9435-ffc68150e8f4</t>
  </si>
  <si>
    <t>ქურცაძე ვასო (ს.კ. 18001065894) - ფიზ. პირი</t>
  </si>
  <si>
    <t>Qurcadze Parts</t>
  </si>
  <si>
    <t>ICE2742/45489/1.2.1./Q0KWOL</t>
  </si>
  <si>
    <t>3d1a5e81-49a0-4a46-a477-a230ab0cc121</t>
  </si>
  <si>
    <t>Qurcadze Parts | 1.2.1. (+) შემოსავალი MEP დანადგარების რეალიზაციიდან | ქურცაძე ვასო (ს.კ. 18001065894) - ფიზ. პირი</t>
  </si>
  <si>
    <t>8c40516d-0520-49f4-95b0-284c72b0f0b5</t>
  </si>
  <si>
    <t>ივანე კონტრიძე (ს.კ. 01024066432) - ფიზ. პირი</t>
  </si>
  <si>
    <t>Kontridze Split</t>
  </si>
  <si>
    <t>ICE2743/45485/1.2.1./TUTXZC</t>
  </si>
  <si>
    <t>81c84c3c-2de9-4ebb-b541-575d248507ae</t>
  </si>
  <si>
    <t>Kontridze Split | 1.2.1. (+) შემოსავალი MEP დანადგარების რეალიზაციიდან | ივანე კონტრიძე (ს.კ. 01024066432) - ფიზ. პირი</t>
  </si>
  <si>
    <t>dc3cae98-45f9-4145-a8f4-a64c90b8f55c</t>
  </si>
  <si>
    <t>ლომიძე ლიანა (ს.კ. 01117067344) - ფიზ. პირი</t>
  </si>
  <si>
    <t xml:space="preserve">Lomidze Conditioner </t>
  </si>
  <si>
    <t>ICE2744/45444/1.2.1./T7QS54</t>
  </si>
  <si>
    <t>d6364fde-a9a4-4772-bdbd-d788e5769c30</t>
  </si>
  <si>
    <t>Lomidze Conditioner  | 1.2.1. (+) შემოსავალი MEP დანადგარების რეალიზაციიდან | ლომიძე ლიანა (ს.კ. 01117067344) - ფიზ. პირი</t>
  </si>
  <si>
    <t>63601b77-5c6b-4658-93d6-f7a4c3f631f5</t>
  </si>
  <si>
    <t>ეკატერინე ჭავჭავაძე (ს.კ. 01009010735) - ფიზ. პირი</t>
  </si>
  <si>
    <t>Chavchavadze Oth</t>
  </si>
  <si>
    <t>ICE2746/45460/1.2.1./G5XHOM</t>
  </si>
  <si>
    <t>c9abade1-3a48-479d-b73f-dd6be570c0a0</t>
  </si>
  <si>
    <t>Chavchavadze Oth | 1.2.1. (+) შემოსავალი MEP დანადგარების რეალიზაციიდან | ეკატერინე ჭავჭავაძე (ს.კ. 01009010735) - ფიზ. პირი</t>
  </si>
  <si>
    <t>c91361e4-ec0c-4725-80c8-1e254f632013</t>
  </si>
  <si>
    <t>გოგოტიშვილი კობა (ს.კ. 33001026839) - ფიზ. პირი</t>
  </si>
  <si>
    <t>Gogotishvili Oth</t>
  </si>
  <si>
    <t>ICE2747/45456/1.2.1./26F74Z</t>
  </si>
  <si>
    <t>e7fd2ddd-f62d-4635-9468-df10b5448af4</t>
  </si>
  <si>
    <t>Gogotishvili Oth | 1.2.1. (+) შემოსავალი MEP დანადგარების რეალიზაციიდან | გოგოტიშვილი კობა (ს.კ. 33001026839) - ფიზ. პირი</t>
  </si>
  <si>
    <t>275718ac-94f6-47c6-a5da-540dbf2eeb2c</t>
  </si>
  <si>
    <t>ანა გაგუა (ს.კ. 60001021539) - ფიზ. პირი</t>
  </si>
  <si>
    <t>Gagua Oth</t>
  </si>
  <si>
    <t>ICE2748/45436/1.2.1./HG0WPI</t>
  </si>
  <si>
    <t>79500bdf-aec6-4255-8105-31d05c0ca9a4</t>
  </si>
  <si>
    <t>Gagua Oth | 1.2.1. (+) შემოსავალი MEP დანადგარების რეალიზაციიდან | ანა გაგუა (ს.კ. 60001021539) - ფიზ. პირი</t>
  </si>
  <si>
    <t>f3499ead-c0cd-4154-a2c6-5b9c9d204474</t>
  </si>
  <si>
    <t>ვეკუა ლაშა (ს.კ. 01027060345) - ფიზ. პირი</t>
  </si>
  <si>
    <t>Vekua Oth</t>
  </si>
  <si>
    <t>ICE2749/45427/1.2.1./RF1P2T</t>
  </si>
  <si>
    <t>f26f4e6a-f817-4b50-93e7-0f8c69aabd74</t>
  </si>
  <si>
    <t>Vekua Oth | 1.2.1. (+) შემოსავალი MEP დანადგარების რეალიზაციიდან | ვეკუა ლაშა (ს.კ. 01027060345) - ფიზ. პირი</t>
  </si>
  <si>
    <t>cfff9008-ad7c-4c3a-b342-795a737c1c84</t>
  </si>
  <si>
    <t>ლაბარტყავა მარიამ (ს.კ. 01008043151) - ფიზ. პირი</t>
  </si>
  <si>
    <t>Nasidze 20</t>
  </si>
  <si>
    <t>ICE2751/45292/1.1.2./KRIGMC</t>
  </si>
  <si>
    <t>c7c47b8c-a05b-4f2f-89f5-5fcc2dca9f16</t>
  </si>
  <si>
    <t>Nasidze 20 | 1.1.2. (+) შემოსავალი ლიფტების სერვისიდან - გეგმიური | ლაბარტყავა მარიამ (ს.კ. 01008043151) - ფიზ. პირი</t>
  </si>
  <si>
    <t>1a8d434a-1520-44e9-8b1d-c20c8449a0a8</t>
  </si>
  <si>
    <t>გაგნიძე ნელი (ს.კ. 01006008918) - ფიზ. პირი</t>
  </si>
  <si>
    <t>Gagnidze Oth</t>
  </si>
  <si>
    <t>ICE2736/45597/1.2.1./O8UT0P</t>
  </si>
  <si>
    <t>2658b30e-b80e-4dec-aeee-e91877237b23</t>
  </si>
  <si>
    <t>Gagnidze Oth | 1.2.1. (+) შემოსავალი MEP დანადგარების რეალიზაციიდან | გაგნიძე ნელი (ს.კ. 01006008918) - ფიზ. პირი</t>
  </si>
  <si>
    <t>ed6e30dd-59f8-433f-88b0-69d6dd5dea41</t>
  </si>
  <si>
    <t>Mammadova Oth</t>
  </si>
  <si>
    <t>ICE002152/45272/1.2.1./P1UJVO</t>
  </si>
  <si>
    <t>a2c64723-d22e-4f0c-8840-a93aa06d97f3</t>
  </si>
  <si>
    <t>Mammadova Oth | 1.2.1. (+) შემოსავალი MEP დანადგარების რეალიზაციიდან | ელენა მამმადოვა (ს.კ. 01794001582) - ფიზ. პირი</t>
  </si>
  <si>
    <t>ბერიძე არჩილ (ს.კ. 61001032541) - ფიზ. პირი</t>
  </si>
  <si>
    <t>Beridze Multisplit</t>
  </si>
  <si>
    <t>ICE2753/45084/1.2.1./RQVHTV</t>
  </si>
  <si>
    <t>65a40d34-cef1-44cd-a2af-fc14354579ea</t>
  </si>
  <si>
    <t>Beridze Multisplit | 1.2.1. (+) შემოსავალი MEP დანადგარების რეალიზაციიდან | ბერიძე არჩილ (ს.კ. 61001032541) - ფიზ. პირი</t>
  </si>
  <si>
    <t>d5f876ea-2681-46c7-a28a-16055c6346cf</t>
  </si>
  <si>
    <t>გიორგი კიკუტაძე (ს.კ. 01901146888) - ფიზ. პირი</t>
  </si>
  <si>
    <t>Kikutadze Conditioner</t>
  </si>
  <si>
    <t>ICE2226/45159/1.2.1./MUPWTE</t>
  </si>
  <si>
    <t>d813cda0-13c5-499b-9e42-9b0f68330eb9</t>
  </si>
  <si>
    <t>Kikutadze Conditioner | 1.2.1. (+) შემოსავალი MEP დანადგარების რეალიზაციიდან | გიორგი კიკუტაძე (ს.კ. 01901146888) - ფიზ. პირი</t>
  </si>
  <si>
    <t>b95f7c20-be12-4f5e-866c-2f3c5afe26f4</t>
  </si>
  <si>
    <t>კობა გოგატიშვილი (ს.კ. 54001008148) - ფიზ. პირი</t>
  </si>
  <si>
    <t>Gogatishvili Oth</t>
  </si>
  <si>
    <t>ICE2228/45048/1.2.1./SYMCZI</t>
  </si>
  <si>
    <t>ae760261-16e0-44ad-b507-8d2f4e6f036a</t>
  </si>
  <si>
    <t>Gogatishvili Oth | 1.2.1. (+) შემოსავალი MEP დანადგარების რეალიზაციიდან | კობა გოგატიშვილი (ს.კ. 54001008148) - ფიზ. პირი</t>
  </si>
  <si>
    <t>902aa9a4-2ddb-4c1d-8d3c-e96c84377e9c</t>
  </si>
  <si>
    <t>თავაძე თამაზი (ს.კ. 01019014393) - ფიზ. პირი</t>
  </si>
  <si>
    <t>Tavadze Oth</t>
  </si>
  <si>
    <t>ICE2739/45537/1.2.1./H38BCG</t>
  </si>
  <si>
    <t>fa5ac42a-39b7-43c8-ad78-3b4862ec91b4</t>
  </si>
  <si>
    <t>Tavadze Oth | 1.2.1. (+) შემოსავალი MEP დანადგარების რეალიზაციიდან | თავაძე თამაზი (ს.კ. 01019014393) - ფიზ. პირი</t>
  </si>
  <si>
    <t>79525eb7-50b0-4243-a184-1cae6ac6f127</t>
  </si>
  <si>
    <t>ლეკვეიშვილი გრიგოლ (ს.კ. 01001010845) - ფიზ. პირი</t>
  </si>
  <si>
    <t>Lekveishvili Oth</t>
  </si>
  <si>
    <t>ICE2741/45495/1.2.1./PUXXKF</t>
  </si>
  <si>
    <t>898f9815-9aec-455c-8778-12cd91a6e27e</t>
  </si>
  <si>
    <t>Lekveishvili Oth | 1.2.1. (+) შემოსავალი MEP დანადგარების რეალიზაციიდან | ლეკვეიშვილი გრიგოლ (ს.კ. 01001010845) - ფიზ. პირი</t>
  </si>
  <si>
    <t>27f35c75-48c9-4949-a685-69ba8ba972c0</t>
  </si>
  <si>
    <t>სითიქომ (ს.კ. 405197111) - შპს</t>
  </si>
  <si>
    <t>Navtlugi</t>
  </si>
  <si>
    <t>ICE000121/44937/1.1.2./JX3EOD</t>
  </si>
  <si>
    <t>cf7634e5-aa91-43b9-bc60-046ca6e64b12</t>
  </si>
  <si>
    <t>Navtlugi | 1.1.2. (+) შემოსავალი ლიფტების სერვისიდან - გეგმიური | სითიქომ (ს.კ. 405197111) - შპს</t>
  </si>
  <si>
    <t>B0233419-0052-4A91-AD62-6A8EAC8ED636</t>
  </si>
  <si>
    <t>Eqvtime Kheladze</t>
  </si>
  <si>
    <t>ICE000121/44937/1.1.2./3NVQ1P</t>
  </si>
  <si>
    <t>492a4428-a288-414a-aeb2-432c7bb64951</t>
  </si>
  <si>
    <t>Eqvtime Kheladze | 1.1.2. (+) შემოსავალი ლიფტების სერვისიდან - გეგმიური | სითიქომ (ს.კ. 405197111) - შპს</t>
  </si>
  <si>
    <t>4000 Meskhtians</t>
  </si>
  <si>
    <t>ICE000121/44937/1.1.2./5O97M8</t>
  </si>
  <si>
    <t>0d3a7855-e6e2-4b63-a939-7c06598e9544</t>
  </si>
  <si>
    <t>4000 Meskhtians | 1.1.2. (+) შემოსავალი ლიფტების სერვისიდან - გეგმიური | სითიქომ (ს.კ. 405197111) - შპს</t>
  </si>
  <si>
    <t>Tskneti H-way</t>
  </si>
  <si>
    <t>ICE000121/44937/1.1.2./13WQZ8</t>
  </si>
  <si>
    <t>91afec52-e723-43dc-ab36-e7776f8c4384</t>
  </si>
  <si>
    <t>Tskneti H-way | 1.1.2. (+) შემოსავალი ლიფტების სერვისიდან - გეგმიური | სითიქომ (ს.კ. 405197111) - შპს</t>
  </si>
  <si>
    <t>ICE000121/44937/1.1.2./UGY40W</t>
  </si>
  <si>
    <t>44307406-1e99-47c1-b822-6d80ebfb18b6</t>
  </si>
  <si>
    <t>Shartava | 1.1.2. (+) შემოსავალი ლიფტების სერვისიდან - გეგმიური | სითიქომ (ს.კ. 405197111) - შპს</t>
  </si>
  <si>
    <t>ოკტოპუსი (ს.კ. 405116084) - შპს</t>
  </si>
  <si>
    <t>Oktopus Serv</t>
  </si>
  <si>
    <t>ICE2716/45536/1.1.2./TP8GNP</t>
  </si>
  <si>
    <t>58dcec7b-b282-43c1-8c03-b8061dd5f405</t>
  </si>
  <si>
    <t>Oktopus Serv | 1.1.2. (+) შემოსავალი ლიფტების სერვისიდან - გეგმიური | ოკტოპუსი (ს.კ. 405116084) - შპს</t>
  </si>
  <si>
    <t>f22517d3-0787-4cd7-bb5d-20546f9e512b</t>
  </si>
  <si>
    <t>Service</t>
  </si>
  <si>
    <t>ICE002475/45201/1.1.2./RSCQN6</t>
  </si>
  <si>
    <t>9eb94c52-f2b4-4435-b1fd-cea10385a573</t>
  </si>
  <si>
    <t>Service | 1.1.2. (+) შემოსავალი ლიფტების სერვისიდან - გეგმიური | ჯორჯიან გოლდ ინვესტ (ს.კ. 405602968) - სს</t>
  </si>
  <si>
    <t>UNIX MARSEL Oth</t>
  </si>
  <si>
    <t>ICE001853/45428/1.1.3./IR9A62</t>
  </si>
  <si>
    <t>3b80beb6-c20b-4ecb-81a6-0527b796a706</t>
  </si>
  <si>
    <t>UNIX MARSEL Oth | 1.1.3. (+) შემოსავალი ლიფტების სერვისიდან - არაგეგმიური | ფრანგული უბანი ფრანგული უბნის "დ" და "ე" ბლოკების ამხანაგობა (ს.კ. 200316657) - ამხანაგობა</t>
  </si>
  <si>
    <t>ფარნავაზ მეფის # 62 (ს.კ. 245665221) - ამხანაგობა</t>
  </si>
  <si>
    <t>King Parnavaz Service</t>
  </si>
  <si>
    <t>ICE2732/45650/1.1.3./T4Q3WG</t>
  </si>
  <si>
    <t>9ee462fd-bce8-4e65-b80f-6597aac0a198</t>
  </si>
  <si>
    <t>King Parnavaz Service | 1.1.3. (+) შემოსავალი ლიფტების სერვისიდან - არაგეგმიური | ფარნავაზ მეფის # 62 (ს.კ. 245665221) - ამხანაგობა</t>
  </si>
  <si>
    <t>c9019178-1b89-4de7-8451-b06bd01ca77b</t>
  </si>
  <si>
    <t>სიმონ შეშელიძე (ს.კ. 33001059430) - ფიზ. პირი</t>
  </si>
  <si>
    <t>Batumi Mall Repair</t>
  </si>
  <si>
    <t>ICE2020/45446/1.1.3./QPB0O8</t>
  </si>
  <si>
    <t>263b24b6-e48a-46b4-8419-bb559f37bdb5</t>
  </si>
  <si>
    <t>Batumi Mall Repair | 1.1.3. (+) შემოსავალი ლიფტების სერვისიდან - არაგეგმიური | სიმონ შეშელიძე (ს.კ. 33001059430) - ფიზ. პირი</t>
  </si>
  <si>
    <t>3c8772d6-ed17-4a44-94bd-f19d09baa79d</t>
  </si>
  <si>
    <t>Server</t>
  </si>
  <si>
    <t>ICE002619/45559/1.2.3./6TUMXS</t>
  </si>
  <si>
    <t>d68a9652-dc80-4115-b65c-6952cf3030df</t>
  </si>
  <si>
    <t>Server | 1.2.3. (+) შემოსავალი MEP დანადგარების სერვისიდან - არაგეგმიური | შპს წინანდლის მამულები (ს.კ. 204557372) - შპს</t>
  </si>
  <si>
    <t>თეა მაღალდაძე (ს.კ. 57001015349) - ინდ. მეწარმე</t>
  </si>
  <si>
    <t>Magaldadze service</t>
  </si>
  <si>
    <t>ICE2731/45444/1.1.2./U41HKW</t>
  </si>
  <si>
    <t>6cdfec35-a686-4791-ad3c-1b5006bf2e17</t>
  </si>
  <si>
    <t>Magaldadze service | 1.1.2. (+) შემოსავალი ლიფტების სერვისიდან - გეგმიური | თეა მაღალდაძე (ს.კ. 57001015349) - ინდ. მეწარმე</t>
  </si>
  <si>
    <t>3c82c866-e061-4767-bfd0-c4b2ba8aa444</t>
  </si>
  <si>
    <t>ჯეიფი ჰაბ (ს.კ. 445657548) - შპს</t>
  </si>
  <si>
    <t>JP Service</t>
  </si>
  <si>
    <t>ICE2724/45170/1.1.2./GATWPF</t>
  </si>
  <si>
    <t>b215c1b4-e250-405b-ac3b-1d5cd2df1eb7</t>
  </si>
  <si>
    <t>JP Service | 1.1.2. (+) შემოსავალი ლიფტების სერვისიდან - გეგმიური | ჯეიფი ჰაბ (ს.კ. 445657548) - შპს</t>
  </si>
  <si>
    <t>51f14bdd-328a-4b13-913b-cb99ce8ac5a9</t>
  </si>
  <si>
    <t>Gori Mall Oth</t>
  </si>
  <si>
    <t>ICE000088/45383/1.2.3./VYPVNQ</t>
  </si>
  <si>
    <t>7eb44f77-a800-435f-ab32-702491846076</t>
  </si>
  <si>
    <t>Gori Mall Oth | 1.2.3. (+) შემოსავალი MEP დანადგარების სერვისიდან - არაგეგმიური | მპ დეველოპმენტი (ს.კ. 404960217) - შპს</t>
  </si>
  <si>
    <t>ადმირალ ფბ (ს.კ. 405586655) - შპს</t>
  </si>
  <si>
    <t>Admiral Service</t>
  </si>
  <si>
    <t>ICE2729/45505/1.1.2./SY150G</t>
  </si>
  <si>
    <t>18429754-51b7-4e46-a250-cab45c132b7b</t>
  </si>
  <si>
    <t>Admiral Service | 1.1.2. (+) შემოსავალი ლიფტების სერვისიდან - გეგმიური | ადმირალ ფბ (ს.კ. 405586655) - შპს</t>
  </si>
  <si>
    <t>534a0b6e-685a-4bc0-9a5b-8ed62f22fb3f</t>
  </si>
  <si>
    <t>ვერჰეიჯ ნორა (ს.კ. NV0C25JD1) - ფიზ. პირი</t>
  </si>
  <si>
    <t>Verheij Property</t>
  </si>
  <si>
    <t>ICE2754/45200/1.3.1./S5ODIQ</t>
  </si>
  <si>
    <t>9c110e19-ca3e-4aa2-876e-13dc3ad8b746</t>
  </si>
  <si>
    <t>Verheij Property | 1.3.1. (+) სხვადასხვა ინვენტარის რეალიზაცია | ვერჰეიჯ ნორა (ს.კ. NV0C25JD1) - ფიზ. პირი</t>
  </si>
  <si>
    <t>19c597da-5f1b-4113-a80c-fdba97435783</t>
  </si>
  <si>
    <t>ანზორ მოლაშვილი (ს.კ. 40001004103) - ინდ. მეწარმე</t>
  </si>
  <si>
    <t>Molashvili Auto</t>
  </si>
  <si>
    <t>ICE2248/45499/1.3.1./PBXUN0</t>
  </si>
  <si>
    <t>2a366a59-81bc-43f7-abdb-194c81dcaa00</t>
  </si>
  <si>
    <t>Molashvili Auto | 1.3.1. (+) სხვადასხვა ინვენტარის რეალიზაცია | ანზორ მოლაშვილი (ს.კ. 40001004103) - ინდ. მეწარმე</t>
  </si>
  <si>
    <t>16253a43-5364-4c7e-8a23-ba97ec60d20a</t>
  </si>
  <si>
    <t>Cafe Central Oth</t>
  </si>
  <si>
    <t>ICE2723/45452/1.1.3./U2MESH</t>
  </si>
  <si>
    <t>de73aba7-f006-499e-b8ca-825c89e8bdbe</t>
  </si>
  <si>
    <t>Cafe Central Oth | 1.1.3. (+) შემოსავალი ლიფტების სერვისიდან - არაგეგმიური | კაფე ცენტრალი (ს.კ. 445685884) - შპს</t>
  </si>
  <si>
    <t>თიბისი ლიზინგი (ს.კ. 205016560) - სს</t>
  </si>
  <si>
    <t>Domus Ipodrom via TBC Leasing</t>
  </si>
  <si>
    <t>ICE2740/45513/1.1.1./YTHI1A</t>
  </si>
  <si>
    <t>22726c64-b6f5-4a4f-bfe2-d0dc0ca3d0e5</t>
  </si>
  <si>
    <t>Domus Ipodrom via TBC Leasing | 1.1.1. (+) შემოსავალი ლიფტების რეალიზაციიდან | თიბისი ლიზინგი (ს.კ. 205016560) - სს</t>
  </si>
  <si>
    <t>a703d7aa-d0ea-48b7-a4c0-34cbdaaf11dd</t>
  </si>
  <si>
    <t>საქართველოს ბანკი (ს.კ. 204378869) - სს</t>
  </si>
  <si>
    <t>BOG Oth</t>
  </si>
  <si>
    <t>ICE000151/45790/1.3.1./HBCLQT</t>
  </si>
  <si>
    <t>95cf5afa-5f39-4ca1-9ce6-6728e96ccf6a</t>
  </si>
  <si>
    <t>BOG Oth | 1.3.1. (+) სხვადასხვა ინვენტარის რეალიზაცია | საქართველოს ბანკი (ს.კ. 204378869) - სს</t>
  </si>
  <si>
    <t>F1BAE597-A18D-4A3B-990E-12772132C8B9</t>
  </si>
  <si>
    <t>გთემ ჰოსფითალითი გრუპ (ს.კ. 445604640) - შპს</t>
  </si>
  <si>
    <t>Gtem Hospitality Oth</t>
  </si>
  <si>
    <t>ICE2726/45281/1.2.3./WR6FGL</t>
  </si>
  <si>
    <t>39f85d24-b9fe-4ee2-862a-a1705eb0d659</t>
  </si>
  <si>
    <t>Gtem Hospitality Oth | 1.2.3. (+) შემოსავალი MEP დანადგარების სერვისიდან - არაგეგმიური | გთემ ჰოსფითალითი გრუპ (ს.კ. 445604640) - შპს</t>
  </si>
  <si>
    <t>a7eacbc7-3827-472e-95bc-f6b39b0ff168</t>
  </si>
  <si>
    <t>ბათუმი ცენტრალი (ს.კ. 445386172) - შპს</t>
  </si>
  <si>
    <t>Batumi Central</t>
  </si>
  <si>
    <t>1 6 30 2553</t>
  </si>
  <si>
    <t>ICE2718/45423/1.1.1./UE8IUB</t>
  </si>
  <si>
    <t>3655c52a-d5cf-463b-9048-b80f859c6f59</t>
  </si>
  <si>
    <t>Batumi Central | 1.1.1. (+) შემოსავალი ლიფტების რეალიზაციიდან | ბათუმი ცენტრალი (ს.კ. 445386172) - შპს</t>
  </si>
  <si>
    <t>26d882f1-0e80-4ca4-8c7e-958513fda0ec</t>
  </si>
  <si>
    <t>Bagrationi VRF</t>
  </si>
  <si>
    <t>ICE001880/45225/1.2.1./0O95VP</t>
  </si>
  <si>
    <t>8c5a66e1-83c1-4c69-8753-00a868f8278b</t>
  </si>
  <si>
    <t>Bagrationi VRF | 1.2.1. (+) შემოსავალი MEP დანადგარების რეალიზაციიდან | ბაგრატიონი რეზიდენსი (ს.კ. 445572568) - შპს</t>
  </si>
  <si>
    <t>Ibis Airport Oth</t>
  </si>
  <si>
    <t>ICE002155/45548/1.1.3./VWO1F7</t>
  </si>
  <si>
    <t>db0b0f04-8cc8-4554-a3e4-94629f921b7b</t>
  </si>
  <si>
    <t>Ibis Airport Oth | 1.1.3. (+) შემოსავალი ლიფტების სერვისიდან - არაგეგმიური | ფუჯინ სილქ ფროფერთის (ს.კ. 405273421) - შპს</t>
  </si>
  <si>
    <t>სი ფი აი ჯორჯია (ს.კ. 204969908) - შპს</t>
  </si>
  <si>
    <t>CPI Geo Oth</t>
  </si>
  <si>
    <t>ICE2725/45320/1.2.1./TYSJ6R</t>
  </si>
  <si>
    <t>63ddf218-4647-4e1b-969f-6b4f83d1e514</t>
  </si>
  <si>
    <t>CPI Geo Oth | 1.2.1. (+) შემოსავალი MEP დანადგარების რეალიზაციიდან | სი ფი აი ჯორჯია (ს.კ. 204969908) - შპს</t>
  </si>
  <si>
    <t>82e5574c-11e5-41be-b979-d091bd52b7f7</t>
  </si>
  <si>
    <t>PIAZZA MANAGEMENT (ს.კ. 445394369) - შპს</t>
  </si>
  <si>
    <t>Piazza Oth</t>
  </si>
  <si>
    <t>ICE2727/45275/1.2.1./ZDX1FG</t>
  </si>
  <si>
    <t>838b4e65-9a61-4673-a9df-1fd36bf906ac</t>
  </si>
  <si>
    <t>Piazza Oth | 1.2.1. (+) შემოსავალი MEP დანადგარების რეალიზაციიდან | PIAZZA MANAGEMENT (ს.კ. 445394369) - შპს</t>
  </si>
  <si>
    <t>bc6c756a-a57e-4a37-a604-bdccfecace3b</t>
  </si>
  <si>
    <t>ქაან ქონსთრაქშენ (ს.კ. 445718411) - შპს</t>
  </si>
  <si>
    <t>Caan Construction Oth</t>
  </si>
  <si>
    <t>ICE2728/45259/1.2.1./DRXOST</t>
  </si>
  <si>
    <t>2fc0f7a8-ad08-469d-8951-4f1e36984883</t>
  </si>
  <si>
    <t>Caan Construction Oth | 1.2.1. (+) შემოსავალი MEP დანადგარების რეალიზაციიდან | ქაან ქონსთრაქშენ (ს.კ. 445718411) - შპს</t>
  </si>
  <si>
    <t>3ef7bb0c-d64a-4a7a-af5a-f4afd334ca47</t>
  </si>
  <si>
    <t>V-JEO Restaurant Oth</t>
  </si>
  <si>
    <t>ICE001887/45461/1.2.1./3A9GFE</t>
  </si>
  <si>
    <t>61bdad7e-951a-49e1-ad20-effc58d831c0</t>
  </si>
  <si>
    <t>V-JEO Restaurant Oth | 1.2.1. (+) შემოსავალი MEP დანადგარების რეალიზაციიდან | ვ-ჯეო რესტორნები (ს.კ. 405404076) - შპს</t>
  </si>
  <si>
    <t>V-JEO Restaurant Service</t>
  </si>
  <si>
    <t>ICE001887/45412/1.1.2./JRGQNP</t>
  </si>
  <si>
    <t>3c79a727-6664-46b5-934e-e441dd6e8b15</t>
  </si>
  <si>
    <t>V-JEO Restaurant Service | 1.1.2. (+) შემოსავალი ლიფტების სერვისიდან - გეგმიური | ვ-ჯეო რესტორნები (ს.კ. 405404076) - შპს</t>
  </si>
  <si>
    <t>Supreme Solutions Var</t>
  </si>
  <si>
    <t>ICE001753/45160/1.2.1./P5GMST</t>
  </si>
  <si>
    <t>8328e43a-5a22-4272-94bf-82dfce48267a</t>
  </si>
  <si>
    <t>Supreme Solutions Var | 1.2.1. (+) შემოსავალი MEP დანადგარების რეალიზაციიდან | სუპრემე სოლუთიონს (ს.კ. 445587320) - შპს</t>
  </si>
  <si>
    <t>City Mall Oth</t>
  </si>
  <si>
    <t>ICE000010/45443/1.1.3./U3WI7Q</t>
  </si>
  <si>
    <t>801d2f71-6bad-4428-8e22-38a2b8dac0e4</t>
  </si>
  <si>
    <t>City Mall Oth | 1.1.3. (+) შემოსავალი ლიფტების სერვისიდან - არაგეგმიური | აი ჯი დეველოფმენტ ჯორჯია (ს.კ. 404851503) - შპს</t>
  </si>
  <si>
    <t>Police City</t>
  </si>
  <si>
    <t>ICE000033/45624/1.1.1./PW6ER1</t>
  </si>
  <si>
    <t>695ecef4-e21a-4d46-8c6b-39425ab02dea</t>
  </si>
  <si>
    <t>Police City | 1.1.1. (+) შემოსავალი ლიფტების რეალიზაციიდან | ანაგი (ს.კ. 245416401) - შპს</t>
  </si>
  <si>
    <t>Lisi Fo Green Tower</t>
  </si>
  <si>
    <t>ICE000118/45658/1.1.1./UISG96</t>
  </si>
  <si>
    <t>1f4cd44c-c42a-419a-8ca7-2659815044c3</t>
  </si>
  <si>
    <t>Lisi Fo Green Tower | 1.1.1. (+) შემოსავალი ლიფტების რეალიზაციიდან | მეპერსი (ს.კ. 402121887) - შპს</t>
  </si>
  <si>
    <t>Gayrimenkul (Turkey)</t>
  </si>
  <si>
    <t>ICE000118/45658/1.1.1./SWXT9O</t>
  </si>
  <si>
    <t>b0baf9a6-7964-4fe8-a3e6-5e2f13aa212a</t>
  </si>
  <si>
    <t>Gayrimenkul (Turkey) | 1.1.1. (+) შემოსავალი ლიფტების რეალიზაციიდან | მეპერსი (ს.კ. 402121887) - შპს</t>
  </si>
  <si>
    <t>Rid Yerevan</t>
  </si>
  <si>
    <t>ICE000118/45658/1.1.1./4HNTED</t>
  </si>
  <si>
    <t>82d93de8-f0e9-4b9b-a47b-373b2fbe34df</t>
  </si>
  <si>
    <t>Rid Yerevan | 1.1.1. (+) შემოსავალი ლიფტების რეალიზაციიდან | მეპერსი (ს.კ. 402121887) - შპს</t>
  </si>
  <si>
    <t>Lisi Fo C4 Block</t>
  </si>
  <si>
    <t>ICE000118/45658/1.1.1./R2ERVJ</t>
  </si>
  <si>
    <t>fb76ebea-5aa9-4dc6-9b29-b2601b1e788c</t>
  </si>
  <si>
    <t>Lisi Fo C4 Block | 1.1.1. (+) შემოსავალი ლიფტების რეალიზაციიდან | მეპერსი (ს.კ. 402121887) - შპს</t>
  </si>
  <si>
    <t>Lazika</t>
  </si>
  <si>
    <t>ICE000118/45658/1.1.1./VN6BWP</t>
  </si>
  <si>
    <t>3d3f5a94-fbd9-4195-be75-90ae934a0684</t>
  </si>
  <si>
    <t>Lazika | 1.1.1. (+) შემოსავალი ლიფტების რეალიზაციიდან | მეპერსი (ს.კ. 402121887) - შპს</t>
  </si>
  <si>
    <t>Tsakhnadzur (Arm)</t>
  </si>
  <si>
    <t>ICE000118/45658/1.1.1./HQ0QNV</t>
  </si>
  <si>
    <t>6a74b143-d124-4946-b05b-07d771f1e88f</t>
  </si>
  <si>
    <t>Tsakhnadzur (Arm) | 1.1.1. (+) შემოსავალი ლიფტების რეალიზაციიდან | მეპერსი (ს.კ. 402121887) - შპს</t>
  </si>
  <si>
    <t>Bk Shartava 43 stage 2</t>
  </si>
  <si>
    <t>ICE000118/45658/1.1.1./PS04YV</t>
  </si>
  <si>
    <t>244e865d-dbf7-40a4-a6c9-e552473f8466</t>
  </si>
  <si>
    <t>Bk Shartava 43 stage 2 | 1.1.1. (+) შემოსავალი ლიფტების რეალიზაციიდან | მეპერსი (ს.კ. 402121887) - შპს</t>
  </si>
  <si>
    <t>Hampton Tourinvest</t>
  </si>
  <si>
    <t>ICE000118/45658/1.1.1./4XLQBO</t>
  </si>
  <si>
    <t>c806568f-753b-4011-877c-d783da192c77</t>
  </si>
  <si>
    <t>Hampton Tourinvest | 1.1.1. (+) შემოსავალი ლიფტების რეალიზაციიდან | მეპერსი (ს.კ. 402121887) - შპს</t>
  </si>
  <si>
    <t>Energy + Akhaltsikhe</t>
  </si>
  <si>
    <t>ICE000118/45658/1.1.1./LTP280</t>
  </si>
  <si>
    <t>73523618-800c-4317-b168-167a0d0fb74e</t>
  </si>
  <si>
    <t>Energy + Akhaltsikhe | 1.1.1. (+) შემოსავალი ლიფტების რეალიზაციიდან | მეპერსი (ს.კ. 402121887) - შპს</t>
  </si>
  <si>
    <t>Bk Shartava stage 3</t>
  </si>
  <si>
    <t>ICE000118/45658/1.1.1./Y7O5RX</t>
  </si>
  <si>
    <t>7655eacd-6ce8-4903-b530-42f8f610ebea</t>
  </si>
  <si>
    <t>Bk Shartava stage 3 | 1.1.1. (+) შემოსავალი ლიფტების რეალიზაციიდან | მეპერსი (ს.კ. 402121887) - შპს</t>
  </si>
  <si>
    <t>Marshal Development</t>
  </si>
  <si>
    <t>ICE000118/45658/1.1.1./IHWFQV</t>
  </si>
  <si>
    <t>5a84a3c0-0237-492b-ab84-dc0272cde639</t>
  </si>
  <si>
    <t>Marshal Development | 1.1.1. (+) შემოსავალი ლიფტების რეალიზაციიდან | მეპერსი (ს.კ. 402121887) - შპს</t>
  </si>
  <si>
    <t>Beta Group</t>
  </si>
  <si>
    <t>ICE000118/45658/1.1.1./AV0TR9</t>
  </si>
  <si>
    <t>31587545-8f9c-4e83-9b84-9143331c1434</t>
  </si>
  <si>
    <t>Beta Group | 1.1.1. (+) შემოსავალი ლიფტების რეალიზაციიდან | მეპერსი (ს.კ. 402121887) - შპს</t>
  </si>
  <si>
    <t>BK Dzotsi St</t>
  </si>
  <si>
    <t>ICE000118/45658/1.1.1./SMT527</t>
  </si>
  <si>
    <t>bd24921a-385f-44cc-918f-cf52e3cef954</t>
  </si>
  <si>
    <t>BK Dzotsi St | 1.1.1. (+) შემოსავალი ლიფტების რეალიზაციიდან | მეპერსი (ს.კ. 402121887) - შპს</t>
  </si>
  <si>
    <t>Bili Menegement</t>
  </si>
  <si>
    <t>ICE000118/45658/1.1.1./PHJNG1</t>
  </si>
  <si>
    <t>fb19f05a-c2bc-432c-8aee-cae452bf0bfd</t>
  </si>
  <si>
    <t>Bili Menegement | 1.1.1. (+) შემოსავალი ლიფტების რეალიზაციიდან | მეპერსი (ს.კ. 402121887) - შპს</t>
  </si>
  <si>
    <t>Krtsanisi Millenio</t>
  </si>
  <si>
    <t>ICE000118/45658/1.1.1./STBUPW</t>
  </si>
  <si>
    <t>a868e0c4-ca3e-4349-adad-a4fdb8f562a9</t>
  </si>
  <si>
    <t>Krtsanisi Millenio | 1.1.1. (+) შემოსავალი ლიფტების რეალიზაციიდან | მეპერსი (ს.კ. 402121887) - შპს</t>
  </si>
  <si>
    <t>ჯი ემ ფარმასიუთიქალს (ს.კ. 211385268) - შპს</t>
  </si>
  <si>
    <t>GM Pharma Compresor</t>
  </si>
  <si>
    <t>ICE2722/45485/1.2.1./GSVB9X</t>
  </si>
  <si>
    <t>dc11d4a7-8e3c-4a57-8c03-b9ca0d608766</t>
  </si>
  <si>
    <t>GM Pharma Compresor | 1.2.1. (+) შემოსავალი MEP დანადგარების რეალიზაციიდან | ჯი ემ ფარმასიუთიქალს (ს.კ. 211385268) - შპს</t>
  </si>
  <si>
    <t>4750ca0e-322e-465f-97e4-e09307b050e1</t>
  </si>
  <si>
    <t>Service 2025</t>
  </si>
  <si>
    <t>თამაზ თალაკვაძე (ს.კ. 01991027885) - ფიზ. პირი</t>
  </si>
  <si>
    <t>ICE2726/45691/1.2.3./SRJRQ4</t>
  </si>
  <si>
    <t>74dc0120-1830-4231-8474-81150ce99a12</t>
  </si>
  <si>
    <t>Service 2025 | 1.2.3. (+) შემოსავალი MEP დანადგარების სერვისიდან - არაგეგმიური | გთემ ჰოსფითალითი გრუპ (ს.კ. 445604640) - შპს</t>
  </si>
  <si>
    <t>A778537A-20BD-4AF4-B7E0-06811F6672A1</t>
  </si>
  <si>
    <t>Zara City Mall Elevator Details</t>
  </si>
  <si>
    <t>ICE000027/45336/1.1.3./VJ5D2Z</t>
  </si>
  <si>
    <t>57750850-228d-4061-97f3-70fd758f51c7</t>
  </si>
  <si>
    <t>Zara City Mall Elevator Details | 1.1.3. (+) შემოსავალი ლიფტების სერვისიდან - არაგეგმიური | Spanish Retail Georgia (ს.კ. 404404774) - შპს</t>
  </si>
  <si>
    <t>Tbilisi Gardens Oth</t>
  </si>
  <si>
    <t>ICE000054/45583/1.1.3./NZTP58</t>
  </si>
  <si>
    <t>a17d631b-d5a2-41ea-ad41-46dfd5b1d2da</t>
  </si>
  <si>
    <t>Tbilisi Gardens Oth | 1.1.3. (+) შემოსავალი ლიფტების სერვისიდან - არაგეგმიური | BD Property (ს.კ. 404390967) - შპს</t>
  </si>
  <si>
    <t>ჯეო ჰოსპიტალს (ს.კ. 404907730) - შპს</t>
  </si>
  <si>
    <t>Card System</t>
  </si>
  <si>
    <t>ICE002770/45698/1.1.3./QUTKV2</t>
  </si>
  <si>
    <t>4e611ac4-a2f9-493d-a69a-2caebb0ee090</t>
  </si>
  <si>
    <t>Card System | 1.1.3. (+) შემოსავალი ლიფტების სერვისიდან - არაგეგმიური | ჯეო ჰოსპიტალს (ს.კ. 404907730) - შპს</t>
  </si>
  <si>
    <t>cfd65038-e0c4-4ff2-a12a-b0cc52aec611</t>
  </si>
  <si>
    <t>Archi Isani C1 Repair</t>
  </si>
  <si>
    <t>ICE002461/45672/1.1.3./WVSRLW</t>
  </si>
  <si>
    <t>c7dcea7b-68aa-4429-b33f-d3a7c73a50a7</t>
  </si>
  <si>
    <t>Archi Isani C1 Repair | 1.1.3. (+) შემოსავალი ლიფტების სერვისიდან - არაგეგმიური | ისანი ც სერვისი 1 (ს.კ. 405476300) - შპს</t>
  </si>
  <si>
    <t>Kaklebi Oth</t>
  </si>
  <si>
    <t>ICE001258/45344/1.1.3./216U3W</t>
  </si>
  <si>
    <t>fb3a8551-b20d-4a9e-9678-57d0737358ac</t>
  </si>
  <si>
    <t>Kaklebi Oth | 1.1.3. (+) შემოსავალი ლიფტების სერვისიდან - არაგეგმიური | ევროპროდუქტი (ს.კ. 202227134) - შპს</t>
  </si>
  <si>
    <t>IBIS Perov Oth</t>
  </si>
  <si>
    <t>ICE002330/45290/1.1.3./5XO9MK</t>
  </si>
  <si>
    <t>8fc96a51-c0e1-4cd2-a65c-9097a4d3a10d</t>
  </si>
  <si>
    <t>IBIS Perov Oth | 1.1.3. (+) შემოსავალი ლიფტების სერვისიდან - არაგეგმიური | ბეტა ჰოთელს (ს.კ. 404585686) - შპს</t>
  </si>
  <si>
    <t>Modus Oth</t>
  </si>
  <si>
    <t>ICE000024/45170/1.1.3./P0KSXY</t>
  </si>
  <si>
    <t>7bc35f3e-94db-44b7-88fd-d23a90501f4d</t>
  </si>
  <si>
    <t>Modus Oth | 1.1.3. (+) შემოსავალი ლიფტების სერვისიდან - არაგეგმიური | მოდუსი (ს.კ. 245565669) - შპს</t>
  </si>
  <si>
    <t>Deka Digomi Oth</t>
  </si>
  <si>
    <t>ICE002282/45404/1.1.3./X1TODV</t>
  </si>
  <si>
    <t>37ad22da-f121-422b-a453-f6e17397401c</t>
  </si>
  <si>
    <t>Deka Digomi Oth | 1.1.3. (+) შემოსავალი ლიფტების სერვისიდან - არაგეგმიური | დეკა დიდი დიღომი (ს.კ. 405569665) - შპს</t>
  </si>
  <si>
    <t>Sunrise Shartava Oth</t>
  </si>
  <si>
    <t>ICE001140/45619/1.1.3./9T15PV</t>
  </si>
  <si>
    <t>174e78c9-d1af-4a01-9090-699e21e482fa</t>
  </si>
  <si>
    <t>Sunrise Shartava Oth | 1.1.3. (+) შემოსავალი ლიფტების სერვისიდან - არაგეგმიური | სანრაიზ დეველოპმენტი (ს.კ. 405285221) - შპს</t>
  </si>
  <si>
    <t>Shatberashvili 45 Oth</t>
  </si>
  <si>
    <t>ICE002453/45623/1.1.3./J3X5AI</t>
  </si>
  <si>
    <t>e0320f62-e537-44f1-a7ba-4e5e09fd3397</t>
  </si>
  <si>
    <t>Shatberashvili 45 Oth | 1.1.3. (+) შემოსავალი ლიფტების სერვისიდან - არაგეგმიური | შატბერაშვილის 45 (ს.კ. 405629583) - შპს</t>
  </si>
  <si>
    <t>ხიმშიაშვილი ზურა (ს.კ. 61001076743) - ფიზ. პირი</t>
  </si>
  <si>
    <t>Khimshiashvili Apartment</t>
  </si>
  <si>
    <t>1 6 30 2647</t>
  </si>
  <si>
    <t>ICE002730/45632/1.1.1./WMJICX</t>
  </si>
  <si>
    <t>77870b21-c14a-45d4-aa7d-232c06258f78</t>
  </si>
  <si>
    <t>Khimshiashvili Apartment | 1.1.1. (+) შემოსავალი ლიფტების რეალიზაციიდან | ხიმშიაშვილი ზურა (ს.კ. 61001076743) - ფიზ. პირი</t>
  </si>
  <si>
    <t>6de10689-be38-4cff-a79c-971cf4f69057</t>
  </si>
  <si>
    <t>არტე ქერჩი (ს.კ. 400359492) - შპს</t>
  </si>
  <si>
    <t>Arte Kerchi</t>
  </si>
  <si>
    <t>1 6 30 2026</t>
  </si>
  <si>
    <t>ICE2721/45468/1.1.1./OHJSVM</t>
  </si>
  <si>
    <t>ac083c0a-9561-4cd2-88ca-726ff7544bbc</t>
  </si>
  <si>
    <t>Arte Kerchi | 1.1.1. (+) შემოსავალი ლიფტების რეალიზაციიდან | არტე ქერჩი (ს.კ. 400359492) - შპს</t>
  </si>
  <si>
    <t>1cf44d92-bf68-4114-9c6b-a7bf66dcc009</t>
  </si>
  <si>
    <t>ირ.აბაშიძე 555 (ს.კ. 402204299) - შპს</t>
  </si>
  <si>
    <t>Bloom Bagebi</t>
  </si>
  <si>
    <t>ICE002773/45699/1.1.1./DWIP0T</t>
  </si>
  <si>
    <t>2e3e7724-eba0-45cd-a78f-283385eb780c</t>
  </si>
  <si>
    <t>Bloom Bagebi | 1.1.1. (+) შემოსავალი ლიფტების რეალიზაციიდან | ირ.აბაშიძე 555 (ს.კ. 402204299) - შპს</t>
  </si>
  <si>
    <t>d30886ec-44b7-4138-8342-8bab9c65a6ea</t>
  </si>
  <si>
    <t>ირიგიო (ს.კ. 405167466) - შპს</t>
  </si>
  <si>
    <t>Irigio</t>
  </si>
  <si>
    <t>1 6 30 2623</t>
  </si>
  <si>
    <t>ICE002820/45625/1.1.1./KLS4HQ</t>
  </si>
  <si>
    <t>d1d7ae1c-04a3-4029-b082-195acb8392cf</t>
  </si>
  <si>
    <t>Irigio | 1.1.1. (+) შემოსავალი ლიფტების რეალიზაციიდან | ირიგიო (ს.კ. 405167466) - შპს</t>
  </si>
  <si>
    <t>50041f2f-9449-43a8-89b2-db6ca5cd7ebb</t>
  </si>
  <si>
    <t>Technolux LLC (ს.კ. 0) - უცხოური საწარმო</t>
  </si>
  <si>
    <t>ICE2822/45075/1.2.1./NOJZFP</t>
  </si>
  <si>
    <t>8ee463a9-91d9-4e21-882d-b96d46bc95bb</t>
  </si>
  <si>
    <t>Air Conditioner | 1.2.1. (+) შემოსავალი MEP დანადგარების რეალიზაციიდან | Technolux LLC (ს.კ. 0) - უცხოური საწარმო</t>
  </si>
  <si>
    <t>073db7e0-0259-4883-af62-99330f143fdf</t>
  </si>
  <si>
    <t>Galleria Service</t>
  </si>
  <si>
    <t>1 6 31 1167</t>
  </si>
  <si>
    <t>ICE000112/45626/1.1.2./BU1P8X</t>
  </si>
  <si>
    <t>837fc472-bab7-4e82-b690-e9d5137b3d92</t>
  </si>
  <si>
    <t>Galleria Service | 1.1.2. (+) შემოსავალი ლიფტების სერვისიდან - გეგმიური | გალერია თბილისი (ს.კ. 204558497) - შპს</t>
  </si>
  <si>
    <t>Dar Tower Oth</t>
  </si>
  <si>
    <t>ICE000012/45365/1.1.3./RKLZIX</t>
  </si>
  <si>
    <t>823a0ad3-5d4c-4917-9ece-a1316ec88f7f</t>
  </si>
  <si>
    <t>Dar Tower Oth | 1.1.3. (+) შემოსავალი ლიფტების სერვისიდან - არაგეგმიური | Dar Building (ს.კ. 445420875) - შპს</t>
  </si>
  <si>
    <t>დავინჩი (ს.კ. 405034680) - შპს</t>
  </si>
  <si>
    <t>DAVINCHI</t>
  </si>
  <si>
    <t>1 6 30 2626</t>
  </si>
  <si>
    <t>ICE002833/45545/1.1.1./XOWM8D</t>
  </si>
  <si>
    <t>c762633f-b0e3-47f6-a2e8-5806a4e23810</t>
  </si>
  <si>
    <t>DAVINCHI | 1.1.1. (+) შემოსავალი ლიფტების რეალიზაციიდან | დავინჩი (ს.კ. 405034680) - შპს</t>
  </si>
  <si>
    <t>51f71b9f-7728-4533-88fa-1bdc301b9d7e</t>
  </si>
  <si>
    <t>Telegraph AHU</t>
  </si>
  <si>
    <t>ICE1904/45383/1.2.1./B9LPFY</t>
  </si>
  <si>
    <t>64b3e7cb-aedc-4b4e-a83d-7722f86b213e</t>
  </si>
  <si>
    <t>Telegraph AHU | 1.2.1. (+) შემოსავალი MEP დანადგარების რეალიზაციიდან | დნთ ქონსთრაქშენ (ს.კ. 405418196) - შპს</t>
  </si>
  <si>
    <t>ჯელიფტი + (ს.კ. 405107842) - შპს</t>
  </si>
  <si>
    <t>Gelift</t>
  </si>
  <si>
    <t>ICE002834/45558/1.1.1./Y9F18Q</t>
  </si>
  <si>
    <t>3a82c4d9-e386-4411-b9dc-1c8586122d01</t>
  </si>
  <si>
    <t>Gelift | 1.1.1. (+) შემოსავალი ლიფტების რეალიზაციიდან | ჯელიფტი + (ს.კ. 405107842) - შპს</t>
  </si>
  <si>
    <t>004db192-53fc-4e03-959b-dab06f802d36</t>
  </si>
  <si>
    <t>თამარ ჩუბინიძე (ს.კ. 01008015352) - ფიზ. პირი</t>
  </si>
  <si>
    <t>Office Conditioners</t>
  </si>
  <si>
    <t>ICE002454/45413/1.2.1./TGV7U2</t>
  </si>
  <si>
    <t>c5f126a1-627e-4059-8db9-8ef3184c3cdc</t>
  </si>
  <si>
    <t>Office Conditioners | 1.2.1. (+) შემოსავალი MEP დანადგარების რეალიზაციიდან | თამარ ჩუბინიძე (ს.კ. 01008015352) - ფიზ. პირი</t>
  </si>
  <si>
    <t>0fa2485d-414a-4f52-ad93-ccd6b7b04c5c</t>
  </si>
  <si>
    <t>დარ ინვესტი (ს.კ. 405351140) - შპს</t>
  </si>
  <si>
    <t>Ramada Plaza</t>
  </si>
  <si>
    <t>ICE002841/45566/1.1.2./P3QE4B</t>
  </si>
  <si>
    <t>4ac17086-b1e2-4610-b00a-6eba68ecf3dc</t>
  </si>
  <si>
    <t>Ramada Plaza | 1.1.2. (+) შემოსავალი ლიფტების სერვისიდან - გეგმიური | დარ ინვესტი (ს.კ. 405351140) - შპს</t>
  </si>
  <si>
    <t>dc93f8a1-3866-44e0-a7ca-68b942c65129</t>
  </si>
  <si>
    <t>ზურაბი ლომიძე (ს.კ. 38001046593) - ფიზ. პირი</t>
  </si>
  <si>
    <t>ICE2227/45581/1.2.1./9IQASW</t>
  </si>
  <si>
    <t>01d0c2ca-cf5c-4bfa-a2f5-7db118722143</t>
  </si>
  <si>
    <t>Air Conditioner | 1.2.1. (+) შემოსავალი MEP დანადგარების რეალიზაციიდან | ზურაბი ლომიძე (ს.კ. 38001046593) - ფიზ. პირი</t>
  </si>
  <si>
    <t>f290ce07-8670-453a-96ca-ac959c9ff950</t>
  </si>
  <si>
    <t>დჯ მშენებლობა (ს.კ. 426549648) - შპს</t>
  </si>
  <si>
    <t>DG Construction</t>
  </si>
  <si>
    <t>ICE002843/45698/1.1.1./2DVQZG</t>
  </si>
  <si>
    <t>dce0c25d-2328-47eb-b618-e79816e83ab5</t>
  </si>
  <si>
    <t>DG Construction | 1.1.1. (+) შემოსავალი ლიფტების რეალიზაციიდან | დჯ მშენებლობა (ს.კ. 426549648) - შპს</t>
  </si>
  <si>
    <t>6fe7ae41-cb6f-4056-b817-edb4173650fa</t>
  </si>
  <si>
    <t>ელირან ტრაბელსი (ს.კ. 0) - ფიზ. პირი</t>
  </si>
  <si>
    <t>ICE002844/45635/1.2.1./7XP48Z</t>
  </si>
  <si>
    <t>c1b197a0-15a4-4e4f-8422-ef40466e43c2</t>
  </si>
  <si>
    <t>Air Conditioner | 1.2.1. (+) შემოსავალი MEP დანადგარების რეალიზაციიდან | ელირან ტრაბელსი (ს.კ. 0) - ფიზ. პირი</t>
  </si>
  <si>
    <t>abd711b2-e0d1-4567-812b-dc87217e16bb</t>
  </si>
  <si>
    <t>ლეონოვა ანნა (ს.კ. 756863414) - ფიზ. პირი</t>
  </si>
  <si>
    <t>ICE2845/45491/1.2.1./ZNPRL4</t>
  </si>
  <si>
    <t>26782850-65da-4cc4-ae35-87f207e0be38</t>
  </si>
  <si>
    <t>Air Conditioner | 1.2.1. (+) შემოსავალი MEP დანადგარების რეალიზაციიდან | ლეონოვა ანნა (ს.კ. 756863414) - ფიზ. პირი</t>
  </si>
  <si>
    <t>36cbea8f-b205-463a-9100-5417ddc00f52</t>
  </si>
  <si>
    <t>გიორგი სულაბერიძე (ს.კ. 01031005706) - ფიზ. პირი</t>
  </si>
  <si>
    <t>ICE2846/45457/1.2.1./16EKT7</t>
  </si>
  <si>
    <t>d9145bd4-38e3-44e6-bff0-c0163b0a77b4</t>
  </si>
  <si>
    <t>Air Conditioner | 1.2.1. (+) შემოსავალი MEP დანადგარების რეალიზაციიდან | გიორგი სულაბერიძე (ს.კ. 01031005706) - ფიზ. პირი</t>
  </si>
  <si>
    <t>5db642bc-8439-432e-b313-f48817e99ec6</t>
  </si>
  <si>
    <t>ირაკლი მიქელაძე (ს.კ. 01008048570) - ფიზ. პირი</t>
  </si>
  <si>
    <t>ICE2847/45457/1.2.1./EUTP4U</t>
  </si>
  <si>
    <t>66aa2bdf-5ac1-43bb-973e-d219058d2fcf</t>
  </si>
  <si>
    <t>Air Conditioner | 1.2.1. (+) შემოსავალი MEP დანადგარების რეალიზაციიდან | ირაკლი მიქელაძე (ს.კ. 01008048570) - ფიზ. პირი</t>
  </si>
  <si>
    <t>ae3af743-8d75-4265-9a01-ccdc82416297</t>
  </si>
  <si>
    <t>მიხაილ უდოვკინ (ს.კ. 761253063) - ფიზ. პირი</t>
  </si>
  <si>
    <t>ICE2848/45324/1.2.1./7WD5WT</t>
  </si>
  <si>
    <t>b56eb55f-d8ca-497f-a212-344799d996bc</t>
  </si>
  <si>
    <t>Air Conditioner | 1.2.1. (+) შემოსავალი MEP დანადგარების რეალიზაციიდან | მიხაილ უდოვკინ (ს.კ. 761253063) - ფიზ. პირი</t>
  </si>
  <si>
    <t>2d5d7056-25da-4145-9708-ca2295b95418</t>
  </si>
  <si>
    <t>ოლგა ბეზბაბნიჯა (ს.კ. LV5293430) - ფიზ. პირი</t>
  </si>
  <si>
    <t>ICE2849/45679/1.2.1./HX8OB0</t>
  </si>
  <si>
    <t>d6ed50c7-8195-4769-9f15-84c78c314f63</t>
  </si>
  <si>
    <t>Air Conditioner | 1.2.1. (+) შემოსავალი MEP დანადგარების რეალიზაციიდან | ოლგა ბეზბაბნიჯა (ს.კ. LV5293430) - ფიზ. პირი</t>
  </si>
  <si>
    <t>6da0bfc0-6674-49b5-9286-ed45aea61e75</t>
  </si>
  <si>
    <t>ზაზა კვიციანი (ს.კ. 01006002615) - ფიზ. პირი</t>
  </si>
  <si>
    <t>ICE2850/45616/1.2.1./XIGWK0</t>
  </si>
  <si>
    <t>82cd5401-3c9e-4b0c-b1ce-e28b66d0d465</t>
  </si>
  <si>
    <t>Air Conditioner | 1.2.1. (+) შემოსავალი MEP დანადგარების რეალიზაციიდან | ზაზა კვიციანი (ს.კ. 01006002615) - ფიზ. პირი</t>
  </si>
  <si>
    <t>59aa6b0b-de50-47f7-aa13-c76e10c376aa</t>
  </si>
  <si>
    <t>ეკატერინე გოგია (ს.კ. 62001008516) - ფიზ. პირი</t>
  </si>
  <si>
    <t>ICE2851/45568/1.2.1./FBO3RA</t>
  </si>
  <si>
    <t>4896ffcf-11a4-4a58-a48d-2aed650ee58d</t>
  </si>
  <si>
    <t>Air Conditioner | 1.2.1. (+) შემოსავალი MEP დანადგარების რეალიზაციიდან | ეკატერინე გოგია (ს.კ. 62001008516) - ფიზ. პირი</t>
  </si>
  <si>
    <t>1b9cd40a-c9e0-4008-8de7-a422d2d843fe</t>
  </si>
  <si>
    <t>დავით გოზალიშვილი (ს.კ. 01024017502) - ფიზ. პირი</t>
  </si>
  <si>
    <t>ICE002852/45422/1.2.1./ISA8PN</t>
  </si>
  <si>
    <t>40c14abc-bd4d-4bf5-8c03-025945ed5589</t>
  </si>
  <si>
    <t>Air Conditioner | 1.2.1. (+) შემოსავალი MEP დანადგარების რეალიზაციიდან | დავით გოზალიშვილი (ს.კ. 01024017502) - ფიზ. პირი</t>
  </si>
  <si>
    <t>7c1ba2fa-9809-48ba-84d6-b4e9850bfaee</t>
  </si>
  <si>
    <t>იდეა ქონსთრაქშენი (ს.კ. 405545030) - შპს</t>
  </si>
  <si>
    <t>Panorama</t>
  </si>
  <si>
    <t>ICE002853/45714/1.1.1./MSP9OU</t>
  </si>
  <si>
    <t>7123cc09-b640-437a-8798-45251e0da490</t>
  </si>
  <si>
    <t>Panorama | 1.1.1. (+) შემოსავალი ლიფტების რეალიზაციიდან | იდეა ქონსთრაქშენი (ს.კ. 405545030) - შპს</t>
  </si>
  <si>
    <t>87d80b0a-63a6-42e1-85e9-48e0c4989032</t>
  </si>
  <si>
    <t>ოლეგ კაპლიევ (ს.კ. 345720703) - ინდ. მეწარმე</t>
  </si>
  <si>
    <t>ICE002861/45707/1.2.1./VZFE8A</t>
  </si>
  <si>
    <t>7f82d3e4-bdba-4abe-b584-fbb136b6231f</t>
  </si>
  <si>
    <t>Air Conditioner | 1.2.1. (+) შემოსავალი MEP დანადგარების რეალიზაციიდან | ოლეგ კაპლიევ (ს.კ. 345720703) - ინდ. მეწარმე</t>
  </si>
  <si>
    <t>95d0f9a5-9cfd-4cba-91eb-74381805ea19</t>
  </si>
  <si>
    <t>ანა კომახიძე (ს.კ. 61001084981) - ფიზ. პირი</t>
  </si>
  <si>
    <t>ICE2863/45699/1.2.1./7M1YSW</t>
  </si>
  <si>
    <t>1e97a333-c3be-47e6-a2c4-fb3909837ddc</t>
  </si>
  <si>
    <t>Air Conditioner | 1.2.1. (+) შემოსავალი MEP დანადგარების რეალიზაციიდან | ანა კომახიძე (ს.კ. 61001084981) - ფიზ. პირი</t>
  </si>
  <si>
    <t>a37cedac-025a-4fb9-8fa8-11cf62744e91</t>
  </si>
  <si>
    <t>არქი მეინთენენს (ს.კ. 405752957) - შპს</t>
  </si>
  <si>
    <t>Digomi 2B Service</t>
  </si>
  <si>
    <t>ICE2862/45689/1.1.2./EBT0PY</t>
  </si>
  <si>
    <t>38fa4d48-0354-4e37-96f4-bbff2528d194</t>
  </si>
  <si>
    <t>Digomi 2B Service | 1.1.2. (+) შემოსავალი ლიფტების სერვისიდან - გეგმიური | არქი მეინთენენს (ს.კ. 405752957) - შპს</t>
  </si>
  <si>
    <t>e4776dbb-f3fc-4669-bb43-a1b7c87b7c59</t>
  </si>
  <si>
    <t>Park Home Galleria</t>
  </si>
  <si>
    <t>ICE002130/45717/1.1.3./VTP07W</t>
  </si>
  <si>
    <t>78711cce-5f5c-43df-bbd5-690b6421863d</t>
  </si>
  <si>
    <t>Park Home Galleria | 1.1.3. (+) შემოსავალი ლიფტების სერვისიდან - არაგეგმიური | ანაგი დეველოპმენტი 1 (ს.კ. 404567713) - შპს</t>
  </si>
  <si>
    <t>Kvareli Ballrom</t>
  </si>
  <si>
    <t>ICE000043/45689/1.2.1./P8UQG9</t>
  </si>
  <si>
    <t>64c5e4d7-bba6-4a45-ba66-fa1e66b0e138</t>
  </si>
  <si>
    <t>Kvareli Ballrom | 1.2.1. (+) შემოსავალი MEP დანადგარების რეალიზაციიდან | ინდეკო (ს.კ. 202376133) - შპს</t>
  </si>
  <si>
    <t>ფალლაჰა მონა (ს.კ. LR1331828) - ფიზ. პირი</t>
  </si>
  <si>
    <t>ICE2869/45716/1.2.1./0V15HJ</t>
  </si>
  <si>
    <t>bef3d37a-b2b0-4cd3-962a-656b79692471</t>
  </si>
  <si>
    <t>Air Conditioner | 1.2.1. (+) შემოსავალი MEP დანადგარების რეალიზაციიდან | ფალლაჰა მონა (ს.კ. LR1331828) - ფიზ. პირი</t>
  </si>
  <si>
    <t>f41e2ac5-0e57-41cb-b8b7-2dd8dc1a8bf4</t>
  </si>
  <si>
    <t>ICE2862/45689/1.1.2./FX486U</t>
  </si>
  <si>
    <t>cc102bf8-47ad-42ee-99e1-56f4b79c9244</t>
  </si>
  <si>
    <t>Archi Isani D Block | 1.1.2. (+) შემოსავალი ლიფტების სერვისიდან - გეგმიური | არქი მეინთენენს (ს.კ. 405752957) - შპს</t>
  </si>
  <si>
    <t>Saburtalo C Block</t>
  </si>
  <si>
    <t>ICE2862/45689/1.1.2./UFCBL3</t>
  </si>
  <si>
    <t>ce7eb35f-7074-41b1-a5fc-6111bc6e3216</t>
  </si>
  <si>
    <t>Saburtalo C Block | 1.1.2. (+) შემოსავალი ლიფტების სერვისიდან - გეგმიური | არქი მეინთენენს (ს.კ. 405752957) - შპს</t>
  </si>
  <si>
    <t>Archi Isani C Block</t>
  </si>
  <si>
    <t>1 6 31 2687</t>
  </si>
  <si>
    <t>ICE2862/45689/1.1.2./178ZOR</t>
  </si>
  <si>
    <t>699eacfe-5082-495c-b0f3-1e3fd3e7c070</t>
  </si>
  <si>
    <t>Archi Isani C Block | 1.1.2. (+) შემოსავალი ლიფტების სერვისიდან - გეგმიური | არქი მეინთენენს (ს.კ. 405752957) - შპს</t>
  </si>
  <si>
    <t>სამზეო ყვარელი (ს.კ. 405748268) - შპს</t>
  </si>
  <si>
    <t>Samzeo Service</t>
  </si>
  <si>
    <t>ICE002872/45658/1.1.2./Z5VR2U</t>
  </si>
  <si>
    <t>124ab778-7a93-4783-9601-298e88ec1202</t>
  </si>
  <si>
    <t>Samzeo Service | 1.1.2. (+) შემოსავალი ლიფტების სერვისიდან - გეგმიური | სამზეო ყვარელი (ს.კ. 405748268) - შპს</t>
  </si>
  <si>
    <t>8552e61b-5341-4e48-8dc9-2dcadd5ac20f</t>
  </si>
  <si>
    <t>პეკინის სასტუმრო (ს.კ. 405696073) - შპს</t>
  </si>
  <si>
    <t>Pekini Service</t>
  </si>
  <si>
    <t>ICE2720/45658/1.1.2./8DRN7A</t>
  </si>
  <si>
    <t>1ed13be5-b31a-47e7-a4c5-56363878affe</t>
  </si>
  <si>
    <t>Pekini Service | 1.1.2. (+) შემოსავალი ლიფტების სერვისიდან - გეგმიური | პეკინის სასტუმრო (ს.კ. 405696073) - შპს</t>
  </si>
  <si>
    <t>01f6563f-4cb1-45ad-acfb-f268b7aef9ef</t>
  </si>
  <si>
    <t>მაია ჩავლეიშვილი (ს.კ. 01021017124) - ფიზ. პირი</t>
  </si>
  <si>
    <t>Pult</t>
  </si>
  <si>
    <t>ICE2864/45699/1.2.1./WURXQT</t>
  </si>
  <si>
    <t>b1946c84-d9e0-40d3-87a7-af3ef7ed9984</t>
  </si>
  <si>
    <t>Pult | 1.2.1. (+) შემოსავალი MEP დანადგარების რეალიზაციიდან | მაია ჩავლეიშვილი (ს.კ. 01021017124) - ფიზ. პირი</t>
  </si>
  <si>
    <t>3bcb36cb-f2ad-4468-91ae-2e44f07c8bab</t>
  </si>
  <si>
    <t>ICE001769/45716/1.2.1./XRWYTM</t>
  </si>
  <si>
    <t>eef81c65-a18f-4c07-aeda-19277f8b204d</t>
  </si>
  <si>
    <t>Air Conditioner | 1.2.1. (+) შემოსავალი MEP დანადგარების რეალიზაციიდან | ანტონ ვორონინი (ს.კ. 03187803411) - ფიზ. პირი</t>
  </si>
  <si>
    <t>Telavi Mall</t>
  </si>
  <si>
    <t>ICE000088/45688/1.1.1./MS5RJ4</t>
  </si>
  <si>
    <t>792b7367-dfea-4aa0-9adc-58e434fc8c98</t>
  </si>
  <si>
    <t>Telavi Mall | 1.1.1. (+) შემოსავალი ლიფტების რეალიზაციიდან | მპ დეველოპმენტი (ს.კ. 404960217) - შპს</t>
  </si>
  <si>
    <t>Delisi Oth</t>
  </si>
  <si>
    <t>ICE000007/45705/1.1.3./WUQBIV</t>
  </si>
  <si>
    <t>01a66ea9-0f19-41d9-ad5b-bb031c578257</t>
  </si>
  <si>
    <t>Delisi Oth | 1.1.3. (+) შემოსავალი ლიფტების სერვისიდან - არაგეგმიური | ბიზნეს ცენტრი დელისი (ს.კ. 204854014) - სს</t>
  </si>
  <si>
    <t>Telegraph Fancoils</t>
  </si>
  <si>
    <t>ICE001903/45191/1.2.1./PPND8L</t>
  </si>
  <si>
    <t>d522af64-5434-40b5-ab55-2e7d15d39ac9</t>
  </si>
  <si>
    <t>Telegraph Fancoils | 1.2.1. (+) შემოსავალი MEP დანადგარების რეალიზაციიდან | DT MUHENDISLIK VE TAAHHUT A.S. (ს.კ. 0) - უცხოური საწარმო</t>
  </si>
  <si>
    <t>Telegraph Chiller</t>
  </si>
  <si>
    <t>ICE001903/45378/1.2.1./IBCSE4</t>
  </si>
  <si>
    <t>91658558-ce51-4156-bea8-3b5d6362dad3</t>
  </si>
  <si>
    <t>Telegraph Chiller | 1.2.1. (+) შემოსავალი MEP დანადგარების რეალიზაციიდან | DT MUHENDISLIK VE TAAHHUT A.S. (ს.კ. 0) - უცხოური საწარმო</t>
  </si>
  <si>
    <t>Social Houses Batumi</t>
  </si>
  <si>
    <t>ICE000033/45716/1.1.1./PCJFQ2</t>
  </si>
  <si>
    <t>b4621c77-116d-4d76-85d0-dde781f8eb29</t>
  </si>
  <si>
    <t>Social Houses Batumi | 1.1.1. (+) შემოსავალი ლიფტების რეალიზაციიდან | ანაგი (ს.კ. 245416401) - შპს</t>
  </si>
  <si>
    <t>Bagebi Service</t>
  </si>
  <si>
    <t>1 6 31 2200</t>
  </si>
  <si>
    <t>ICE2332/45737/1.1.3./4RBU58</t>
  </si>
  <si>
    <t>a030a2ee-1901-4a6a-b95f-b2f87e66e0bf</t>
  </si>
  <si>
    <t>Bagebi Service | 1.1.3. (+) შემოსავალი ლიფტების სერვისიდან - არაგეგმიური | ეკატერინე ელისაბედაშვილი (ს.კ. 01019021472) - ფიზ. პირი</t>
  </si>
  <si>
    <t>ზ-გრუპ (ს.კ. 400017245) - შპს</t>
  </si>
  <si>
    <t>ZYGMA</t>
  </si>
  <si>
    <t>ICE002893/45726/1.1.1./08QWMP</t>
  </si>
  <si>
    <t>2bb06da1-5bb5-4934-af0a-751848294cfe</t>
  </si>
  <si>
    <t>ZYGMA | 1.1.1. (+) შემოსავალი ლიფტების რეალიზაციიდან | ზ-გრუპ (ს.კ. 400017245) - შპს</t>
  </si>
  <si>
    <t>1e432ee6-bf83-4368-89db-5c1fbca8796b</t>
  </si>
  <si>
    <t>Batumi Central Install</t>
  </si>
  <si>
    <t>ICE2718/45461/1.1.1./AQCOTY</t>
  </si>
  <si>
    <t>9b9f319f-c87a-47c6-aa79-6c8897d0a6c8</t>
  </si>
  <si>
    <t>Batumi Central Install | 1.1.1. (+) შემოსავალი ლიფტების რეალიზაციიდან | ბათუმი ცენტრალი (ს.კ. 445386172) - შპს</t>
  </si>
  <si>
    <t>UNIX MARSEL Repair</t>
  </si>
  <si>
    <t>ICE001853/45738/1.1.3./XNFP0W</t>
  </si>
  <si>
    <t>02ef95a4-c79c-4315-b6ae-ab33e88512fd</t>
  </si>
  <si>
    <t>UNIX MARSEL Repair | 1.1.3. (+) შემოსავალი ლიფტების სერვისიდან - არაგეგმიური | ფრანგული უბანი ფრანგული უბნის "დ" და "ე" ბლოკების ამხანაგობა (ს.კ. 200316657) - ამხანაგობა</t>
  </si>
  <si>
    <t>MTZ Service</t>
  </si>
  <si>
    <t>1 6 31 2487</t>
  </si>
  <si>
    <t>ICE002292/45689/1.1.2./FQSH7O</t>
  </si>
  <si>
    <t>a2e40750-f18a-4d9e-8262-ff34e06eb53e</t>
  </si>
  <si>
    <t>MTZ Service | 1.1.2. (+) შემოსავალი ლიფტების სერვისიდან - გეგმიური | მტზ კომპანი (ს.კ. 445525478) - შპს</t>
  </si>
  <si>
    <t>Didi Digomi 2B</t>
  </si>
  <si>
    <t>ICE2862/45689/1.1.2./7QJ2MU</t>
  </si>
  <si>
    <t>c43148de-49f1-440e-b526-89c6f778bc49</t>
  </si>
  <si>
    <t>Didi Digomi 2B | 1.1.2. (+) შემოსავალი ლიფტების სერვისიდან - გეგმიური | არქი მეინთენენს (ს.კ. 405752957) - შპს</t>
  </si>
  <si>
    <t>Didi Digomi 2C</t>
  </si>
  <si>
    <t>ICE2862/45689/1.1.2./K1XRCU</t>
  </si>
  <si>
    <t>4f58ef53-d455-47ad-971a-9bce278d33aa</t>
  </si>
  <si>
    <t>Didi Digomi 2C | 1.1.2. (+) შემოსავალი ლიფტების სერვისიდან - გეგმიური | არქი მეინთენენს (ს.კ. 405752957) - შპს</t>
  </si>
  <si>
    <t>Didi Digomi 2D</t>
  </si>
  <si>
    <t>ICE2862/45689/1.1.2./IPSU8Q</t>
  </si>
  <si>
    <t>bc912060-bca0-4072-b760-a3d8143125d5</t>
  </si>
  <si>
    <t>Didi Digomi 2D | 1.1.2. (+) შემოსავალი ლიფტების სერვისიდან - გეგმიური | არქი მეინთენენს (ს.კ. 405752957) - შპს</t>
  </si>
  <si>
    <t>Central Platform</t>
  </si>
  <si>
    <t>ICE000032/45751/1.2.1./PUSRT9</t>
  </si>
  <si>
    <t>b95df8a1-ba8d-42ed-babd-0c9fdf95d181</t>
  </si>
  <si>
    <t>Central Platform | 1.2.1. (+) შემოსავალი MEP დანადგარების რეალიზაციიდან | თბილისი ცენტრალი (ს.კ. 205129653) - სს</t>
  </si>
  <si>
    <t>University Transportation</t>
  </si>
  <si>
    <t>ICE002617/45750/1.1.1./N2QR6J</t>
  </si>
  <si>
    <t>e7652f49-24a4-448a-8453-427e243de287</t>
  </si>
  <si>
    <t>University Transportation | 1.1.1. (+) შემოსავალი ლიფტების რეალიზაციიდან | ნიუ გრუპ მაღლივი (ს.კ. 405391491) - შპს</t>
  </si>
  <si>
    <t>კახა ვარდიაშვილი (ს.კ. 01008023192) - ფიზ. პირი</t>
  </si>
  <si>
    <t>ICE002759/45748/1.2.1./VTEPIR</t>
  </si>
  <si>
    <t>d51e9c7e-8b2f-4387-b61b-993c93b9eda4</t>
  </si>
  <si>
    <t>Air Conditioner | 1.2.1. (+) შემოსავალი MEP დანადგარების რეალიზაციიდან | კახა ვარდიაშვილი (ს.კ. 01008023192) - ფიზ. პირი</t>
  </si>
  <si>
    <t>81bf3006-21b0-48ff-ae44-bf82aa104e31</t>
  </si>
  <si>
    <t>მაიკლი ნაუმოვი (ს.კ. ICE2953) - ფიზ. პირი</t>
  </si>
  <si>
    <t>ICE2953/45748/1.2.1./ZKXTOB</t>
  </si>
  <si>
    <t>50127fe7-f116-400d-b859-9225eebb5469</t>
  </si>
  <si>
    <t>Air Conditioner | 1.2.1. (+) შემოსავალი MEP დანადგარების რეალიზაციიდან | მაიკლი ნაუმოვი (ს.კ. ICE2953) - ფიზ. პირი</t>
  </si>
  <si>
    <t>2f5f9219-fac1-402c-9141-f6716bf889dc</t>
  </si>
  <si>
    <t>გიორგი ხონელია (ს.კ. 62007000908) - ფიზ. პირი</t>
  </si>
  <si>
    <t>ICE2954/45748/1.2.1./ARRPCH</t>
  </si>
  <si>
    <t>3c364f09-534c-4d14-9a75-0854444da485</t>
  </si>
  <si>
    <t>Air Conditioner | 1.2.1. (+) შემოსავალი MEP დანადგარების რეალიზაციიდან | გიორგი ხონელია (ს.კ. 62007000908) - ფიზ. პირი</t>
  </si>
  <si>
    <t>9824c752-0be4-4b5d-9818-8b590bd9c2ea</t>
  </si>
  <si>
    <t>ანაგი მექანიზაცია (ს.კ. 445423587) - შპს</t>
  </si>
  <si>
    <t>Facade Lifts</t>
  </si>
  <si>
    <t>ICE002948/45743/1.1.1./IBWZTR</t>
  </si>
  <si>
    <t>5719fce6-3e16-4a89-9ca2-bfb81be37f0f</t>
  </si>
  <si>
    <t>Facade Lifts | 1.1.1. (+) შემოსავალი ლიფტების რეალიზაციიდან | ანაგი მექანიზაცია (ს.კ. 445423587) - შპს</t>
  </si>
  <si>
    <t>3cfb8504-db19-4e0d-a888-438bff7f2cc8</t>
  </si>
  <si>
    <t>ნამი 2024 (ს.კ. 405720019) - შპს</t>
  </si>
  <si>
    <t>Nami</t>
  </si>
  <si>
    <t>ICE002957/45763/1.1.1./XH38S9</t>
  </si>
  <si>
    <t>2e71ede0-f32d-4630-952d-aed7f9c504b0</t>
  </si>
  <si>
    <t>Nami | 1.1.1. (+) შემოსავალი ლიფტების რეალიზაციიდან | ნამი 2024 (ს.კ. 405720019) - შპს</t>
  </si>
  <si>
    <t>17ee0bbd-46cb-4653-91a7-ceeb6b721485</t>
  </si>
  <si>
    <t>Radisson Red HVAC Service</t>
  </si>
  <si>
    <t>ICE002297/45441/1.2.2./SAYRBF</t>
  </si>
  <si>
    <t>84b34789-f7e6-4723-9a0d-20fbb0501af4</t>
  </si>
  <si>
    <t>Radisson Red HVAC Service | 1.2.2. (+) შემოსავალი MEP დანადგარების სერვისიდან - გეგმიური | ტელეგრაფი (ს.კ. 404505406) - შპს</t>
  </si>
  <si>
    <t>Holiday Inn Oth</t>
  </si>
  <si>
    <t>ICE001859/45748/1.1.3./RSZORQ</t>
  </si>
  <si>
    <t>6489cc6b-71ea-46f0-8165-5a6db0bdca47</t>
  </si>
  <si>
    <t>Holiday Inn Oth | 1.1.3. (+) შემოსავალი ლიფტების სერვისიდან - არაგეგმიური | ლაიქ ჰაუსი (ს.კ. 445478563) - შპს</t>
  </si>
  <si>
    <t>DAVINCHI Oth</t>
  </si>
  <si>
    <t>ICE002833/45748/1.1.1./BGM46R</t>
  </si>
  <si>
    <t>809651f2-bf8c-4b6c-9f33-4a87a71f2d90</t>
  </si>
  <si>
    <t>DAVINCHI Oth | 1.1.1. (+) შემოსავალი ლიფტების რეალიზაციიდან | დავინჩი (ს.კ. 405034680) - შპს</t>
  </si>
  <si>
    <t>ნეო გუდაური (ს.კ. ICE002963) - ამხანაგობა</t>
  </si>
  <si>
    <t>Neo Gudauri Serv</t>
  </si>
  <si>
    <t>1 6 31 2714</t>
  </si>
  <si>
    <t>ICE002963/45689/1.1.2./LRBPNZ</t>
  </si>
  <si>
    <t>822dcb84-1cc8-4d87-97a8-c7a7be201ede</t>
  </si>
  <si>
    <t>Neo Gudauri Serv | 1.1.2. (+) შემოსავალი ლიფტების სერვისიდან - გეგმიური | ნეო გუდაური (ს.კ. ICE002963) - ამხანაგობა</t>
  </si>
  <si>
    <t>59e53ffc-c1df-473a-b257-775514afb099</t>
  </si>
  <si>
    <t>Dry Port Office</t>
  </si>
  <si>
    <t>ICE002573/45748/1.2.1./R7S3QX</t>
  </si>
  <si>
    <t>f3244c53-709e-4b57-be43-41f06e2358c6</t>
  </si>
  <si>
    <t>Dry Port Office | 1.2.1. (+) შემოსავალი MEP დანადგარების რეალიზაციიდან | თბილისი დრაი პორტი (ს.კ. 405483454) - შპს</t>
  </si>
  <si>
    <t>Tegeta Other Repair</t>
  </si>
  <si>
    <t>ICE000038/45769/1.2.3./ZI6VQ2</t>
  </si>
  <si>
    <t>ea8c475c-caa4-4bf8-ab80-24d6d1a9fb53</t>
  </si>
  <si>
    <t>Tegeta Other Repair | 1.2.3. (+) შემოსავალი MEP დანადგარების სერვისიდან - არაგეგმიური | თეგეტა მოტორსი (ს.კ. 202177205) - შპს</t>
  </si>
  <si>
    <t>Control System</t>
  </si>
  <si>
    <t>ICE000032/45771/1.2.3./A7WERD</t>
  </si>
  <si>
    <t>2c4d2a44-9e47-4cf0-bd0c-536199fc68bd</t>
  </si>
  <si>
    <t>Control System | 1.2.3. (+) შემოსავალი MEP დანადგარების სერვისიდან - არაგეგმიური | თბილისი ცენტრალი (ს.კ. 205129653) - სს</t>
  </si>
  <si>
    <t>Shartava LG</t>
  </si>
  <si>
    <t>ICE000118/45748/1.1.1./7UDCRT</t>
  </si>
  <si>
    <t>1f12a81b-7b38-4373-9cd3-33d000f982e9</t>
  </si>
  <si>
    <t>Shartava LG | 1.1.1. (+) შემოსავალი ლიფტების რეალიზაციიდან | მეპერსი (ს.კ. 402121887) - შპს</t>
  </si>
  <si>
    <t>Lift Buttons</t>
  </si>
  <si>
    <t>ICE002330/45778/1.1.3./HV0M3Q</t>
  </si>
  <si>
    <t>0ce9ff5a-43b3-4ee5-b98b-1047e260c7f5</t>
  </si>
  <si>
    <t>Lift Buttons | 1.1.3. (+) შემოსავალი ლიფტების სერვისიდან - არაგეგმიური | ბეტა ჰოთელს (ს.კ. 404585686) - შპს</t>
  </si>
  <si>
    <t>Kvareli Wine Factory</t>
  </si>
  <si>
    <t>ICE000043/45778/1.2.1./TVW6TV</t>
  </si>
  <si>
    <t>13b6b238-e95d-4330-9167-b02a26df224c</t>
  </si>
  <si>
    <t>Kvareli Wine Factory | 1.2.1. (+) შემოსავალი MEP დანადგარების რეალიზაციიდან | ინდეკო სი ემ  (ს.კ. 405508339) - შპს</t>
  </si>
  <si>
    <t>Kutaisi McDonalds</t>
  </si>
  <si>
    <t>ICE000014/45715/1.2.1./TYZRXI</t>
  </si>
  <si>
    <t>fc3de2c0-06c6-4d7e-b377-6c7575be9502</t>
  </si>
  <si>
    <t>Kutaisi McDonalds | 1.2.1. (+) შემოსავალი MEP დანადგარების რეალიზაციიდან | თბილი სახლი (ს.კ. 204976179) - შპს</t>
  </si>
  <si>
    <t>Doors Repair</t>
  </si>
  <si>
    <t>ICE001859/45778/1.1.1./NOM69T</t>
  </si>
  <si>
    <t>edcb4fbb-6a57-4308-93aa-8a98f148a069</t>
  </si>
  <si>
    <t>Doors Repair | 1.1.1. (+) შემოსავალი ლიფტების რეალიზაციიდან | ლაიქ ჰაუსი (ს.კ. 445478563) - შპს</t>
  </si>
  <si>
    <t>Grande Krtsanisi D &amp; E Block</t>
  </si>
  <si>
    <t>ICE002441/45790/1.1.1./UL7VPV</t>
  </si>
  <si>
    <t>5a1f5ff1-c9b1-4456-b679-7b227f5802e6</t>
  </si>
  <si>
    <t>Grande Krtsanisi D &amp; E Block | 1.1.1. (+) შემოსავალი ლიფტების რეალიზაციიდან | გრანდე ჯგუფი (ს.კ. 404557127) - შპს</t>
  </si>
  <si>
    <t>მშენებელი 2004 (ს.კ. 205023277) - შპს</t>
  </si>
  <si>
    <t>Grishashvili</t>
  </si>
  <si>
    <t>ICE002983/45799/1.1.1./5SMQC4</t>
  </si>
  <si>
    <t>97ca0a05-717f-46ad-8273-5c62d7b7e773</t>
  </si>
  <si>
    <t>Grishashvili | 1.1.1. (+) შემოსავალი ლიფტების რეალიზაციიდან | მშენებელი 2004 (ს.კ. 205023277) - შპს</t>
  </si>
  <si>
    <t>7a49a212-38dd-4a69-bab5-a677f1cbca97</t>
  </si>
  <si>
    <t>Telegraph Ahu Additional</t>
  </si>
  <si>
    <t>ICE1904/45791/1.2.1./QEL8OV</t>
  </si>
  <si>
    <t>426e8878-2ce5-4f00-bb0d-8b61642149ba</t>
  </si>
  <si>
    <t>Telegraph Ahu Additional | 1.2.1. (+) შემოსავალი MEP დანადგარების რეალიზაციიდან | დნთ ქონსთრაქშენ (ს.კ. 405418196) - შპს</t>
  </si>
  <si>
    <t>Kvareli Fans</t>
  </si>
  <si>
    <t>ICE000043/45798/1.2.1./7N6X4Z</t>
  </si>
  <si>
    <t>e1fb87bb-f940-42bf-ac21-f89590d25883</t>
  </si>
  <si>
    <t>Kvareli Fans | 1.2.1. (+) შემოსავალი MEP დანადგარების რეალიზაციიდან | ინდეკო (ს.კ. 202376133) - შპს</t>
  </si>
  <si>
    <t>ანაგი არტ ჰაუსი (ს.კ. 404630716) - შპს</t>
  </si>
  <si>
    <t>Art House Repair</t>
  </si>
  <si>
    <t>ICE003004/45727/1.1.3./V0NO3I</t>
  </si>
  <si>
    <t>bd751071-e10c-4441-9f9a-ce1b322e8e89</t>
  </si>
  <si>
    <t>Art House Repair | 1.1.3. (+) შემოსავალი ლიფტების სერვისიდან - არაგეგმიური | ანაგი არტ ჰაუსი (ს.კ. 404630716) - შპს</t>
  </si>
  <si>
    <t>47de915e-c03b-4118-b9cc-0d4d80b1caac</t>
  </si>
  <si>
    <t>Kutaisi Rooftop Launch</t>
  </si>
  <si>
    <t>ICE000014/45778/1.2.3./B9QJSV</t>
  </si>
  <si>
    <t>5dab5fd3-0954-44a3-a1a4-36720357b97f</t>
  </si>
  <si>
    <t>Kutaisi Rooftop Launch | 1.2.3. (+) შემოსავალი MEP დანადგარების სერვისიდან - არაგეგმიური | თბილი სახლი (ს.კ. 204976179) - შპს</t>
  </si>
  <si>
    <t>მეტრო ჰოლდინგი (ს.კ. 404512933) - შპს</t>
  </si>
  <si>
    <t>Varketili Mall</t>
  </si>
  <si>
    <t>ICE003006/45806/1.1.1./DORURB</t>
  </si>
  <si>
    <t>8b348159-e655-4c98-ae2b-fd9ac86087e2</t>
  </si>
  <si>
    <t>Varketili Mall | 1.1.1. (+) შემოსავალი ლიფტების რეალიზაციიდან | მეტრო ჰოლდინგი (ს.კ. 404512933) - შპს</t>
  </si>
  <si>
    <t>4b1110ff-1ace-462f-8822-895425a89a3c</t>
  </si>
  <si>
    <t>ტოკიო ჰოტელ (ს.კ. 402229423) - შპს</t>
  </si>
  <si>
    <t>Uznadze Office</t>
  </si>
  <si>
    <t>ICE003010/45778/1.1.1./QDMAXH</t>
  </si>
  <si>
    <t>d2428b0b-1a3c-4735-83cb-3477157e2b34</t>
  </si>
  <si>
    <t>Uznadze Office | 1.1.1. (+) შემოსავალი ლიფტების რეალიზაციიდან | ტოკიო ჰოტელ (ს.კ. 402229423) - შპს</t>
  </si>
  <si>
    <t>f79de391-c7c6-42b0-9326-1b94b5dcd121</t>
  </si>
  <si>
    <t>Archi Isani C Repair</t>
  </si>
  <si>
    <t>ICE2862/45784/1.1.3./HMGRLK</t>
  </si>
  <si>
    <t>528e9372-befa-4bc5-a9cd-faf9cf0769f2</t>
  </si>
  <si>
    <t>Archi Isani C Repair | 1.1.3. (+) შემოსავალი ლიფტების სერვისიდან - არაგეგმიური | არქი მეინთენენს (ს.კ. 405752957) - შპს</t>
  </si>
  <si>
    <t>Galeria Repair</t>
  </si>
  <si>
    <t>ICE000112/45757/1.1.3./DKXLRW</t>
  </si>
  <si>
    <t>1f21b7e8-36ed-4e80-b5cd-cca7c329a9d0</t>
  </si>
  <si>
    <t>Galeria Repair | 1.1.3. (+) შემოსავალი ლიფტების სერვისიდან - არაგეგმიური | გალერია თბილისი (ს.კ. 204558497) - შპს</t>
  </si>
  <si>
    <t>საკენი ბიოგრაფი (ს.კ. 404651015) - შპს</t>
  </si>
  <si>
    <t>Sakeni</t>
  </si>
  <si>
    <t>ICE003011/45798/1.1.1./SECP7I</t>
  </si>
  <si>
    <t>b6f7a772-8266-46a4-9bc5-a49779c32dd1</t>
  </si>
  <si>
    <t>Sakeni | 1.1.1. (+) შემოსავალი ლიფტების რეალიზაციიდან | საკენი ბიოგრაფი (ს.კ. 404651015) - შპს</t>
  </si>
  <si>
    <t>52130c6e-2f62-4b07-bce1-28762a400e58</t>
  </si>
  <si>
    <t>Fire Cabinet</t>
  </si>
  <si>
    <t>ICE000125/43634/1.2.1./6WRBYF</t>
  </si>
  <si>
    <t>78e4cc00-618f-4336-9fd8-61a70993a023</t>
  </si>
  <si>
    <t>Fire Cabinet | 1.2.1. (+) შემოსავალი MEP დანადგარების რეალიზაციიდან | 1920 (ს.კ. 400247899) - შპს</t>
  </si>
  <si>
    <t>Accor Avlabari</t>
  </si>
  <si>
    <t>ICE000118/45809/1.1.1./P7ELTO</t>
  </si>
  <si>
    <t>49fdcdd0-d6e8-4a1e-9564-b877be4811d5</t>
  </si>
  <si>
    <t>Accor Avlabari | 1.1.1. (+) შემოსავალი ლიფტების რეალიზაციიდან | მეპერსი (ს.კ. 402121887) - შპს</t>
  </si>
  <si>
    <t>Lisi Development 6 units</t>
  </si>
  <si>
    <t>ICE000118/45292/1.1.1./MXZXFV</t>
  </si>
  <si>
    <t>78e2519d-639e-4fac-a031-076054f82ed3</t>
  </si>
  <si>
    <t>Lisi Development 6 units | 1.1.1. (+) შემოსავალი ლიფტების რეალიზაციიდან | მეპერსი (ს.კ. 402121887) - შპს</t>
  </si>
  <si>
    <t>Compressors 2025</t>
  </si>
  <si>
    <t>ICE002297/45804/1.2.1./QOHFLD</t>
  </si>
  <si>
    <t>64b6aef8-95fe-4557-b2e4-3400a8fc493a</t>
  </si>
  <si>
    <t>Compressors 2025 | 1.2.1. (+) შემოსავალი MEP დანადგარების რეალიზაციიდან | ტელეგრაფი (ს.კ. 404505406) - შპს</t>
  </si>
  <si>
    <t>ნინო თავამაიშვილი (ს.კ. 33001020674) - ფიზ. პირი</t>
  </si>
  <si>
    <t>Lisi VRF</t>
  </si>
  <si>
    <t>ICE002977/45804/1.2.1./SSE432</t>
  </si>
  <si>
    <t>9c486204-9f82-46a5-8c27-9862f79429a5</t>
  </si>
  <si>
    <t>Lisi VRF | 1.2.1. (+) შემოსავალი MEP დანადგარების რეალიზაციიდან | ნინო თავამაიშვილი (ს.კ. 33001020674) - ფიზ. პირი</t>
  </si>
  <si>
    <t>15951f75-6aca-4416-8478-e803240069ff</t>
  </si>
  <si>
    <t>Fotosell</t>
  </si>
  <si>
    <t>ICE002963/45807/1.1.3./5KSNCZ</t>
  </si>
  <si>
    <t>bb17a965-20c8-4bf0-bca0-1bf4793cda23</t>
  </si>
  <si>
    <t>Fotosell | 1.1.3. (+) შემოსავალი ლიფტების სერვისიდან - არაგეგმიური | ნეო გუდაური (ს.კ. ICE002963) - ამხანაგობა</t>
  </si>
  <si>
    <t>Door threshold</t>
  </si>
  <si>
    <t>ICE000012/45096/1.1.3./928GC4</t>
  </si>
  <si>
    <t>04f89f95-038a-4435-93b8-56e9be467bf6</t>
  </si>
  <si>
    <t>Door threshold | 1.1.3. (+) შემოსავალი ლიფტების სერვისიდან - არაგეგმიური | Dar Building (ს.კ. 445420875) - შპს</t>
  </si>
  <si>
    <t>ICE002297/45809/1.2.1./M6UQN4</t>
  </si>
  <si>
    <t>8fc23987-6f38-4c47-a180-3a48f70ab235</t>
  </si>
  <si>
    <t>Container Unloading</t>
  </si>
  <si>
    <t>ICE002577/45620/1.1.1./X3U0R1</t>
  </si>
  <si>
    <t>05b2ec77-b65e-4258-85c0-156f0da91d0e</t>
  </si>
  <si>
    <t>Container Unloading | 1.1.1. (+) შემოსავალი ლიფტების რეალიზაციიდან | დეკა ვერონა (ს.კ. 405570519) - შპს</t>
  </si>
  <si>
    <t>Kutaisi Parliament</t>
  </si>
  <si>
    <t>ICE000014/45671/1.2.1./6FEM9P</t>
  </si>
  <si>
    <t>27edf627-a39e-4024-b633-27bd5cd6a3c7</t>
  </si>
  <si>
    <t>Kutaisi Parliament | 1.2.1. (+) შემოსავალი MEP დანადგარების რეალიზაციიდან | თბილი სახლი (ს.კ. 204976179) - შპს</t>
  </si>
  <si>
    <t>Vehicle Service</t>
  </si>
  <si>
    <t>ICE002573/45813/1.2.1./5RKC1N</t>
  </si>
  <si>
    <t>7a8385f2-21c7-4112-9621-2ad305be205e</t>
  </si>
  <si>
    <t>Vehicle Service | 1.2.1. (+) შემოსავალი MEP დანადგარების რეალიზაციიდან | თბილისი დრაი პორტი (ს.კ. 405483454) - შპს</t>
  </si>
  <si>
    <t>Gardens Oth</t>
  </si>
  <si>
    <t>ICE001741/45806/1.1.3./42H5Z1</t>
  </si>
  <si>
    <t>a88d27c3-4f8a-4edd-b19b-041153242af3</t>
  </si>
  <si>
    <t>Gardens Oth | 1.1.3. (+) შემოსავალი ლიფტების სერვისიდან - არაგეგმიური | მზიური რეზორტ (ს.კ. 404462256) - შპს</t>
  </si>
  <si>
    <t>Zara Escalator Repair</t>
  </si>
  <si>
    <t>ICE000027/45809/1.1.3./SM42AK</t>
  </si>
  <si>
    <t>c2cb9c5e-2c83-4f37-9827-932c22d33b77</t>
  </si>
  <si>
    <t>Zara Escalator Repair | 1.1.3. (+) შემოსავალი ლიფტების სერვისიდან - არაგეგმიური | Spanish Retail Georgia (ს.კ. 404404774) - შპს</t>
  </si>
  <si>
    <t>Card System Adaptation</t>
  </si>
  <si>
    <t>ICE000001/45824/1.1.3./SBV25Q</t>
  </si>
  <si>
    <t>2c7e2f76-70f7-4ef2-8d8f-cb9058a5b512</t>
  </si>
  <si>
    <t>Card System Adaptation | 1.1.3. (+) შემოსავალი ლიფტების სერვისიდან - არაგეგმიური | ორბი ჯგუფი ბათუმი (ს.კ. 445468798) - შპს</t>
  </si>
  <si>
    <t>Mardi Hills Unloading</t>
  </si>
  <si>
    <t>ICE002369/45505/1.1.1./1BURKV</t>
  </si>
  <si>
    <t>818aa80e-c6bc-41f8-bb23-b903e6967088</t>
  </si>
  <si>
    <t>Mardi Hills Unloading | 1.1.1. (+) შემოსავალი ლიფტების რეალიზაციიდან | მარდი ჰილსი (ს.კ. 405572633) - შპს</t>
  </si>
  <si>
    <t>ICE2732/45627/1.1.2./ZUXFOV</t>
  </si>
  <si>
    <t>a3bea6c5-a05a-47a7-89c9-509c7930d92b</t>
  </si>
  <si>
    <t>King Parnavaz Service | 1.1.2. (+) შემოსავალი ლიფტების სერვისიდან - გეგმიური | ფარნავაზ მეფის # 62 (ს.კ. 245665221) - ამხანაგობა</t>
  </si>
  <si>
    <t>Art House Service</t>
  </si>
  <si>
    <t>ICE003004/45790/1.1.2./93CTVA</t>
  </si>
  <si>
    <t>7e57e3cf-b8ac-4e16-882d-374e7692b3c2</t>
  </si>
  <si>
    <t>Art House Service | 1.1.2. (+) შემოსავალი ლიფტების სერვისიდან - გეგმიური | ანაგი არტ ჰაუსი (ს.კ. 404630716) - შპს</t>
  </si>
  <si>
    <t>DECRIPT CJSC (ს.კ. 02885818) - უცხოური საწარმო</t>
  </si>
  <si>
    <t>Heat Pump</t>
  </si>
  <si>
    <t>ICE003038/45817/1.2.1./1OGPKR</t>
  </si>
  <si>
    <t>8380cc2c-30e5-4ac7-a1a4-85bc1ee0bdff</t>
  </si>
  <si>
    <t>Heat Pump | 1.2.1. (+) შემოსავალი MEP დანადგარების რეალიზაციიდან | DECRIPT CJSC (ს.კ. 02885818) - უცხოური საწარმო</t>
  </si>
  <si>
    <t>e57e51e3-35b5-48de-baf9-c08664162344</t>
  </si>
  <si>
    <t>Kvareli Termostat Check</t>
  </si>
  <si>
    <t>ICE1905/45597/1.2.1./EKB4TG</t>
  </si>
  <si>
    <t>6ed7254f-9cb4-4319-9b92-05f707838d07</t>
  </si>
  <si>
    <t>Kvareli Termostat Check | 1.2.1. (+) შემოსავალი MEP დანადგარების რეალიზაციიდან | ინდეკო სი ემ  (ს.კ. 405508339) - შპს</t>
  </si>
  <si>
    <t>Vake Ramishvili Refregerant</t>
  </si>
  <si>
    <t>ICE1905/45566/1.2.1./CKNF6P</t>
  </si>
  <si>
    <t>b62a9a1e-f268-4c63-8f98-547fac6ebcea</t>
  </si>
  <si>
    <t>Vake Ramishvili Refregerant | 1.2.1. (+) შემოსავალი MEP დანადგარების რეალიზაციიდან | ინდეკო სი ემ  (ს.კ. 405508339) - შპს</t>
  </si>
  <si>
    <t>Kvareli Staff House Elevator</t>
  </si>
  <si>
    <t>ICE000043/45778/1.1.1./Q2TNVC</t>
  </si>
  <si>
    <t>fa29fbbe-3029-4837-adde-793c2ca8395d</t>
  </si>
  <si>
    <t>Kvareli Staff House Elevator | 1.1.1. (+) შემოსავალი ლიფტების რეალიზაციიდან | ინდეკო სი ემ  (ს.კ. 405508339) - შპს</t>
  </si>
  <si>
    <t>Chkondideli Repair 21 UNITS</t>
  </si>
  <si>
    <t>ICE001643/45846/1.1.1./OWU2R5</t>
  </si>
  <si>
    <t>808bf640-8295-46a9-a083-c43472345717</t>
  </si>
  <si>
    <t>Chkondideli Repair 21 UNITS | 1.1.1. (+) შემოსავალი ლიფტების რეალიზაციიდან | ოპტიმა (ს.კ. 405160819) - შპს</t>
  </si>
  <si>
    <t>Chkondideli Repair 2 UNITS</t>
  </si>
  <si>
    <t>ICE001643/45846/1.1.1./WX6JC2</t>
  </si>
  <si>
    <t>61cf565e-ba4c-40d0-9bba-77ace1f5ae83</t>
  </si>
  <si>
    <t>Chkondideli Repair 2 UNITS | 1.1.1. (+) შემოსავალი ლიფტების რეალიზაციიდან | ოპტიმა (ს.კ. 405160819) - შპს</t>
  </si>
  <si>
    <t>ბენე კომფორტი (ს.კ. 405384383) - შპს</t>
  </si>
  <si>
    <t>Varazi 99 D</t>
  </si>
  <si>
    <t>ICE003169/45787/1.2.2./1PX4HG</t>
  </si>
  <si>
    <t>a87c9332-a4ab-4fb3-b4dd-34e3c522dd56</t>
  </si>
  <si>
    <t>Varazi 99 D | 1.2.2. (+) შემოსავალი MEP დანადგარების სერვისიდან - გეგმიური | ბენე კომფორტი (ს.კ. 405384383) - შპს</t>
  </si>
  <si>
    <t>f35a04db-068e-41d5-b8a8-8bfde7ffa421</t>
  </si>
  <si>
    <t>1TV Service</t>
  </si>
  <si>
    <t>ICE000014/45792/1.2.1./UHN9UT</t>
  </si>
  <si>
    <t>4c42287e-5602-4073-ab4e-ac2dc3bce4e2</t>
  </si>
  <si>
    <t>1TV Service | 1.2.1. (+) შემოსავალი MEP დანადგარების რეალიზაციიდან | თბილი სახლი (ს.კ. 204976179) - შპს</t>
  </si>
  <si>
    <t>Additional Shafts</t>
  </si>
  <si>
    <t>ICE002291/45840/1.1.1./LBMPW2</t>
  </si>
  <si>
    <t>34dde880-2eea-4654-919e-454a6ba8c693</t>
  </si>
  <si>
    <t>Additional Shafts | 1.1.1. (+) შემოსავალი ლიფტების რეალიზაციიდან | ავენიუ ბაი ორბი (ს.კ. 445488749) - შპს</t>
  </si>
  <si>
    <t>Arken Service</t>
  </si>
  <si>
    <t>ICE002573/45806/1.2.3./PT5JP4</t>
  </si>
  <si>
    <t>780da0cb-91c2-4d8d-9a18-d99b8132c339</t>
  </si>
  <si>
    <t>Arken Service | 1.2.3. (+) შემოსავალი MEP დანადგარების სერვისიდან - არაგეგმიური | თბილისი დრაი პორტი (ს.კ. 405483454) - შპს</t>
  </si>
  <si>
    <t>Building Elevator Rent</t>
  </si>
  <si>
    <t>ICE000033/45852/1.1.1./YGRBAU</t>
  </si>
  <si>
    <t>f8554cb4-f969-4d12-bd11-ddf5b8190331</t>
  </si>
  <si>
    <t>Building Elevator Rent | 1.1.1. (+) შემოსავალი ლიფტების რეალიზაციიდან | ანაგი (ს.კ. 245416401) - შპს</t>
  </si>
  <si>
    <t>Malsi (ს.კ. 445419770) - შპს</t>
  </si>
  <si>
    <t>Ali Batumi</t>
  </si>
  <si>
    <t>ICE003173/45853/1.2.1./80ZRP1</t>
  </si>
  <si>
    <t>913dcc58-9eb3-4d5f-824f-538c2e0909e4</t>
  </si>
  <si>
    <t>Ali Batumi | 1.2.1. (+) შემოსავალი MEP დანადგარების რეალიზაციიდან | Malsi (ს.კ. 445419770) - შპს</t>
  </si>
  <si>
    <t>2a4d8f4e-e7cd-4ed5-a7dc-a92fc16e37b3</t>
  </si>
  <si>
    <t>ICE000027/45846/1.1.3./7IDMWQ</t>
  </si>
  <si>
    <t>2b109f1a-7ce1-4af8-a2e7-e0b90d88d0ed</t>
  </si>
  <si>
    <t>თეკლე გორდეზიანი (ს.კ. 35901129029) - ფიზ. პირი</t>
  </si>
  <si>
    <t>Gordeziani Rustavi</t>
  </si>
  <si>
    <t>ICE3142/44316/1.1.2./JVYHGC</t>
  </si>
  <si>
    <t>651ad887-b4f3-46fa-8f0e-f4cf9356e703</t>
  </si>
  <si>
    <t>Gordeziani Rustavi | 1.1.2. (+) შემოსავალი ლიფტების სერვისიდან - გეგმიური | თეკლე გორდეზიანი (ს.კ. 35901129029) - ფიზ. პირი</t>
  </si>
  <si>
    <t>ca619f43-8990-49a5-8c86-f34c86395425</t>
  </si>
  <si>
    <t>Wedding Hall Reconstruction</t>
  </si>
  <si>
    <t>ICE000024/45831/1.1.1./VCYP5W</t>
  </si>
  <si>
    <t>bdb15239-50fc-466c-8a9a-6f1a1133b180</t>
  </si>
  <si>
    <t>Wedding Hall Reconstruction | 1.1.1. (+) შემოსავალი ლიფტების რეალიზაციიდან | მოდუსი (ს.კ. 245565669) - შპს</t>
  </si>
  <si>
    <t>Nutsubidze Service</t>
  </si>
  <si>
    <t>ICE001277/45809/1.1.2./23KPSO</t>
  </si>
  <si>
    <t>6d09a2ab-a864-46af-bcff-099fd7a7ea00</t>
  </si>
  <si>
    <t>Nutsubidze Service | 1.1.2. (+) შემოსავალი ლიფტების სერვისიდან - გეგმიური | სფერა (ს.კ. 405412361) - შპს</t>
  </si>
  <si>
    <t>ჰილ საიდ დეველოპმენთ (ს.კ. 404619668) - შპს</t>
  </si>
  <si>
    <t>Gergeti Str</t>
  </si>
  <si>
    <t>ICE003182/45863/1.1.1./OQVTYZ</t>
  </si>
  <si>
    <t>14b74ce2-176f-45a2-a7dc-b2147861533c</t>
  </si>
  <si>
    <t>Gergeti Str | 1.1.1. (+) შემოსავალი ლიფტების რეალიზაციიდან | ჰილ საიდ დეველოპმენთ (ს.კ. 404619668) - შპს</t>
  </si>
  <si>
    <t>bfc971e5-83a3-47a8-b1dc-c45b1b8c8f92</t>
  </si>
  <si>
    <t>ფრანს ავტო (ს.კ. 236098165) - შპს</t>
  </si>
  <si>
    <t>Renault Center Design</t>
  </si>
  <si>
    <t>ICE002323/45860/1.2.1./RJ3TVH</t>
  </si>
  <si>
    <t>20772c20-2969-4621-a1da-86f9844eead3</t>
  </si>
  <si>
    <t>Renault Center Design | 1.2.1. (+) შემოსავალი MEP დანადგარების რეალიზაციიდან | ფრანს ავტო (ს.კ. 236098165) - შპს</t>
  </si>
  <si>
    <t>239c1ffa-b15c-4b14-af18-a276f4963ad1</t>
  </si>
  <si>
    <t>ჯი-თი მოტორს (ს.კ. 206276340) - შპს</t>
  </si>
  <si>
    <t>BMW CENTER</t>
  </si>
  <si>
    <t>ICE000133/45866/1.1.1./2QE7SK</t>
  </si>
  <si>
    <t>f44869d1-5867-4565-981d-a314e29ff356</t>
  </si>
  <si>
    <t>BMW CENTER | 1.1.1. (+) შემოსავალი ლიფტების რეალიზაციიდან | ჯი-თი მოტორს (ს.კ. 206276340) - შპს</t>
  </si>
  <si>
    <t>0287776F-9E6F-4DA0-B7EF-8779B6C95A99</t>
  </si>
  <si>
    <t>BMW CENTER (2)</t>
  </si>
  <si>
    <t>ICE000133/45866/1.1.1./IH0S9P</t>
  </si>
  <si>
    <t>d2efdf13-e345-4068-b330-cc3363d7620e</t>
  </si>
  <si>
    <t>BMW CENTER (2) | 1.1.1. (+) შემოსავალი ლიფტების რეალიზაციიდან | ჯი-თი მოტორს (ს.კ. 206276340) - შპს</t>
  </si>
  <si>
    <t>BMW CENTER (3)</t>
  </si>
  <si>
    <t>ICE000133/45866/1.1.1./Q6RHWV</t>
  </si>
  <si>
    <t>1303872a-1e47-4ede-ba36-dae02084c0e2</t>
  </si>
  <si>
    <t>BMW CENTER (3) | 1.1.1. (+) შემოსავალი ლიფტების რეალიზაციიდან | ჯი-თი მოტორს (ს.კ. 206276340) - შპს</t>
  </si>
  <si>
    <t>Mitsubishi VRF</t>
  </si>
  <si>
    <t>ICE001884/45868/1.2.3./FORNT7</t>
  </si>
  <si>
    <t>176e1484-cd37-4c5a-904c-db1ae4ba7157</t>
  </si>
  <si>
    <t>Mitsubishi VRF | 1.2.3. (+) შემოსავალი MEP დანადგარების სერვისიდან - არაგეგმიური | ინდეკო ჰოსფითალითი (ს.კ. 405508026) - შპს</t>
  </si>
  <si>
    <t>HGI Heat Pump Mbus</t>
  </si>
  <si>
    <t>ICE000118/44482/1.2.1./OQU18S</t>
  </si>
  <si>
    <t>fff21f65-9095-4104-bf7e-6153cfe24096</t>
  </si>
  <si>
    <t>HGI Heat Pump Mbus | 1.2.1. (+) შემოსავალი MEP დანადგარების რეალიზაციიდან | მეპერსი (ს.კ. 402121887) - შპს</t>
  </si>
  <si>
    <t>Fancoil</t>
  </si>
  <si>
    <t>ICE000118/44725/1.2.1./8CPSVZ</t>
  </si>
  <si>
    <t>4d458a60-ecf8-40ed-8900-b45b09123050</t>
  </si>
  <si>
    <t>Fancoil | 1.2.1. (+) შემოსავალი MEP დანადგარების რეალიზაციიდან | მეპერსი (ს.კ. 402121887) - შპს</t>
  </si>
  <si>
    <t>HIEX (EUR)</t>
  </si>
  <si>
    <t>ICE000118/44256/1.2.1./UE7KVC</t>
  </si>
  <si>
    <t>d78a50df-8538-48a5-a164-2caf2ee08edd</t>
  </si>
  <si>
    <t>HIEX (EUR) | 1.2.1. (+) შემოსავალი MEP დანადგარების რეალიზაციიდან | მეპერსი (ს.კ. 402121887) - შპს</t>
  </si>
  <si>
    <t>Kvariati FLS</t>
  </si>
  <si>
    <t>ICE000118/45422/1.2.1./42HVWB</t>
  </si>
  <si>
    <t>75ec5898-1b86-4e14-a694-5fa0da9f55ef</t>
  </si>
  <si>
    <t>Kvariati FLS | 1.2.1. (+) შემოსავალი MEP დანადგარების რეალიზაციიდან | მეპერსი (ს.კ. 402121887) - შპს</t>
  </si>
  <si>
    <t>Scaffolding Rent</t>
  </si>
  <si>
    <t>ICE000118/45679/1.3.2./FO74S1</t>
  </si>
  <si>
    <t>ccd89e5c-8a53-490c-9b49-ebb1d99952b7</t>
  </si>
  <si>
    <t>Scaffolding Rent | 1.3.2. (+) იჯარიდან მიღებული შემოსავალი | მეპერსი (ს.კ. 402121887) - შპს</t>
  </si>
  <si>
    <t>Rustavi Mall Glass</t>
  </si>
  <si>
    <t>ICE000088/45839/1.2.3./ZJO0AX</t>
  </si>
  <si>
    <t>81ef4041-063e-4b84-99e3-f04164edc3d9</t>
  </si>
  <si>
    <t>Rustavi Mall Glass | 1.2.3. (+) შემოსავალი MEP დანადგარების სერვისიდან - არაგეგმიური | მპ დეველოპმენტი (ს.კ. 404960217) - შპს</t>
  </si>
  <si>
    <t>Joints</t>
  </si>
  <si>
    <t>ICE000118/45386/1.2.1./9JFOGU</t>
  </si>
  <si>
    <t>e44aebac-eeb1-42f7-9c90-43fddae3a935</t>
  </si>
  <si>
    <t>Joints | 1.2.1. (+) შემოსავალი MEP დანადგარების რეალიზაციიდან | მეპერსი (ს.კ. 402121887) - შპს</t>
  </si>
  <si>
    <t>Beach Tower Service</t>
  </si>
  <si>
    <t>ICE000118/44166/1.2.1./YUS6VO</t>
  </si>
  <si>
    <t>60e39328-36da-44a9-93a6-12c7ab19714b</t>
  </si>
  <si>
    <t>Beach Tower Service | 1.2.1. (+) შემოსავალი MEP დანადგარების რეალიზაციიდან | მეპერსი (ს.კ. 402121887) - შპს</t>
  </si>
  <si>
    <t>Chakhrukhadze Service</t>
  </si>
  <si>
    <t>ICE001884/45798/1.2.3./WRM27U</t>
  </si>
  <si>
    <t>53708f68-c1b6-4922-b4bb-4e232f4762b6</t>
  </si>
  <si>
    <t>Chakhrukhadze Service | 1.2.3. (+) შემოსავალი MEP დანადგარების სერვისიდან - არაგეგმიური | ინდეკო ჰოსფითალითი (ს.კ. 405508026) - შპს</t>
  </si>
  <si>
    <t>ნექსთ ფროფერთი (ს.კ. 445766859) - შპს</t>
  </si>
  <si>
    <t>Next Tbilisi Downtown</t>
  </si>
  <si>
    <t>ICE003198/45880/1.1.1./3QWUYX</t>
  </si>
  <si>
    <t>3d1f684e-53e5-43bc-a55b-dc2226668e7b</t>
  </si>
  <si>
    <t>Next Tbilisi Downtown | 1.1.1. (+) შემოსავალი ლიფტების რეალიზაციიდან | ნექსთ ფროფერთი (ს.კ. 445766859) - შპს</t>
  </si>
  <si>
    <t>e8b5ea6c-53ce-4c50-a1aa-a21d51c741d8</t>
  </si>
  <si>
    <t>2 Firebox Installation</t>
  </si>
  <si>
    <t>ICE002573/45881/1.2.1./FA06E2</t>
  </si>
  <si>
    <t>b2f6af17-1bef-4188-9ee8-3b679aaca2a1</t>
  </si>
  <si>
    <t>2 Firebox Installation | 1.2.1. (+) შემოსავალი MEP დანადგარების რეალიზაციიდან | თბილისი დრაი პორტი (ს.კ. 405483454) - შპს</t>
  </si>
  <si>
    <t>Telegraph Hotel Humidifier</t>
  </si>
  <si>
    <t>ICE1904/45839/1.2.1./TQRSX2</t>
  </si>
  <si>
    <t>76dff0ea-9a54-4593-bd6e-27bb5653af7c</t>
  </si>
  <si>
    <t>Telegraph Hotel Humidifier | 1.2.1. (+) შემოსავალი MEP დანადგარების რეალიზაციიდან | დნთ ქონსთრაქშენ (ს.კ. 405418196) - შპს</t>
  </si>
  <si>
    <t>Chkonia Elevator Service</t>
  </si>
  <si>
    <t>ICE002123/45839/1.1.2./OONGCY</t>
  </si>
  <si>
    <t>1236cdd5-0ca2-4cc7-8537-9265b5813a46</t>
  </si>
  <si>
    <t>Chkonia Elevator Service | 1.1.2. (+) შემოსავალი ლიფტების სერვისიდან - გეგმიური | სახლი ძველ ბათუმში (ს.კ. 445433610) - შპს</t>
  </si>
  <si>
    <t>Kobuleti Garden Inn Other</t>
  </si>
  <si>
    <t>ICE000048/45883/1.1.3./5XMIXP</t>
  </si>
  <si>
    <t>76c81ead-4186-4cc5-b1cb-8d0bd724c936</t>
  </si>
  <si>
    <t>Kobuleti Garden Inn Other | 1.1.3. (+) შემოსავალი ლიფტების სერვისიდან - არაგეგმიური | იოსებ გუნთაიშვილი (ს.კ. 61001008820) - ფიზ. პირი</t>
  </si>
  <si>
    <t>ფორის დეველოპმენტი (ს.კ. 445587614) - შპს</t>
  </si>
  <si>
    <t>Foris Suits</t>
  </si>
  <si>
    <t>ICE003200/45870/1.1.1./2RFOK4</t>
  </si>
  <si>
    <t>d9f7ad7e-ede5-4474-9f53-2e7dd3f53599</t>
  </si>
  <si>
    <t>Foris Suits | 1.1.1. (+) შემოსავალი ლიფტების რეალიზაციიდან | ფორის დეველოპმენტი (ს.კ. 445587614) - შპს</t>
  </si>
  <si>
    <t>4b211f63-8396-46ff-b4d1-642c7a3d077f</t>
  </si>
  <si>
    <t>BOQ Vake Restaurant</t>
  </si>
  <si>
    <t>ICE1905/45875/1.2.1./QWCGS4</t>
  </si>
  <si>
    <t>e68ef0e0-13b9-4e5b-9b7b-4346ae24e7a6</t>
  </si>
  <si>
    <t>BOQ Vake Restaurant | 1.2.1. (+) შემოსავალი MEP დანადგარების რეალიზაციიდან | ინდეკო სი ემ  (ს.კ. 405508339) - შპს</t>
  </si>
  <si>
    <t>Isani D Block Door Engine</t>
  </si>
  <si>
    <t>ICE2862/45736/1.1.3./XQK483</t>
  </si>
  <si>
    <t>96622052-3fa7-4a40-ae75-9bbc080c5d5b</t>
  </si>
  <si>
    <t>Isani D Block Door Engine | 1.1.3. (+) შემოსავალი ლიფტების სერვისიდან - არაგეგმიური | არქი მეინთენენს (ს.კ. 405752957) - შპს</t>
  </si>
  <si>
    <t>კამ (ს.კ. 406050856) - შპს</t>
  </si>
  <si>
    <t>Gallery Reprogramming</t>
  </si>
  <si>
    <t>ICE003205/45896/1.2.1./FRWDMU</t>
  </si>
  <si>
    <t>896a4b80-4b57-4a1b-894a-1dcb6dfebf9f</t>
  </si>
  <si>
    <t>Gallery Reprogramming | 1.2.1. (+) შემოსავალი MEP დანადგარების რეალიზაციიდან | კამ (ს.კ. 406050856) - შპს</t>
  </si>
  <si>
    <t>f803a84d-97b6-49cf-824e-d2806271449a</t>
  </si>
  <si>
    <t>VRF</t>
  </si>
  <si>
    <t>ICE002977/45804/1.2.1./T19PXT</t>
  </si>
  <si>
    <t>52d886f8-9173-4e2d-9d73-fd44e28b55ca</t>
  </si>
  <si>
    <t>VRF | 1.2.1. (+) შემოსავალი MEP დანადგარების რეალიზაციიდან | ნინო თავამაიშვილი (ს.კ. 33001020674) - ფიზ. პირი</t>
  </si>
  <si>
    <t>Escalator Step</t>
  </si>
  <si>
    <t>ICE001883/45895/1.1.3./HRS136</t>
  </si>
  <si>
    <t>3221a7e6-6cd7-4a0c-b402-bf79bdb96de4</t>
  </si>
  <si>
    <t>Escalator Step | 1.1.3. (+) შემოსავალი ლიფტების სერვისიდან - არაგეგმიური | გრანდ მოლი (ს.კ. 445524479) - შპს</t>
  </si>
  <si>
    <t>A &amp; B Block Doors</t>
  </si>
  <si>
    <t>ICE001859/45831/1.1.3./SR0VWS</t>
  </si>
  <si>
    <t>b56a8f1d-3a8b-478e-aed9-78922b71241a</t>
  </si>
  <si>
    <t>A &amp; B Block Doors | 1.1.3. (+) შემოსავალი ლიფტების სერვისიდან - არაგეგმიური | ლაიქ ჰაუსი (ს.კ. 445478563) - შპს</t>
  </si>
  <si>
    <t>დეკა ლისი (ს.კ. 405476872) - შპს</t>
  </si>
  <si>
    <t>Deka Lisi</t>
  </si>
  <si>
    <t>ICE003213/45882/1.1.1./JTXV0F</t>
  </si>
  <si>
    <t>317f801f-bf5e-43fc-91d4-d5978e6673a3</t>
  </si>
  <si>
    <t>Deka Lisi | 1.1.1. (+) შემოსავალი ლიფტების რეალიზაციიდან | დეკა ლისი (ს.კ. 405476872) - შპს</t>
  </si>
  <si>
    <t>ab81e45d-fc7d-41c1-bb11-61d2345f074a</t>
  </si>
  <si>
    <t>თამარ ანდრიაძე (ს.კ. 1024070871) - ფიზ. პირი</t>
  </si>
  <si>
    <t>Varazi 99</t>
  </si>
  <si>
    <t>ICE003214/45818/1.1.2./87XWP5</t>
  </si>
  <si>
    <t>178203ce-ad2d-4fb5-a269-4dabad09977b</t>
  </si>
  <si>
    <t>Varazi 99 | 1.1.2. (+) შემოსავალი ლიფტების სერვისიდან - გეგმიური | თამარ ანდრიაძე (ს.კ. 1024070871) - ფიზ. პირი</t>
  </si>
  <si>
    <t>c927ff43-63ab-4b84-bd2a-6f3603b427b4</t>
  </si>
  <si>
    <t>Kart</t>
  </si>
  <si>
    <t>ICE000118/45870/1.2.3./52KZT1</t>
  </si>
  <si>
    <t>a08f2e92-ddcd-44b8-8515-27faf5f4eb63</t>
  </si>
  <si>
    <t>Kart | 1.2.3. (+) შემოსავალი MEP დანადგარების სერვისიდან - არაგეგმიური | მეპერსი (ს.კ. 402121887) - შპს</t>
  </si>
  <si>
    <t>Additional Steel Works</t>
  </si>
  <si>
    <t>ICE002291/45901/1.1.1./UD9HAW</t>
  </si>
  <si>
    <t>d72d257b-3784-4939-8e28-7b69968edcc2</t>
  </si>
  <si>
    <t>Additional Steel Works | 1.1.1. (+) შემოსავალი ლიფტების რეალიზაციიდან | ავენიუ ბაი ორბი (ს.კ. 445488749) - შპს</t>
  </si>
  <si>
    <t>Varketili Mall HVAC</t>
  </si>
  <si>
    <t>ICE003006/45901/1.2.1./UEWTKP</t>
  </si>
  <si>
    <t>975f3203-d3ec-4f9c-a396-1a68ae4b7e30</t>
  </si>
  <si>
    <t>Varketili Mall HVAC | 1.2.1. (+) შემოსავალი MEP დანადგარების რეალიზაციიდან | მეტრო ჰოლდინგი (ს.კ. 404512933) - შპს</t>
  </si>
  <si>
    <t>Arte Kerchi Service</t>
  </si>
  <si>
    <t>ICE2721/45870/1.1.2./LIDSOA</t>
  </si>
  <si>
    <t>20804530-adcf-44cb-a337-d21f165a052b</t>
  </si>
  <si>
    <t>Arte Kerchi Service | 1.1.2. (+) შემოსავალი ლიფტების სერვისიდან - გეგმიური | არტე ქერჩი (ს.კ. 400359492) - შპს</t>
  </si>
  <si>
    <t>ირინე ხახუტაიშვილი (ს.კ. 61004007129) - ფიზ. პირი</t>
  </si>
  <si>
    <t>Tadzris 22 Areali</t>
  </si>
  <si>
    <t>ICE003232/45870/1.1.2./CQI6OF</t>
  </si>
  <si>
    <t>d397440b-a8a7-459f-b315-825fec814c2a</t>
  </si>
  <si>
    <t>Tadzris 22 Areali | 1.1.2. (+) შემოსავალი ლიფტების სერვისიდან - გეგმიური | ირინე ხახუტაიშვილი (ს.კ. 61004007129) - ფიზ. პირი</t>
  </si>
  <si>
    <t>0189a475-ca2b-4535-884b-b5d63f2e774a</t>
  </si>
  <si>
    <t>Millenio</t>
  </si>
  <si>
    <t>ICE000118/45920/1.1.1./QNCVOD</t>
  </si>
  <si>
    <t>9f6e78a8-ae91-479c-9830-072976842e2c</t>
  </si>
  <si>
    <t>Millenio | 1.1.1. (+) შემოსავალი ლიფტების რეალიზაციიდან | მეპერსი (ს.კ. 402121887) - შპს</t>
  </si>
  <si>
    <t>Renault Center</t>
  </si>
  <si>
    <t>ICE002323/45910/1.2.1./IU4XT8</t>
  </si>
  <si>
    <t>1f1e7627-ce2b-4a95-a892-ca73802c5e21</t>
  </si>
  <si>
    <t>Renault Center | 1.2.1. (+) შემოსავალი MEP დანადგარების რეალიზაციიდან | ფრანს ავტო (ს.კ. 236098165) - შპს</t>
  </si>
  <si>
    <t>Freight Elevator Parts</t>
  </si>
  <si>
    <t>ICE000112/45910/1.1.3./W2SWD5</t>
  </si>
  <si>
    <t>1f62ee8c-6a02-4dac-a8d0-808c5f9255fa</t>
  </si>
  <si>
    <t>Freight Elevator Parts | 1.1.3. (+) შემოსავალი ლიფტების სერვისიდან - არაგეგმიური | გალერია თბილისი (ს.კ. 204558497) - შპს</t>
  </si>
  <si>
    <t>ვოლსი ბაკურიანი (ს.კ. 405475926) - შპს</t>
  </si>
  <si>
    <t>Walls Bakuriani</t>
  </si>
  <si>
    <t>ICE003243/45901/1.1.1./VXAT3J</t>
  </si>
  <si>
    <t>87a6c003-48f9-4043-950f-a4d02aa7ac6d</t>
  </si>
  <si>
    <t>Walls Bakuriani | 1.1.1. (+) შემოსავალი ლიფტების რეალიზაციიდან | ვოლსი ბაკურიანი (ს.კ. 405475926) - შპს</t>
  </si>
  <si>
    <t>97df064b-ac3c-44dc-b50f-4931d66dcb64</t>
  </si>
  <si>
    <t>ლევანი მახათაძე (ს.კ. 18001008498) - ფიზ. პირი</t>
  </si>
  <si>
    <t>Mitsubishi Multisplits</t>
  </si>
  <si>
    <t>ICE003245/45902/1.2.3./OJKGHR</t>
  </si>
  <si>
    <t>ad72b3df-067c-44c4-9e00-f5b8d2b67b3e</t>
  </si>
  <si>
    <t>Mitsubishi Multisplits | 1.2.3. (+) შემოსავალი MEP დანადგარების სერვისიდან - არაგეგმიური | ლევანი მახათაძე (ს.კ. 18001008498) - ფიზ. პირი</t>
  </si>
  <si>
    <t>dff24cc5-ba99-47d7-9966-d83804cb055d</t>
  </si>
  <si>
    <t>TELEGRAPH FCU MOTOR</t>
  </si>
  <si>
    <t>ICE1904/45834/1.2.1./U26O48</t>
  </si>
  <si>
    <t>c2527c31-fc87-4dac-990a-f13afa377510</t>
  </si>
  <si>
    <t>TELEGRAPH FCU MOTOR | 1.2.1. (+) შემოსავალი MEP დანადგარების რეალიზაციიდან | დნთ ქონსთრაქშენ (ს.კ. 405418196) - შპს</t>
  </si>
  <si>
    <t>აისტერრა (ს.კ. 445733065) - შპს</t>
  </si>
  <si>
    <t>ICETERRA</t>
  </si>
  <si>
    <t>ICE003246/45909/1.2.1./UE5VTW</t>
  </si>
  <si>
    <t>cd067e66-6a27-47e4-ada8-f0ee19acf89a</t>
  </si>
  <si>
    <t>ICETERRA | 1.2.1. (+) შემოსავალი MEP დანადგარების რეალიზაციიდან | აისტერრა (ს.კ. 445733065) - შპს</t>
  </si>
  <si>
    <t>b02b47b8-6f99-4575-89ae-5c9cbd17d17d</t>
  </si>
  <si>
    <t>Kvareli Gallery</t>
  </si>
  <si>
    <t>ICE1905/45901/1.2.1./XV0XUQ</t>
  </si>
  <si>
    <t>d786f320-a2c9-412c-b4be-a05de4861762</t>
  </si>
  <si>
    <t>Kvareli Gallery | 1.2.1. (+) შემოსავალი MEP დანადგარების რეალიზაციიდან | ინდეკო სი ემ  (ს.კ. 405508339) - შპს</t>
  </si>
  <si>
    <t>ლისი თაურსი (ს.კ. 405535915) - შპს</t>
  </si>
  <si>
    <t>Lisi Trio Facade Elevators</t>
  </si>
  <si>
    <t>ICE003252/45901/1.1.1./V4K7TA</t>
  </si>
  <si>
    <t>9ca00d2c-d824-4172-9b01-11b5ea395289</t>
  </si>
  <si>
    <t>Lisi Trio Facade Elevators | 1.1.1. (+) შემოსავალი ლიფტების რეალიზაციიდან | ლისი თაურსი (ს.კ. 405535915) - შპს</t>
  </si>
  <si>
    <t>01230a64-68df-483f-a665-3da5373ee828</t>
  </si>
  <si>
    <t>ურბანუს მზიური (ს.კ. 445725831) - შპს</t>
  </si>
  <si>
    <t>Urbanique</t>
  </si>
  <si>
    <t>ICE003270/45935/1.1.1./KU3CW1</t>
  </si>
  <si>
    <t>6358745f-1325-43fb-9b00-bbae70713918</t>
  </si>
  <si>
    <t>Urbanique | 1.1.1. (+) შემოსავალი ლიფტების რეალიზაციიდან | ურბანუს მზიური (ს.კ. 445725831) - შპს</t>
  </si>
  <si>
    <t>8487c8c9-5af1-467a-8a82-3ca25ec4e7c0</t>
  </si>
  <si>
    <t>Display repair</t>
  </si>
  <si>
    <t>ICE2731/45905/1.1.3./TE91P5</t>
  </si>
  <si>
    <t>fbdf88c7-0845-4203-8edb-7e146ca94ca0</t>
  </si>
  <si>
    <t>Display repair | 1.1.3. (+) შემოსავალი ლიფტების სერვისიდან - არაგეგმიური | თეა მაღალდაძე (ს.კ. 57001015349) - ინდ. მეწარმე</t>
  </si>
  <si>
    <t>Impeller</t>
  </si>
  <si>
    <t>ICE1904/45917/1.2.3./TQPVEP</t>
  </si>
  <si>
    <t>85616cb7-40e7-478f-a16e-ab1942aaf326</t>
  </si>
  <si>
    <t>Impeller | 1.2.3. (+) შემოსავალი MEP დანადგარების სერვისიდან - არაგეგმიური | დნთ ქონსთრაქშენ (ს.კ. 405418196) - შპს</t>
  </si>
  <si>
    <t>Park Home Repair</t>
  </si>
  <si>
    <t>ICE001874/45931/1.1.3./8PBNP9</t>
  </si>
  <si>
    <t>31b7837f-f301-4466-a759-1a2ca0425352</t>
  </si>
  <si>
    <t>Park Home Repair | 1.1.3. (+) შემოსავალი ლიფტების სერვისიდან - არაგეგმიური | ნუცუბიძე (ს.კ. 405387861) - შპს</t>
  </si>
  <si>
    <t>Alliance Highline Additional</t>
  </si>
  <si>
    <t>ICE001822/45933/1.1.1./RENSUC</t>
  </si>
  <si>
    <t>f1b23a87-5964-4ef4-8ee6-80f65503f752</t>
  </si>
  <si>
    <t>Alliance Highline Additional | 1.1.1. (+) შემოსავალი ლიფტების რეალიზაციიდან | ალიანსი თბილისი (ს.კ. 405144703) - შპს</t>
  </si>
  <si>
    <t>Lisi Green Apartments 2</t>
  </si>
  <si>
    <t>ICE001742/45940/1.1.1./O3IDAT</t>
  </si>
  <si>
    <t>42374ee0-580e-4d4a-9a57-2d149735326b</t>
  </si>
  <si>
    <t>Lisi Green Apartments 2 | 1.1.1. (+) შემოსავალი ლიფტების რეალიზაციიდან | გრინ დეველოპმენტი (ს.კ. 204452412) - შპს</t>
  </si>
  <si>
    <t>ეიესჯისოფტ (ს.კ. 402128149) - შპს</t>
  </si>
  <si>
    <t>Panel repair</t>
  </si>
  <si>
    <t>ICE3289/45931/1.1.3./V3U2V4</t>
  </si>
  <si>
    <t>4bb82ea0-b8e9-46e3-a328-811454f6cb93</t>
  </si>
  <si>
    <t>Panel repair | 1.1.3. (+) შემოსავალი ლიფტების სერვისიდან - არაგეგმიური | ეიესჯისოფტ (ს.კ. 402128149) - შპს</t>
  </si>
  <si>
    <t>fd6894fa-ba52-42f9-9754-5f31e51282aa</t>
  </si>
  <si>
    <t>Sunrise Palace Reconstruction</t>
  </si>
  <si>
    <t>ICE2719/45950/1.1.1./VT9O48</t>
  </si>
  <si>
    <t>820131c7-c259-4d58-af46-ec403eb2b9b3</t>
  </si>
  <si>
    <t>Sunrise Palace Reconstruction | 1.1.1. (+) შემოსავალი ლიფტების რეალიზაციიდან | სანრაიზ პალასი (ს.კ. 445692518) - შპს</t>
  </si>
  <si>
    <t>Pipes &amp; VRF System</t>
  </si>
  <si>
    <t>ICE000118/45950/1.2.1./M5KPR9</t>
  </si>
  <si>
    <t>2f96e9b9-7b51-42d3-a865-e719e873a3ab</t>
  </si>
  <si>
    <t>Pipes &amp; VRF System | 1.2.1. (+) შემოსავალი MEP დანადგარების რეალიზაციიდან | მეპერსი (ს.კ. 402121887) - შპს</t>
  </si>
  <si>
    <t>Ambassador Goderdzi AHU Panels</t>
  </si>
  <si>
    <t>ICE2537/45860/1.2.1./OH7VCQ</t>
  </si>
  <si>
    <t>7cb7f4b5-368a-4ff8-b6a5-853d97da7b48</t>
  </si>
  <si>
    <t>Ambassador Goderdzi AHU Panels | 1.2.1. (+) შემოსავალი MEP დანადგარების რეალიზაციიდან | ამბასადორი ბათუმი (ს.კ. 445515719) - შპს</t>
  </si>
  <si>
    <t>ნიუ გუდაური ბლოკ 5 (ს.კ. ICE3304) - ამხანაგობა</t>
  </si>
  <si>
    <t>Block 5</t>
  </si>
  <si>
    <t>ICE3304/45962/1.1.2./XIZPPG</t>
  </si>
  <si>
    <t>d643d96f-c78d-4ee8-aedb-6e88e2e3706b</t>
  </si>
  <si>
    <t>Block 5 | 1.1.2. (+) შემოსავალი ლიფტების სერვისიდან - გეგმიური | ნიუ გუდაური ბლოკ 5 (ს.კ. ICE3304) - ამხანაგობა</t>
  </si>
  <si>
    <t>7b4c9594-fc75-4042-af16-03a548b4dc14</t>
  </si>
  <si>
    <t>მაზა (ს.კ. 401987374) - შპს</t>
  </si>
  <si>
    <t>Maza Development</t>
  </si>
  <si>
    <t>ICE003305/45953/1.1.1./W7WX3L</t>
  </si>
  <si>
    <t>8e8e9e93-1570-45dc-beb8-75f5d202158f</t>
  </si>
  <si>
    <t>Maza Development | 1.1.1. (+) შემოსავალი ლიფტების რეალიზაციიდან | მაზა (ს.კ. 401987374) - შპს</t>
  </si>
  <si>
    <t>973fec8b-65e8-45ad-8f61-8c9dbdd41ed4</t>
  </si>
  <si>
    <t>Shalva Nutsubidze Service</t>
  </si>
  <si>
    <t>ICE002440/45931/1.1.2./QS3RPG</t>
  </si>
  <si>
    <t>5c402704-86c0-4782-9819-85e55f42cc41</t>
  </si>
  <si>
    <t>Shalva Nutsubidze Service | 1.1.2. (+) შემოსავალი ლიფტების სერვისიდან - გეგმიური | პროპერთი ინვესტ გრუპ (ს.კ. 405483285) - შპს</t>
  </si>
  <si>
    <t>Shatberashvili 45 Service</t>
  </si>
  <si>
    <t>ICE002453/45931/1.1.2./8PD3X9</t>
  </si>
  <si>
    <t>474d9d11-402e-46b6-9846-c538e6621b73</t>
  </si>
  <si>
    <t>Shatberashvili 45 Service | 1.1.2. (+) შემოსავალი ლიფტების სერვისიდან - გეგმიური | შატბერაშვილის 45 (ს.კ. 405629583) - შპს</t>
  </si>
  <si>
    <t>Sandro Euli Serv</t>
  </si>
  <si>
    <t>ICE2715/45962/1.1.2./D3FK6T</t>
  </si>
  <si>
    <t>d7c50ecb-1c12-4254-9892-717911be1ffd</t>
  </si>
  <si>
    <t>Sandro Euli Serv | 1.1.2. (+) შემოსავალი ლიფტების სერვისიდან - გეგმიური | ვოლსი საბურთალო (ს.კ. 405372109) - შპს</t>
  </si>
  <si>
    <t>ASGSoft Service</t>
  </si>
  <si>
    <t>ICE3289/45931/1.1.2./VMJYEU</t>
  </si>
  <si>
    <t>3d459e6e-7992-430e-a6c0-1885562b2dc4</t>
  </si>
  <si>
    <t>ASGSoft Service | 1.1.2. (+) შემოსავალი ლიფტების სერვისიდან - გეგმიური | ეიესჯისოფტ (ს.კ. 402128149) - შპს</t>
  </si>
  <si>
    <t>ICE3304/45962/1.1.2./QDR1GR</t>
  </si>
  <si>
    <t>cbe7b0c8-d879-4c9a-9dd8-adebe5800dd6</t>
  </si>
  <si>
    <t>ნიუ გუდაური ლოფტები (ს.კ. ICE003335) - ამხანაგობა</t>
  </si>
  <si>
    <t>Gudauri Lofts</t>
  </si>
  <si>
    <t>ICE003335/45962/1.1.2./1AT9BV</t>
  </si>
  <si>
    <t>7655ffff-64a1-48f5-b9df-a41d3acb4be8</t>
  </si>
  <si>
    <t>Gudauri Lofts | 1.1.2. (+) შემოსავალი ლიფტების სერვისიდან - გეგმიური | ნიუ გუდაური ლოფტები (ს.კ. ICE003335) - ამხანაგობა</t>
  </si>
  <si>
    <t>d90e15c0-8301-4823-b20b-0c83789adf4e</t>
  </si>
  <si>
    <t>ნიუ ჰაუსი (ს.კ. 202464948) - შპს</t>
  </si>
  <si>
    <t>Lagidze</t>
  </si>
  <si>
    <t>undefined/45975/1.1.1./8ZUMFD</t>
  </si>
  <si>
    <t>f588a3a0-0947-4155-a458-5aab2e6ce8f5</t>
  </si>
  <si>
    <t>Lagidze | 1.1.1. (+) შემოსავალი ლიფტების რეალიზაციიდან | ნიუ ჰაუსი (ს.კ. 202464948) - შპს</t>
  </si>
  <si>
    <t>9f02eeda-c541-4bb4-bd45-d06cd9edf922</t>
  </si>
  <si>
    <t>ნექსთ ფროფერთი+ (ს.კ. 405590980) - შპს</t>
  </si>
  <si>
    <t>Next Downtown 2</t>
  </si>
  <si>
    <t>undefined/45980/1.1.1./SV7UDG</t>
  </si>
  <si>
    <t>0ef70a18-06ab-4804-bb87-a34b65b0e374</t>
  </si>
  <si>
    <t>Next Downtown 2 | 1.1.1. (+) შემოსავალი ლიფტების რეალიზაციიდან | ნექსთ ფროფერთი+ (ს.კ. 405590980) - შპს</t>
  </si>
  <si>
    <t>4c1f1b17-535e-4c42-95e0-03a2e11fccfc</t>
  </si>
  <si>
    <t>Next D &amp; E Blocks</t>
  </si>
  <si>
    <t>undefined/45979/1.1.1./56MSXX</t>
  </si>
  <si>
    <t>70702eee-4c0e-4e37-a73e-12174fdeebe1</t>
  </si>
  <si>
    <t>Next D &amp; E Blocks | 1.1.1. (+) შემოსავალი ლიფტების რეალიზაციიდან | ნექსთ ფროფერთი+ (ს.კ. 405590980) - შპს</t>
  </si>
  <si>
    <t>Doors Lifting</t>
  </si>
  <si>
    <t>undefined/45988/1.1.3./A6SWU8</t>
  </si>
  <si>
    <t>24375698-79b6-4a82-9549-83318861cac4</t>
  </si>
  <si>
    <t>Doors Lifting | 1.1.3. (+) შემოსავალი ლიფტების სერვისიდან - არაგეგმიური | დიღომი 3 (ს.კ. 404566046) - შპს</t>
  </si>
  <si>
    <t>id</t>
  </si>
  <si>
    <t>uuid</t>
  </si>
  <si>
    <t>code</t>
  </si>
  <si>
    <t>name</t>
  </si>
  <si>
    <t>is_active</t>
  </si>
  <si>
    <t>created_at</t>
  </si>
  <si>
    <t>updated_at</t>
  </si>
  <si>
    <t>5a2d799d-22a1-4e0a-b029-8031a1df6d56</t>
  </si>
  <si>
    <t>Georgian Lari</t>
  </si>
  <si>
    <t>0790fb09-2de6-4ea3-a71c-58a007fc62a8</t>
  </si>
  <si>
    <t>US Dollar</t>
  </si>
  <si>
    <t>4cfda3f2-535e-4b77-a467-eac9dc64feca</t>
  </si>
  <si>
    <t>Euro</t>
  </si>
  <si>
    <t>61b1a662-4856-47df-b1c3-ce1a9b71eb8e</t>
  </si>
  <si>
    <t>CNY</t>
  </si>
  <si>
    <t>Chinese Yuan</t>
  </si>
  <si>
    <t>da78a07d-4ad2-4b09-88bc-646c5c5321ac</t>
  </si>
  <si>
    <t>GBP</t>
  </si>
  <si>
    <t>British Pound</t>
  </si>
  <si>
    <t>b5218cca-b947-41a1-9561-cd97e7a2ed5a</t>
  </si>
  <si>
    <t>RUB</t>
  </si>
  <si>
    <t>Russian Ruble</t>
  </si>
  <si>
    <t>066b98ad-8d03-4b29-ba54-d0cfebba1b61</t>
  </si>
  <si>
    <t>TRY</t>
  </si>
  <si>
    <t>Turkish Lira</t>
  </si>
  <si>
    <t>74a69b55-ec51-458a-8297-c5e63f71a2dd</t>
  </si>
  <si>
    <t>AED</t>
  </si>
  <si>
    <t>UAE Dirham</t>
  </si>
  <si>
    <t>3289ca67-1698-45e0-9432-d433d709d333</t>
  </si>
  <si>
    <t>KZT</t>
  </si>
  <si>
    <t>Kazakhstani Tenge</t>
  </si>
  <si>
    <t>დაგეგმილი</t>
  </si>
  <si>
    <t>181d3023-d165-44d7-a0ba-7ffab5d9f729</t>
  </si>
  <si>
    <t>9fed28b3-82cf-4afa-8e8d-952adf7a54a5</t>
  </si>
  <si>
    <t>a6ef4399-de24-4a7d-854b-f06e2916eaba</t>
  </si>
  <si>
    <t>2adb3689-90cd-4ae8-832d-be7cc1a11029</t>
  </si>
  <si>
    <t>04faea00-3a04-43ba-836a-88d8faf30d8d</t>
  </si>
  <si>
    <t>შესაძლებელი</t>
  </si>
  <si>
    <t>გაუქმებული</t>
  </si>
  <si>
    <t>Biota Park | 1.1.1. | ოლიმპ ჯორჯია  | 350,000.00 USD | 29.10.2019</t>
  </si>
  <si>
    <t>Chakhrukhadze | 1.1.1. | ინდეკო  | 23,100.00 USD | 24.10.2019</t>
  </si>
  <si>
    <t>Med. University | 1.1.1. | ბეტა ჯგუფი  | 42,500.00 USD | 29.10.2019</t>
  </si>
  <si>
    <t>Varketili | 1.1.1. | გიოკაპიტალი  | 48,500.00 USD | 16.09.2019</t>
  </si>
  <si>
    <t>Gudauri Redco Parking | 1.1.1. | რედ-კო  | 28,000.00 USD | 26.09.2019</t>
  </si>
  <si>
    <t>Ortachala | 1.1.1. | მაია კვიჭიძე  | 24,000.00 USD | 26.07.2019</t>
  </si>
  <si>
    <t>Modus Agladze | 1.1.1. | მოდუსი  | 32,000.00 USD | 17.06.2019</t>
  </si>
  <si>
    <t>Crystal Bakuriani | 1.1.1. | ჰომბეი  | 104,500.00 USD | 23.05.2019</t>
  </si>
  <si>
    <t>Abuseridze - Batumi | 1.1.1. | ანა აბუსერიძე  | 31,000.00 USD | 06.06.2019</t>
  </si>
  <si>
    <t>UNIX Marselle | 1.1.1. | იუნიქს ქონსთრაქშენ კომპანი  | 340,000.00 USD | 22.05.2019</t>
  </si>
  <si>
    <t>Tbilisi Palace | 1.1.1. | თბილისი პალასი  | 160,000.00 USD | 26.12.2018</t>
  </si>
  <si>
    <t>Tegeta Batumi | 1.1.1. | თეგეტა მოტორსი  | 28,650.00 USD | 14.01.2019</t>
  </si>
  <si>
    <t>DAR TOWER | 1.1.1. | Dar Building  | 1,046,340.00 USD | 20.09.2018</t>
  </si>
  <si>
    <t>BAT Tower | 1.1.1. | ბათბილდინგი  | 73,000.00 USD | 27.12.2018</t>
  </si>
  <si>
    <t>Rumi - batumi | 1.1.1. | რუმი  | 117,370.00 USD | 17.12.2019</t>
  </si>
  <si>
    <t>Domus Paliashviliს 63 | 1.1.1. | ფალიაშვილის 63  | 97,000.00 GEL | 01.08.2017</t>
  </si>
  <si>
    <t>Gelovani 52 | 1.1.1. | ეკომეტრი  | 161,000.00 USD | 07.07.2017</t>
  </si>
  <si>
    <t>Chempioni | 1.1.1. | ჩემპიონი 2  | 23,924.00 USD | 15.06.2016</t>
  </si>
  <si>
    <t>New Time | 1.1.1. | ნიუ თაიმ  | 150,000.00 USD | 30.05.2017</t>
  </si>
  <si>
    <t>Green Cape | 1.1.1. | ელტური-2008  | 70,360.00 USD | 26.12.2018</t>
  </si>
  <si>
    <t>Indeko - shartava 39 | 1.1.1. | ინდეკო  | 155,520.00 USD | 26.12.2018</t>
  </si>
  <si>
    <t>Redco 1 | 1.1.1. | რედ-კო  | 370,000.00 USD | 28.05.2018</t>
  </si>
  <si>
    <t>Delisi | 1.1.1. | ბიზნეს ცენტრი დელისი  | 53,454.00 USD | 16.08.2016</t>
  </si>
  <si>
    <t>Shvela | 1.1.1. | შველა  | 50,206.00 USD | 15.06.2016</t>
  </si>
  <si>
    <t>Moxy Zaabruken Hotel | 1.1.1. | ბკ კაპიტალი  | 157,608.67 USD | 04.10.2016</t>
  </si>
  <si>
    <t>Tbilisi Gardens | 1.1.1. | ინჟინერთა ჯგუფი  | 325,000.00 USD | 19.12.2016</t>
  </si>
  <si>
    <t>Modus Kakhety HW | 1.1.1. | მოდუსი  | 25,000.00 USD | 28.09.2016</t>
  </si>
  <si>
    <t>Kbuleti Str. - Khomeriki | 1.1.1. | სითი დეველოპმენტ  | 36,577.00 USD | 25.04.2016</t>
  </si>
  <si>
    <t>Domus | 1.1.1. | დომუს დეველოპმენტ  | 527,700.00 USD | 17.12.2015</t>
  </si>
  <si>
    <t>Paliashvili 23 | 1.1.2. | ირაკლი კაციტაძე  | 1.00 GEL | 01.01.2020</t>
  </si>
  <si>
    <t>Moxy Zabruken Restaurant | 1.1.1. | ბკ კაპიტალი  | 78,804.33 USD | 04.10.2019</t>
  </si>
  <si>
    <t>TWIN TOWER | 1.1.1. | ორბი ჯგუფი ბათუმი  | 3,273,908.00 USD | 20.11.2017</t>
  </si>
  <si>
    <t>City Mall | 1.1.1. | აი ჯი დეველოფმენტ ჯორჯია  | 1,194,345.00 USD | 11.09.2018</t>
  </si>
  <si>
    <t>Renting BNB | 1.1.1. | რენთინგ ბიენბი  | 26,000.00 USD | 25.02.2020</t>
  </si>
  <si>
    <t>Aeroporti | 1.1.1. | ტრანსმშენი  | 20,000.00 USD | 22.08.2019</t>
  </si>
  <si>
    <t>Dividers Med Uni | 1.1.1. | ბეტა ჯგუფი  | 11,000.00 GEL | 12.01.2019</t>
  </si>
  <si>
    <t>Brewery 1 (300KG) | 1.1.1. | ლუდსახარში ორი კათხა  | 10,610.00 USD | 06.03.2020</t>
  </si>
  <si>
    <t>Khiliani | 1.1.1. | ახალშენი 2016  | 26,400.00 USD | 31.07.2019</t>
  </si>
  <si>
    <t>ORBI Office Lift | 1.1.1. | ორბი ჯგუფი ბათუმი  | 30,000.00 USD | 19.11.2019</t>
  </si>
  <si>
    <t>IBIS Perovi | 1.1.1. | ბეტა ჯგუფი  | 83,750.00 USD | 11.09.2019</t>
  </si>
  <si>
    <t>Sololaki | 1.1.1. | კანოპუსი  | 24,000.00 USD | 31.10.2019</t>
  </si>
  <si>
    <t>IBIS Perov Dumbwaiter | 1.1.1. | ბეტა ჯგუფი  | 16,300.00 USD | 05.12.2019</t>
  </si>
  <si>
    <t>Kleemann Pekini | 1.1.1. | სითი რეალ ისთეით  | 353,218.00 USD | 08.05.2018</t>
  </si>
  <si>
    <t>Gudauri Alpic | 1.1.1. | ანაგი  | 81,000.00 USD | 24.09.2019</t>
  </si>
  <si>
    <t>Batumi Stadium | 1.1.1. | ანაგი  | 139,932.66 USD | 04.05.2019</t>
  </si>
  <si>
    <t>Gazapkhuli | 1.1.2. | დეველოპერული კომპანია მც კვადრატი  | 100.00 GEL | 01.01.2020</t>
  </si>
  <si>
    <t>Thermoroom | 1.1.1. | თერმორუმი  | 82,900.00 USD | 22.03.2019</t>
  </si>
  <si>
    <t>ENCORE Gudauri | 1.1.1. | ტექნოკლიმა  | 180,540.00 EUR | 03.09.2019</t>
  </si>
  <si>
    <t>MOXY HVAC | 1.2.1. | ჯი-ემ-თი სასტუმროები  | 416,156.43 USD | 24.01.2018</t>
  </si>
  <si>
    <t>Paster Hostel | 1.1.1. | 1920  | 36,200.00 USD | 16.04.2019</t>
  </si>
  <si>
    <t>Kaklebi | 1.1.1. | გოჩა ჩხაიძე  | 37,760.00 USD | 11.04.2019</t>
  </si>
  <si>
    <t>156-ე საჯარო სკოლა | 1.1.1. | სვირი +  | 8,900.00 USD | 31.01.2020</t>
  </si>
  <si>
    <t>Beach Tower | 1.1.1. | ორბი ჯგუფი  | 650,000.00 USD | 05.09.2018</t>
  </si>
  <si>
    <t>Modus PU Duct | 1.2.1. | მეპერსი  | 109,423.76 GEL | 10.05.2019</t>
  </si>
  <si>
    <t>Modus VRV | 1.2.1. | მეპერსი  | 11,810.00 USD | 17.05.2019</t>
  </si>
  <si>
    <t>Ramada Melikishvili | 1.2.1. | მეპერსი  | 312,660.96 USD | 17.06.2019</t>
  </si>
  <si>
    <t>Ramada Melikishvili Additional | 1.2.1. | მეპერსი  | 11,636.28 USD | 16.08.2019</t>
  </si>
  <si>
    <t>Hilton Garden Mockup | 1.2.1. | მეპერსი  | 2,872.57 USD | 12.05.2019</t>
  </si>
  <si>
    <t>Kempinski Mockup | 1.2.1. | მეპერსი  | 2,245.13 USD | 21.10.2019</t>
  </si>
  <si>
    <t>Copper Pipes Stock | 1.2.1. | მეპერსი  | 7,201.20 GEL | 21.02.2020</t>
  </si>
  <si>
    <t>Valves Med. University | 1.2.1. | მეპერსი  | 881.46 EUR | 16.12.2019</t>
  </si>
  <si>
    <t>Orbi Bakuriani VRV | 1.2.1. | მეპერსი  | 87,484.25 USD | 04.03.2020</t>
  </si>
  <si>
    <t>Hilton Garden Inn VRV 1 | 1.2.1. | მეპერსი  | 56,818.84 USD | 10.03.2020</t>
  </si>
  <si>
    <t>Hilton Garden Inn PIPES | 1.2.1. | მეპერსი  | 8,684.86 USD | 13.03.2020</t>
  </si>
  <si>
    <t>OFFICE Dar Building | 1.1.1. | Dar Building  | 20,800.00 USD | 05.12.2020</t>
  </si>
  <si>
    <t>Archi Digomi | 1.1.1. | ანაგი  | 107,760.00 USD | 04.05.2020</t>
  </si>
  <si>
    <t>Zara City Mall | 1.1.2. | Spanish Retail Georgia  | 1,800.00 GEL | 01.12.2019</t>
  </si>
  <si>
    <t>Galleria Hotel | 1.1.2. | გალერია ჰოტელ მენეჯმენტი  | 300.00 USD | 01.06.2019</t>
  </si>
  <si>
    <t>Era Palace | 1.1.2. | ერა პალასი  | 200.00 GEL | 01.05.2019</t>
  </si>
  <si>
    <t>Muzeums | 1.1.2. | თბილი სახლი  | 750.00 GEL | 01.02.2019</t>
  </si>
  <si>
    <t>UNIX Ipolit Ivanov | 1.1.2. | იუნიქს ქონსთრაქშენ კომპანი  | 1,500.00 GEL | 15.03.2019</t>
  </si>
  <si>
    <t>PIXEL | 1.1.2. | პიქსელ მენეჯმენტი  | 1,645.00 USD | 01.12.2018</t>
  </si>
  <si>
    <t>Khetagurov Office | 1.1.2. | დავუდ  | 1,000.00 GEL | 28.12.2018</t>
  </si>
  <si>
    <t>Galleria Tbilisi | 1.1.2. | თბილი სახლი  | 1.00 USD | 01.02.2020</t>
  </si>
  <si>
    <t>Tbilisi Central HVAC Service | 1.2.2. | თბილისი ცენტრალი  | 1.00 GEL | 01.09.2020</t>
  </si>
  <si>
    <t>Mziuri | 1.1.2. | ნინო კირცხალია  | 1.00 GEL | 01.01.2020</t>
  </si>
  <si>
    <t>Orbi Other | 1.1.2. | ორბი ჯგუფი ბათუმი  | 1.00 GEL | 01.01.2020</t>
  </si>
  <si>
    <t>Bagebi | 1.1.1. | ნირან პროპერტის დეველოპმენტი  | 132,998.00 USD | 22.01.2018</t>
  </si>
  <si>
    <t>H&amp;M | 1.1.2. | ეიჩ ენდ ემ ჰენეს ენდ მაურიც ჯორჯია  | 1.00 USD | 01.01.2020</t>
  </si>
  <si>
    <t>Marshal Gelovanis 52 | 1.1.2. | ჯი ემ ემ  | 1.00 GEL | 01.01.2020</t>
  </si>
  <si>
    <t>Marshal Gelovani 52 | 1.1.2. | ოლსერვისგრუპ  | 1,200.00 GEL | 01.01.2019</t>
  </si>
  <si>
    <t>Marshal Gelovani 52 | 1.1.2. | ოლსერვისჯგუფი  | 10.00 GEL | 06.01.2019</t>
  </si>
  <si>
    <t>Archi Jikia Block C | 1.1.1. | არქი საბურთალო  | 136,600.00 USD | 05.12.2020</t>
  </si>
  <si>
    <t>Shato Mukhrani Gen-Set 2020 | 1.2.1. | შატო მუხრანი  | 55,680.00 EUR | 08.06.2020</t>
  </si>
  <si>
    <t>Galleria Tbilisi | 1.1.2. | ენსოლი  | 3,500.00 USD | 01.02.2019</t>
  </si>
  <si>
    <t>Domus | 1.1.2. | დომუსი  | 1,400.00 USD | 15.02.2018</t>
  </si>
  <si>
    <t>Rovshan Mamadovi | 1.2.1. | როვშან მამადოვი  | 8,214.00 USD | 17.06.2020</t>
  </si>
  <si>
    <t>Sapatrulo | 1.1.2. | თბილი სახლი  | 250.00 GEL | 01.02.2019</t>
  </si>
  <si>
    <t>Erovnuli | 1.1.2. | თბილი სახლი  | 500.00 GEL | 01.02.2019</t>
  </si>
  <si>
    <t>Gonio | 1.1.2. | ერა პალასი  | 300.00 GEL | 01.06.2019</t>
  </si>
  <si>
    <t>Modus batumi | 1.1.2. | მოდუსი  | 400.00 GEL | 07.05.2019</t>
  </si>
  <si>
    <t>Abashidze 70 | 1.1.2. | ი. აბაშიძე 70  | 3,000.00 GEL | 01.07.2020</t>
  </si>
  <si>
    <t>Epic gazapkhuli | 1.1.2. | დელისი 2020  | 500.00 GEL | 02.07.2020</t>
  </si>
  <si>
    <t>Epic Bagebi | 1.1.1. | ბაგები  | 64,790.00 USD | 01.07.2020</t>
  </si>
  <si>
    <t>Hilton Garden Inn Pipes 2 | 1.2.1. | მეპერსი  | 4,580.94 USD | 01.06.2020</t>
  </si>
  <si>
    <t>Tegeta Batumi | 1.1.2. | თეგეტა მოტორსი  | 1.00 GEL | 01.07.2020</t>
  </si>
  <si>
    <t>Grena MEP 1 | 1.2.1. | საქ სამეცნიერო-საგანმანათ. კომპ ქსელების ასოციაცია გრენა  | 9,885.00 GEL | 22.06.2020</t>
  </si>
  <si>
    <t>Khiliani | 1.1.2. | ახალშენი 2016  | 1.00 GEL | 01.03.2020</t>
  </si>
  <si>
    <t>Domus Paliashvilis 63 | 1.1.2. | ფალიაშვილის 63  | 1.00 GEL | 07.07.2020</t>
  </si>
  <si>
    <t>Indeko - shartava 39 | 1.1.2. | ინდეკო  | 1.00 GEL | 02.01.2018</t>
  </si>
  <si>
    <t>Domus | 1.1.2. | დომუს სერვისი  | 1.00 USD | 01.07.2019</t>
  </si>
  <si>
    <t>UNIX Marselle 1 | 1.1.2. | იუნიქს ქონსთრაქშენ კომპანი  | 1.00 GEL | 01.07.2020</t>
  </si>
  <si>
    <t>Delisi | 1.1.2. | ბიზნეს ცენტრი დელისი  | 1.00 GEL | 01.01.2020</t>
  </si>
  <si>
    <t>Modus Kakhety HW | 1.1.2. | მოდუსი  | 1.00 GEL | 01.05.2019</t>
  </si>
  <si>
    <t>Tbilisi Gardens | 1.1.2. | BD Property  | 1.00 USD | 01.01.2019</t>
  </si>
  <si>
    <t>Kbuleti Str. - Khomeriki | 1.1.2. | გელა ხომერიკი  | 1.00 GEL | 01.02.2018</t>
  </si>
  <si>
    <t>Tbilisi Palace | 1.1.2. | თბილისი პალასი  | 1.00 GEL | 06.05.2020</t>
  </si>
  <si>
    <t>Modus Agladze | 1.1.2. | მოდუსი  | 1.00 GEL | 17.06.2019</t>
  </si>
  <si>
    <t>New Time | 1.1.2. | ნიუ თაიმ  | 1.00 USD | 30.07.2018</t>
  </si>
  <si>
    <t>ORBI Office Lift | 1.1.2. | ორბი ჯგუფი ბათუმი  | 1.00 USD | 19.11.2019</t>
  </si>
  <si>
    <t>Redco 1 | 1.1.2. | რედ-კო მენეჯმენტ გრუპი  | 1.00 USD | 18.02.2020</t>
  </si>
  <si>
    <t>Moxy Zabruken Restaurant | 1.1.2. | ჯი-ემ-თი მთაწმინდა  | 1.00 USD | 01.11.2019</t>
  </si>
  <si>
    <t>MOXY OFFICE | 1.1.2. | ჯი-ემ-თი სასტუმროები  | 1.00 USD | 01.05.2019</t>
  </si>
  <si>
    <t>Paster Hostel | 1.1.2. | 1920  | 1.00 USD | 16.04.2019</t>
  </si>
  <si>
    <t>Gelovani 52 | 1.1.2. | ეკომეტრი  | 1.00 USD | 08.01.2018</t>
  </si>
  <si>
    <t>DAR TOWER | 1.1.2. | Dar Building  | 1.00 USD | 01.09.2020</t>
  </si>
  <si>
    <t>Encoder | 1.1.3. | ეკომეტრი  | 2,000.00 GEL | 01.07.2020</t>
  </si>
  <si>
    <t>OFFICE Dar Building | 1.1.2. | Dar Building  | 1.00 USD | 05.12.2020</t>
  </si>
  <si>
    <t>Abuseridze - Batumi | 1.1.2. | ანა აბუსერიძე  | 1.00 USD | 06.06.2019</t>
  </si>
  <si>
    <t>Batumi Stadium | 1.1.2. | ანაგი  | 1.00 USD | 04.05.2019</t>
  </si>
  <si>
    <t>Archi Digomi | 1.1.2. | არქი დიღომი  | 1.00 USD | 05.05.2020</t>
  </si>
  <si>
    <t>BAT Tower | 1.1.2. | ბათბილდინგი  | 1.00 USD | 27.12.2018</t>
  </si>
  <si>
    <t>Crystal Bakuriani | 1.1.2. | ბაკურიანი ბიზნეს ჯგუფი  | 1.00 USD | 23.05.2019</t>
  </si>
  <si>
    <t>Med. University | 1.1.2. | ბეტა ჯგუფი  | 1.00 USD | 29.10.2019</t>
  </si>
  <si>
    <t>IBIS Perovi | 1.1.2. | ბეტა ჯგუფი  | 1.00 USD | 11.09.2019</t>
  </si>
  <si>
    <t>IBIS Perov Dumbwaiter | 1.1.2. | ბეტა ჯგუფი  | 1.00 USD | 05.12.2019</t>
  </si>
  <si>
    <t>Varketili | 1.1.2. | გიოკაპიტალი  | 1.00 USD | 16.09.2019</t>
  </si>
  <si>
    <t>Kaklebi | 1.1.2. | გოჩა ჩხაიძე  | 1.00 USD | 11.04.2019</t>
  </si>
  <si>
    <t>Green Cape | 1.1.2. | ელტური-2008  | 1.00 USD | 26.12.2018</t>
  </si>
  <si>
    <t>Thermoroom | 1.1.2. | თერმორუმი  | 1.00 GEL | 22.03.2019</t>
  </si>
  <si>
    <t>Chakhrukhadze | 1.1.2. | ინდეკო  | 1.00 USD | 24.10.2019</t>
  </si>
  <si>
    <t>Kobuleti Garden Inn | 1.1.2. | იოსებ გუნთაიშვილი  | 1.00 USD | 25.12.2019</t>
  </si>
  <si>
    <t>Aparthotel Vake | 1.1.2. | კანალესა  | 1.00 GEL | 30.10.2019</t>
  </si>
  <si>
    <t>Sololaki | 1.1.2. | კანოპუსი  | 1.00 USD | 31.10.2019</t>
  </si>
  <si>
    <t>Ortachala | 1.1.2. | მაია კვიჭიძე  | 1.00 USD | 26.07.2019</t>
  </si>
  <si>
    <t>Bagebi | 1.1.2. | ნირან პროპერტის დეველოპმენტი  | 1.00 GEL | 22.01.2018</t>
  </si>
  <si>
    <t>Biota Park | 1.1.2. | ოლიმპ ჯორჯია  | 1.00 USD | 29.10.2019</t>
  </si>
  <si>
    <t>Beach Tower | 1.1.2. | ორბი ჯგუფი  | 1.00 USD | 05.09.2018</t>
  </si>
  <si>
    <t>ORBI CITY A | 1.1.2. | ორბი ჯგუფი ბათუმი  | 1.00 USD | 01.07.2020</t>
  </si>
  <si>
    <t>Gudauri Alpic | 1.1.2. | რედ-კო მენეჯმენტ გრუპი  | 1.00 USD | 24.09.2019</t>
  </si>
  <si>
    <t>Renting BNB | 1.1.2. | რენთინგ ბიენბი  | 1.00 USD | 25.02.2020</t>
  </si>
  <si>
    <t>Rumi - batumi | 1.1.2. | რუმი  | 1.00 USD | 17.12.2019</t>
  </si>
  <si>
    <t>Aeroporti | 1.1.2. | ტრანსმშენი  | 1.00 GEL | 22.08.2019</t>
  </si>
  <si>
    <t>Archi Jikia Block C | 1.1.2. | არქი საბურთალო  | 1.00 USD | 05.12.2020</t>
  </si>
  <si>
    <t>Gudauri Redco Parking | 1.1.2. | რედ-კო მენეჯმენტ გრუპი  | 1.00 USD | 26.09.2019</t>
  </si>
  <si>
    <t>City Mall | 1.1.2. | აი ჯი დეველოფმენტ ჯორჯია  | 1.00 USD | 11.09.2018</t>
  </si>
  <si>
    <t>ENCORE Gudauri | 1.1.2. | გუდაური ლოჯი  | 1.00 USD | 03.09.2019</t>
  </si>
  <si>
    <t>Shvela | 1.1.2. | შველა  | 1.00 USD | 15.06.2016</t>
  </si>
  <si>
    <t>Chempioni | 1.1.2. | ჩემპიონი 2  | 1.00 GEL | 15.06.2016</t>
  </si>
  <si>
    <t>Kbuleti Str. - Khomeriki | 1.1.2. | სითი დეველოპმენტ  | 1.00 GEL | 15.02.2018</t>
  </si>
  <si>
    <t>Hospital Generator | 1.2.1. | თბილი სახლი  | 5,100.00 USD | 20.07.2020</t>
  </si>
  <si>
    <t>Tskhneti House Valves | 1.2.1. | მეპერსი  | 3,658.89 EUR | 15.06.2020</t>
  </si>
  <si>
    <t>Epic Bagebi | 1.1.2. | ბაგები  | 1.00 GEL | 01.07.2020</t>
  </si>
  <si>
    <t>Hilton Garden VRV2 | 1.2.1. | მეპერსი  | 124,122.43 USD | 20.07.2020</t>
  </si>
  <si>
    <t>Paata House | 1.2.1. | პაატა დვალიშვილი  | 2,812.46 USD | 20.07.2020</t>
  </si>
  <si>
    <t>MHI Splits | 1.2.1. | თბილი სახლი  | 9,490.00 GEL | 10.08.2020</t>
  </si>
  <si>
    <t>P1 P2 Ceilings | 1.1.1. | აი ჯი დეველოფმენტ ჯორჯია  | 10,200.00 USD | 11.08.2020</t>
  </si>
  <si>
    <t>Chonkadze Home | 1.2.1. | ქეთევანი ავალიანი  | 11,508.00 USD | 29.07.2020</t>
  </si>
  <si>
    <t>Chonkadze Home Split | 1.2.1. | ქეთევანი ავალიანი  | 3,492.00 GEL | 27.07.2020</t>
  </si>
  <si>
    <t>Uninstall|Install 2 | 1.1.1. | ორბი ჯგუფი ბათუმი  | 5,343.00 USD | 04.05.2018</t>
  </si>
  <si>
    <t>Uninstall|Install 1 | 1.1.1. | ორბი ჯგუფი ბათუმი  | 5,343.00 USD | 26.12.2017</t>
  </si>
  <si>
    <t>Modus Wedding Hall | 1.1.1. | მოდუსი  | 44,100.00 USD | 25.05.2020</t>
  </si>
  <si>
    <t>Norway Embassy MEP1 | 1.2.1. | ნორვეგიის სამეფოს საელჩო ქ. თბილისში  | 5,250.00 GEL | 01.06.2020</t>
  </si>
  <si>
    <t>Turkish Repair | 1.1.1. | ორბი ჯგუფი ბათუმი  | 16,000.00 GEL | 22.06.2018</t>
  </si>
  <si>
    <t>ATU Duck Type 2020 | 1.2.1. | ასოციაცია ატუ  | 19,200.00 GEL | 27.08.2020</t>
  </si>
  <si>
    <t>Compressors 1 | 1.2.1. | თბილისი ცენტრალი  | 25,200.00 USD | 17.02.2020</t>
  </si>
  <si>
    <t>Compressor Instalation | 1.2.1. | თბილისი ცენტრალი  | 6,800.00 GEL | 23.06.2020</t>
  </si>
  <si>
    <t>Mitsubishi Splits | 1.2.1. | მონუმენტი 1880  | 22,240.00 GEL | 12.03.2020</t>
  </si>
  <si>
    <t>Hilton Service Parts | 1.2.1. | ტურინვესტი  | 7,350.00 USD | 19.08.2020</t>
  </si>
  <si>
    <t>Filter supply and compresor change service | 1.2.1. | თბილისი ცენტრალი  | 1,150.00 GEL | 10.09.2020</t>
  </si>
  <si>
    <t>Conditioners | 1.2.1. | აკაკი მგელაძე  | 6,000.00 GEL | 17.09.2020</t>
  </si>
  <si>
    <t>INVERTER COOLING FAN | 1.2.1. | მ2  | 824.00 EUR | 20.08.2020</t>
  </si>
  <si>
    <t>7Sky VRV Mockup | 1.2.1. | მეპერსი  | 2,458.27 USD | 21.09.2020</t>
  </si>
  <si>
    <t>Compressors 2 | 1.2.1. | თბილისი ცენტრალი  | 12,410.00 USD | 17.09.2020</t>
  </si>
  <si>
    <t>Hilton Batumi VRF | 1.2.3. | ტურინვესტი  | 7,600.00 GEL | 28.09.2020</t>
  </si>
  <si>
    <t>Rustavi MIA | 1.1.1. | ტრანსმშენი  | 65,300.00 USD | 17.08.2020</t>
  </si>
  <si>
    <t>Unix Marselle 2 | 1.1.2. | იუნიქს ქონსთრაქშენ კომპანი  | 800.00 USD | 28.09.2020</t>
  </si>
  <si>
    <t>Meppers Hilton Garden Inn Carrier | 1.2.1. | მეპერსი  | 51,684.38 EUR | 01.10.2020</t>
  </si>
  <si>
    <t>Jemali House | 1.2.1. | ჯემალ ინაიშვილი  | 31,550.00 USD | 01.09.2020</t>
  </si>
  <si>
    <t>Inspection | 1.1.2. | ტურინვესტი  | 600.00 GEL | 16.06.2020</t>
  </si>
  <si>
    <t>Gazapkhuli | 1.1.1. | სტრაქტიფორმი  | 31,350.00 USD | 22.02.2019</t>
  </si>
  <si>
    <t>Stela | 1.2.1. | შპს სტელა +  | 5,700.00 USD | 25.09.2020</t>
  </si>
  <si>
    <t>SRK45ZSP-S|SRC45ZSP-S | 1.2.1. | აკაკი მგელაძე  | 2,260.00 GEL | 10.10.2020</t>
  </si>
  <si>
    <t>Thermoroom 2 units | 1.2.1. | თერმორუმი  | 2,640.00 GEL | 13.10.2020</t>
  </si>
  <si>
    <t>Conditioners | 1.2.1. | გიორგი გულაშვილი  | 10,420.00 GEL | 12.10.2020</t>
  </si>
  <si>
    <t>Sunrise Batumi | 1.1.1. | სანრაიზ დეველოპმენტი  | 449,870.00 USD | 14.10.2020</t>
  </si>
  <si>
    <t>Jikia house | 1.2.1. | გიორგი ბახტაძე  | 2,720.00 GEL | 23.10.2020</t>
  </si>
  <si>
    <t>Paata House Splits | 1.2.1. | პაატა დვალიშვილი  | 5,670.00 GEL | 23.10.2020</t>
  </si>
  <si>
    <t>Mitsubishi Split Conditioners | 1.2.1. | თბილი სახლი  | 7,320.00 GEL | 16.10.2020</t>
  </si>
  <si>
    <t>Poti Port Service | 1.2.3. | AHI Carrier Fzc  | 2,000.00 EUR | 04.09.2020</t>
  </si>
  <si>
    <t>MHI Conditioner | 1.2.1. | ინსტალი  | 1,180.00 GEL | 29.11.2019</t>
  </si>
  <si>
    <t>Split Mitsubishi Conditioners (R410A) | 1.2.1. | გიორგი გულაშვილი  | 10,420.00 GEL | 12.10.2020</t>
  </si>
  <si>
    <t>N2 lift service | 1.1.3. | გალერია თბილისი  | 200.00 GEL | 26.10.2020</t>
  </si>
  <si>
    <t>Beach Tower Trouble | 1.2.1. | ტექნოკლიმა  | 3,849.00 GEL | 28.10.2020</t>
  </si>
  <si>
    <t>Kafelis Saxli | 1.1.1. | მოდუსი  | 23,000.00 USD | 23.09.2020</t>
  </si>
  <si>
    <t>Fan Propeller | 1.2.1. | თბილი სახლი  | 1,180.00 USD | 05.11.2020</t>
  </si>
  <si>
    <t>4 Units RC-EX3 | 1.2.1. | თერმორუმი  | 500.00 USD | 22.10.2020</t>
  </si>
  <si>
    <t>3 MHI SPLITS | 1.2.1. | თერმორუმი  | 5,500.00 GEL | 17.11.2020</t>
  </si>
  <si>
    <t>Compressor | 1.2.1. | აკაკი ახვლედიანი  | 3,965.00 USD | 16.11.2020</t>
  </si>
  <si>
    <t>PU Ducts | 1.2.1. | თერმორუმი  | 14,728.50 GEL | 03.11.2020</t>
  </si>
  <si>
    <t>Orbi Spa | 1.1.1. | ორბი ჯგუფი  | 6,000.00 GEL | 08.10.2020</t>
  </si>
  <si>
    <t>ICE - Gazapkhuli Stock | 1.1.1. | აი-სი-ი  | 0.00 GEL | 18.12.2020</t>
  </si>
  <si>
    <t>Paata House Thermostats  | 1.2.1. | პაატა დვალიშვილი  | 800.00 USD | 18.12.2020</t>
  </si>
  <si>
    <t>Ford Center Propeler Motor | 1.2.1. | თბილი სახლი  | 1,735.00 USD | 19.11.2020</t>
  </si>
  <si>
    <t>N13 Elevator board | 1.1.3. | გალერია თბილისი  | 600.00 USD | 24.11.2020</t>
  </si>
  <si>
    <t>Display &amp; Board | 1.1.3. | იუნიქს ქონსთრაქშენ კომპანი  | 800.00 USD | 02.10.2020</t>
  </si>
  <si>
    <t>Meboengineering | 1.2.1. | მებოენჯინიერინგ  | 18,970.00 USD | 22.12.2020</t>
  </si>
  <si>
    <t>Havana club | 1.2.1. | არგო გრუპ ჯორჯია  | 17,000.00 USD | 27.11.2020</t>
  </si>
  <si>
    <t>Carrier Unit | 1.2.1. | ლენოქსი  | 1,900.00 USD | 01.12.2020</t>
  </si>
  <si>
    <t>Dumpers | 1.2.1. | ლენოქსი  | 150.00 GEL | 01.12.2020</t>
  </si>
  <si>
    <t>ICE - Lilo Open Stock | 1.1.1. | აი-სი-ი  | 0.00 GEL | 01.01.2011</t>
  </si>
  <si>
    <t>ICE - Lilo Closed Stock | 1.1.1. | აი-სი-ი  | 0.00 GEL | 01.01.2011</t>
  </si>
  <si>
    <t>Bagebi | 1.1.2. | სფერა  | 350.00 GEL | 15.01.2021</t>
  </si>
  <si>
    <t>Axis office | 1.2.1. | თბილი სახლი  | 60,886.00 USD | 30.12.2020</t>
  </si>
  <si>
    <t>Jemali house Elevator | 1.1.1. | ჯემალ ინაიშვილი  | 29,270.00 EUR | 01.09.2020</t>
  </si>
  <si>
    <t>Galleria Tbilisi | 1.1.3. | თბილი სახლი  | 2,585.40 USD | 08.12.2020</t>
  </si>
  <si>
    <t>Asatiani - Kvariati | 1.2.1. | თინათინ ასათიანი  | 1,550.00 GEL | 12.02.2021</t>
  </si>
  <si>
    <t>Mitsubishi Compressor | 1.2.1. | თბილი სახლი  | 6,950.00 USD | 09.02.2021</t>
  </si>
  <si>
    <t>Galleria Elevator Spare Parts  | 1.1.3. | გალერია თბილისი  | 7,335.00 USD | 25.08.2020</t>
  </si>
  <si>
    <t>Galleria Escalator Spare Part  | 1.1.3. | გალერია თბილისი  | 3,420.00 USD | 16.02.2021</t>
  </si>
  <si>
    <t>Archi Isani 2 | 1.1.1. | ბკ ქონსთრაქშენი  | 220,000.00 USD | 30.11.2020</t>
  </si>
  <si>
    <t>Rustavi Moll and Poti | 1.1.1. | რუსთავი მოლი  | 126,360.00 USD | 20.12.2020</t>
  </si>
  <si>
    <t>Zugdidi | 1.1.1. | ზუგდიდი პალასი  | 30,140.00 USD | 20.12.2020</t>
  </si>
  <si>
    <t>Digomi elevators | 1.1.1. | თბილი სახლი  | 53,260.00 USD | 01.12.2020</t>
  </si>
  <si>
    <t>VRF Sensor &amp; Fan motor | 1.2.1. | თბილისი ცენტრალი  | 680.00 USD | 17.02.2021</t>
  </si>
  <si>
    <t>Living Container | 1.3.1. | მეპერსი  | 22,373.00 GEL | 18.02.2021</t>
  </si>
  <si>
    <t>MHI Split | 1.2.1. | ელიტ ელექტრონიქსი  | 0.00 GEL | 01.04.2020</t>
  </si>
  <si>
    <t>Sveti | 1.1.1. | ოპტიმა  | 2,399,130.00 USD | 20.10.2020</t>
  </si>
  <si>
    <t>Moxy Zaabruken Hotel 1 | 1.1.3. | ჯი-ემ-თი სასტუმროები  | 600.00 USD | 24.02.2021</t>
  </si>
  <si>
    <t>Moxy Zaabruken Hotel 2 | 1.1.3. | ჯი-ემ-თი სასტუმროები  | 250.00 USD | 25.02.2021</t>
  </si>
  <si>
    <t>Mitsubishi Split Conditioners | 1.2.1. | დავით დავითაშვილი  | 2,450.00 GEL | 25.02.2021</t>
  </si>
  <si>
    <t>Zara Brush | 1.1.3. | Spanish Retail Georgia  | 576.80 USD | 03.03.2021</t>
  </si>
  <si>
    <t>Zara City Mall | 1.1.3. | Spanish Retail Georgia  | 576.80 USD | 03.03.2021</t>
  </si>
  <si>
    <t>IBIS Perovi | 1.1.3. | ბეტა ჯგუფი  | 1,440.00 USD | 03.03.2021</t>
  </si>
  <si>
    <t>DAR TOWER | 1.1.3. | Dar Building  | 1,214.00 USD | 22.02.2021</t>
  </si>
  <si>
    <t>UNIX Ipolit Ivanov | 1.1.3. | იუნიქს ქონსთრაქშენ კომპანი  | 773.00 USD | 22.02.2021</t>
  </si>
  <si>
    <t>TWIN TOWER | 1.1.3. | ორბი ჯგუფი ბათუმი  | 4,009.00 USD | 07.02.2021</t>
  </si>
  <si>
    <t>Beach Tower | 1.1.3. | ორბი ჯგუფი  | 840.00 USD | 07.02.2021</t>
  </si>
  <si>
    <t>Aparthotel Vake | 1.1.1. | კანალესა  | 163,727.00 USD | 30.10.2019</t>
  </si>
  <si>
    <t>Archi Isani | 1.1.1. | ანაგი  | 366,050.00 USD | 03.09.2020</t>
  </si>
  <si>
    <t>Kobuleti Garden Inn | 1.1.1. | იოსებ გუნთაიშვილი  | 23,750.00 USD | 25.12.2019</t>
  </si>
  <si>
    <t>Thermostats and joints | 1.2.1. | ბალტიის ბიზნეს განვითარება  | 17,882.00 USD | 28.03.2021</t>
  </si>
  <si>
    <t>Mitsubishi Conditioner | 1.2.1. | თერმორუმი  | 1,380.00 GEL | 23.03.2021</t>
  </si>
  <si>
    <t>Mitsubishi Split Condicioner | 1.2.1. | ირინა ბაგრატიონი  | 2,800.00 GEL | 29.03.2021</t>
  </si>
  <si>
    <t>Rent-Tamarashvili | 1.3.2. | ემ-ეს-სი ჯორჯია  | 6,913.50 USD | 23.03.2021</t>
  </si>
  <si>
    <t>M2 conditioner instalatio | 1.2.3. | ბკ ქონსთრაქშენი  | 181,545.00 GEL | 14.12.2020</t>
  </si>
  <si>
    <t>Redisson Red VRV | 1.2.1. | ბალტიის ბიზნეს განვითარება  | 227,761.00 USD | 05.04.2021</t>
  </si>
  <si>
    <t>SAUDI | 1.2.1. | CENTER OF ELECTRICAT GOODS  | 10,708.00 EUR | 25.03.2021</t>
  </si>
  <si>
    <t>Abashidze 70  | 1.1.3. | ი. აბაშიძე 70  | 1,290.00 USD | 12.04.2021</t>
  </si>
  <si>
    <t>Ford Center | 1.2.1. | თბილი სახლი  | 2,545.00 USD | 25.03.2021</t>
  </si>
  <si>
    <t>Hotel Radius | 1.2.1. | თბილი სახლი  | 2,340.00 GEL | 15.04.2021</t>
  </si>
  <si>
    <t>SOLOLAKI VRF  | 1.2.1. | სტუდიო   | 5,350.00 USD | 29.04.2021</t>
  </si>
  <si>
    <t>2 Units Mitsubishi Split Conditioner | 1.2.1. | გიორგი მარგებაძე  | 4,420.00 GEL | 13.05.2021</t>
  </si>
  <si>
    <t>SARJVELADZE - VRF | 1.2.1. | თენგიზ სარჯველაძე  | 11,441.00 USD | 12.01.2021</t>
  </si>
  <si>
    <t>Samkharauli SOS | 1.2.1. | პალადა  | 271,416.96 GEL | 01.04.2021</t>
  </si>
  <si>
    <t>ATU Conditioners | 1.2.1. | ასოციაცია ატუ  | 31,200.00 GEL | 20.05.2021</t>
  </si>
  <si>
    <t>HIEX | 1.2.1. | მეპერსი  | 678,014.84 USD | 01.03.2021</t>
  </si>
  <si>
    <t>Germany Embassy  | 1.2.1. | ბეთბი  | 4,320.00 GEL | 20.05.2021</t>
  </si>
  <si>
    <t>Germany Embassy  | 1.2.2. | ბეთბი  | 0.00 EUR | 25.05.2021</t>
  </si>
  <si>
    <t>Germany Embassy  | 1.2.3. | ბეთბი  | 6,000.00 GEL | 20.05.2021</t>
  </si>
  <si>
    <t>Tabori Resorts | 1.2.1. | თაბორი რიზორთსი  | 2,035.00 USD | 17.05.2021</t>
  </si>
  <si>
    <t>Tbili Sakhli Digomi | 1.1.1. | თბილი სახლი  | 54,510.00 USD | 01.09.2020</t>
  </si>
  <si>
    <t>Tsirekidze - Mitsubishi Split Conditioner | 1.2.1. | გრიგოლ ცირეკიძე  | 2,900.00 GEL | 02.06.2021</t>
  </si>
  <si>
    <t>Norwegian Embassy | 1.2.1. | ნორვეგიის სამეფოს საელჩო ქ. თბილისში  | 3,600.00 GEL | 09.06.2021</t>
  </si>
  <si>
    <t>Krtsanisi Residence | 1.2.1. | კრწანისი როიალ რეზიდენსი  | 2,260.00 GEL | 16.06.2021</t>
  </si>
  <si>
    <t>Okrokana | 1.1.1. | გრინ ლაიფ  | 29,415.00 USD | 26.02.2021</t>
  </si>
  <si>
    <t>Okrokana  MEP | 1.2.1. | გრინ ლაიფ  | 22,060.00 USD | 23.04.2021</t>
  </si>
  <si>
    <t>Krtsanisi Residence 1 | 1.2.1. | კრწანისი როიალ რეზიდენსი  | 2,260.00 GEL | 21.06.2021</t>
  </si>
  <si>
    <t>Lezhava - Mitsubishi Split Conditioner | 1.2.1. | ბექა ლეჟავა  | 3,000.00 GEL | 22.06.2021</t>
  </si>
  <si>
    <t>Gagnidze - Mitsubishi Split Conditioner | 1.2.1. | გიორგი გაგნიძე  | 3,350.00 GEL | 22.06.2021</t>
  </si>
  <si>
    <t>Gagnidze - Mitsubishi Split Conditioner Instalation | 1.2.1. | გიორგი გაგნიძე  | 500.00 GEL | 22.06.2021</t>
  </si>
  <si>
    <t>Hilton Batumi VRF Service | 1.2.2. | ტურინვესტი  | 12,000.00 GEL | 21.06.2021</t>
  </si>
  <si>
    <t>10 Units Mitsubishi Split Conditioner | 1.2.1. | სოკარ ჯორჯია პეტროლეუმი  | 13,800.00 GEL | 25.06.2021</t>
  </si>
  <si>
    <t>Talakvadze - Mitsubishi Split Conditioner | 1.2.1. | ანა თალაკვაძე  | 3,590.00 GEL | 28.06.2021</t>
  </si>
  <si>
    <t>Bragvadze - Mitsubishi Split Conditioner | 1.2.1. | რუსუდან ბრაგვაძე  | 1,860.00 GEL | 01.07.2021</t>
  </si>
  <si>
    <t>Ioseliani - Mitsubishi Split Conditioner | 1.2.1. | ონისე იოსელიანი  | 3,000.00 GEL | 01.07.2021</t>
  </si>
  <si>
    <t>Machavariani - 3 Units Mitsubishi Split Conditioner | 1.2.1. | დავით მაჭავარიანი  | 4,690.00 GEL | 02.07.2021</t>
  </si>
  <si>
    <t>Green life - 2 Units Mitsubishi Split Conditioner | 1.2.1. | გრინ ლაიფ  | 3,720.00 GEL | 02.07.2021</t>
  </si>
  <si>
    <t>Tavartkiladze - Mitsubishi Split Conditioner | 1.2.1. | ირაკლი თავართქილაძე  | 1,380.00 GEL | 06.07.2021</t>
  </si>
  <si>
    <t>Wendys Compressors | 1.2.1. | ვენჯორჯია  | 6,505.00 USD | 09.07.2021</t>
  </si>
  <si>
    <t>IBIS ORTACHALA MEP + VRF Washing | 1.2.1. | მაქრო ტურიზმ  | 7,575.00 USD | 08.07.2021</t>
  </si>
  <si>
    <t>Tbilisi Central MHI Compressor | 1.2.1. | თბილისი ცენტრალი  | 5,920.00 USD | 12.07.2021</t>
  </si>
  <si>
    <t>ICEBERG | 1.1.1. | აისბერგი 2  | 31,500.00 GEL | 01.05.2021</t>
  </si>
  <si>
    <t>7th Heaven Mockup 2 | 1.2.1. | ეიჩ გრუპ კონსტრაქშენ  | 0.00 GEL | 01.06.2021</t>
  </si>
  <si>
    <t>Inverter Board and Buttons | 1.1.3. | იუნიქს ქონსთრაქშენ კომპანი  | 1,150.00 USD | 13.05.2021</t>
  </si>
  <si>
    <t>Mziuri Office | 1.1.1. | ანაგი  | 62,500.00 USD | 15.07.2021</t>
  </si>
  <si>
    <t>Mziuri Garden | 1.1.1. | მზიური რეზორტ  | 575,281.93 USD | 21.07.2021</t>
  </si>
  <si>
    <t>Tbilisi Central Conditioners system | 1.2.1. | თბილისი ცენტრალი  | 34,060.00 USD | 05.08.2021</t>
  </si>
  <si>
    <t>Lisi Green | 1.1.1. | გრინ დეველოპმენტი  | 55,690.00 USD | 06.08.2021</t>
  </si>
  <si>
    <t>Disabled Platform | 1.1.1. | ჯი თი ჯი კაპიტალი  | 11,800.00 USD | 10.05.2021</t>
  </si>
  <si>
    <t>Carrier AC | 1.2.1. | თბილი სახლი  | 7,600.00 USD | 12.08.2021</t>
  </si>
  <si>
    <t>Akhaltsikhe Compressor | 1.2.1. | თბილი სახლი  | 3,100.00 USD | 03.02.2021</t>
  </si>
  <si>
    <t>Toshiba Outdoor Unit | 1.2.1. | პენსილვანიის (აშშ) საგუშაგო კოშკის, ბიბლიისა და
ტრაქტატების საზოგადოების ფილიალი საქართველოში  | 320.00 USD | 26.08.2021</t>
  </si>
  <si>
    <t>Hilton 1703 | 1.2.1. | ეკატერინა ბერდიშევა  | 2,675.00 USD | 16.08.2021</t>
  </si>
  <si>
    <t>Gogotishvili kaklebi | 1.2.1. | თბილი სახლი  | 8,805.00 USD | 19.08.2021</t>
  </si>
  <si>
    <t>Armenia Project | 1.2.1. | SIGRAM  | 4,681.00 USD | 06.07.2021</t>
  </si>
  <si>
    <t>Supreme Solutions | 1.2.1. | სუპრემე სოლუთიონს  | 2,975.00 USD | 28.09.2021</t>
  </si>
  <si>
    <t>HOTEL IBIS VRV Service | 1.2.3. | მაქრო ტურიზმ  | 2,650.00 USD | 23.07.2021</t>
  </si>
  <si>
    <t>Makhata | 1.1.1. | ანაგი  | 1,158,300.00 USD | 05.10.2021</t>
  </si>
  <si>
    <t>BLC VRF | 1.2.1. | ბიელსი  | 6,890.00 USD | 20.08.2021</t>
  </si>
  <si>
    <t>Jgenti Warehouse | 1.1.1. | ემ ელ სი ლოჯისტიკს  | 29,850.00 USD | 27.09.2021</t>
  </si>
  <si>
    <t>Vake Apartment | 1.2.1. | გიდანი  | 13,930.00 USD | 01.10.2021</t>
  </si>
  <si>
    <t>Anton Voronin -HILTON BATUMI  | 1.2.1. | ანტონ ვორონინი  | 3,505.00 USD | 15.10.2021</t>
  </si>
  <si>
    <t>Batumi Stadium | 1.1.2. | აჭარის პროექტების მართვის კომპანია  | 43,200.00 GEL | 07.10.2021</t>
  </si>
  <si>
    <t>Mshvildosani - Mitsubishi Conditioner | 1.2.1. | მშვილდოსანი  | 1,870.00 GEL | 11.11.2021</t>
  </si>
  <si>
    <t>Shartava 39 | 1.1.2. | ნინო სირბილაძე  | 450.00 GEL | 01.05.2021</t>
  </si>
  <si>
    <t>Kitchen Fan | 1.2.1. | ასოციაცია ატუ  | 22,250.00 EUR | 29.11.2021</t>
  </si>
  <si>
    <t>Khachatrian - Mitsubishi Split Conditioner | 1.2.1. | ტიგრან ხაჩატრიან  | 6,600.00 GEL | 06.12.2021</t>
  </si>
  <si>
    <t>Fans and Dumper | 1.2.1. | ლენოქსი  | 9,500.00 USD | 01.12.2021</t>
  </si>
  <si>
    <t>Premium Group | 1.1.1. | პრემიუმ ჯგუფი  | 400,000.00 USD | 24.12.2021</t>
  </si>
  <si>
    <t>HAVANA CLUB KIFSHIDZE | 1.2.3. | ჰავანა  | 3,000.00 GEL | 10.01.2022</t>
  </si>
  <si>
    <t>Sea Tower | 1.1.1. | ორბი ჯგუფი  | 429,922.00 USD | 07.04.2021</t>
  </si>
  <si>
    <t>MESKHI - 4 Units Mitsubishi Conditioner | 1.2.1. | მაია მესხი  | 9,000.00 GEL | 24.01.2022</t>
  </si>
  <si>
    <t>SARJVELADZE - Multisplit | 1.2.1. | თენგიზ სარჯველაძე  | 5,352.00 USD | 10.06.2021</t>
  </si>
  <si>
    <t>Batumi, Ninoshvilis 23 | 1.1.2. | ბმა ქ. ბათუმი, ნინოშვილის N23ა  | 200.00 USD | 01.01.2022</t>
  </si>
  <si>
    <t>SAKCABELI | 1.2.1. | კაპიტალ გრუპი  | 60,000.00 USD | 22.02.2022</t>
  </si>
  <si>
    <t>Lisi Villa MEP &amp; Smart house | 1.2.1. | ირაკლი ბუხიაშვილი  | 9,140.00 USD | 03.02.2022</t>
  </si>
  <si>
    <t>Galleria Tbilisi - Escalator Handrail rollers | 1.1.3. | გალერია თბილისი  | 660.00 USD | 23.11.2021</t>
  </si>
  <si>
    <t>Orbi City D2 block | 1.1.1. | ორბი ჯგუფი ბათუმი  | 1,161,507.00 USD | 16.12.2021</t>
  </si>
  <si>
    <t>Orbi city D1 block | 1.1.1. | ორბი ჯგუფი ბათუმი  | 1,161,507.82 USD | 16.08.2021</t>
  </si>
  <si>
    <t>Sea Tower Additional | 1.1.1. | ორბი ჯგუფი  | 24,000.00 USD | 20.01.2022</t>
  </si>
  <si>
    <t>Shyposha - Hilton Batumi  Apartment | 1.2.1. | ოლეკსანდრ შიპოშა  | 1,250.00 USD | 24.03.2022</t>
  </si>
  <si>
    <t>Fan Motor | 1.2.1. | კლიმატ ინჟინერინგი  | 870.00 USD | 11.10.2021</t>
  </si>
  <si>
    <t>Lortkipanidze - Mitsubishi Conditioner | 1.2.1. | გიორგი ლორთქიფანიძე  | 1,420.00 GEL | 25.03.2022</t>
  </si>
  <si>
    <t>Alliance Highline | 1.1.1. | ალიანსი თბილისი  | 2,281,058.00 USD | 21.01.2022</t>
  </si>
  <si>
    <t>Kaklebi doors repears | 1.1.3. | გოჩა ჩხაიძე  | 501.00 USD | 23.03.2022</t>
  </si>
  <si>
    <t>Iveshniakov - Conditioner | 1.2.1. | იევგენ ოვეშნიაქოვ  | 4,750.00 GEL | 24.03.2022</t>
  </si>
  <si>
    <t>Supreme Solutions VRV | 1.2.1. | სუპრემე სოლუთიონს  | 1,895.00 USD | 17.12.2021</t>
  </si>
  <si>
    <t>Iakobidze - Mitsubishi Conditioner | 1.2.1. | ილია იაკობიძე  | 7,600.00 GEL | 14.04.2022</t>
  </si>
  <si>
    <t>Samkharadze - 2 Units Mitsubishi Conditioner | 1.2.1. | ბეჟან სამხარაძე  | 6,250.00 GEL | 18.04.2022</t>
  </si>
  <si>
    <t>Inaishvili - 2 Units Mitsubishi Conditioner | 1.2.1. | ჯემალ ინაიშვილი  | 1,280.00 USD | 02.05.2022</t>
  </si>
  <si>
    <t>MOXY HOTEL | 1.1.2. | ჯი-ემ-თი სასტუმროები  | 1.00 USD | 01.05.2019</t>
  </si>
  <si>
    <t>Baratashvili | 1.1.2. | Dar Building  | 250.00 GEL | 01.08.2021</t>
  </si>
  <si>
    <t>Biota Park | 1.1.2. | ანა ფირცხალავა  | 1,500.00 GEL | 01.04.2022</t>
  </si>
  <si>
    <t>Rustavi and Poti Mall | 1.1.2. | მპ დეველოპმენტი  | 1,500.00 GEL | 01.04.2022</t>
  </si>
  <si>
    <t>Poti | 1.1.2. | მპ დეველოპმენტი  | 350.00 GEL | 01.04.2022</t>
  </si>
  <si>
    <t>Archi Isani C | 1.1.2. | პრაიმ არქი  | 900.00 USD | 05.10.2021</t>
  </si>
  <si>
    <t>Archi Isani D Block | 1.1.2. | პრაიმ არქი  | 400.00 USD | 10.05.2022</t>
  </si>
  <si>
    <t>Dighomi | 1.1.2. | თბილი სახლი  | 1.00 GEL | 01.09.2020</t>
  </si>
  <si>
    <t>Mestia | 1.1.2. | თბილი სახლი  | 250.00 GEL | 01.01.2019</t>
  </si>
  <si>
    <t>Janashia | 1.1.2. | თბილი სახლი  | 250.00 GEL | 01.01.2019</t>
  </si>
  <si>
    <t>ORBI CITY C | 1.1.2. | ორბი ჯგუფი ბათუმი  | 225.00 USD | 01.01.2022</t>
  </si>
  <si>
    <t>Chavchavadze 30 | 1.1.2. | კომპანია ჯდჯ  | 1,200.00 GEL | 15.09.2020</t>
  </si>
  <si>
    <t>UNIX MARSEL | 1.1.2. | ფრანგული უბანი ფრანგული უბნის "დ" და "ე" ბლოკების ამხანაგობა  | 1,200.00 GEL | 01.01.2019</t>
  </si>
  <si>
    <t>UNIX IPOLIT IVANOV | 1.1.2. | ფრანგული დასახლების ა-ბ-გ ბლოკების ამხანაგობა  | 1,500.00 GEL | 01.01.2019</t>
  </si>
  <si>
    <t>Gorgiladzis 88a | 1.1.2. | გორგილაძის 88ა  | 900.00 GEL | 01.11.2021</t>
  </si>
  <si>
    <t>Isani Palace | 1.1.2. | ისანი პალასი  | 600.00 GEL | 31.03.2022</t>
  </si>
  <si>
    <t>Jgenti Warehouse | 1.1.2. | ემ ელ სი ლოჯისტიკს  | 1.00 GEL | 01.05.2022</t>
  </si>
  <si>
    <t>Ninotsminda - Mitsubishi Conditioner | 1.2.1. | ნინოწმინდა  | 3,590.00 GEL | 16.05.2022</t>
  </si>
  <si>
    <t>Modus Kakhety HW 2 | 1.1.2. | მოდუსი  | 200.00 GEL | 01.01.2019</t>
  </si>
  <si>
    <t>Batumi Apartaments | 1.3.1. | აი-სი-ი  | 20,000.00 GEL | 01.01.2022</t>
  </si>
  <si>
    <t>Tsikhisdziri | 1.2.1. | დემურ დიასამიძე  | 10,610.00 USD | 20.06.2022</t>
  </si>
  <si>
    <t>Holiday Inn | 1.1.1. | ლაიქ ჰაუსი  | 372,497.00 USD | 10.02.2022</t>
  </si>
  <si>
    <t>Park Home Saburtalo | 1.1.1. | ნუცუბიძე  | 626,280.00 USD | 20.05.2022</t>
  </si>
  <si>
    <t>BLC VRF Service | 1.2.3. | ბიელსი  | 5,000.00 GEL | 03.06.2022</t>
  </si>
  <si>
    <t>Beroshvili - Mitsubishi Split Conditioner | 1.2.1. | ზურაბ ბეროშვილი  | 4,050.00 GEL | 07.06.2022</t>
  </si>
  <si>
    <t>Seturidze - Mitsubishi Conditioner | 1.2.1. | ნიკოლოზ სეთურიძე  | 3,370.00 GEL | 13.06.2022</t>
  </si>
  <si>
    <t>7th sky | 1.1.1. | ეიჩ გრუპ კონსტრაქშენ  | 1,266,280.00 USD | 13.07.2022</t>
  </si>
  <si>
    <t>ALLIANCE HIGHLINES CHILLERS | 1.2.1. | მეპერსი  | 276,034.00 EUR | 15.06.2022</t>
  </si>
  <si>
    <t>Moxy hotel Service | 1.2.3. | ვერგე  | 1,300.00 GEL | 13.07.2022</t>
  </si>
  <si>
    <t>Askaneli Restaurant | 1.2.3. | გრიინ ინვესტ  | 1,500.00 GEL | 11.07.2022</t>
  </si>
  <si>
    <t>Galleria Tbilisi - Escalator Combs | 1.1.3. | გალერია თბილისი  | 2,493.56 GEL | 05.07.2022</t>
  </si>
  <si>
    <t>ATU Conditioners 2 | 1.2.1. | ასოციაცია ატუ  | 6,300.00 GEL | 22.06.2022</t>
  </si>
  <si>
    <t>Okrokana Service | 1.1.2. | გრინ ლაიფ  | 100.00 USD | 01.06.2022</t>
  </si>
  <si>
    <t>Monadirishvili - Mitsubishi Conditioner  | 1.2.1. | შოთა მონადირიშვილი  | 1,380.00 GEL | 06.06.2022</t>
  </si>
  <si>
    <t>Compressor | 1.2.1. | თბილი სახლი  | 8,780.00 USD | 24.05.2022</t>
  </si>
  <si>
    <t>VOYARG ASSY CONTROL | 1.2.1. | ვოიარგ ლიმითედ  | 2,800.00 USD | 27.05.2022</t>
  </si>
  <si>
    <t>Shato Mukhrani Filters | 1.2.1. | შატო მუხრანი  | 545.00 USD | 26.07.2022</t>
  </si>
  <si>
    <t>Bagrationi | 1.1.1. | ბაგრატიონი რეზიდენსი  | 413,654.00 USD | 25.06.2022</t>
  </si>
  <si>
    <t>IDC Mitsubishi Conditioner | 1.2.1. | აიდისი  | 2,855.00 GEL | 25.07.2022</t>
  </si>
  <si>
    <t>Alliance Previlige | 1.1.1. | ალიანსი ფრივილიჯი  | 610,990.00 USD | 01.08.2022</t>
  </si>
  <si>
    <t>Batumi Mall | 1.1.1. | გრანდ მოლი  | 1,036,581.96 USD | 05.08.2022</t>
  </si>
  <si>
    <t>Shavteli Street | 1.1.2. | ინდეკო ჰოსფითალითი  | 120.00 USD | 15.08.2022</t>
  </si>
  <si>
    <t>Conditioner Parts | 1.2.1. | თბილისი ცენტრალი  | 25,080.00 USD | 26.07.2022</t>
  </si>
  <si>
    <t>Chiller Compressors | 1.2.1. | თბილისი ცენტრალი  | 28,800.00 EUR | 17.08.2022</t>
  </si>
  <si>
    <t>Toshiba Split | 1.2.1. | გიორგი ნიქაბაძე  | 2,000.00 GEL | 16.07.2022</t>
  </si>
  <si>
    <t>Yoga Center | 1.2.1. | ზენ იოგა სტუდიო  | 35,733.60 USD | 18.10.2022</t>
  </si>
  <si>
    <t>Moxy Hotel Rooftop Service | 1.2.3. | ვერგე  | 2,250.00 GEL | 20.10.2022</t>
  </si>
  <si>
    <t>Mitsubishi VRF System | 1.2.1. | გიორგი კურტანიძე  | 8,600.00 USD | 25.10.2022</t>
  </si>
  <si>
    <t>8 Units Elevator Service | 1.1.3. | დომუს სერვისი  | 1,000.00 GEL | 24.10.2022</t>
  </si>
  <si>
    <t>V-JEO Restaurant Platform | 1.1.1. | ვ-ჯეო რესტორნები  | 12,000.00 USD | 26.10.2022</t>
  </si>
  <si>
    <t>Saturday Mode | 1.1.3. | გოლდენ გრუპ  | 3,900.00 GEL | 01.10.2022</t>
  </si>
  <si>
    <t>White square | 1.1.1. | მეპერსი  | 1,000,000.00 USD | 05.11.2022</t>
  </si>
  <si>
    <t>Goderdzi Hotel AHU | 1.2.1. | თი ელ ქონსთრაქშენ  | 71,023.91 EUR | 27.08.2022</t>
  </si>
  <si>
    <t>Churkveidze - 2 Units Conditioner | 1.2.1. | თამილა ჭურკვეიძე  | 5,140.00 GEL | 17.11.2022</t>
  </si>
  <si>
    <t>1TV | 1.1.1. | თბილი სახლი  | 199,940.00 USD | 01.11.2022</t>
  </si>
  <si>
    <t>Diesel Generator Service | 1.2.3. | თემურ უსტიაშვილი  | 1,076.20 GEL | 25.10.2022</t>
  </si>
  <si>
    <t>Cooling Tower Belts | 1.2.1. | თბილისი სითი  | 12,060.00 USD | 07.11.2022</t>
  </si>
  <si>
    <t>Macdonalds Orkhevi | 1.2.2. | თბილი სახლი  | 944.00 GEL | 01.10.2022</t>
  </si>
  <si>
    <t>Macdonalds Isani | 1.2.2. | თბილი სახლი  | 944.00 GEL | 01.11.2022</t>
  </si>
  <si>
    <t>Gold Market | 1.2.1. | თბილისი ცენტრალი  | 218,060.00 USD | 27.10.2022</t>
  </si>
  <si>
    <t>SAKCABELI - Fan | 1.2.2. | ლენოქსი  | 12,850.00 GEL | 30.09.2022</t>
  </si>
  <si>
    <t>IBRAHIM GRILS | 1.2.1. | იბრაიმ შალიკაძე  | 22,740.00 USD | 24.11.2022</t>
  </si>
  <si>
    <t>Philip Morries Elevator Repair | 1.1.3. | ჯი-ემ-თი სასტუმროები  | 2,400.00 GEL | 18.11.2022</t>
  </si>
  <si>
    <t>TBC Chillers | 1.2.1. | DT MUHENDISLIK VE TAAHHUT A.S.  | 465,028.00 USD | 22.12.2022</t>
  </si>
  <si>
    <t>TBC Refregerant | 1.2.1. | დნთ ქონსთრაქშენ  | 12,390.00 USD | 22.12.2022</t>
  </si>
  <si>
    <t>TBC Fancoils | 1.2.1. | DT MUHENDISLIK VE TAAHHUT A.S.  | 281,128.00 EUR | 22.12.2022</t>
  </si>
  <si>
    <t>TBC AHU | 1.2.1. | დნთ ქონსთრაქშენ  | 313,042.00 EUR | 22.12.2022</t>
  </si>
  <si>
    <t>Kvareli Elevators | 1.1.1. | ინდეკო  | 291,990.00 USD | 01.11.2022</t>
  </si>
  <si>
    <t>Kvareli VRV | 1.2.1. | ინდეკო სი ემ   | 254,269.84 USD | 01.11.2022</t>
  </si>
  <si>
    <t>Kvareli AHU | 1.2.1. | ინდეკო სი ემ   | 109,707.00 EUR | 01.11.2022</t>
  </si>
  <si>
    <t>Chato di Vere | 1.1.1. | შატო დე ვერე  | 28,300.00 USD | 10.12.2022</t>
  </si>
  <si>
    <t>Askaneli Kvareli | 1.1.1. | ასკანელი ვაინერი &amp; დისტილერი  | 139,500.00 USD | 01.12.2022</t>
  </si>
  <si>
    <t>Watch Tower | 1.2.1. | იეჰოვას მოწმეთა ქრისტიანული კრება საქართველოში  | 13,090.00 USD | 23.12.2022</t>
  </si>
  <si>
    <t>Gori Mall | 1.1.1. | მპ დეველოპმენტი  | 125,000.00 USD | 30.12.2022</t>
  </si>
  <si>
    <t>Motor DC | 1.2.1. | სითი სისტემს  | 1,250.00 USD | 18.01.2023</t>
  </si>
  <si>
    <t>Beauty Life | 1.2.1. | Beauty Life  | 9,330.00 USD | 20.01.2023</t>
  </si>
  <si>
    <t>ELT BUILDING | 1.1.1. | ელთ ბილდინგი  | 328,000.00 USD | 24.01.2022</t>
  </si>
  <si>
    <t>Iumashev Stock | 1.1.1. | აი-სი-ი  | 0.00 GEL | 01.01.2001</t>
  </si>
  <si>
    <t>Dar Building Doors | 1.1.1. | Dar Building  | 17,845.00 GEL | 27.01.2023</t>
  </si>
  <si>
    <t>Macdonalds Ortachala Rooftop System | 1.2.3. | თბილი სახლი  | 2,500.00 GEL | 19.12.2022</t>
  </si>
  <si>
    <t>Moxy Hotel Service 2023 | 1.2.3. | ვერგე  | 1,300.00 GEL | 23.01.2023</t>
  </si>
  <si>
    <t>Chavchavadze Stock | 1.3.1. | აი-სი-ი  | 0.00 GEL | 01.01.2000</t>
  </si>
  <si>
    <t>Batumi Office Stock | 1.3.1. | აი-სი-ი  | 0.00 GEL | 01.01.2000</t>
  </si>
  <si>
    <t>Didi dighomi LOP | 1.2.3. | გიორგი ჩხიკვიშვილი  | 268.00 USD | 26.01.2023</t>
  </si>
  <si>
    <t>Didi dighomi LOP | 1.1.3. | თბილი სახლი  | 230.00 USD | 26.01.2023</t>
  </si>
  <si>
    <t>Gas Co | 1.1.1. | მეპერსი  | 100,000.00 USD | 01.02.2022</t>
  </si>
  <si>
    <t>Kostia Armenia Elmagan | 1.2.1. | ELL‐GA‐MAN  | 12,050.75 USD | 18.01.2023</t>
  </si>
  <si>
    <t>Elevator Rope | 1.1.3. | გალერია ჰოტელ მენეჯმენტი  | 2,350.00 USD | 14.12.2022</t>
  </si>
  <si>
    <t>Waikiki Flo | 1.2.3. | თბილისი ცენტრალი  | 84,897.50 USD | 02.02.2023</t>
  </si>
  <si>
    <t>Macdonalds Orkhevi Rooftop System | 1.2.3. | თბილი სახლი  | 2,500.00 GEL | 22.09.2022</t>
  </si>
  <si>
    <t>Beauty Life MEP | 1.2.1. | Beauty Life  | 9,330.00 USD | 20.01.2022</t>
  </si>
  <si>
    <t>Beauty Life MEP Installation | 1.2.1. | Beauty Life  | 3,200.00 GEL | 07.02.2023</t>
  </si>
  <si>
    <t>Heat Pumps | 1.2.1. | სუპრემე სოლუთიონს  | 3,700.00 USD | 02.11.2022</t>
  </si>
  <si>
    <t>Ceiling Cassette Type &amp; Remote Control | 1.2.1. | სუპრემე სოლუთიონს  | 2,250.00 USD | 21.12.2022</t>
  </si>
  <si>
    <t>Alliance Chiller Repair | 1.2.1. | მეპერსი  | 7,830.00 USD | 15.02.2023</t>
  </si>
  <si>
    <t>Meppers Casino | 1.2.1. | მეპერსი  | 2,585.80 GEL | 15.02.2023</t>
  </si>
  <si>
    <t>Galeria Panoramic Buttons | 1.1.3. | გალერია თბილისი  | 1,500.00 USD | 20.02.2023</t>
  </si>
  <si>
    <t>Cooling Tower Pomp | 1.2.1. | თბილისი სითი  | 37,410.00 EUR | 16.02.2023</t>
  </si>
  <si>
    <t>H&amp;M | 1.2.1. | თბილი სახლი  | 1,610.00 USD | 21.02.2023</t>
  </si>
  <si>
    <t>Moxy Compressor | 1.2.1. | ჯი-ემ-თი მთაწმინდა  | 7,600.00 EUR | 28.02.2023</t>
  </si>
  <si>
    <t>Darchidze Home | 1.1.1. | Dar Building  | 31,760.00 USD | 16.09.2021</t>
  </si>
  <si>
    <t>Afisha | 1.1.1. | მელიქიშვილი ინნ  | 188,560.00 USD | 13.03.2023</t>
  </si>
  <si>
    <t>Calligraphy Hilton | 1.1.1. | გრანდ მაისონ  | 210,000.00 USD | 27.12.2022</t>
  </si>
  <si>
    <t>Gumbati Boulevard Point | 1.1.1. | ბულვარ ფოინთ  | 238,490.00 USD | 27.02.2023</t>
  </si>
  <si>
    <t>Batteries | 1.1.3. | სფერა  | 520.00 GEL | 16.03.2023</t>
  </si>
  <si>
    <t>Central Office | 1.2.1. | თბილისი ცენტრალი  | 364,528.00 USD | 28.03.2023</t>
  </si>
  <si>
    <t>McDonalds Tsereteli | 1.2.1. | თბილი სახლი  | 2,500.00 GEL | 05.04.2023</t>
  </si>
  <si>
    <t>DRS AHU | 1.2.1. | დრს ინტერნეიშენალ  | 14,300.00 EUR | 27.12.2022</t>
  </si>
  <si>
    <t>1TV Fireboxes | 1.2.1. | თბილი სახლი  | 54,875.00 USD | 01.03.2023</t>
  </si>
  <si>
    <t>Batumi office rental | 1.3.2. | კაზა დი ბათუმი  | 500.00 GEL | 14.08.2020</t>
  </si>
  <si>
    <t>Digomi Elevator Service | 1.1.2. | გიორგი ჩხიკვიშვილი  | 400.00 GEL | 01.01.2023</t>
  </si>
  <si>
    <t>Unix Lop &amp; Display  | 1.1.1. | იუნიქს ქონსთრაქშენ კომპანი  | 400.00 USD | 18.08.2021</t>
  </si>
  <si>
    <t>Lisi Green Apartaments | 1.1.1. | გრინ დეველოპმენტი  | 62,400.00 USD | 01.04.2023</t>
  </si>
  <si>
    <t>Chkonia Elevator | 1.1.1. | სახლი ძველ ბათუმში  | 38,160.00 USD | 01.04.2023</t>
  </si>
  <si>
    <t>HGI DOOR | 1.2.1. | მეპერსი  | 413.00 USD | 19.04.2023</t>
  </si>
  <si>
    <t>Calligraphy Hilton 2 | 1.1.1. | გრანდ მაისონ  | 255,000.00 USD | 01.03.2023</t>
  </si>
  <si>
    <t>Park Home Vake Galleria Elevator | 1.1.1. | ანაგი დეველოპმენტი 1  | 33,810.00 USD | 21.04.2023</t>
  </si>
  <si>
    <t>Surmanidzeebi | 1.1.1. | სამშენებლო კომპანია სურმანიძეები  | 305,000.00 USD | 28.03.2023</t>
  </si>
  <si>
    <t>Honda Civic | 1.3.1. | ზვიად ჯორბენაძე  | 5,300.00 GEL | 08.02.2023</t>
  </si>
  <si>
    <t>Dar Building Additional floors | 1.1.1. | Dar Building  | 12,340.00 USD | 21.11.2022</t>
  </si>
  <si>
    <t>Multisplits PHS | 1.2.1. | ნუცუბიძე  | 387,000.00 USD | 01.05.2023</t>
  </si>
  <si>
    <t>Vake Sewage | 1.2.3. | ინდეკო სი ემ   | 81,108.00 GEL | 11.05.2023</t>
  </si>
  <si>
    <t>Multisplit | 1.2.1. | ელენა მამმადოვა  | 5,565.00 USD | 01.05.2023</t>
  </si>
  <si>
    <t>Multisplit | 1.2.1. | დავით ნიკოლეიშვილი  | 7,675.00 USD | 19.05.2023</t>
  </si>
  <si>
    <t>Radius Hotel | 1.2.3. | თბილი სახლი  | 800.00 GEL | 18.05.2023</t>
  </si>
  <si>
    <t>IBIS Airport | 1.1.1. | ფუჯინ სილქ ფროფერთის  | 102,560.00 USD | 17.05.2023</t>
  </si>
  <si>
    <t>MHI Control Module | 1.2.1. | მეპერსი  | 2,260.00 USD | 22.05.2023</t>
  </si>
  <si>
    <t>Paco | 1.2.1. | აიემდი  | 51,640.00 USD | 06.06.2023</t>
  </si>
  <si>
    <t>Summit | 1.1.1. | სამიტი ქონსთრაქშენ  | 48,750.00 USD | 14.06.2023</t>
  </si>
  <si>
    <t>Kontakt Home | 1.2.1. | თბილისი ცენტრალი  | 25,952.64 GEL | 22.06.2023</t>
  </si>
  <si>
    <t>Vake Fire Fighting | 1.2.1. | ანაგი დეველოპმენტი 1  | 240,000.00 USD | 01.06.2023</t>
  </si>
  <si>
    <t>Vake VRV | 1.2.1. | ინდეკო სი ემ   | 188,915.32 USD | 01.06.2023</t>
  </si>
  <si>
    <t>Founder Home | 1.2.1. | არგო გრუპ ჯორჯია  | 7,000.00 USD | 16.05.2023</t>
  </si>
  <si>
    <t>Havana Club Mziuri | 1.2.1. | გამა  | 18,884.00 USD | 01.06.2023</t>
  </si>
  <si>
    <t>BLC Service | 1.2.3. | ბიელსი  | 500.00 GEL | 27.06.2023</t>
  </si>
  <si>
    <t>Shartava | 1.1.1. | მეპერსი  | 50,000.00 USD | 01.07.2023</t>
  </si>
  <si>
    <t>Barnovi | 1.1.1. | პრემიუმ დეველოპმენტ კომპანი  | 43,500.00 USD | 03.07.2023</t>
  </si>
  <si>
    <t>Digomi trade center | 1.1.1. | ავტოტრანსპორტი 91  | 34,270.00 USD | 17.07.2023</t>
  </si>
  <si>
    <t>Hilton Batumi VTF System Parts | 1.2.1. | ტურინვესტი  | 7,890.00 USD | 14.07.2023</t>
  </si>
  <si>
    <t>Kvareli Pool AHU | 1.2.1. | ინდეკო სი ემ   | 33,755.00 EUR | 03.08.2023</t>
  </si>
  <si>
    <t>Batumi Restaurant Promech | 1.2.1. | პრომეჩი  | 13,035.00 USD | 20.07.2023</t>
  </si>
  <si>
    <t>Central Compressors 2023 | 1.2.1. | თბილისი ცენტრალი  | 51,447.00 USD | 07.08.2023</t>
  </si>
  <si>
    <t>Escalator PCB | 1.1.3. | გალერია თბილისი  | 540.00 USD | 22.03.2023</t>
  </si>
  <si>
    <t>Park Home Mziuri Rooftop | 1.2.1. | თბილი სახლი  | 25,200.00 EUR | 14.08.2023</t>
  </si>
  <si>
    <t>Ramishvili VRF Instalation | 1.2.1. | ინდეკო სი ემ   | 57,722.90 USD | 16.08.2023</t>
  </si>
  <si>
    <t>Amera Bank 3 | 1.2.1. | SCHERCO TRADING AG  | 3,630.00 USD | 09.08.2023</t>
  </si>
  <si>
    <t>Nutsubidze | 1.1.1. | სფერა  | 549,980.00 USD | 11.08.2023</t>
  </si>
  <si>
    <t>Orbi C block reprograming | 1.1.1. | ორბი ჯგუფი  | 10,500.00 USD | 20.04.2023</t>
  </si>
  <si>
    <t>Orbi D1 block reprograming | 1.1.1. | ორბი ჯგუფი ბათუმი  | 15,750.00 USD | 11.05.2023</t>
  </si>
  <si>
    <t>Rehab VRF | 1.2.1. | სანა მენტე  | 48,825.00 USD | 11.07.2023</t>
  </si>
  <si>
    <t>Rehab VRF Installation | 1.2.1. | სანა მენტე  | 23,580.00 USD | 12.07.2023</t>
  </si>
  <si>
    <t>Kalamian - Mitsubishi Conditioner | 1.2.1. | ფეიმანე ქალამიან  | 2,870.00 GEL | 17.08.2023</t>
  </si>
  <si>
    <t>Rehab Elevators | 1.1.1. | სანა მენტე  | 22,490.00 USD | 12.07.2023</t>
  </si>
  <si>
    <t>MHI Products | 1.2.1. | ბერკეტი-დიზაინი  | 12,436.00 USD | 25.08.2023</t>
  </si>
  <si>
    <t>Doors change | 1.1.3. | მზიური რეზორტ  | 480.00 USD | 29.08.2023</t>
  </si>
  <si>
    <t>Rehab Sewage | 1.2.3. | სანა მენტე  | 158,713.00 GEL | 01.07.2023</t>
  </si>
  <si>
    <t>2 Units Mitsubishi Conditioner | 1.2.1. | მასტერ ოქეი  | 5,470.00 GEL | 05.09.2023</t>
  </si>
  <si>
    <t>Ford Center Compressor Control Board | 1.2.1. | თბილი სახლი  | 1,350.00 USD | 30.08.2023</t>
  </si>
  <si>
    <t>Palm Apartments | 1.1.1. | პალმ აპარტამენტი  | 51,000.00 USD | 11.07.2023</t>
  </si>
  <si>
    <t>Gumbati Apart Kvariati | 1.1.1. | გუმბათი აპარტი კვარიათი  | 126,000.00 USD | 04.08.2023</t>
  </si>
  <si>
    <t>P4 P5 Elevator Sensor | 1.1.3. | Dar Building  | 240.00 USD | 13.09.2023</t>
  </si>
  <si>
    <t>Building elevator spareparts | 1.1.3. | ნუცუბიძე  | 4,882.90 USD | 01.09.2023</t>
  </si>
  <si>
    <t>Batumi McDonald's Rooftop | 1.1.3. | თბილი სახლი  | 980.00 GEL | 18.09.2023</t>
  </si>
  <si>
    <t>Kvareli Mockup | 1.2.1. | ინდეკო სი ემ   | 2,755.00 USD | 13.12.2022</t>
  </si>
  <si>
    <t>Kvareli VRF FILTER Installation | 1.2.1. | ინდეკო სი ემ   | 2,877.00 GEL | 18.05.2023</t>
  </si>
  <si>
    <t>Batumi Multisplits Instalation | 1.2.3. | თენგიზ სარჯველაძე  | 5,000.00 GEL | 27.09.2023</t>
  </si>
  <si>
    <t>Rooftop Parts | 1.2.1. | ჯი-ემ-თი მთაწმინდა  | 5,285.00 EUR | 17.11.2022</t>
  </si>
  <si>
    <t>VRF Materials | 1.2.1. | სანა მენტე  | 56,076.60 GEL | 01.09.2023</t>
  </si>
  <si>
    <t>Dighomi 2B | 1.1.2. | დიღომი 2ბ სერვისი  | 300.00 USD | 01.08.2023</t>
  </si>
  <si>
    <t>Dighomi 2B Push Button | 1.1.3. | დიღომი 2ბ სერვისი  | 130.00 USD | 12.09.2023</t>
  </si>
  <si>
    <t>Vehicle TOYOTA 2014 | 1.3.1. | გიორგი ბახტაძე  | 69,385.00 GEL | 01.11.2022</t>
  </si>
  <si>
    <t>McDonalds Marjanishvili Rooftop | 1.2.1. | თბილი სახლი  | 82,990.00 EUR | 08.06.2023</t>
  </si>
  <si>
    <t>Kvareli VRV Installation | 1.2.1. | ინდეკო სი ემ   | 100,000.00 USD | 01.03.2023</t>
  </si>
  <si>
    <t>Kvareli Additional VRF Installation | 1.2.1. | ინდეკო სი ემ   | 8,591.00 USD | 11.10.2023</t>
  </si>
  <si>
    <t>ვრფ სისტემის დიაგნოსტიკა ინვ#-03/10 | 1.2.3. | აიდისი  | 800.00 GEL | 01.10.2023</t>
  </si>
  <si>
    <t>Batumi Stock | 1.1.1. | აი-სი-ი  | 0.00 GEL | 01.10.2023</t>
  </si>
  <si>
    <t>Lisi Development 1 UNIT | 1.1.1. | მეპერსი  | 1,500.00 USD | 26.10.2023</t>
  </si>
  <si>
    <t>Deka Digomi | 1.1.1. | დეკა დიდი დიღომი  | 58,400.00 USD | 11.10.2023</t>
  </si>
  <si>
    <t>Car Platform | 1.1.1. | ანაგი დეველოპმენტი 1  | 14,350.00 EUR | 01.07.2023</t>
  </si>
  <si>
    <t>Areali | 1.1.1. | არეალი  | 84,400.00 USD | 01.09.2023</t>
  </si>
  <si>
    <t>Kvareli FF Pump | 1.2.1. | ინდეკო სი ემ   | 51,668.00 USD | 13.11.2023</t>
  </si>
  <si>
    <t>Ramishvili Toshiba Installation | 1.2.3. | ინდეკო სი ემ   | 45,000.00 GEL | 01.01.2024</t>
  </si>
  <si>
    <t>Ramishvili Toshiba Ventilation Equipment | 1.2.1. | ინდეკო სი ემ   | 45,968.00 USD | 01.11.2023</t>
  </si>
  <si>
    <t>Kvareli Additional VRV Controllers | 1.2.1. | ინდეკო სი ემ   | 15,120.00 USD | 04.10.2023</t>
  </si>
  <si>
    <t>Kvareli Dammaged Indoor 2 Units | 1.2.1. | ინდეკო სი ემ   | 1,320.00 USD | 04.10.2023</t>
  </si>
  <si>
    <t>VRF Service | 1.2.3. | ბერკეტი-დიზაინი  | 1,500.00 GEL | 01.11.2023</t>
  </si>
  <si>
    <t>Bagrationi Avenue | 1.1.1. | ავენიუ ბაი ორბი  | 2,230,000.00 USD | 01.11.2023</t>
  </si>
  <si>
    <t>Radisson Batumi Reabilitation | 1.1.3. | არგო მენეჯმენტი   | 50,000.00 USD | 01.10.2023</t>
  </si>
  <si>
    <t>B Block Divider Materials | 1.1.4. | ეიჩ გრუპ კონსტრაქშენ  | 24,320.00 GEL | 04.10.2023</t>
  </si>
  <si>
    <t>Reinstallation | 1.2.3. | ტელეგრაფი  | 2,970.00 GEL | 01.10.2023</t>
  </si>
  <si>
    <t>Zurab Margvelashvili | 1.2.1. | თბილი სახლი  | 13,310.00 USD | 01.11.2023</t>
  </si>
  <si>
    <t>Khabazi Kobuleti | 1.1.1. | ვახტანგი ხაბაზი  | 29,700.00 USD | 04.12.2023</t>
  </si>
  <si>
    <t>Kvareli Sprinklers | 1.2.1. | ინდეკო სი ემ   | 10,339.00 EUR | 04.10.2023</t>
  </si>
  <si>
    <t>Kvareli Fire Valve | 1.2.1. | ინდეკო სი ემ   | 0.00 EUR | 04.10.2023</t>
  </si>
  <si>
    <t>Ramishvili Firefighting | 1.2.1. | ინდეკო სი ემ   | 219,593.00 USD | 01.12.2023</t>
  </si>
  <si>
    <t>Ramishvili Ventilation | 1.2.1. | ინდეკო სი ემ   | 183,367.50 USD | 01.12.2023</t>
  </si>
  <si>
    <t>VRF Repair | 1.2.3. | აიდისი  | 1,700.00 GEL | 07.12.2023</t>
  </si>
  <si>
    <t>Saakadze McDonalds Rooftops lounching | 1.2.2. | თბილი სახლი  | 2,500.00 GEL | 01.12.2023</t>
  </si>
  <si>
    <t>Kuwait Villa | 1.1.1. | იორკ ჰოლდინგ გრუპი  | 25,990.00 USD | 01.10.2023</t>
  </si>
  <si>
    <t>Laboratoria | 1.2.1. | DIAGNOSTICA MEDICAL CORPORATION  | 102,052.00 USD | 27.06.2023</t>
  </si>
  <si>
    <t>Laboratoria2 | 1.2.1. | Svogan LLC  | 79,428.00 USD | 12.04.2023</t>
  </si>
  <si>
    <t>Kaklebi | 1.1.1. | ევროპროდუქტი  | 27,000.00 USD | 03.04.2023</t>
  </si>
  <si>
    <t>Kaklebi | 1.1.2. | ევროპროდუქტი  | 100.00 USD | 29.11.2023</t>
  </si>
  <si>
    <t>Pirosmani King Solomon | 1.1.2. | გოლდენ გრუპ  | 300.00 USD | 16.06.2023</t>
  </si>
  <si>
    <t>Sunrise Shartava | 1.1.2. | სანრაიზ დეველოპმენტი  | 600.00 USD | 01.10.2023</t>
  </si>
  <si>
    <t>Parnavaz mepis 26 | 1.1.2. | დიღომი 2ბ სერვისი  | 300.00 USD | 01.08.2023</t>
  </si>
  <si>
    <t>Aleqseevka | 1.1.2. | ემ ელ სი ლოჯისტიკს  | 300.00 GEL | 01.09.2023</t>
  </si>
  <si>
    <t>Arqi mindeli | 1.1.2. | არქი საბურთალო  | 100.00 USD | 01.12.2021</t>
  </si>
  <si>
    <t>Marriots | 1.1.2. | ჯი ემ თი  | 300.00 USD | 01.01.2024</t>
  </si>
  <si>
    <t>Akhvlediani 22 | 1.1.2. | შ.პ.ს ბეტა ჰოთელს  | 400.00 USD | 01.10.2022</t>
  </si>
  <si>
    <t>Varazis 42 | 1.1.2. | კონსტანტინე ესაძე  | 100.00 USD | 06.12.2023</t>
  </si>
  <si>
    <t>Tskneti 51 | 1.1.2. | ეკატერინე ელისაბედაშვილი  | 600.00 GEL | 01.05.2023</t>
  </si>
  <si>
    <t>Okroyana | 1.1.2. | გრინლაიფ რეზიდენსი  | 200.00 GEL | 01.09.2023</t>
  </si>
  <si>
    <t>mms group poti | 1.1.1. | მმს გრუპ  | 22,830.00 USD | 02.08.2023</t>
  </si>
  <si>
    <t>Kvareli Residence | 1.1.1. | მეპერსი  | 2,000.00 USD | 01.12.2023</t>
  </si>
  <si>
    <t>Refugee Tbilisi | 1.1.1. | ანაგი  | 616,940.00 USD | 01.12.2023</t>
  </si>
  <si>
    <t>GRG VRF Lounching abashidze | 1.2.3. | თბილი სახლი  | 1,600.00 GEL | 26.12.2023</t>
  </si>
  <si>
    <t>VRV Service | 1.2.2. | საქკაბელი  | 2,800.00 USD | 26.12.2023</t>
  </si>
  <si>
    <t>PCB | 1.1.3. | 1920  | 675.00 USD | 01.12.2023</t>
  </si>
  <si>
    <t>PCB | 1.1.3. | ეიჩ ენდ ემ ჰენეს ენდ მაურიც ჯორჯია  | 1,000.00 USD | 01.12.2023</t>
  </si>
  <si>
    <t>Central Thermal Curtains | 1.2.1. | თბილისი ცენტრალი  | 9,332.60 GEL | 26.12.2023</t>
  </si>
  <si>
    <t>Kvareli 3 units PFD Box | 1.2.1. | ინდეკო სი ემ   | 1,875.00 USD | 18.01.2024</t>
  </si>
  <si>
    <t>Ramishvili Toshiba Installation Materials | 1.2.1. | ინდეკო სი ემ   | 26,817.00 GEL | 18.01.2024</t>
  </si>
  <si>
    <t>MTZ | 1.1.1. | მტზ კომპანი  | 323,200.00 USD | 01.10.2023</t>
  </si>
  <si>
    <t>Roomix Tsintsadze | 1.1.1. | ლაქი ქონსთრაქშენ  | 200,000.00 USD | 05.02.2024</t>
  </si>
  <si>
    <t>MHI KZ 1 | 1.2.1. | EurAsia Klimat LLC  | 118,273.05 USD | 12.02.2024</t>
  </si>
  <si>
    <t>Basis Bank | 1.1.1. | მეპერსი  | 5,000.00 USD | 01.02.2024</t>
  </si>
  <si>
    <t>European School | 1.1.1. | თბილი სახლი  | 200,000.00 USD | 01.02.2024</t>
  </si>
  <si>
    <t>Tbilisi Office | 1.1.1. | ორბი ჯგუფი ბათუმი  | 25,910.00 USD | 29.11.2024</t>
  </si>
  <si>
    <t>Rehab Sewage Materials | 1.2.1. | სანა მენტე  | 122,329.89 GEL | 01.10.2023</t>
  </si>
  <si>
    <t>Marjanishvili McDonalds rooftop lounch | 1.2.3. | თბილი სახლი  | 1,250.00 GEL | 01.02.2024</t>
  </si>
  <si>
    <t>Rehab Elevator Service | 1.1.2. | სანა მენტე  | 300.00 GEL | 05.02.2024</t>
  </si>
  <si>
    <t>Mardi Hills | 1.1.1. | მარდი ჰილსი  | 130,000.00 USD | 21.02.2024</t>
  </si>
  <si>
    <t>Arsenal | 1.1.1. | არსენალ რეზიდენსი  | 195,270.00 USD | 07.03.2024</t>
  </si>
  <si>
    <t>GAS CO Additional | 1.1.1. | მეპერსი  | 2,000.00 GEL | 01.03.2024</t>
  </si>
  <si>
    <t>Porta Tower | 1.2.1. | როტა  | 110,000.00 USD | 05.03.2024</t>
  </si>
  <si>
    <t>Shalva Nutsubidze | 1.1.1. | პროპერთი ინვესტ გრუპ  | 100,000.00 USD | 01.03.2024</t>
  </si>
  <si>
    <t>Grande Krtsanisi | 1.1.1. | გრანდე ჯგუფი  | 97,800.00 GEL | 01.01.2024</t>
  </si>
  <si>
    <t>Gumbati Port Line | 1.1.1. | სქაი ბათუმი  | 191,360.00 USD | 04.08.2023</t>
  </si>
  <si>
    <t>Alliance Highline FCU | 1.2.1. | დრს ინტერნეიშენალ  | 83,274.00 EUR | 11.10.2023</t>
  </si>
  <si>
    <t>Alliance Highline Thermostat | 1.2.1. | დრს ინტერნეიშენალ  | 22,000.00 USD | 01.03.2024</t>
  </si>
  <si>
    <t>MHI Products | 1.2.1. | ბესიკ ბერიძე  | 7,370.00 USD | 06.11.2023</t>
  </si>
  <si>
    <t>Shatberashvili 45 | 1.1.1. | შატბერაშვილის 45  | 45,150.00 USD | 29.03.2024</t>
  </si>
  <si>
    <t>Bochorma | 1.1.1. | ანაგი დეველოპმენტი 1  | 120,000.00 USD | 01.02.2024</t>
  </si>
  <si>
    <t>Archi Jikia | 1.1.2. | საბურთალო ც სერვისი  | 200.00 USD | 01.10.2023</t>
  </si>
  <si>
    <t>Archi Isani C1 | 1.1.2. | ისანი ც სერვისი 1  | 300.00 USD | 01.01.2024</t>
  </si>
  <si>
    <t>Archi Isani C2 | 1.1.2. | ისანი ც სერვისი 2  | 300.00 USD | 01.01.2024</t>
  </si>
  <si>
    <t>Archi Isani C3 | 1.1.2. | ისანი ც სერვისი 3  | 300.00 USD | 01.01.2024</t>
  </si>
  <si>
    <t>Archi Isani D1 | 1.1.2. | ისანი დ სერვისი 1  | 200.00 USD | 01.01.2024</t>
  </si>
  <si>
    <t>Archi Isani D2 | 1.1.2. | ისანი დ სერვისი 2  | 200.00 USD | 01.01.2024</t>
  </si>
  <si>
    <t>IBIS Perov | 1.1.2. | ბეტა ჰოთელს  | 400.00 USD | 01.10.2022</t>
  </si>
  <si>
    <t>Baratashvili 24 DAR Building | 1.1.2. | ამხანაგობა ბარათაშვილი 24  | 500.00 GEL | 01.08.2022</t>
  </si>
  <si>
    <t>Epic Mziuri | 1.1.2. | ირაკლი კირცხალია  | 250.00 GEL | 01.09.2022</t>
  </si>
  <si>
    <t>CASA DI BATUMI | 1.1.1. | კაზა დი ბათუმი  | 179,560.00 USD | 28.06.2023</t>
  </si>
  <si>
    <t>Grand Mall Batumi | 1.1.2. | გრანდ მოლი  | 3,955.00 USD | 01.10.2023</t>
  </si>
  <si>
    <t>Afisha Service | 1.1.2. | მელიქიშვილი ინნ  | 500.00 USD | 01.01.2024</t>
  </si>
  <si>
    <t>1 TV Service | 1.1.2. | თბილი სახლი  | 960.00 USD | 01.01.2024</t>
  </si>
  <si>
    <t>7th Sky Service | 1.1.2. | ეიჩ გრუპ კონსტრაქშენ  | 480.00 USD | 01.01.2024</t>
  </si>
  <si>
    <t>Alliance Highline Service | 1.1.2. | ალიანსი თბილისი  | 1,560.00 USD | 01.01.2024</t>
  </si>
  <si>
    <t>Installation | 1.2.3. | ჯორჯიან გოლდ ინვესტ  | 2,990.00 GEL | 24.03.2024</t>
  </si>
  <si>
    <t>Alliance Previlige | 1.1.2. | ალიანსი ფრივილიჯი  | 1,770.00 USD | 01.01.2024</t>
  </si>
  <si>
    <t>Alliance Pevilige Service | 1.1.2. | ალიანსი ფრივილიჯი  | 1,770.00 USD | 01.01.2024</t>
  </si>
  <si>
    <t>Askaneli Kvareli Service | 1.1.2. | ასკანელი ვაინერი &amp; დისტილერი  | 531.00 USD | 01.01.2024</t>
  </si>
  <si>
    <t>Bagrationi Residence Service | 1.1.2. | ბაგრატიონი რეზიდენსი  | 531.00 USD | 01.01.2024</t>
  </si>
  <si>
    <t>Barnovi Service | 1.1.2. | პრემიუმ დეველოპმენტ კომპანი  | 118.00 USD | 01.01.2024</t>
  </si>
  <si>
    <t>Caligraph Hilton Service | 1.1.2. | გრანდ მაისონ  | 1,203.60 USD | 01.01.2024</t>
  </si>
  <si>
    <t>Chateau Di Vere | 1.1.2. | შატო დე ვერე  | 100.00 USD | 01.01.2024</t>
  </si>
  <si>
    <t>ELT Building Service | 1.1.2. | ელთ ბილდინგი  | 500.00 USD | 01.01.2024</t>
  </si>
  <si>
    <t>Mziuri Office Service | 1.1.2. | ბი ეს არ-სი დი ჯი დეველოპმენტი  | 120.00 USD | 01.01.2024</t>
  </si>
  <si>
    <t>Gori Mall Service | 1.1.2. | მპ დეველოპმენტი  | 600.00 USD | 01.01.2024</t>
  </si>
  <si>
    <t>Gumbati Boulevard Point | 1.1.2. | ბულვარ ფოინთ  | 675.00 USD | 01.01.2024</t>
  </si>
  <si>
    <t>Gumbati Apart Kvariati | 1.1.2. | გუმბათი აპარტი კვარიათი  | 450.00 USD | 01.01.2024</t>
  </si>
  <si>
    <t>Gumbati Port Line | 1.1.2. | სქაი ბათუმი  | 450.00 USD | 01.01.2024</t>
  </si>
  <si>
    <t>IBIS Airport Service | 1.1.2. | ფუჯინ სილქ ფროფერთის  | 360.00 USD | 01.01.2024</t>
  </si>
  <si>
    <t>Kvareli Elevators Service | 1.1.2. | ინდეკო ჰოსფითალითი  | 1,350.00 USD | 01.01.2024</t>
  </si>
  <si>
    <t>Medlog Poti | 1.1.2. | მედლოგ ფოთი  | 118.00 USD | 01.01.2024</t>
  </si>
  <si>
    <t>Mziuri Gardens Service | 1.1.2. | მზიური რეზორტ  | 1,440.00 USD | 01.01.2024</t>
  </si>
  <si>
    <t>D1 Block Service | 1.1.2. | ორბი ჯგუფი ბათუმი  | 1,858.50 USD | 01.01.2024</t>
  </si>
  <si>
    <t>D2 Block Service | 1.1.2. | ორბი ჯგუფი ბათუმი  | 1,858.50 USD | 01.01.2024</t>
  </si>
  <si>
    <t>Park Home Saburtalo Service | 1.1.2. | ნუცუბიძე  | 885.00 USD | 01.01.2024</t>
  </si>
  <si>
    <t>Shartava Meppers | 1.1.2. | Budget Dummy  | 1,000.00 USD | 01.01.2024</t>
  </si>
  <si>
    <t>Summit | 1.1.2. | სამიტი ქონსთრაქშენ  | 200.00 USD | 01.01.2024</t>
  </si>
  <si>
    <t>Surmanidzeebi | 1.1.2. | სამშენებლო კომპანია სურმანიძეები  | 708.00 USD | 01.01.2024</t>
  </si>
  <si>
    <t>Palm Apartments Service | 1.1.2. | პალმ აპარტამენტი  | 177.00 USD | 01.01.2024</t>
  </si>
  <si>
    <t>Radisson Batumi Services | 1.1.2. | არგო მენეჯმენტი  | 2,478.00 USD | 01.01.2024</t>
  </si>
  <si>
    <t>Admiral Batumi Service | 1.1.2. | ინდეკო  | 120.00 USD | 01.01.2024</t>
  </si>
  <si>
    <t>Epic Bagebi | 1.1.2. | ბაგები 2022  | 250.00 GEL | 01.01.2024</t>
  </si>
  <si>
    <t>Digomi Trade Center | 1.1.2. | ავტოტრანსპორტი 91  | 300.00 USD | 01.01.2024</t>
  </si>
  <si>
    <t>Krtsanisi Villa Residence Meppers | 1.1.1. | მეპერსი  | 40,000.00 USD | 01.01.2024</t>
  </si>
  <si>
    <t>Krtsanisi Villa Residence Meppers | 1.1.2. | მეპერსი  | 1,200.00 USD | 01.01.2024</t>
  </si>
  <si>
    <t>Admiral design | 1.2.3. | ინდეკო სი ემ   | 9,300.00 USD | 01.05.2024</t>
  </si>
  <si>
    <t>Admiral Generator Transport | 1.2.3. | ინდეკო სი ემ   | 2,200.00 GEL | 01.05.2024</t>
  </si>
  <si>
    <t>Compressor Repair | 1.2.3. | Beauty Life  | 1,600.00 GEL | 01.05.2024</t>
  </si>
  <si>
    <t>Admiral | 1.2.3. | ინდეკო სი ემ   | 444,536.20 USD | 01.05.2024</t>
  </si>
  <si>
    <t>Ramishvili VRV Outdoor Units Transport  | 1.2.3. | ინდეკო სი ემ   | 20,344.29 GEL | 14.05.2024</t>
  </si>
  <si>
    <t>Porta Apartments 4003 | 1.2.1. | ბურაქ ქონსტრაქშენ	  | 14,591.00 USD | 20.05.2024</t>
  </si>
  <si>
    <t>Porta Apartments 2906 | 1.2.1. | ბურაქ ქონსტრაქშენ	  | 9,407.00 USD | 20.05.2024</t>
  </si>
  <si>
    <t>Roomix Unloading | 1.1.3. | ლაქი ქონსთრაქშენ  | 1,800.00 GEL | 05.06.2024</t>
  </si>
  <si>
    <t>Rope Change | 1.1.3. | დომუს სერვისი  | 2,000.00 GEL | 01.04.2024</t>
  </si>
  <si>
    <t>MHI Conditioners | 1.2.1. | ნუგზარ წერეთელი  | 3,990.00 USD | 13.06.2024</t>
  </si>
  <si>
    <t>Dry Port Elevator | 1.1.1. | თბილისი დრაი პორტი  | 25,100.00 USD | 01.04.2024</t>
  </si>
  <si>
    <t>Dry Port HVAC | 1.2.1. | თბილისი დრაი პორტი  | 491,903.93 USD | 01.04.2024</t>
  </si>
  <si>
    <t>New Time | 1.1.2. | სასტუმრო აქვა ბათუმი  | 1,000.00 GEL | 01.01.2024</t>
  </si>
  <si>
    <t>Deka Verona | 1.1.1. | დეკა ვერონა  | 103,910.00 USD | 01.06.2024</t>
  </si>
  <si>
    <t>Simetria Lisi 1 Unit | 1.1.1. | მეპერსი  | 2,000.00 USD | 01.06.2024</t>
  </si>
  <si>
    <t>KINGS GARDEN 1 UNIT | 1.2.1. | აპოლო გ.ს.  | 7,715.00 USD | 02.07.2024</t>
  </si>
  <si>
    <t>Chakhrukhadze Compressor | 1.2.1. | ინდეკო ჰოსფითალითი  | 3,500.00 USD | 01.08.2024</t>
  </si>
  <si>
    <t>Goderdzi EP | 1.1.1. | ხიდი 2006  | 23,860.00 USD | 07.08.2024</t>
  </si>
  <si>
    <t>Figures | 1.1.1. | ბაუჰაუს ქონსთრაქშენი  | 307,060.00 USD | 01.08.2024</t>
  </si>
  <si>
    <t>McDonalds Didi Digomi Rooftop Lounch | 1.1.1. | თბილი სახლი  | 1,500.00 GEL | 01.08.2024</t>
  </si>
  <si>
    <t>Lisi Veranda 8 | 1.1.1. | გიანთი პალასი  | 125,180.00 USD | 01.08.2024</t>
  </si>
  <si>
    <t>Ambassador Batumi | 1.2.1. | ამბასადორი ბათუმი  | 1,155,220.00 USD | 03.09.2024</t>
  </si>
  <si>
    <t>Multiple Rooftops | 1.2.1. | თბილი სახლი  | 250,757.00 EUR | 30.04.2024</t>
  </si>
  <si>
    <t>LUX | 1.1.1. | მეპერსი  | 19,160.00 USD | 01.09.2024</t>
  </si>
  <si>
    <t>New Group University | 1.1.1. | ნიუ გრუპ მაღლივი  | 213,160.00 USD | 01.09.2024</t>
  </si>
  <si>
    <t>Kvareli FF Pump Installation | 1.2.1. | ინდეკო სი ემ   | 35,000.00 GEL | 20.09.2024</t>
  </si>
  <si>
    <t>All Mcdonalds | 1.1.3. | თბილი სახლი  | 50,000.00 GEL | 01.09.2024</t>
  </si>
  <si>
    <t>Fan Repair | 1.2.3. | შპს წინანდლის მამულები  | 2,100.00 GEL | 18.09.2024</t>
  </si>
  <si>
    <t>Modern Residence | 1.1.1. | ბათუმი დეველოპმენტ ალიანსი  | 181,950.00 USD | 01.09.2024</t>
  </si>
  <si>
    <t>Kings Garden | 1.2.1. | აპოლო გ.ს.  | 187,859.80 USD | 01.08.2024</t>
  </si>
  <si>
    <t>Kvareli Repair | 1.2.1. | ინდეკო  | 1,800,000.00  GEL | 01.07.2024</t>
  </si>
  <si>
    <t>DRY PORT GENSET | 1.2.1. | თბილისი დრაი პორტი  | 63,680.00 EUR | 01.04.2024</t>
  </si>
  <si>
    <t>2025 Spareparts | 1.1.1. | გალერია თბილისი  | 41,250.00 USD | 25.09.2024</t>
  </si>
  <si>
    <t>Ginger Gane | 1.1.1. | ბილდია  | 8,640.00 USD | 17.05.2024</t>
  </si>
  <si>
    <t>Crown Plaza HVAC | 1.2.1. | მეკარტ ჯორჯია  | 693,840.00 USD | 05.11.2024</t>
  </si>
  <si>
    <t>Kobuleti Garden Key | 1.1.1. | ქობულეთი გარდენ ქეი  | 52,000.00 USD | 17.10.2024</t>
  </si>
  <si>
    <t>Archi Digomi Installation | 1.1.1. | დიღომი 3  | 131,040.00 USD | 01.11.2024</t>
  </si>
  <si>
    <t>Tegeta Chiller | 1.2.1. | თეგეტა მოტორსი  | 257,240.00 EUR | 26.06.2024</t>
  </si>
  <si>
    <t>Tagi | 1.1.1. | აპარტ ქონ  | 26,750.00 USD | 11.11.2024</t>
  </si>
  <si>
    <t>Ambassador Goderdzi | 1.2.1. | ამბასადორი ბათუმი  | 43,449.10 USD | 02.12.2024</t>
  </si>
  <si>
    <t>New Group Kavtaradze | 1.1.1. | ნიუ გრუპ დეველოპმენტი  | 32,000.00 USD | 01.12.2024</t>
  </si>
  <si>
    <t>Compressors 2024 | 1.2.1. | ტელეგრაფი  | 6,040.00 USD | 22.11.2025</t>
  </si>
  <si>
    <t>Kvareli Staff House | 1.2.1. | ინდეკო სი ემ   | 169,060.00 USD | 01.01.2025</t>
  </si>
  <si>
    <t>Kazbegi | 1.1.1. | თმ ჯგუფი  | 50,000.00 USD | 01.01.2025</t>
  </si>
  <si>
    <t>Batumi Office Rent MEPPERS | 1.3.2. | მეპერსი  | 2,700.00 USD | 15.08.2024</t>
  </si>
  <si>
    <t>Batumi Office Rent CASA | 1.3.2. | კაზა დი ბათუმი  | 500.00 USD | 15.08.2024</t>
  </si>
  <si>
    <t>Compact Mukhiani | 1.1.1. | კომპაქტ მუხიანი  | 30,510.00 USD | 17.01.2025</t>
  </si>
  <si>
    <t>Buttons | 1.1.3. | DMS  | 115.00 USD | 01.01.2025</t>
  </si>
  <si>
    <t>Kvareli Marani | 1.1.2. | ყვარლის მარანი  | 200.00 USD | 01.12.2024</t>
  </si>
  <si>
    <t>Hampton Unloading | 1.1.3. | მეპერსი  | 1,700.00 GEL | 01.01.2025</t>
  </si>
  <si>
    <t>Hampton | 1.1.1. | მეპერსი  | 15,000.00 USD | 01.01.2025</t>
  </si>
  <si>
    <t>Lisi Veranda 8 Unloading | 1.1.1. | გიანთი პალასი  | 3,500.00 GEL | 01.01.2025</t>
  </si>
  <si>
    <t>EastPoint Chiller | 1.2.1. | სიბიდი დეველოპმენტი  | 596,100.60 EUR | 12.12.2024</t>
  </si>
  <si>
    <t>Sunrise Palace | 1.1.1. | სანრაიზ პალასი  | 664,000.00 USD | 06.11.2024</t>
  </si>
  <si>
    <t>Sandro Euli | 1.1.1. | ვოლსი საბურთალო  | 65,640.00 USD | 10.09.2024</t>
  </si>
  <si>
    <t>Crown Plaza | 1.2.1. | ემ სი ქონსთრაქშენ  | 693,840.00 EUR | 05.11.2024</t>
  </si>
  <si>
    <t>Golden Beach Kvariati | 1.1.1. | ოქროს სანაპირო  | 104,000.00 USD | 20.06.2024</t>
  </si>
  <si>
    <t>Tegeta AHU | 1.2.1. | თეგეტა მოტორსი  | 164,800.00 EUR | 16.07.2024</t>
  </si>
  <si>
    <t>Ibis Tbilisi Airport | 1.1.2. | თბილისი ეარფორთ ჰოთელ  | 450.00 USD | 01.11.2024</t>
  </si>
  <si>
    <t>Aparthotel Service | 1.1.3. | კანალესა  | 760.00 USD | 25.10.2024</t>
  </si>
  <si>
    <t>Batumi Cafe Central | 1.1.2. | კაფე ცენტრალი  | 300.00 GEL | 01.07.2024</t>
  </si>
  <si>
    <t>Mitsubisi Vasilieva | 1.1.3. | ნატალია ვასილიევა  | 1,900.00 GEL | 29.11.2024</t>
  </si>
  <si>
    <t>Multisplit | 1.2.1. | ეკატერინე გელაშვილი  | 2,850.00 GEL | 25.11.2024</t>
  </si>
  <si>
    <t>Service Irakli Kirtshkhalia | 1.1.2. | ნინო კირცხალია  | 250.00 GEL | 01.05.2023</t>
  </si>
  <si>
    <t>Air Conditioner | 1.2.1. | მურუსიძე გიორგი  | 4,716.00 GEL | 16.10.2024</t>
  </si>
  <si>
    <t>Conditioner blocks | 1.2.1. | პარავიანი ალვინა  | 1,900.00 GEL | 24.09.2024</t>
  </si>
  <si>
    <t>Qurcadze Parts | 1.2.1. | ქურცაძე ვასო  | 950.00 GEL | 16.07.2024</t>
  </si>
  <si>
    <t>Kontridze Split | 1.2.1. | ივანე კონტრიძე  | 500.00 GEL | 12.07.2024</t>
  </si>
  <si>
    <t>Lomidze Conditioner  | 1.2.1. | ლომიძე ლიანა  | 1,300.00 GEL | 01.06.2024</t>
  </si>
  <si>
    <t>Chavchavadze Oth | 1.2.1. | ეკატერინე ჭავჭავაძე  | 1,850.00 GEL | 17.06.2024</t>
  </si>
  <si>
    <t>Gogotishvili Oth | 1.2.1. | გოგოტიშვილი კობა  | 1,900.00 GEL | 13.06.2024</t>
  </si>
  <si>
    <t>Gagua Oth | 1.2.1. | ანა გაგუა  | 8,500.00 GEL | 24.05.2024</t>
  </si>
  <si>
    <t>Vekua Oth | 1.2.1. | ვეკუა ლაშა  | 2,450.00 GEL | 15.05.2024</t>
  </si>
  <si>
    <t>Nasidze 20 | 1.1.2. | ლაბარტყავა მარიამ  | 200.00 GEL | 01.01.2024</t>
  </si>
  <si>
    <t>Gagnidze Oth | 1.2.1. | გაგნიძე ნელი  | 2,850.00 GEL | 01.11.2024</t>
  </si>
  <si>
    <t>Mammadova Oth | 1.2.1. | ელენა მამმადოვა  | 4,948.00 USD | 12.12.2023</t>
  </si>
  <si>
    <t>Beridze Multisplit | 1.2.1. | ბერიძე არჩილ  | 4,919.00 USD | 07.06.2023</t>
  </si>
  <si>
    <t>Kikutadze Conditioner | 1.2.1. | გიორგი კიკუტაძე  | 2,230.00 GEL | 21.08.2023</t>
  </si>
  <si>
    <t>Gogatishvili Oth | 1.2.1. | კობა გოგატიშვილი  | 775.00 USD | 02.05.2023</t>
  </si>
  <si>
    <t>Tavadze Oth | 1.2.1. | თავაძე თამაზი  | 2,200.00 GEL | 02.09.2024</t>
  </si>
  <si>
    <t>Lekveishvili Oth | 1.2.1. | ლეკვეიშვილი გრიგოლ  | 7,964.00 GEL | 22.07.2024</t>
  </si>
  <si>
    <t>Navtlugi | 1.1.2. | სითიქომ  | 800.00 GEL | 11.01.2023</t>
  </si>
  <si>
    <t>Eqvtime Kheladze | 1.1.2. | სითიქომ  | 400.00 GEL | 11.01.2023</t>
  </si>
  <si>
    <t>4000 Meskhtians | 1.1.2. | სითიქომ  | 400.00 GEL | 11.01.2023</t>
  </si>
  <si>
    <t>Tskneti H-way | 1.1.2. | სითიქომ  | 600.00 GEL | 11.01.2023</t>
  </si>
  <si>
    <t>Shartava | 1.1.2. | სითიქომ  | 450.00 GEL | 11.01.2023</t>
  </si>
  <si>
    <t>Oktopus Serv | 1.1.2. | ოკტოპუსი  | 100.00 USD | 01.09.2024</t>
  </si>
  <si>
    <t>Service | 1.1.2. | ჯორჯიან გოლდ ინვესტ  | 2,000.00 GEL | 02.10.2023</t>
  </si>
  <si>
    <t>UNIX MARSEL Oth | 1.1.3. | ფრანგული უბანი ფრანგული უბნის "დ" და "ე" ბლოკების ამხანაგობა  | 250.00 USD | 16.05.2024</t>
  </si>
  <si>
    <t>King Parnavaz Service | 1.1.3. | ფარნავაზ მეფის # 62  | 1,800.00 GEL | 24.12.2024</t>
  </si>
  <si>
    <t>Batumi Mall Repair | 1.1.3. | სიმონ შეშელიძე  | 310.00 USD | 03.06.2024</t>
  </si>
  <si>
    <t>Server | 1.2.3. | შპს წინანდლის მამულები  | 2,825.00 USD | 24.09.2024</t>
  </si>
  <si>
    <t>Magaldadze service | 1.1.2. | თეა მაღალდაძე  | 100.00 USD | 01.06.2024</t>
  </si>
  <si>
    <t>JP Service | 1.1.2. | ჯეიფი ჰაბ  | 385.00 USD | 01.09.2023</t>
  </si>
  <si>
    <t>Gori Mall Oth | 1.2.3. | მპ დეველოპმენტი  | 1,080.00 USD | 01.04.2024</t>
  </si>
  <si>
    <t>Admiral Service | 1.1.2. | ადმირალ ფბ  | 100.00 USD | 01.08.2024</t>
  </si>
  <si>
    <t>Verheij Property | 1.3.1. | ვერჰეიჯ ნორა  | 30,000.00 USD | 01.10.2023</t>
  </si>
  <si>
    <t>Molashvili Auto | 1.3.1. | ანზორ მოლაშვილი  | 3,000.00 GEL | 26.07.2024</t>
  </si>
  <si>
    <t>Cafe Central Oth | 1.1.3. | კაფე ცენტრალი  | 170.00 GEL | 09.06.2024</t>
  </si>
  <si>
    <t>Domus Ipodrom via TBC Leasing | 1.1.1. | თიბისი ლიზინგი  | 1,232,000.00 USD | 09.08.2024</t>
  </si>
  <si>
    <t>BOG Oth | 1.3.1. | საქართველოს ბანკი  | 465.00 USD | 13.05.2025</t>
  </si>
  <si>
    <t>Gtem Hospitality Oth | 1.2.3. | გთემ ჰოსფითალითი გრუპ  | 2,100.00 GEL | 21.12.2023</t>
  </si>
  <si>
    <t>Batumi Central | 1.1.1. | ბათუმი ცენტრალი  | 69,644.00 USD | 11.05.2024</t>
  </si>
  <si>
    <t>Bagrationi VRF | 1.2.1. | ბაგრატიონი რეზიდენსი  | 14,985.00 USD | 26.10.2023</t>
  </si>
  <si>
    <t>Ibis Airport Oth | 1.1.3. | ფუჯინ სილქ ფროფერთის  | 500.00 GEL | 13.09.2024</t>
  </si>
  <si>
    <t>CPI Geo Oth | 1.2.1. | სი ფი აი ჯორჯია  | 4,310.00 USD | 29.01.2024</t>
  </si>
  <si>
    <t>Piazza Oth | 1.2.1. | PIAZZA MANAGEMENT  | 1,300.00 USD | 15.12.2023</t>
  </si>
  <si>
    <t>Caan Construction Oth | 1.2.1. | ქაან ქონსთრაქშენ  | 12,080.00 USD | 29.11.2023</t>
  </si>
  <si>
    <t>V-JEO Restaurant Oth | 1.2.1. | ვ-ჯეო რესტორნები  | 4,550.00 USD | 18.06.2024</t>
  </si>
  <si>
    <t>V-JEO Restaurant Service | 1.1.2. | ვ-ჯეო რესტორნები  | 500.00 GEL | 30.04.2024</t>
  </si>
  <si>
    <t>Supreme Solutions Var | 1.2.1. | სუპრემე სოლუთიონს  | 3,790.00 USD | 22.08.2023</t>
  </si>
  <si>
    <t>City Mall Oth | 1.1.3. | აი ჯი დეველოფმენტ ჯორჯია  | 1,300.00 GEL | 31.05.2024</t>
  </si>
  <si>
    <t>Police City | 1.1.1. | ანაგი  | 343,000.00 USD | 28.11.2024</t>
  </si>
  <si>
    <t>Lisi Fo Green Tower | 1.1.1. | მეპერსი  | 10,000.00 USD | 01.01.2025</t>
  </si>
  <si>
    <t>Gayrimenkul (Turkey) | 1.1.1. | მეპერსი  | 10,000.00 USD | 01.01.2025</t>
  </si>
  <si>
    <t>Rid Yerevan | 1.1.1. | მეპერსი  | 10,000.00 USD | 01.01.2025</t>
  </si>
  <si>
    <t>Lisi Fo C4 Block | 1.1.1. | მეპერსი  | 10,000.00 USD | 01.01.2025</t>
  </si>
  <si>
    <t>Lazika | 1.1.1. | მეპერსი  | 10,000.00 USD | 01.01.2025</t>
  </si>
  <si>
    <t>Tsakhnadzur (Arm) | 1.1.1. | მეპერსი  | 10,000.00 USD | 01.01.2025</t>
  </si>
  <si>
    <t>Bk Shartava 43 stage 2 | 1.1.1. | მეპერსი  | 10,000.00 USD | 01.01.2025</t>
  </si>
  <si>
    <t>Hampton Tourinvest | 1.1.1. | მეპერსი  | 10,000.00 USD | 01.01.2025</t>
  </si>
  <si>
    <t>Energy + Akhaltsikhe | 1.1.1. | მეპერსი  | 10,000.00 USD | 01.01.2025</t>
  </si>
  <si>
    <t>Bk Shartava stage 3 | 1.1.1. | მეპერსი  | 10,000.00 USD | 01.01.2025</t>
  </si>
  <si>
    <t>Marshal Development | 1.1.1. | მეპერსი  | 10,000.00 USD | 01.01.2025</t>
  </si>
  <si>
    <t>Beta Group | 1.1.1. | მეპერსი  | 10,000.00 USD | 01.01.2025</t>
  </si>
  <si>
    <t>BK Dzotsi St | 1.1.1. | მეპერსი  | 10,000.00 USD | 01.01.2025</t>
  </si>
  <si>
    <t>Bili Menegement | 1.1.1. | მეპერსი  | 10,000.00 USD | 01.01.2025</t>
  </si>
  <si>
    <t>Krtsanisi Millenio | 1.1.1. | მეპერსი  | 10,000.00 USD | 01.01.2025</t>
  </si>
  <si>
    <t>GM Pharma Compresor | 1.2.1. | ჯი ემ ფარმასიუთიქალს  | 12,000.00 USD | 12.07.2024</t>
  </si>
  <si>
    <t>Service 2025 | 1.2.3. | გთემ ჰოსფითალითი გრუპ  | 6,000.00 GEL | 03.02.2025</t>
  </si>
  <si>
    <t>Zara City Mall Elevator Details | 1.1.3. | Spanish Retail Georgia  | 2,100.00 GEL | 14.02.2024</t>
  </si>
  <si>
    <t>Tbilisi Gardens Oth | 1.1.3. | BD Property  | 1,400.00 GEL | 18.10.2024</t>
  </si>
  <si>
    <t>Card System | 1.1.3. | ჯეო ჰოსპიტალს  | 3,500.00 GEL | 10.02.2025</t>
  </si>
  <si>
    <t>Archi Isani C1 Repair | 1.1.3. | ისანი ც სერვისი 1  | 400.00 GEL | 15.01.2025</t>
  </si>
  <si>
    <t>Kaklebi Oth | 1.1.3. | ევროპროდუქტი  | 500.00 USD | 22.02.2024</t>
  </si>
  <si>
    <t>IBIS Perov Oth | 1.1.3. | ბეტა ჰოთელს  | 3,888.00 USD | 30.12.2023</t>
  </si>
  <si>
    <t>Modus Oth | 1.1.3. | მოდუსი  | 260.00 USD | 01.09.2023</t>
  </si>
  <si>
    <t>Deka Digomi Oth | 1.1.3. | დეკა დიდი დიღომი  | 1,300.00 GEL | 22.04.2024</t>
  </si>
  <si>
    <t>Sunrise Shartava Oth | 1.1.3. | სანრაიზ დეველოპმენტი  | 1,237.00 USD | 23.11.2024</t>
  </si>
  <si>
    <t>Shatberashvili 45 Oth | 1.1.3. | შატბერაშვილის 45  | 750.00 GEL | 27.11.2024</t>
  </si>
  <si>
    <t>Khimshiashvili Apartment | 1.1.1. | ხიმშიაშვილი ზურა  | 36,500.00 USD | 06.12.2024</t>
  </si>
  <si>
    <t>Arte Kerchi | 1.1.1. | არტე ქერჩი  | 66,200.00 USD | 25.06.2024</t>
  </si>
  <si>
    <t>Bloom Bagebi | 1.1.1. | ირ.აბაშიძე 555  | 90,500.00 USD | 11.02.2025</t>
  </si>
  <si>
    <t>Irigio | 1.1.1. | ირიგიო  | 48,530.00 USD | 29.11.2024</t>
  </si>
  <si>
    <t>Air Conditioner | 1.2.1. | Technolux LLC  | 109,684.00 USD | 29.05.2023</t>
  </si>
  <si>
    <t>Galleria Service | 1.1.2. | გალერია თბილისი  | 300.00 USD | 30.11.2024</t>
  </si>
  <si>
    <t>Dar Tower Oth | 1.1.3. | Dar Building  | 400.00 GEL | 14.03.2024</t>
  </si>
  <si>
    <t>DAVINCHI | 1.1.1. | დავინჩი  | 87,050.00 USD | 10.09.2024</t>
  </si>
  <si>
    <t>Telegraph AHU | 1.2.1. | დნთ ქონსთრაქშენ  | 178,165.00 EUR | 01.04.2024</t>
  </si>
  <si>
    <t>Gelift | 1.1.1. | ჯელიფტი +  | 34,650.00 USD | 23.09.2024</t>
  </si>
  <si>
    <t>Office Conditioners | 1.2.1. | თამარ ჩუბინიძე  | 2,300.00 USD | 01.05.2024</t>
  </si>
  <si>
    <t>Ramada Plaza | 1.1.2. | დარ ინვესტი  | 708.00 USD | 01.10.2024</t>
  </si>
  <si>
    <t>Air Conditioner | 1.2.1. | ზურაბი ლომიძე  | 600.00 USD | 16.10.2024</t>
  </si>
  <si>
    <t>DG Construction | 1.1.1. | დჯ მშენებლობა  | 20,000.00 USD | 10.02.2025</t>
  </si>
  <si>
    <t>Air Conditioner | 1.2.1. | ელირან ტრაბელსი  | 950.00 GEL | 09.12.2024</t>
  </si>
  <si>
    <t>Air Conditioner | 1.2.1. | ლეონოვა ანნა  | 950.00 GEL | 18.07.2024</t>
  </si>
  <si>
    <t>Air Conditioner | 1.2.1. | გიორგი სულაბერიძე  | 5,000.00 GEL | 14.06.2024</t>
  </si>
  <si>
    <t>Air Conditioner | 1.2.1. | ირაკლი მიქელაძე  | 6,450.00 GEL | 14.06.2024</t>
  </si>
  <si>
    <t>Air Conditioner | 1.2.1. | მიხაილ უდოვკინ  | 2,855.00 USD | 02.02.2024</t>
  </si>
  <si>
    <t>Air Conditioner | 1.2.1. | ოლგა ბეზბაბნიჯა  | 950.00 GEL | 22.01.2025</t>
  </si>
  <si>
    <t>Air Conditioner | 1.2.1. | ზაზა კვიციანი  | 2,850.00 GEL | 20.11.2024</t>
  </si>
  <si>
    <t>Air Conditioner | 1.2.1. | ეკატერინე გოგია  | 950.00 GEL | 03.10.2024</t>
  </si>
  <si>
    <t>Air Conditioner | 1.2.1. | დავით გოზალიშვილი  | 1,800.00 GEL | 10.05.2024</t>
  </si>
  <si>
    <t>Panorama | 1.1.1. | იდეა ქონსთრაქშენი  | 233,110.00 USD | 26.02.2025</t>
  </si>
  <si>
    <t>Air Conditioner | 1.2.1. | ოლეგ კაპლიევ  | 4,545.00 USD | 19.02.2025</t>
  </si>
  <si>
    <t>Air Conditioner | 1.2.1. | ანა კომახიძე  | 850.00 GEL | 11.02.2025</t>
  </si>
  <si>
    <t>Digomi 2B Service | 1.1.2. | არქი მეინთენენს  | 350.00 GEL | 01.02.2025</t>
  </si>
  <si>
    <t>Park Home Galleria | 1.1.3. | ანაგი დეველოპმენტი 1  | 500.00 USD | 01.03.2025</t>
  </si>
  <si>
    <t>Kvareli Ballrom | 1.2.1. | ინდეკო  | 15,000.00 USD | 01.02.2025</t>
  </si>
  <si>
    <t>Air Conditioner | 1.2.1. | ფალლაჰა მონა  | 850.00 GEL | 28.02.2025</t>
  </si>
  <si>
    <t>Archi Isani D Block | 1.1.2. | არქი მეინთენენს  | 400.00 USD | 01.02.2025</t>
  </si>
  <si>
    <t>Saburtalo C Block | 1.1.2. | არქი მეინთენენს  | 200.00 USD | 01.02.2025</t>
  </si>
  <si>
    <t>Archi Isani C Block | 1.1.2. | არქი მეინთენენს  | 200.00 USD | 01.02.2025</t>
  </si>
  <si>
    <t>Samzeo Service | 1.1.2. | სამზეო ყვარელი  | 205.00 USD | 01.01.2025</t>
  </si>
  <si>
    <t>Pekini Service | 1.1.2. | პეკინის სასტუმრო  | 450.00 USD | 01.01.2025</t>
  </si>
  <si>
    <t>Pult | 1.2.1. | მაია ჩავლეიშვილი  | 350.00 GEL | 11.02.2025</t>
  </si>
  <si>
    <t>Air Conditioner | 1.2.1. | ანტონ ვორონინი  | 700.00 USD | 28.02.2025</t>
  </si>
  <si>
    <t>Telavi Mall | 1.1.1. | მპ დეველოპმენტი  | 47,000.00 USD | 31.01.2025</t>
  </si>
  <si>
    <t>Delisi Oth | 1.1.3. | ბიზნეს ცენტრი დელისი  | 375.00 GEL | 17.02.2025</t>
  </si>
  <si>
    <t>Telegraph Fancoils | 1.2.1. | DT MUHENDISLIK VE TAAHHUT A.S.  | 175,247.00 EUR | 22.09.2023</t>
  </si>
  <si>
    <t>Telegraph Chiller | 1.2.1. | DT MUHENDISLIK VE TAAHHUT A.S.  | 311,588.00 EUR | 27.03.2024</t>
  </si>
  <si>
    <t>Social Houses Batumi | 1.1.1. | ანაგი  | 201,200.00 USD | 28.02.2025</t>
  </si>
  <si>
    <t>Bagebi Service | 1.1.3. | ეკატერინე ელისაბედაშვილი  | 1,500.00 GEL | 21.03.2025</t>
  </si>
  <si>
    <t>ZYGMA | 1.1.1. | ზ-გრუპ  | 524,300.00 USD | 10.03.2025</t>
  </si>
  <si>
    <t>Batumi Central Install | 1.1.1. | ბათუმი ცენტრალი  | 9,132.00 USD | 18.06.2024</t>
  </si>
  <si>
    <t>UNIX MARSEL Repair | 1.1.3. | ფრანგული უბანი ფრანგული უბნის "დ" და "ე" ბლოკების ამხანაგობა  | 500.00 GEL | 22.03.2025</t>
  </si>
  <si>
    <t>MTZ Service | 1.1.2. | მტზ კომპანი  | 600.00 USD | 01.02.2025</t>
  </si>
  <si>
    <t>Didi Digomi 2B | 1.1.2. | არქი მეინთენენს  | 300.00 USD | 01.02.2025</t>
  </si>
  <si>
    <t>Didi Digomi 2C | 1.1.2. | არქი მეინთენენს  | 300.00 USD | 01.02.2025</t>
  </si>
  <si>
    <t>Didi Digomi 2D | 1.1.2. | არქი მეინთენენს  | 300.00 USD | 01.02.2025</t>
  </si>
  <si>
    <t>Central Platform | 1.2.1. | თბილისი ცენტრალი  | 582,553.50 USD | 04.04.2025</t>
  </si>
  <si>
    <t>University Transportation | 1.1.1. | ნიუ გრუპ მაღლივი  | 3,500.00 GEL | 03.04.2025</t>
  </si>
  <si>
    <t>Air Conditioner | 1.2.1. | კახა ვარდიაშვილი  | 1,480.00 GEL | 01.04.2025</t>
  </si>
  <si>
    <t>Air Conditioner | 1.2.1. | მაიკლი ნაუმოვი  | 1,900.00 GEL | 01.04.2025</t>
  </si>
  <si>
    <t>Air Conditioner | 1.2.1. | გიორგი ხონელია  | 1,900.00 GEL | 01.04.2025</t>
  </si>
  <si>
    <t>Facade Lifts | 1.1.1. | ანაგი მექანიზაცია  | 397,794.00 USD | 27.03.2025</t>
  </si>
  <si>
    <t>Nami | 1.1.1. | ნამი 2024  | 66,150.00 USD | 16.04.2025</t>
  </si>
  <si>
    <t>Radisson Red HVAC Service | 1.2.2. | ტელეგრაფი  | 6,930.00 GEL | 29.05.2024</t>
  </si>
  <si>
    <t>Holiday Inn Oth | 1.1.3. | ლაიქ ჰაუსი  | 8,150.00 USD | 01.04.2025</t>
  </si>
  <si>
    <t>DAVINCHI Oth | 1.1.1. | დავინჩი  | 1,590.45 GEL | 01.04.2025</t>
  </si>
  <si>
    <t>Neo Gudauri Serv | 1.1.2. | ნეო გუდაური  | 1,400.00 USD | 01.02.2025</t>
  </si>
  <si>
    <t>Dry Port Office | 1.2.1. | თბილისი დრაი პორტი  | 160,000.00 GEL | 01.04.2025</t>
  </si>
  <si>
    <t>Tegeta Other Repair | 1.2.3. | თეგეტა მოტორსი  | 3,160.00 GEL | 22.04.2025</t>
  </si>
  <si>
    <t>Control System | 1.2.3. | თბილისი ცენტრალი  | 1,600.00 USD | 24.04.2025</t>
  </si>
  <si>
    <t>Shartava LG | 1.1.1. | მეპერსი  | 15,000.00 USD | 01.04.2025</t>
  </si>
  <si>
    <t>Lift Buttons | 1.1.3. | ბეტა ჰოთელს  | 500.00 GEL | 01.05.2025</t>
  </si>
  <si>
    <t>Kvareli Wine Factory | 1.2.1. | ინდეკო სი ემ   | 36,547.70 USD | 01.05.2025</t>
  </si>
  <si>
    <t>Kutaisi McDonalds | 1.2.1. | თბილი სახლი  | 94,315.00 EUR | 27.02.2025</t>
  </si>
  <si>
    <t>Doors Repair | 1.1.1. | ლაიქ ჰაუსი  | 10,318.00 USD | 01.05.2025</t>
  </si>
  <si>
    <t>Grande Krtsanisi D &amp; E Block | 1.1.1. | გრანდე ჯგუფი  | 235,060.00 USD | 13.05.2025</t>
  </si>
  <si>
    <t>Grishashvili | 1.1.1. | მშენებელი 2004  | 50,000.00 USD | 22.05.2025</t>
  </si>
  <si>
    <t>Telegraph Ahu Additional | 1.2.1. | დნთ ქონსთრაქშენ  | 28,000.00 EUR | 14.05.2025</t>
  </si>
  <si>
    <t>Kvareli Fans | 1.2.1. | ინდეკო  | 5,806.00 EUR | 21.05.2025</t>
  </si>
  <si>
    <t>Art House Repair | 1.1.3. | ანაგი არტ ჰაუსი  | 500.00 USD | 11.03.2025</t>
  </si>
  <si>
    <t>Kutaisi Rooftop Launch | 1.2.3. | თბილი სახლი  | 5,500.00 GEL | 01.05.2025</t>
  </si>
  <si>
    <t>Varketili Mall | 1.1.1. | მეტრო ჰოლდინგი  | 339,800.00 USD | 29.05.2025</t>
  </si>
  <si>
    <t>Uznadze Office | 1.1.1. | ტოკიო ჰოტელ  | 94,000.00 USD | 01.05.2025</t>
  </si>
  <si>
    <t>Archi Isani C Repair | 1.1.3. | არქი მეინთენენს  | 1,400.00 GEL | 07.05.2025</t>
  </si>
  <si>
    <t>Galeria Repair | 1.1.3. | გალერია თბილისი  | 400.00 GEL | 10.04.2025</t>
  </si>
  <si>
    <t>Sakeni | 1.1.1. | საკენი ბიოგრაფი  | 26,680.00 USD | 21.05.2025</t>
  </si>
  <si>
    <t>Fire Cabinet | 1.2.1. | 1920  | 3,835.00 USD | 18.06.2019</t>
  </si>
  <si>
    <t>Accor Avlabari | 1.1.1. | მეპერსი  | 30,000.00 USD | 01.06.2025</t>
  </si>
  <si>
    <t>Lisi Development 6 units | 1.1.1. | მეპერსი  | 10,000.00 USD | 01.01.2024</t>
  </si>
  <si>
    <t>Compressors 2025 | 1.2.1. | ტელეგრაფი  | 4,040.00 USD | 27.05.2025</t>
  </si>
  <si>
    <t>Lisi VRF | 1.2.1. | ნინო თავამაიშვილი  | 8,720.00 USD | 27.05.2025</t>
  </si>
  <si>
    <t>Fotosell | 1.1.3. | ნეო გუდაური  | 1,000.00 GEL | 30.05.2025</t>
  </si>
  <si>
    <t>Door threshold | 1.1.3. | Dar Building  | 3,000.00 GEL | 19.06.2023</t>
  </si>
  <si>
    <t>Compressors 2025 | 1.2.1. | ტელეგრაფი  | 4,040.00 USD | 01.06.2025</t>
  </si>
  <si>
    <t>Container Unloading | 1.1.1. | დეკა ვერონა  | 900.00 USD | 24.11.2024</t>
  </si>
  <si>
    <t>Kutaisi Parliament | 1.2.1. | თბილი სახლი  | 84,565.00 USD | 14.01.2025</t>
  </si>
  <si>
    <t>Vehicle Service | 1.2.1. | თბილისი დრაი პორტი  | 16,491.00 GEL | 05.06.2025</t>
  </si>
  <si>
    <t>Gardens Oth | 1.1.3. | მზიური რეზორტ  | 770.00 GEL | 29.05.2025</t>
  </si>
  <si>
    <t>Zara Escalator Repair | 1.1.3. | Spanish Retail Georgia  | 4,600.00 GEL | 01.06.2025</t>
  </si>
  <si>
    <t>Card System Adaptation | 1.1.3. | ორბი ჯგუფი ბათუმი  | 99,619.50 USD | 16.06.2025</t>
  </si>
  <si>
    <t>Mardi Hills Unloading | 1.1.1. | მარდი ჰილსი  | 3,100.00 GEL | 01.08.2024</t>
  </si>
  <si>
    <t>King Parnavaz Service | 1.1.2. | ფარნავაზ მეფის # 62  | 300.00 GEL | 01.12.2024</t>
  </si>
  <si>
    <t>Art House Service | 1.1.2. | ანაგი არტ ჰაუსი  | 100.00 USD | 13.05.2025</t>
  </si>
  <si>
    <t>Heat Pump | 1.2.1. | DECRIPT CJSC  | 4,400.00 USD | 06.09.2025</t>
  </si>
  <si>
    <t>Kvareli Termostat Check | 1.2.1. | ინდეკო სი ემ   | 1,000.00 GEL | 01.11.2024</t>
  </si>
  <si>
    <t>Vake Ramishvili Refregerant | 1.2.1. | ინდეკო სი ემ   | 6,100.00 GEL | 01.10.2024</t>
  </si>
  <si>
    <t>Kvareli Staff House Elevator | 1.1.1. | ინდეკო სი ემ   | 24,300.00 USD | 01.05.2025</t>
  </si>
  <si>
    <t>Chkondideli Repair 21 UNITS | 1.1.1. | ოპტიმა  | 1,087,440.00 USD | 08.07.2025</t>
  </si>
  <si>
    <t>Chkondideli Repair 2 UNITS | 1.1.1. | ოპტიმა  | 123,120.00 EUR | 08.07.2025</t>
  </si>
  <si>
    <t>Varazi 99 D | 1.2.2. | ბენე კომფორტი  | 200.00 USD | 10.05.2025</t>
  </si>
  <si>
    <t>1TV Service | 1.2.1. | თბილი სახლი  | 1,200.00 USD | 15.05.2025</t>
  </si>
  <si>
    <t>Additional Shafts | 1.1.1. | ავენიუ ბაი ორბი  | 50,480.00 USD | 02.07.2025</t>
  </si>
  <si>
    <t>Arken Service | 1.2.3. | თბილისი დრაი პორტი  | 2,800.00 USD | 29.05.2025</t>
  </si>
  <si>
    <t>Building Elevator Rent | 1.1.1. | ანაგი  | 51,000.00 GEL | 14.07.2025</t>
  </si>
  <si>
    <t>Ali Batumi | 1.2.1. | Malsi  | 12,585.00 USD | 15.07.2025</t>
  </si>
  <si>
    <t>Zara Escalator Repair | 1.1.3. | Spanish Retail Georgia  | 4,600.00 GEL | 08.07.2025</t>
  </si>
  <si>
    <t>Gordeziani Rustavi | 1.1.2. | თეკლე გორდეზიანი  | 600.00 GEL | 30.04.2021</t>
  </si>
  <si>
    <t>Wedding Hall Reconstruction | 1.1.1. | მოდუსი  | 9,300.00 USD | 23.06.2025</t>
  </si>
  <si>
    <t>Nutsubidze Service | 1.1.2. | სფერა  | 500.00 USD | 01.06.2025</t>
  </si>
  <si>
    <t>Gergeti Str | 1.1.1. | ჰილ საიდ დეველოპმენთ  | 106,000.00 USD | 25.07.2025</t>
  </si>
  <si>
    <t>Renault Center Design | 1.2.1. | ფრანს ავტო  | 2,500.00 GEL | 22.07.2025</t>
  </si>
  <si>
    <t>BMW CENTER | 1.1.1. | ჯი-თი მოტორს  | 104,480.00 EUR | 28.07.2025</t>
  </si>
  <si>
    <t>BMW CENTER (2) | 1.1.1. | ჯი-თი მოტორს  | 417,080.00 EUR | 28.07.2025</t>
  </si>
  <si>
    <t>BMW CENTER (3) | 1.1.1. | ჯი-თი მოტორს  | 11,340.00 EUR | 28.07.2025</t>
  </si>
  <si>
    <t>Mitsubishi VRF | 1.2.3. | ინდეკო ჰოსფითალითი  | 1,050.00 GEL | 30.07.2025</t>
  </si>
  <si>
    <t>HGI Heat Pump Mbus | 1.2.1. | მეპერსი  | 10,807.36 USD | 13.10.2021</t>
  </si>
  <si>
    <t>Fancoil | 1.2.1. | მეპერსი  | 1,124.53 USD | 13.06.2022</t>
  </si>
  <si>
    <t>HIEX (EUR) | 1.2.1. | მეპერსი  | 34,167.15 EUR | 01.03.2021</t>
  </si>
  <si>
    <t>Kvariati FLS | 1.2.1. | მეპერსი  | 11,189.02 EUR | 10.05.2024</t>
  </si>
  <si>
    <t>Scaffolding Rent | 1.3.2. | მეპერსი  | 1,800.00 GEL | 22.01.2025</t>
  </si>
  <si>
    <t>Rustavi Mall Glass | 1.2.3. | მპ დეველოპმენტი  | 960.00 GEL | 01.07.2025</t>
  </si>
  <si>
    <t>Joints | 1.2.1. | მეპერსი  | 595.84 GEL | 04.04.2024</t>
  </si>
  <si>
    <t>Beach Tower Service | 1.2.1. | მეპერსი  | 3,849.00 GEL | 01.12.2020</t>
  </si>
  <si>
    <t>Chakhrukhadze Service | 1.2.3. | ინდეკო ჰოსფითალითი  | 2,000.00 GEL | 21.05.2025</t>
  </si>
  <si>
    <t>Next Tbilisi Downtown | 1.1.1. | ნექსთ ფროფერთი  | 200,340.00 USD | 11.08.2025</t>
  </si>
  <si>
    <t>2 Firebox Installation | 1.2.1. | თბილისი დრაი პორტი  | 2,914.00 GEL | 12.08.2025</t>
  </si>
  <si>
    <t>Telegraph Hotel Humidifier | 1.2.1. | დნთ ქონსთრაქშენ  | 2,040.00 USD | 01.07.2025</t>
  </si>
  <si>
    <t>Chkonia Elevator Service | 1.1.2. | სახლი ძველ ბათუმში  | 100.00 USD | 01.07.2025</t>
  </si>
  <si>
    <t>Kobuleti Garden Inn Other | 1.1.3. | იოსებ გუნთაიშვილი  | 300.00 GEL | 14.08.2025</t>
  </si>
  <si>
    <t>Foris Suits | 1.1.1. | ფორის დეველოპმენტი  | 152,170.00 USD | 01.08.2025</t>
  </si>
  <si>
    <t>BOQ Vake Restaurant | 1.2.1. | ინდეკო სი ემ   | 92,605.45 USD | 06.08.2025</t>
  </si>
  <si>
    <t>Isani D Block Door Engine | 1.1.3. | არქი მეინთენენს  | 800.00 USD | 20.03.2025</t>
  </si>
  <si>
    <t>Gallery Reprogramming | 1.2.1. | კამ  | 20,234.84 GEL | 27.08.2025</t>
  </si>
  <si>
    <t>VRF | 1.2.1. | ნინო თავამაიშვილი  | 8,720.00 USD | 27.05.2025</t>
  </si>
  <si>
    <t>Escalator Step | 1.1.3. | გრანდ მოლი  | 1,350.00 GEL | 26.08.2025</t>
  </si>
  <si>
    <t>A &amp; B Block Doors | 1.1.3. | ლაიქ ჰაუსი  | 3,960.00 USD | 23.06.2025</t>
  </si>
  <si>
    <t>Deka Lisi | 1.1.1. | დეკა ლისი  | 140,500.00 USD | 13.08.2025</t>
  </si>
  <si>
    <t>Varazi 99 | 1.1.2. | თამარ ანდრიაძე  | 200.00 USD | 10.06.2025</t>
  </si>
  <si>
    <t>Kart | 1.2.3. | მეპერსი  | 920.00 USD | 01.08.2025</t>
  </si>
  <si>
    <t>Additional Steel Works | 1.1.1. | ავენიუ ბაი ორბი  | 30,000.00 USD | 01.09.2025</t>
  </si>
  <si>
    <t>Varketili Mall HVAC | 1.2.1. | მეტრო ჰოლდინგი  | 6,011,672.50 USD | 01.09.2025</t>
  </si>
  <si>
    <t>Arte Kerchi Service | 1.1.2. | არტე ქერჩი  | 200.00 USD | 01.08.2025</t>
  </si>
  <si>
    <t>Tadzris 22 Areali | 1.1.2. | ირინე ხახუტაიშვილი  | 300.00 USD | 01.08.2025</t>
  </si>
  <si>
    <t>Millenio | 1.1.1. | მეპერსი  | 10,000.00 USD | 20.09.2025</t>
  </si>
  <si>
    <t>Renault Center | 1.2.1. | ფრანს ავტო  | 117,350.00 USD | 10.09.2025</t>
  </si>
  <si>
    <t>Freight Elevator Parts | 1.1.3. | გალერია თბილისი  | 5,025.00 USD | 10.09.2025</t>
  </si>
  <si>
    <t>Walls Bakuriani | 1.1.1. | ვოლსი ბაკურიანი  | 25,850.00 USD | 01.09.2025</t>
  </si>
  <si>
    <t>Mitsubishi Multisplits | 1.2.3. | ლევანი მახათაძე  | 3,800.00 GEL | 02.09.2025</t>
  </si>
  <si>
    <t>TELEGRAPH FCU MOTOR | 1.2.1. | დნთ ქონსთრაქშენ  | 6,750.00 USD | 26.06.2025</t>
  </si>
  <si>
    <t>ICETERRA | 1.2.1. | აისტერრა  | 23,520.00 USD | 09.09.2025</t>
  </si>
  <si>
    <t>Kvareli Gallery | 1.2.1. | ინდეკო სი ემ   | 795,000.00 USD | 01.09.2025</t>
  </si>
  <si>
    <t>Lisi Trio Facade Elevators | 1.1.1. | ლისი თაურსი  | 50,000.00 USD | 01.09.2025</t>
  </si>
  <si>
    <t>Urbanique | 1.1.1. | ურბანუს მზიური  | 155,000.00 USD | 05.10.2025</t>
  </si>
  <si>
    <t>Display repair | 1.1.3. | თეა მაღალდაძე  | 300.00 GEL | 05.09.2025</t>
  </si>
  <si>
    <t>Impeller | 1.2.3. | დნთ ქონსთრაქშენ  | 941.00 USD | 17.09.2025</t>
  </si>
  <si>
    <t>Park Home Repair | 1.1.3. | ნუცუბიძე  | 1,700.00 USD | 01.10.2025</t>
  </si>
  <si>
    <t>Alliance Highline Additional | 1.1.1. | ალიანსი თბილისი  | 77,000.00 USD | 03.10.2025</t>
  </si>
  <si>
    <t>Lisi Green Apartments 2 | 1.1.1. | გრინ დეველოპმენტი  | 60,810.00 USD | 10.10.2025</t>
  </si>
  <si>
    <t>Panel repair | 1.1.3. | ეიესჯისოფტ  | 783.00 GEL | 01.10.2025</t>
  </si>
  <si>
    <t>Sunrise Palace Reconstruction | 1.1.1. | სანრაიზ პალასი  | 11,597.00 USD | 20.10.2025</t>
  </si>
  <si>
    <t>Pipes &amp; VRF System | 1.2.1. | მეპერსი  | 67,988.32 GEL | 20.10.2025</t>
  </si>
  <si>
    <t>Ambassador Goderdzi AHU Panels | 1.2.1. | ამბასადორი ბათუმი  | 59,200.00 USD | 22.07.2025</t>
  </si>
  <si>
    <t>Block 5 | 1.1.2. | ნიუ გუდაური ბლოკ 5  | 600.00 USD | 01.11.2025</t>
  </si>
  <si>
    <t>Maza Development | 1.1.1. | მაზა  | 300,000.00 USD | 23.10.2025</t>
  </si>
  <si>
    <t>Shalva Nutsubidze Service | 1.1.2. | პროპერთი ინვესტ გრუპ  | 900.00 GEL | 01.10.2025</t>
  </si>
  <si>
    <t>Shatberashvili 45 Service | 1.1.2. | შატბერაშვილის 45  | 300.00 GEL | 01.10.2025</t>
  </si>
  <si>
    <t>Sandro Euli Serv | 1.1.2. | ვოლსი საბურთალო  | 450.00 GEL | 01.11.2025</t>
  </si>
  <si>
    <t>ASGSoft Service | 1.1.2. | ეიესჯისოფტ  | 300.00 GEL | 01.10.2025</t>
  </si>
  <si>
    <t>Gudauri Lofts | 1.1.2. | ნიუ გუდაური ლოფტები  | 800.00 USD | 01.11.2025</t>
  </si>
  <si>
    <t>Lagidze | 1.1.1. | ნიუ ჰაუსი  | 300,280.00 EUR | 14.11.2025</t>
  </si>
  <si>
    <t>Next Downtown 2 | 1.1.1. | ნექსთ ფროფერთი+  | 247,120.00 USD | 19.11.2025</t>
  </si>
  <si>
    <t>Next D &amp; E Blocks | 1.1.1. | ნექსთ ფროფერთი+  | 247,120.00 USD | 18.11.2025</t>
  </si>
  <si>
    <t>Doors Lifting | 1.1.3. | დიღომი 3  | 1,080.00 USD | 27.11.2025</t>
  </si>
  <si>
    <t/>
  </si>
  <si>
    <t>#N/A</t>
  </si>
  <si>
    <t>ნომერი</t>
  </si>
  <si>
    <t>ICE1</t>
  </si>
  <si>
    <t>ICE2</t>
  </si>
  <si>
    <t>ICE3</t>
  </si>
  <si>
    <t>ICE4</t>
  </si>
  <si>
    <t>ICE5</t>
  </si>
  <si>
    <t>ICE6</t>
  </si>
  <si>
    <t>ICE7</t>
  </si>
  <si>
    <t>ICE8</t>
  </si>
  <si>
    <t>ICE9</t>
  </si>
  <si>
    <t>ICE10</t>
  </si>
  <si>
    <t>ICE11</t>
  </si>
  <si>
    <t>ICE12</t>
  </si>
  <si>
    <t>ICE13</t>
  </si>
  <si>
    <t>ICE14</t>
  </si>
  <si>
    <t>ICE15</t>
  </si>
  <si>
    <t>ICE16</t>
  </si>
  <si>
    <t>ICE17</t>
  </si>
  <si>
    <t>ICE18</t>
  </si>
  <si>
    <t>ICE19</t>
  </si>
  <si>
    <t>ICE20</t>
  </si>
  <si>
    <t>ICE21</t>
  </si>
  <si>
    <t>ICE22</t>
  </si>
  <si>
    <t>ICE23</t>
  </si>
  <si>
    <t>ICE24</t>
  </si>
  <si>
    <t>ICE25</t>
  </si>
  <si>
    <t>ICE26</t>
  </si>
  <si>
    <t>ICE27</t>
  </si>
  <si>
    <t>ICE28</t>
  </si>
  <si>
    <t>ICE29</t>
  </si>
  <si>
    <t>ICE30</t>
  </si>
  <si>
    <t>ICE31</t>
  </si>
  <si>
    <t>ICE32</t>
  </si>
  <si>
    <t>ICE33</t>
  </si>
  <si>
    <t>ICE34</t>
  </si>
  <si>
    <t>ICE35</t>
  </si>
  <si>
    <t>ICE36</t>
  </si>
  <si>
    <t>ICE37</t>
  </si>
  <si>
    <t>ICE38</t>
  </si>
  <si>
    <t>ICE39</t>
  </si>
  <si>
    <t>ICE40</t>
  </si>
  <si>
    <t>ICE41</t>
  </si>
  <si>
    <t>ICE42</t>
  </si>
  <si>
    <t>ICE43</t>
  </si>
  <si>
    <t>ICE44</t>
  </si>
  <si>
    <t>ICE45</t>
  </si>
  <si>
    <t>ICE46</t>
  </si>
  <si>
    <t>ICE47</t>
  </si>
  <si>
    <t>ICE48</t>
  </si>
  <si>
    <t>ICE49</t>
  </si>
  <si>
    <t>ICE50</t>
  </si>
  <si>
    <t>ICE51</t>
  </si>
  <si>
    <t>ICE52</t>
  </si>
  <si>
    <t>ICE53</t>
  </si>
  <si>
    <t>ICE54</t>
  </si>
  <si>
    <t>ICE55</t>
  </si>
  <si>
    <t>ICE56</t>
  </si>
  <si>
    <t>ICE57</t>
  </si>
  <si>
    <t>ICE58</t>
  </si>
  <si>
    <t>ICE59</t>
  </si>
  <si>
    <t>ICE60</t>
  </si>
  <si>
    <t>ICE61</t>
  </si>
  <si>
    <t>ICE62</t>
  </si>
  <si>
    <t>ICE63</t>
  </si>
  <si>
    <t>ICE64</t>
  </si>
  <si>
    <t>ICE65</t>
  </si>
  <si>
    <t>ICE66</t>
  </si>
  <si>
    <t>ICE67</t>
  </si>
  <si>
    <t>ICE68</t>
  </si>
  <si>
    <t>ICE69</t>
  </si>
  <si>
    <t>ICE70</t>
  </si>
  <si>
    <t>ICE71</t>
  </si>
  <si>
    <t>ICE72</t>
  </si>
  <si>
    <t>ICE73</t>
  </si>
  <si>
    <t>ICE74</t>
  </si>
  <si>
    <t>ICE75</t>
  </si>
  <si>
    <t>ICE76</t>
  </si>
  <si>
    <t>ICE77</t>
  </si>
  <si>
    <t>ICE78</t>
  </si>
  <si>
    <t>ICE79</t>
  </si>
  <si>
    <t>ICE80</t>
  </si>
  <si>
    <t>ICE81</t>
  </si>
  <si>
    <t>ICE82</t>
  </si>
  <si>
    <t>ICE83</t>
  </si>
  <si>
    <t>ICE84</t>
  </si>
  <si>
    <t>ICE85</t>
  </si>
  <si>
    <t>ICE86</t>
  </si>
  <si>
    <t>ICE87</t>
  </si>
  <si>
    <t>ICE88</t>
  </si>
  <si>
    <t>ICE89</t>
  </si>
  <si>
    <t>ICE90</t>
  </si>
  <si>
    <t>ICE91</t>
  </si>
  <si>
    <t>ICE92</t>
  </si>
  <si>
    <t>ICE93</t>
  </si>
  <si>
    <t>ICE94</t>
  </si>
  <si>
    <t>ICE95</t>
  </si>
  <si>
    <t>ICE96</t>
  </si>
  <si>
    <t>ICE97</t>
  </si>
  <si>
    <t>ICE98</t>
  </si>
  <si>
    <t>ICE99</t>
  </si>
  <si>
    <t>ICE100</t>
  </si>
  <si>
    <t>ICE101</t>
  </si>
  <si>
    <t>ICE102</t>
  </si>
  <si>
    <t>ICE103</t>
  </si>
  <si>
    <t>ICE104</t>
  </si>
  <si>
    <t>ICE105</t>
  </si>
  <si>
    <t>ICE106</t>
  </si>
  <si>
    <t>ICE107</t>
  </si>
  <si>
    <t>ICE108</t>
  </si>
  <si>
    <t>ICE109</t>
  </si>
  <si>
    <t>ICE110</t>
  </si>
  <si>
    <t>ICE111</t>
  </si>
  <si>
    <t>ICE112</t>
  </si>
  <si>
    <t>ICE113</t>
  </si>
  <si>
    <t>ICE114</t>
  </si>
  <si>
    <t>ICE115</t>
  </si>
  <si>
    <t>ICE116</t>
  </si>
  <si>
    <t>ICE117</t>
  </si>
  <si>
    <t>ICE118</t>
  </si>
  <si>
    <t>ICE119</t>
  </si>
  <si>
    <t>ICE120</t>
  </si>
  <si>
    <t>ICE121</t>
  </si>
  <si>
    <t>ICE122</t>
  </si>
  <si>
    <t>ICE123</t>
  </si>
  <si>
    <t>ICE124</t>
  </si>
  <si>
    <t>ICE125</t>
  </si>
  <si>
    <t>ICE126</t>
  </si>
  <si>
    <t>ICE127</t>
  </si>
  <si>
    <t>ICE128</t>
  </si>
  <si>
    <t>ICE129</t>
  </si>
  <si>
    <t>ICE130</t>
  </si>
  <si>
    <t>ICE131</t>
  </si>
  <si>
    <t>ICE132</t>
  </si>
  <si>
    <t>ICE133</t>
  </si>
  <si>
    <t>ICE134</t>
  </si>
  <si>
    <t>ICE135</t>
  </si>
  <si>
    <t>ICE136</t>
  </si>
  <si>
    <t>ICE137</t>
  </si>
  <si>
    <t>ICE138</t>
  </si>
  <si>
    <t>ICE139</t>
  </si>
  <si>
    <t>ICE140</t>
  </si>
  <si>
    <t>ICE141</t>
  </si>
  <si>
    <t>ICE142</t>
  </si>
  <si>
    <t>ICE143</t>
  </si>
  <si>
    <t>ICE144</t>
  </si>
  <si>
    <t>ICE145</t>
  </si>
  <si>
    <t>ICE146</t>
  </si>
  <si>
    <t>ICE147</t>
  </si>
  <si>
    <t>ICE148</t>
  </si>
  <si>
    <t>ICE149</t>
  </si>
  <si>
    <t>ICE150</t>
  </si>
  <si>
    <t>ICE151</t>
  </si>
  <si>
    <t>ICE152</t>
  </si>
  <si>
    <t>ICE153</t>
  </si>
  <si>
    <t>ICE154</t>
  </si>
  <si>
    <t>ICE155</t>
  </si>
  <si>
    <t>ICE156</t>
  </si>
  <si>
    <t>ICE157</t>
  </si>
  <si>
    <t>ICE158</t>
  </si>
  <si>
    <t>ICE159</t>
  </si>
  <si>
    <t>ICE160</t>
  </si>
  <si>
    <t>ICE161</t>
  </si>
  <si>
    <t>ICE162</t>
  </si>
  <si>
    <t>ICE163</t>
  </si>
  <si>
    <t>ICE164</t>
  </si>
  <si>
    <t>ICE165</t>
  </si>
  <si>
    <t>ICE166</t>
  </si>
  <si>
    <t>ICE167</t>
  </si>
  <si>
    <t>ICE168</t>
  </si>
  <si>
    <t>ICE169</t>
  </si>
  <si>
    <t>ICE170</t>
  </si>
  <si>
    <t>ICE171</t>
  </si>
  <si>
    <t>ICE172</t>
  </si>
  <si>
    <t>ICE173</t>
  </si>
  <si>
    <t>ICE174</t>
  </si>
  <si>
    <t>ICE175</t>
  </si>
  <si>
    <t>ICE176</t>
  </si>
  <si>
    <t>ICE177</t>
  </si>
  <si>
    <t>ICE178</t>
  </si>
  <si>
    <t>ICE180</t>
  </si>
  <si>
    <t>ICE181</t>
  </si>
  <si>
    <t>ICE182</t>
  </si>
  <si>
    <t>ICE183</t>
  </si>
  <si>
    <t>ICE184</t>
  </si>
  <si>
    <t>ICE185</t>
  </si>
  <si>
    <t>ICE186</t>
  </si>
  <si>
    <t>ICE187</t>
  </si>
  <si>
    <t>ICE188</t>
  </si>
  <si>
    <t>ICE189</t>
  </si>
  <si>
    <t>ICE190</t>
  </si>
  <si>
    <t>ICE191</t>
  </si>
  <si>
    <t>ICE192</t>
  </si>
  <si>
    <t>ICE193</t>
  </si>
  <si>
    <t>ICE194</t>
  </si>
  <si>
    <t>ICE195</t>
  </si>
  <si>
    <t>ICE196</t>
  </si>
  <si>
    <t>ICE197</t>
  </si>
  <si>
    <t>ICE198</t>
  </si>
  <si>
    <t>ICE199</t>
  </si>
  <si>
    <t>ICE200</t>
  </si>
  <si>
    <t>ICE201</t>
  </si>
  <si>
    <t>ICE202</t>
  </si>
  <si>
    <t>ICE203</t>
  </si>
  <si>
    <t>ICE204</t>
  </si>
  <si>
    <t>ICE205</t>
  </si>
  <si>
    <t>ICE206</t>
  </si>
  <si>
    <t>ICE207</t>
  </si>
  <si>
    <t>ICE208</t>
  </si>
  <si>
    <t>ICE209</t>
  </si>
  <si>
    <t>ICE210</t>
  </si>
  <si>
    <t>ICE211</t>
  </si>
  <si>
    <t>ICE212</t>
  </si>
  <si>
    <t>ICE213</t>
  </si>
  <si>
    <t>ICE214</t>
  </si>
  <si>
    <t>ICE215</t>
  </si>
  <si>
    <t>ICE216</t>
  </si>
  <si>
    <t>ICE217</t>
  </si>
  <si>
    <t>ICE218</t>
  </si>
  <si>
    <t>ICE219</t>
  </si>
  <si>
    <t>ICE220</t>
  </si>
  <si>
    <t>ICE221</t>
  </si>
  <si>
    <t>ICE223</t>
  </si>
  <si>
    <t>ICE224</t>
  </si>
  <si>
    <t>ICE225</t>
  </si>
  <si>
    <t>ICE226</t>
  </si>
  <si>
    <t>ICE227</t>
  </si>
  <si>
    <t>ICE228</t>
  </si>
  <si>
    <t>ICE229</t>
  </si>
  <si>
    <t>ICE230</t>
  </si>
  <si>
    <t>ICE231</t>
  </si>
  <si>
    <t>ICE232</t>
  </si>
  <si>
    <t>ICE233</t>
  </si>
  <si>
    <t>ICE234</t>
  </si>
  <si>
    <t>ICE235</t>
  </si>
  <si>
    <t>ICE236</t>
  </si>
  <si>
    <t>ICE237</t>
  </si>
  <si>
    <t>ICE238</t>
  </si>
  <si>
    <t>ICE239</t>
  </si>
  <si>
    <t>ICE240</t>
  </si>
  <si>
    <t>ICE241</t>
  </si>
  <si>
    <t>ICE242</t>
  </si>
  <si>
    <t>ICE243</t>
  </si>
  <si>
    <t>ICE244</t>
  </si>
  <si>
    <t>ICE245</t>
  </si>
  <si>
    <t>ICE246</t>
  </si>
  <si>
    <t>ICE247</t>
  </si>
  <si>
    <t>ICE248</t>
  </si>
  <si>
    <t>ICE249</t>
  </si>
  <si>
    <t>ICE250</t>
  </si>
  <si>
    <t>ICE251</t>
  </si>
  <si>
    <t>ICE252</t>
  </si>
  <si>
    <t>ICE253</t>
  </si>
  <si>
    <t>ICE254</t>
  </si>
  <si>
    <t>ICE255</t>
  </si>
  <si>
    <t>ICE256</t>
  </si>
  <si>
    <t>ICE257</t>
  </si>
  <si>
    <t>ICE258</t>
  </si>
  <si>
    <t>ICE259</t>
  </si>
  <si>
    <t>ICE260</t>
  </si>
  <si>
    <t>ICE261</t>
  </si>
  <si>
    <t>ICE262</t>
  </si>
  <si>
    <t>ICE263</t>
  </si>
  <si>
    <t>ICE264</t>
  </si>
  <si>
    <t>ICE265</t>
  </si>
  <si>
    <t>ICE266</t>
  </si>
  <si>
    <t>ICE267</t>
  </si>
  <si>
    <t>ICE268</t>
  </si>
  <si>
    <t>ICE269</t>
  </si>
  <si>
    <t>ICE270</t>
  </si>
  <si>
    <t>ICE271</t>
  </si>
  <si>
    <t>ICE272</t>
  </si>
  <si>
    <t>ICE273</t>
  </si>
  <si>
    <t>ICE274</t>
  </si>
  <si>
    <t>ICE275</t>
  </si>
  <si>
    <t>ICE276</t>
  </si>
  <si>
    <t>ICE277</t>
  </si>
  <si>
    <t>ICE278</t>
  </si>
  <si>
    <t>ICE279</t>
  </si>
  <si>
    <t>ICE280</t>
  </si>
  <si>
    <t>ICE281</t>
  </si>
  <si>
    <t>ICE282</t>
  </si>
  <si>
    <t>ICE283</t>
  </si>
  <si>
    <t>ICE284</t>
  </si>
  <si>
    <t>ICE285</t>
  </si>
  <si>
    <t>ICE286</t>
  </si>
  <si>
    <t>ICE287</t>
  </si>
  <si>
    <t>ICE288</t>
  </si>
  <si>
    <t>ICE289</t>
  </si>
  <si>
    <t>ICE290</t>
  </si>
  <si>
    <t>ICE291</t>
  </si>
  <si>
    <t>ICE292</t>
  </si>
  <si>
    <t>ICE293</t>
  </si>
  <si>
    <t>ICE294</t>
  </si>
  <si>
    <t>ICE295</t>
  </si>
  <si>
    <t>ICE296</t>
  </si>
  <si>
    <t>ICE297</t>
  </si>
  <si>
    <t>ICE298</t>
  </si>
  <si>
    <t>ICE299</t>
  </si>
  <si>
    <t>ICE300</t>
  </si>
  <si>
    <t>ICE301</t>
  </si>
  <si>
    <t>ICE302</t>
  </si>
  <si>
    <t>ICE303</t>
  </si>
  <si>
    <t>ICE304</t>
  </si>
  <si>
    <t>ICE305</t>
  </si>
  <si>
    <t>ICE306</t>
  </si>
  <si>
    <t>ICE307</t>
  </si>
  <si>
    <t>ICE308</t>
  </si>
  <si>
    <t>ICE309</t>
  </si>
  <si>
    <t>ICE310</t>
  </si>
  <si>
    <t>ICE311</t>
  </si>
  <si>
    <t>ICE312</t>
  </si>
  <si>
    <t>ICE313</t>
  </si>
  <si>
    <t>ICE314</t>
  </si>
  <si>
    <t>ICE315</t>
  </si>
  <si>
    <t>ICE316</t>
  </si>
  <si>
    <t>ICE317</t>
  </si>
  <si>
    <t>ICE318</t>
  </si>
  <si>
    <t>ICE319</t>
  </si>
  <si>
    <t>ICE320</t>
  </si>
  <si>
    <t>ICE321</t>
  </si>
  <si>
    <t>ICE322</t>
  </si>
  <si>
    <t>ICE323</t>
  </si>
  <si>
    <t>ICE324</t>
  </si>
  <si>
    <t>ICE325</t>
  </si>
  <si>
    <t>ICE326</t>
  </si>
  <si>
    <t>ICE327</t>
  </si>
  <si>
    <t>ICE328</t>
  </si>
  <si>
    <t>ICE329</t>
  </si>
  <si>
    <t>ICE330</t>
  </si>
  <si>
    <t>ICE331</t>
  </si>
  <si>
    <t>ICE332</t>
  </si>
  <si>
    <t>ICE333</t>
  </si>
  <si>
    <t>ICE334</t>
  </si>
  <si>
    <t>ICE336</t>
  </si>
  <si>
    <t>ICE337</t>
  </si>
  <si>
    <t>ICE338</t>
  </si>
  <si>
    <t>ICE339</t>
  </si>
  <si>
    <t>ICE340</t>
  </si>
  <si>
    <t>ICE341</t>
  </si>
  <si>
    <t>ICE342</t>
  </si>
  <si>
    <t>ICE343</t>
  </si>
  <si>
    <t>ICE344</t>
  </si>
  <si>
    <t>ICE345</t>
  </si>
  <si>
    <t>ICE346</t>
  </si>
  <si>
    <t>ICE347</t>
  </si>
  <si>
    <t>ICE348</t>
  </si>
  <si>
    <t>ICE349</t>
  </si>
  <si>
    <t>ICE350</t>
  </si>
  <si>
    <t>ICE351</t>
  </si>
  <si>
    <t>ICE352</t>
  </si>
  <si>
    <t>ICE353</t>
  </si>
  <si>
    <t>ICE354</t>
  </si>
  <si>
    <t>ICE355</t>
  </si>
  <si>
    <t>ICE356</t>
  </si>
  <si>
    <t>ICE357</t>
  </si>
  <si>
    <t>ICE358</t>
  </si>
  <si>
    <t>ICE359</t>
  </si>
  <si>
    <t>ICE360</t>
  </si>
  <si>
    <t>ICE361</t>
  </si>
  <si>
    <t>ICE362</t>
  </si>
  <si>
    <t>ICE363</t>
  </si>
  <si>
    <t>ICE364</t>
  </si>
  <si>
    <t>ICE365</t>
  </si>
  <si>
    <t>ICE366</t>
  </si>
  <si>
    <t>ICE367</t>
  </si>
  <si>
    <t>ICE368</t>
  </si>
  <si>
    <t>ICE370</t>
  </si>
  <si>
    <t>ICE371</t>
  </si>
  <si>
    <t>ICE372</t>
  </si>
  <si>
    <t>ICE373</t>
  </si>
  <si>
    <t>ICE374</t>
  </si>
  <si>
    <t>ICE375</t>
  </si>
  <si>
    <t>ICE376</t>
  </si>
  <si>
    <t>ICE377</t>
  </si>
  <si>
    <t>ICE378</t>
  </si>
  <si>
    <t>ICE379</t>
  </si>
  <si>
    <t>ICE380</t>
  </si>
  <si>
    <t>ICE381</t>
  </si>
  <si>
    <t>ICE383</t>
  </si>
  <si>
    <t>ICE384</t>
  </si>
  <si>
    <t>ICE385</t>
  </si>
  <si>
    <t>ICE386</t>
  </si>
  <si>
    <t>ICE387</t>
  </si>
  <si>
    <t>ICE388</t>
  </si>
  <si>
    <t>ICE389</t>
  </si>
  <si>
    <t>ICE390</t>
  </si>
  <si>
    <t>ICE391</t>
  </si>
  <si>
    <t>ICE392</t>
  </si>
  <si>
    <t>ICE393</t>
  </si>
  <si>
    <t>ICE394</t>
  </si>
  <si>
    <t>ICE395</t>
  </si>
  <si>
    <t>ICE396</t>
  </si>
  <si>
    <t>ICE397</t>
  </si>
  <si>
    <t>ICE398</t>
  </si>
  <si>
    <t>ICE399</t>
  </si>
  <si>
    <t>ICE400</t>
  </si>
  <si>
    <t>ICE401</t>
  </si>
  <si>
    <t>ICE402</t>
  </si>
  <si>
    <t>ICE403</t>
  </si>
  <si>
    <t>ICE404</t>
  </si>
  <si>
    <t>ICE405</t>
  </si>
  <si>
    <t>ICE406</t>
  </si>
  <si>
    <t>ICE407</t>
  </si>
  <si>
    <t>ICE408</t>
  </si>
  <si>
    <t>ICE409</t>
  </si>
  <si>
    <t>ICE410</t>
  </si>
  <si>
    <t>ICE411</t>
  </si>
  <si>
    <t>ICE413</t>
  </si>
  <si>
    <t>ICE414</t>
  </si>
  <si>
    <t>ICE415</t>
  </si>
  <si>
    <t>ICE416</t>
  </si>
  <si>
    <t>ICE417</t>
  </si>
  <si>
    <t>ICE418</t>
  </si>
  <si>
    <t>ICE419</t>
  </si>
  <si>
    <t>ICE420</t>
  </si>
  <si>
    <t>ICE421</t>
  </si>
  <si>
    <t>ICE422</t>
  </si>
  <si>
    <t>ICE423</t>
  </si>
  <si>
    <t>ICE424</t>
  </si>
  <si>
    <t>ICE425</t>
  </si>
  <si>
    <t>ICE426</t>
  </si>
  <si>
    <t>ICE427</t>
  </si>
  <si>
    <t>ICE428</t>
  </si>
  <si>
    <t>ICE429</t>
  </si>
  <si>
    <t>ICE430</t>
  </si>
  <si>
    <t>ICE431</t>
  </si>
  <si>
    <t>ICE432</t>
  </si>
  <si>
    <t>ICE433</t>
  </si>
  <si>
    <t>ICE434</t>
  </si>
  <si>
    <t>ICE435</t>
  </si>
  <si>
    <t>ICE436</t>
  </si>
  <si>
    <t>ICE437</t>
  </si>
  <si>
    <t>ICE438</t>
  </si>
  <si>
    <t>ICE439</t>
  </si>
  <si>
    <t>ICE441</t>
  </si>
  <si>
    <t>ICE442</t>
  </si>
  <si>
    <t>ICE443</t>
  </si>
  <si>
    <t>ICE444</t>
  </si>
  <si>
    <t>ICE445</t>
  </si>
  <si>
    <t>ICE446</t>
  </si>
  <si>
    <t>ICE447</t>
  </si>
  <si>
    <t>ICE448</t>
  </si>
  <si>
    <t>ICE449</t>
  </si>
  <si>
    <t>ICE450</t>
  </si>
  <si>
    <t>ICE451</t>
  </si>
  <si>
    <t>ICE452</t>
  </si>
  <si>
    <t>ICE453</t>
  </si>
  <si>
    <t>ICE454</t>
  </si>
  <si>
    <t>ICE455</t>
  </si>
  <si>
    <t>ICE456</t>
  </si>
  <si>
    <t>ICE457</t>
  </si>
  <si>
    <t>ICE458</t>
  </si>
  <si>
    <t>ICE459</t>
  </si>
  <si>
    <t>ICE460</t>
  </si>
  <si>
    <t>ICE461</t>
  </si>
  <si>
    <t>ICE462</t>
  </si>
  <si>
    <t>ICE463</t>
  </si>
  <si>
    <t>ICE464</t>
  </si>
  <si>
    <t>ICE465</t>
  </si>
  <si>
    <t>ICE466</t>
  </si>
  <si>
    <t>ICE467</t>
  </si>
  <si>
    <t>ICE468</t>
  </si>
  <si>
    <t>ICE469</t>
  </si>
  <si>
    <t>ICE470</t>
  </si>
  <si>
    <t>ICE471</t>
  </si>
  <si>
    <t>ICE472</t>
  </si>
  <si>
    <t>ICE473</t>
  </si>
  <si>
    <t>ICE475</t>
  </si>
  <si>
    <t>ICE476</t>
  </si>
  <si>
    <t>ICE477</t>
  </si>
  <si>
    <t>ICE478</t>
  </si>
  <si>
    <t>ICE479</t>
  </si>
  <si>
    <t>ICE480</t>
  </si>
  <si>
    <t>ICE481</t>
  </si>
  <si>
    <t>ICE482</t>
  </si>
  <si>
    <t>ICE483</t>
  </si>
  <si>
    <t>ICE484</t>
  </si>
  <si>
    <t>ICE485</t>
  </si>
  <si>
    <t>ICE486</t>
  </si>
  <si>
    <t>ICE487</t>
  </si>
  <si>
    <t>ICE488</t>
  </si>
  <si>
    <t>ICE489</t>
  </si>
  <si>
    <t>ICE490</t>
  </si>
  <si>
    <t>ICE491</t>
  </si>
  <si>
    <t>ICE492</t>
  </si>
  <si>
    <t>ICE493</t>
  </si>
  <si>
    <t>ICE494</t>
  </si>
  <si>
    <t>ICE495</t>
  </si>
  <si>
    <t>ICE496</t>
  </si>
  <si>
    <t>ICE497</t>
  </si>
  <si>
    <t>ICE498</t>
  </si>
  <si>
    <t>ICE499</t>
  </si>
  <si>
    <t>ICE500</t>
  </si>
  <si>
    <t>ICE501</t>
  </si>
  <si>
    <t>ICE502</t>
  </si>
  <si>
    <t>ICE503</t>
  </si>
  <si>
    <t>ICE504</t>
  </si>
  <si>
    <t>ICE505</t>
  </si>
  <si>
    <t>ICE506</t>
  </si>
  <si>
    <t>ICE507</t>
  </si>
  <si>
    <t>ICE508</t>
  </si>
  <si>
    <t>ICE509</t>
  </si>
  <si>
    <t>ICE510</t>
  </si>
  <si>
    <t>ICE511</t>
  </si>
  <si>
    <t>ICE512</t>
  </si>
  <si>
    <t>ICE513</t>
  </si>
  <si>
    <t>ICE514</t>
  </si>
  <si>
    <t>ICE515</t>
  </si>
  <si>
    <t>ICE516</t>
  </si>
  <si>
    <t>ICE517</t>
  </si>
  <si>
    <t>ICE518</t>
  </si>
  <si>
    <t>ICE519</t>
  </si>
  <si>
    <t>ICE520</t>
  </si>
  <si>
    <t>ICE521</t>
  </si>
  <si>
    <t>ICE522</t>
  </si>
  <si>
    <t>ICE523</t>
  </si>
  <si>
    <t>ICE524</t>
  </si>
  <si>
    <t>ICE525</t>
  </si>
  <si>
    <t>ICE526</t>
  </si>
  <si>
    <t>ICE527</t>
  </si>
  <si>
    <t>ICE528</t>
  </si>
  <si>
    <t>ICE529</t>
  </si>
  <si>
    <t>ICE530</t>
  </si>
  <si>
    <t>ICE531</t>
  </si>
  <si>
    <t>ICE532</t>
  </si>
  <si>
    <t>ICE533</t>
  </si>
  <si>
    <t>ICE534</t>
  </si>
  <si>
    <t>ICE535</t>
  </si>
  <si>
    <t>ICE536</t>
  </si>
  <si>
    <t>ICE537</t>
  </si>
  <si>
    <t>ICE538</t>
  </si>
  <si>
    <t>ICE539</t>
  </si>
  <si>
    <t>ICE540</t>
  </si>
  <si>
    <t>ICE541</t>
  </si>
  <si>
    <t>ICE542</t>
  </si>
  <si>
    <t>ICE543</t>
  </si>
  <si>
    <t>ICE544</t>
  </si>
  <si>
    <t>ICE545</t>
  </si>
  <si>
    <t>ICE546</t>
  </si>
  <si>
    <t>ICE547</t>
  </si>
  <si>
    <t>ICE548</t>
  </si>
  <si>
    <t>ICE549</t>
  </si>
  <si>
    <t>ICE550</t>
  </si>
  <si>
    <t>ICE551</t>
  </si>
  <si>
    <t>ICE552</t>
  </si>
  <si>
    <t>ICE555</t>
  </si>
  <si>
    <t>ICE556</t>
  </si>
  <si>
    <t>ICE557</t>
  </si>
  <si>
    <t>ICE558</t>
  </si>
  <si>
    <t>ICE559</t>
  </si>
  <si>
    <t>ICE560</t>
  </si>
  <si>
    <t>ICE561</t>
  </si>
  <si>
    <t>ICE562</t>
  </si>
  <si>
    <t>ICE563</t>
  </si>
  <si>
    <t>ICE564</t>
  </si>
  <si>
    <t>ICE565</t>
  </si>
  <si>
    <t>ICE566</t>
  </si>
  <si>
    <t>ICE567</t>
  </si>
  <si>
    <t>ICE568</t>
  </si>
  <si>
    <t>ICE569</t>
  </si>
  <si>
    <t>ICE570</t>
  </si>
  <si>
    <t>ICE571</t>
  </si>
  <si>
    <t>ICE572</t>
  </si>
  <si>
    <t>ICE573</t>
  </si>
  <si>
    <t>ICE574</t>
  </si>
  <si>
    <t>ICE575</t>
  </si>
  <si>
    <t>ICE576</t>
  </si>
  <si>
    <t>ICE577</t>
  </si>
  <si>
    <t>ICE578</t>
  </si>
  <si>
    <t>ICE579</t>
  </si>
  <si>
    <t>ICE580</t>
  </si>
  <si>
    <t>ICE581</t>
  </si>
  <si>
    <t>ICE582</t>
  </si>
  <si>
    <t>ICE583</t>
  </si>
  <si>
    <t>ICE584</t>
  </si>
  <si>
    <t>ICE585</t>
  </si>
  <si>
    <t>ICE586</t>
  </si>
  <si>
    <t>ICE587</t>
  </si>
  <si>
    <t>ICE588</t>
  </si>
  <si>
    <t>ICE589</t>
  </si>
  <si>
    <t>ICE590</t>
  </si>
  <si>
    <t>ICE591</t>
  </si>
  <si>
    <t>ICE592</t>
  </si>
  <si>
    <t>ICE593</t>
  </si>
  <si>
    <t>ICE594</t>
  </si>
  <si>
    <t>ICE595</t>
  </si>
  <si>
    <t>ICE596</t>
  </si>
  <si>
    <t>ICE597</t>
  </si>
  <si>
    <t>ICE598</t>
  </si>
  <si>
    <t>ICE599</t>
  </si>
  <si>
    <t>ICE600</t>
  </si>
  <si>
    <t>ICE601</t>
  </si>
  <si>
    <t>ICE602</t>
  </si>
  <si>
    <t>ICE603</t>
  </si>
  <si>
    <t>ICE604</t>
  </si>
  <si>
    <t>ICE605</t>
  </si>
  <si>
    <t>ICE606</t>
  </si>
  <si>
    <t>ICE607</t>
  </si>
  <si>
    <t>ICE608</t>
  </si>
  <si>
    <t>ICE609</t>
  </si>
  <si>
    <t>ICE610</t>
  </si>
  <si>
    <t>ICE611</t>
  </si>
  <si>
    <t>ICE612</t>
  </si>
  <si>
    <t>ICE613</t>
  </si>
  <si>
    <t>ICE614</t>
  </si>
  <si>
    <t>ICE615</t>
  </si>
  <si>
    <t>ICE616</t>
  </si>
  <si>
    <t>ICE617</t>
  </si>
  <si>
    <t>ICE618</t>
  </si>
  <si>
    <t>ICE619</t>
  </si>
  <si>
    <t>ICE620</t>
  </si>
  <si>
    <t>ICE621</t>
  </si>
  <si>
    <t>ICE622</t>
  </si>
  <si>
    <t>ICE623</t>
  </si>
  <si>
    <t>ICE624</t>
  </si>
  <si>
    <t>ICE625</t>
  </si>
  <si>
    <t>ICE626</t>
  </si>
  <si>
    <t>ICE627</t>
  </si>
  <si>
    <t>ICE628</t>
  </si>
  <si>
    <t>ICE629</t>
  </si>
  <si>
    <t>ICE630</t>
  </si>
  <si>
    <t>ICE631</t>
  </si>
  <si>
    <t>ICE632</t>
  </si>
  <si>
    <t>ICE633</t>
  </si>
  <si>
    <t>ICE634</t>
  </si>
  <si>
    <t>ICE635</t>
  </si>
  <si>
    <t>ICE636</t>
  </si>
  <si>
    <t>ICE637</t>
  </si>
  <si>
    <t>ICE638</t>
  </si>
  <si>
    <t>ICE639</t>
  </si>
  <si>
    <t>ICE640</t>
  </si>
  <si>
    <t>ICE641</t>
  </si>
  <si>
    <t>ICE642</t>
  </si>
  <si>
    <t>ICE643</t>
  </si>
  <si>
    <t>ICE644</t>
  </si>
  <si>
    <t>ICE645</t>
  </si>
  <si>
    <t>ICE646</t>
  </si>
  <si>
    <t>ICE647</t>
  </si>
  <si>
    <t>ICE648</t>
  </si>
  <si>
    <t>ICE649</t>
  </si>
  <si>
    <t>ICE650</t>
  </si>
  <si>
    <t>ICE651</t>
  </si>
  <si>
    <t>ICE652</t>
  </si>
  <si>
    <t>ICE653</t>
  </si>
  <si>
    <t>ICE654</t>
  </si>
  <si>
    <t>ICE655</t>
  </si>
  <si>
    <t>ICE656</t>
  </si>
  <si>
    <t>ICE657</t>
  </si>
  <si>
    <t>ICE658</t>
  </si>
  <si>
    <t>ICE659</t>
  </si>
  <si>
    <t>ICE660</t>
  </si>
  <si>
    <t>ICE661</t>
  </si>
  <si>
    <t>ICE662</t>
  </si>
  <si>
    <t>ICE663</t>
  </si>
  <si>
    <t>ICE664</t>
  </si>
  <si>
    <t>ICE665</t>
  </si>
  <si>
    <t>ICE666</t>
  </si>
  <si>
    <t>ICE667</t>
  </si>
  <si>
    <t>ICE668</t>
  </si>
  <si>
    <t>ICE669</t>
  </si>
  <si>
    <t>ICE670</t>
  </si>
  <si>
    <t>ICE671</t>
  </si>
  <si>
    <t>ICE672</t>
  </si>
  <si>
    <t>ICE673</t>
  </si>
  <si>
    <t>ICE674</t>
  </si>
  <si>
    <t>ICE675</t>
  </si>
  <si>
    <t>ICE676</t>
  </si>
  <si>
    <t>ICE677</t>
  </si>
  <si>
    <t>ICE678</t>
  </si>
  <si>
    <t>ICE679</t>
  </si>
  <si>
    <t>ICE680</t>
  </si>
  <si>
    <t>ICE681</t>
  </si>
  <si>
    <t>ICE682</t>
  </si>
  <si>
    <t>ICE684</t>
  </si>
  <si>
    <t>ICE685</t>
  </si>
  <si>
    <t>ICE686</t>
  </si>
  <si>
    <t>ICE687</t>
  </si>
  <si>
    <t>ICE688</t>
  </si>
  <si>
    <t>ICE689</t>
  </si>
  <si>
    <t>ICE690</t>
  </si>
  <si>
    <t>ICE691</t>
  </si>
  <si>
    <t>ICE692</t>
  </si>
  <si>
    <t>ICE693</t>
  </si>
  <si>
    <t>ICE694</t>
  </si>
  <si>
    <t>ICE695</t>
  </si>
  <si>
    <t>ICE696</t>
  </si>
  <si>
    <t>ICE697</t>
  </si>
  <si>
    <t>ICE698</t>
  </si>
  <si>
    <t>ICE699</t>
  </si>
  <si>
    <t>ICE700</t>
  </si>
  <si>
    <t>ICE701</t>
  </si>
  <si>
    <t>ICE702</t>
  </si>
  <si>
    <t>ICE703</t>
  </si>
  <si>
    <t>ICE704</t>
  </si>
  <si>
    <t>ICE705</t>
  </si>
  <si>
    <t>ICE706</t>
  </si>
  <si>
    <t>ICE707</t>
  </si>
  <si>
    <t>ICE708</t>
  </si>
  <si>
    <t>ICE709</t>
  </si>
  <si>
    <t>ICE710</t>
  </si>
  <si>
    <t>ICE711</t>
  </si>
  <si>
    <t>ICE712</t>
  </si>
  <si>
    <t>ICE713</t>
  </si>
  <si>
    <t>ICE714</t>
  </si>
  <si>
    <t>ICE715</t>
  </si>
  <si>
    <t>ICE716</t>
  </si>
  <si>
    <t>ICE717</t>
  </si>
  <si>
    <t>ICE718</t>
  </si>
  <si>
    <t>ICE719</t>
  </si>
  <si>
    <t>ICE720</t>
  </si>
  <si>
    <t>ICE721</t>
  </si>
  <si>
    <t>ICE722</t>
  </si>
  <si>
    <t>ICE723</t>
  </si>
  <si>
    <t>ICE724</t>
  </si>
  <si>
    <t>ICE725</t>
  </si>
  <si>
    <t>ICE726</t>
  </si>
  <si>
    <t>ICE727</t>
  </si>
  <si>
    <t>ICE728</t>
  </si>
  <si>
    <t>ICE729</t>
  </si>
  <si>
    <t>ICE730</t>
  </si>
  <si>
    <t>ICE731</t>
  </si>
  <si>
    <t>ICE732</t>
  </si>
  <si>
    <t>ICE733</t>
  </si>
  <si>
    <t>ICE734</t>
  </si>
  <si>
    <t>ICE735</t>
  </si>
  <si>
    <t>ICE736</t>
  </si>
  <si>
    <t>ICE738</t>
  </si>
  <si>
    <t>ICE739</t>
  </si>
  <si>
    <t>ICE740</t>
  </si>
  <si>
    <t>ICE741</t>
  </si>
  <si>
    <t>ICE742</t>
  </si>
  <si>
    <t>ICE743</t>
  </si>
  <si>
    <t>ICE744</t>
  </si>
  <si>
    <t>ICE745</t>
  </si>
  <si>
    <t>ICE746</t>
  </si>
  <si>
    <t>ICE747</t>
  </si>
  <si>
    <t>ICE748</t>
  </si>
  <si>
    <t>ICE749</t>
  </si>
  <si>
    <t>ICE750</t>
  </si>
  <si>
    <t>ICE751</t>
  </si>
  <si>
    <t>ICE752</t>
  </si>
  <si>
    <t>ICE753</t>
  </si>
  <si>
    <t>ICE754</t>
  </si>
  <si>
    <t>ICE755</t>
  </si>
  <si>
    <t>ICE756</t>
  </si>
  <si>
    <t>ICE757</t>
  </si>
  <si>
    <t>ICE758</t>
  </si>
  <si>
    <t>ICE759</t>
  </si>
  <si>
    <t>ICE760</t>
  </si>
  <si>
    <t>ICE761</t>
  </si>
  <si>
    <t>ICE762</t>
  </si>
  <si>
    <t>ICE763</t>
  </si>
  <si>
    <t>ICE764</t>
  </si>
  <si>
    <t>ICE765</t>
  </si>
  <si>
    <t>ICE766</t>
  </si>
  <si>
    <t>ICE767</t>
  </si>
  <si>
    <t>ICE768</t>
  </si>
  <si>
    <t>ICE769</t>
  </si>
  <si>
    <t>ICE770</t>
  </si>
  <si>
    <t>ICE771</t>
  </si>
  <si>
    <t>ICE772</t>
  </si>
  <si>
    <t>ICE773</t>
  </si>
  <si>
    <t>ICE774</t>
  </si>
  <si>
    <t>ICE775</t>
  </si>
  <si>
    <t>ICE776</t>
  </si>
  <si>
    <t>ICE777</t>
  </si>
  <si>
    <t>ICE778</t>
  </si>
  <si>
    <t>ICE779</t>
  </si>
  <si>
    <t>ICE780</t>
  </si>
  <si>
    <t>ICE781</t>
  </si>
  <si>
    <t>ICE782</t>
  </si>
  <si>
    <t>ICE783</t>
  </si>
  <si>
    <t>ICE784</t>
  </si>
  <si>
    <t>ICE785</t>
  </si>
  <si>
    <t>ICE786</t>
  </si>
  <si>
    <t>ICE787</t>
  </si>
  <si>
    <t>ICE788</t>
  </si>
  <si>
    <t>ICE789</t>
  </si>
  <si>
    <t>ICE790</t>
  </si>
  <si>
    <t>ICE791</t>
  </si>
  <si>
    <t>ICE792</t>
  </si>
  <si>
    <t>ICE793</t>
  </si>
  <si>
    <t>ICE794</t>
  </si>
  <si>
    <t>ICE795</t>
  </si>
  <si>
    <t>ICE796</t>
  </si>
  <si>
    <t>ICE797</t>
  </si>
  <si>
    <t>ICE798</t>
  </si>
  <si>
    <t>ICE799</t>
  </si>
  <si>
    <t>ICE800</t>
  </si>
  <si>
    <t>ICE801</t>
  </si>
  <si>
    <t>ICE802</t>
  </si>
  <si>
    <t>ICE803</t>
  </si>
  <si>
    <t>ICE804</t>
  </si>
  <si>
    <t>ICE805</t>
  </si>
  <si>
    <t>ICE806</t>
  </si>
  <si>
    <t>ICE807</t>
  </si>
  <si>
    <t>ICE808</t>
  </si>
  <si>
    <t>ICE809</t>
  </si>
  <si>
    <t>ICE810</t>
  </si>
  <si>
    <t>ICE811</t>
  </si>
  <si>
    <t>ICE812</t>
  </si>
  <si>
    <t>ICE813</t>
  </si>
  <si>
    <t>ICE814</t>
  </si>
  <si>
    <t>ICE815</t>
  </si>
  <si>
    <t>ICE816</t>
  </si>
  <si>
    <t>ICE817</t>
  </si>
  <si>
    <t>ICE818</t>
  </si>
  <si>
    <t>ICE819</t>
  </si>
  <si>
    <t>ICE820</t>
  </si>
  <si>
    <t>ICE821</t>
  </si>
  <si>
    <t>ICE822</t>
  </si>
  <si>
    <t>ICE823</t>
  </si>
  <si>
    <t>ICE824</t>
  </si>
  <si>
    <t>ICE825</t>
  </si>
  <si>
    <t>ICE826</t>
  </si>
  <si>
    <t>ICE827</t>
  </si>
  <si>
    <t>ICE828</t>
  </si>
  <si>
    <t>ICE829</t>
  </si>
  <si>
    <t>ICE830</t>
  </si>
  <si>
    <t>ICE831</t>
  </si>
  <si>
    <t>ICE832</t>
  </si>
  <si>
    <t>ICE833</t>
  </si>
  <si>
    <t>ICE834</t>
  </si>
  <si>
    <t>ICE835</t>
  </si>
  <si>
    <t>ICE836</t>
  </si>
  <si>
    <t>ICE837</t>
  </si>
  <si>
    <t>ICE838</t>
  </si>
  <si>
    <t>ICE839</t>
  </si>
  <si>
    <t>ICE840</t>
  </si>
  <si>
    <t>ICE841</t>
  </si>
  <si>
    <t>ICE842</t>
  </si>
  <si>
    <t>ICE843</t>
  </si>
  <si>
    <t>ICE844</t>
  </si>
  <si>
    <t>ICE845</t>
  </si>
  <si>
    <t>ICE846</t>
  </si>
  <si>
    <t>ICE847</t>
  </si>
  <si>
    <t>ICE848</t>
  </si>
  <si>
    <t>ICE849</t>
  </si>
  <si>
    <t>ICE850</t>
  </si>
  <si>
    <t>ICE851</t>
  </si>
  <si>
    <t>ICE852</t>
  </si>
  <si>
    <t>ICE853</t>
  </si>
  <si>
    <t>ICE854</t>
  </si>
  <si>
    <t>ICE855</t>
  </si>
  <si>
    <t>ICE856</t>
  </si>
  <si>
    <t>ICE857</t>
  </si>
  <si>
    <t>ICE858</t>
  </si>
  <si>
    <t>ICE859</t>
  </si>
  <si>
    <t>ICE860</t>
  </si>
  <si>
    <t>ICE861</t>
  </si>
  <si>
    <t>ICE862</t>
  </si>
  <si>
    <t>ICE863</t>
  </si>
  <si>
    <t>ICE864</t>
  </si>
  <si>
    <t>ICE865</t>
  </si>
  <si>
    <t>ICE866</t>
  </si>
  <si>
    <t>ICE867</t>
  </si>
  <si>
    <t>ICE868</t>
  </si>
  <si>
    <t>ICE869</t>
  </si>
  <si>
    <t>ICE870</t>
  </si>
  <si>
    <t>ICE871</t>
  </si>
  <si>
    <t>ICE872</t>
  </si>
  <si>
    <t>ICE873</t>
  </si>
  <si>
    <t>ICE874</t>
  </si>
  <si>
    <t>ICE875</t>
  </si>
  <si>
    <t>ICE876</t>
  </si>
  <si>
    <t>ICE877</t>
  </si>
  <si>
    <t>ICE878</t>
  </si>
  <si>
    <t>ICE879</t>
  </si>
  <si>
    <t>ICE880</t>
  </si>
  <si>
    <t>ICE881</t>
  </si>
  <si>
    <t>ICE882</t>
  </si>
  <si>
    <t>ICE883</t>
  </si>
  <si>
    <t>ICE884</t>
  </si>
  <si>
    <t>ICE885</t>
  </si>
  <si>
    <t>ICE886</t>
  </si>
  <si>
    <t>ICE887</t>
  </si>
  <si>
    <t>ICE888</t>
  </si>
  <si>
    <t>ICE889</t>
  </si>
  <si>
    <t>ICE890</t>
  </si>
  <si>
    <t>ICE891</t>
  </si>
  <si>
    <t>ICE892</t>
  </si>
  <si>
    <t>ICE893</t>
  </si>
  <si>
    <t>ICE894</t>
  </si>
  <si>
    <t>ICE895</t>
  </si>
  <si>
    <t>ICE896</t>
  </si>
  <si>
    <t>ICE897</t>
  </si>
  <si>
    <t>ICE898</t>
  </si>
  <si>
    <t>ICE899</t>
  </si>
  <si>
    <t>ICE900</t>
  </si>
  <si>
    <t>ICE901</t>
  </si>
  <si>
    <t>ICE902</t>
  </si>
  <si>
    <t>ICE903</t>
  </si>
  <si>
    <t>ICE904</t>
  </si>
  <si>
    <t>ICE905</t>
  </si>
  <si>
    <t>ICE906</t>
  </si>
  <si>
    <t>ICE907</t>
  </si>
  <si>
    <t>ICE908</t>
  </si>
  <si>
    <t>ICE909</t>
  </si>
  <si>
    <t>ICE910</t>
  </si>
  <si>
    <t>ICE911</t>
  </si>
  <si>
    <t>ICE912</t>
  </si>
  <si>
    <t>ICE913</t>
  </si>
  <si>
    <t>ICE914</t>
  </si>
  <si>
    <t>ICE915</t>
  </si>
  <si>
    <t>ICE916</t>
  </si>
  <si>
    <t>ICE917</t>
  </si>
  <si>
    <t>ICE918</t>
  </si>
  <si>
    <t>ICE919</t>
  </si>
  <si>
    <t>ICE920</t>
  </si>
  <si>
    <t>ICE921</t>
  </si>
  <si>
    <t>ICE922</t>
  </si>
  <si>
    <t>ICE923</t>
  </si>
  <si>
    <t>ICE924</t>
  </si>
  <si>
    <t>ICE925</t>
  </si>
  <si>
    <t>ICE926</t>
  </si>
  <si>
    <t>ICE927</t>
  </si>
  <si>
    <t>ICE928</t>
  </si>
  <si>
    <t>ICE929</t>
  </si>
  <si>
    <t>ICE930</t>
  </si>
  <si>
    <t>ICE931</t>
  </si>
  <si>
    <t>ICE932</t>
  </si>
  <si>
    <t>ICE933</t>
  </si>
  <si>
    <t>ICE934</t>
  </si>
  <si>
    <t>ICE935</t>
  </si>
  <si>
    <t>ICE936</t>
  </si>
  <si>
    <t>ICE937</t>
  </si>
  <si>
    <t>ICE938</t>
  </si>
  <si>
    <t>ICE939</t>
  </si>
  <si>
    <t>ICE940</t>
  </si>
  <si>
    <t>ICE941</t>
  </si>
  <si>
    <t>ICE942</t>
  </si>
  <si>
    <t>ICE943</t>
  </si>
  <si>
    <t>ICE944</t>
  </si>
  <si>
    <t>ICE945</t>
  </si>
  <si>
    <t>ICE946</t>
  </si>
  <si>
    <t>ICE947</t>
  </si>
  <si>
    <t>ICE948</t>
  </si>
  <si>
    <t>ICE949</t>
  </si>
  <si>
    <t>ICE950</t>
  </si>
  <si>
    <t>ICE951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</si>
</sst>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\ h:mm:ss"/>
    <numFmt numFmtId="165" formatCode="dd&quot;.&quot;mm&quot;.&quot;yyyy"/>
    <numFmt numFmtId="166" formatCode="&quot;$&quot;#,##0.00"/>
  </numFmts>
  <fonts count="4" x14ac:knownFonts="1">
    <font>
      <sz val="12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 applyNumberFormat="1"/>
    <xf numFmtId="164" fontId="2" fillId="0" borderId="0" xfId="1" applyNumberFormat="1" applyFont="1"/>
    <xf numFmtId="0" fontId="2" fillId="0" borderId="0" xfId="1" applyFont="1"/>
    <xf numFmtId="165" fontId="2" fillId="0" borderId="0" xfId="1" applyNumberFormat="1" applyFont="1"/>
    <xf numFmtId="4" fontId="2" fillId="0" borderId="0" xfId="1" applyNumberFormat="1" applyFont="1"/>
    <xf numFmtId="0" fontId="1" fillId="0" borderId="0" xfId="1"/>
    <xf numFmtId="166" fontId="2" fillId="2" borderId="0" xfId="1" applyNumberFormat="1" applyFont="1" applyFill="1"/>
    <xf numFmtId="0" fontId="2" fillId="2" borderId="0" xfId="1" applyFont="1" applyFill="1"/>
    <xf numFmtId="0" fontId="3" fillId="3" borderId="0" xfId="1" applyFont="1" applyFill="1" applyAlignment="1">
      <alignment horizontal="left"/>
    </xf>
    <xf numFmtId="0" fontId="2" fillId="0" borderId="0" xfId="1" quotePrefix="1" applyFont="1"/>
    <xf numFmtId="14" fontId="2" fillId="0" borderId="0" xfId="1" applyNumberFormat="1" applyFont="1"/>
    <xf numFmtId="0" fontId="0" fillId="0" borderId="0" xfId="0"/>
    <xf numFmtId="47" fontId="0" fillId="0" borderId="0" xfId="0" applyNumberFormat="1"/>
  </cellXfs>
  <cellStyles count="2">
    <cellStyle name="Normal" xfId="0" builtinId="0"/>
    <cellStyle name="Normal 2" xfId="1" xr:uid="{5446B581-AE0D-4C4D-ACE9-D99761E61A00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40"/>
  <sheetViews>
    <sheetView tabSelected="1" workbookViewId="0">
      <pane ySplit="1" topLeftCell="A623" activePane="bottomLeft" state="frozen"/>
      <selection pane="bottomLeft" activeCell="G653" sqref="G653"/>
    </sheetView>
  </sheetViews>
  <sheetFormatPr defaultRowHeight="15.75" x14ac:dyDescent="0.25"/>
  <cols>
    <col min="1" max="1" width="38.75" bestFit="1" customWidth="1"/>
    <col min="2" max="2" width="38" bestFit="1" customWidth="1"/>
    <col min="3" max="3" width="14" bestFit="1" customWidth="1"/>
    <col min="4" max="4" width="32" bestFit="1" customWidth="1"/>
    <col min="5" max="5" width="10.125" bestFit="1" customWidth="1"/>
    <col min="6" max="6" width="10.125" style="4" bestFit="1" customWidth="1"/>
    <col min="7" max="8" width="32" bestFit="1" customWidth="1"/>
    <col min="9" max="9" width="9.25" bestFit="1" customWidth="1"/>
    <col min="10" max="10" width="14.75" bestFit="1" customWidth="1"/>
    <col min="11" max="11" width="11.375" bestFit="1" customWidth="1"/>
    <col min="12" max="12" width="32.37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4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tr" cm="1">
        <f t="array" ref="A2:A940">_xlfn._xlws.FILTER('Projects GS'!L2:L1000,'Projects GS'!$L$2:$L$1000&lt;&gt;"")</f>
        <v>26A47FBE-6B71-4D89-B27B-4629DEEA1D34</v>
      </c>
      <c r="B2" t="str" cm="1">
        <f t="array" ref="B2:B940">_xlfn._xlws.FILTER('Projects GS'!O2:O1000,'Projects GS'!$L$2:$L$1000&lt;&gt;"")</f>
        <v>6DECD64D-60DA-49AE-A9B3-49D7E02F2D62</v>
      </c>
      <c r="C2" t="str" cm="1">
        <f t="array" ref="C2:C940">_xlfn._xlws.FILTER('Projects GS'!C2:C1000,'Projects GS'!$L$2:$L$1000&lt;&gt;"")</f>
        <v>Biota Park</v>
      </c>
      <c r="D2" t="str" cm="1">
        <f t="array" ref="D2:D940">_xlfn._xlws.FILTER('Projects GS'!N2:N1000,'Projects GS'!$L$2:$L$1000&lt;&gt;"")</f>
        <v>B59170EC-16CC-499A-9FF7-0428DCB8F727</v>
      </c>
      <c r="E2" t="str" cm="1">
        <f t="array" ref="E2:E940">TEXT(_xlfn._xlws.FILTER('Projects GS'!E2:E1000,'Projects GS'!$L$2:$L$1000&lt;&gt;""),"YYYY-MM-DD")</f>
        <v>2019-10-29</v>
      </c>
      <c r="F2" s="4" cm="1">
        <f t="array" ref="F2:F940">_xlfn._xlws.FILTER('Projects GS'!F2:F1000,'Projects GS'!$L$2:$L$1000&lt;&gt;"")</f>
        <v>350000</v>
      </c>
      <c r="G2" t="str" cm="1">
        <f t="array" ref="G2:G940">VLOOKUP(_xlfn._xlws.FILTER('Projects GS'!G2:G1000,'Projects GS'!$L$2:$L$1000&lt;&gt;""),Sheet3!B:C,2,FALSE)</f>
        <v>0790fb09-2de6-4ea3-a71c-58a007fc62a8</v>
      </c>
      <c r="H2" t="str" cm="1">
        <f t="array" ref="H2:H940">VLOOKUP(_xlfn._xlws.FILTER('Projects GS'!H2:H1000,'Projects GS'!$L$2:$L$1000&lt;&gt;""), Sheet4!B:C,2,FALSE)</f>
        <v>9fed28b3-82cf-4afa-8e8d-952adf7a54a5</v>
      </c>
      <c r="I2" t="str" cm="1">
        <f t="array" ref="I2:I940">IF(_xlfn._xlws.FILTER('Projects GS'!J2:J1000,'Projects GS'!$L$2:$L$1000&lt;&gt;"")=0,"",_xlfn._xlws.FILTER('Projects GS'!J2:J1000,'Projects GS'!$L$2:$L$1000&lt;&gt;""))</f>
        <v>1 6 30 1270</v>
      </c>
      <c r="L2" t="str" cm="1">
        <f t="array" ref="L2:L940">IF(_xlfn._xlws.FILTER('Projects GS'!P2:P1000,'Projects GS'!$L$2:$L$1000&lt;&gt;"")=0,"",_xlfn._xlws.FILTER('Projects GS'!P2:P1000,'Projects GS'!$L$2:$L$1000&lt;&gt;""))</f>
        <v/>
      </c>
    </row>
    <row r="3" spans="1:12" x14ac:dyDescent="0.25">
      <c r="A3" t="str">
        <v>BFCA9047-3C75-4EEB-9FE8-82617FFD3965</v>
      </c>
      <c r="B3" t="str">
        <v>8E8E99BE-75FC-49EC-9D89-960E30E7CB06</v>
      </c>
      <c r="C3" t="str">
        <v>Chakhrukhadze</v>
      </c>
      <c r="D3" t="str">
        <v>B59170EC-16CC-499A-9FF7-0428DCB8F727</v>
      </c>
      <c r="E3" t="str">
        <v>2019-10-24</v>
      </c>
      <c r="F3" s="4">
        <v>23100</v>
      </c>
      <c r="G3" t="str">
        <v>0790fb09-2de6-4ea3-a71c-58a007fc62a8</v>
      </c>
      <c r="H3" t="str">
        <v>9fed28b3-82cf-4afa-8e8d-952adf7a54a5</v>
      </c>
      <c r="I3" t="str">
        <v>1 6 30 541 4</v>
      </c>
      <c r="L3" t="str">
        <v/>
      </c>
    </row>
    <row r="4" spans="1:12" x14ac:dyDescent="0.25">
      <c r="A4" t="str">
        <v>00664103-FB2D-4EA7-A2B7-28064D745999</v>
      </c>
      <c r="B4" t="str">
        <v>3029E0C5-9337-4596-87DB-0A677D44A180</v>
      </c>
      <c r="C4" t="str">
        <v>Med. University</v>
      </c>
      <c r="D4" t="str">
        <v>B59170EC-16CC-499A-9FF7-0428DCB8F727</v>
      </c>
      <c r="E4" t="str">
        <v>2019-10-29</v>
      </c>
      <c r="F4" s="4">
        <v>42500</v>
      </c>
      <c r="G4" t="str">
        <v>0790fb09-2de6-4ea3-a71c-58a007fc62a8</v>
      </c>
      <c r="H4" t="str">
        <v>9fed28b3-82cf-4afa-8e8d-952adf7a54a5</v>
      </c>
      <c r="I4" t="str">
        <v/>
      </c>
      <c r="L4" t="str">
        <v/>
      </c>
    </row>
    <row r="5" spans="1:12" x14ac:dyDescent="0.25">
      <c r="A5" t="str">
        <v>80851DA9-84C4-4C2C-95FE-D6A0282F7B22</v>
      </c>
      <c r="B5" t="str">
        <v>97BEEA92-7829-4A09-8B1C-D0FE871340D4</v>
      </c>
      <c r="C5" t="str">
        <v>Varketili</v>
      </c>
      <c r="D5" t="str">
        <v>B59170EC-16CC-499A-9FF7-0428DCB8F727</v>
      </c>
      <c r="E5" t="str">
        <v>2019-09-16</v>
      </c>
      <c r="F5" s="4">
        <v>48500</v>
      </c>
      <c r="G5" t="str">
        <v>0790fb09-2de6-4ea3-a71c-58a007fc62a8</v>
      </c>
      <c r="H5" t="str">
        <v>9fed28b3-82cf-4afa-8e8d-952adf7a54a5</v>
      </c>
      <c r="I5" t="str">
        <v>1 6 30 1252</v>
      </c>
      <c r="L5" t="str">
        <v/>
      </c>
    </row>
    <row r="6" spans="1:12" x14ac:dyDescent="0.25">
      <c r="A6" t="str">
        <v>2E1DDD27-332A-4E4A-B571-52B4DE3B8E04</v>
      </c>
      <c r="B6" t="str">
        <v>DA9D440B-CACD-4076-8B91-BFFCA46814B6</v>
      </c>
      <c r="C6" t="str">
        <v>Gudauri Redco Parking</v>
      </c>
      <c r="D6" t="str">
        <v>B59170EC-16CC-499A-9FF7-0428DCB8F727</v>
      </c>
      <c r="E6" t="str">
        <v>2019-09-26</v>
      </c>
      <c r="F6" s="4">
        <v>28000</v>
      </c>
      <c r="G6" t="str">
        <v>0790fb09-2de6-4ea3-a71c-58a007fc62a8</v>
      </c>
      <c r="H6" t="str">
        <v>9fed28b3-82cf-4afa-8e8d-952adf7a54a5</v>
      </c>
      <c r="I6" t="str">
        <v/>
      </c>
      <c r="L6" t="str">
        <v/>
      </c>
    </row>
    <row r="7" spans="1:12" x14ac:dyDescent="0.25">
      <c r="A7" t="str">
        <v>83FEC832-A4EA-4380-B5E9-85BEEECE8FA4</v>
      </c>
      <c r="B7" t="str">
        <v>D5136DB7-C17A-4DDB-9797-D1B10612D28C</v>
      </c>
      <c r="C7" t="str">
        <v>Ortachala</v>
      </c>
      <c r="D7" t="str">
        <v>B59170EC-16CC-499A-9FF7-0428DCB8F727</v>
      </c>
      <c r="E7" t="str">
        <v>2019-07-26</v>
      </c>
      <c r="F7" s="4">
        <v>24000</v>
      </c>
      <c r="G7" t="str">
        <v>0790fb09-2de6-4ea3-a71c-58a007fc62a8</v>
      </c>
      <c r="H7" t="str">
        <v>9fed28b3-82cf-4afa-8e8d-952adf7a54a5</v>
      </c>
      <c r="I7" t="str">
        <v/>
      </c>
      <c r="L7" t="str">
        <v/>
      </c>
    </row>
    <row r="8" spans="1:12" x14ac:dyDescent="0.25">
      <c r="A8" t="str">
        <v>ABDEF9CC-F0E1-4950-B30C-D46A8A8A912C</v>
      </c>
      <c r="B8" t="str">
        <v>9729C88B-F3C5-441A-8782-0656302A37F2</v>
      </c>
      <c r="C8" t="str">
        <v>Modus Agladze</v>
      </c>
      <c r="D8" t="str">
        <v>B59170EC-16CC-499A-9FF7-0428DCB8F727</v>
      </c>
      <c r="E8" t="str">
        <v>2019-06-17</v>
      </c>
      <c r="F8" s="4">
        <v>32000</v>
      </c>
      <c r="G8" t="str">
        <v>0790fb09-2de6-4ea3-a71c-58a007fc62a8</v>
      </c>
      <c r="H8" t="str">
        <v>9fed28b3-82cf-4afa-8e8d-952adf7a54a5</v>
      </c>
      <c r="I8" t="str">
        <v/>
      </c>
      <c r="L8" t="str">
        <v/>
      </c>
    </row>
    <row r="9" spans="1:12" x14ac:dyDescent="0.25">
      <c r="A9" t="str">
        <v>230FCB1B-1310-4C49-9D2C-9CD5F9A792A3</v>
      </c>
      <c r="B9" t="str">
        <v>AAFC235A-2BBF-4CEC-A2AE-F1AEBABC12E4</v>
      </c>
      <c r="C9" t="str">
        <v>Crystal Bakuriani</v>
      </c>
      <c r="D9" t="str">
        <v>B59170EC-16CC-499A-9FF7-0428DCB8F727</v>
      </c>
      <c r="E9" t="str">
        <v>2019-05-23</v>
      </c>
      <c r="F9" s="4">
        <v>104500</v>
      </c>
      <c r="G9" t="str">
        <v>0790fb09-2de6-4ea3-a71c-58a007fc62a8</v>
      </c>
      <c r="H9" t="str">
        <v>9fed28b3-82cf-4afa-8e8d-952adf7a54a5</v>
      </c>
      <c r="I9" t="str">
        <v/>
      </c>
      <c r="L9" t="str">
        <v/>
      </c>
    </row>
    <row r="10" spans="1:12" x14ac:dyDescent="0.25">
      <c r="A10" t="str">
        <v>4E89F135-A0AD-4622-97BD-7B68EF6062F8</v>
      </c>
      <c r="B10" t="str">
        <v>15F35EBB-5A28-4C1B-B7CC-45FF3F31D4D6</v>
      </c>
      <c r="C10" t="str">
        <v>Abuseridze - Batumi</v>
      </c>
      <c r="D10" t="str">
        <v>B59170EC-16CC-499A-9FF7-0428DCB8F727</v>
      </c>
      <c r="E10" t="str">
        <v>2019-06-06</v>
      </c>
      <c r="F10" s="4">
        <v>31000</v>
      </c>
      <c r="G10" t="str">
        <v>0790fb09-2de6-4ea3-a71c-58a007fc62a8</v>
      </c>
      <c r="H10" t="str">
        <v>9fed28b3-82cf-4afa-8e8d-952adf7a54a5</v>
      </c>
      <c r="I10" t="str">
        <v>1 6 30 1179</v>
      </c>
      <c r="L10" t="str">
        <v/>
      </c>
    </row>
    <row r="11" spans="1:12" x14ac:dyDescent="0.25">
      <c r="A11" t="str">
        <v>CFFC1C06-B78B-45A0-8A02-37A23706EAFC</v>
      </c>
      <c r="B11" t="str">
        <v>B4968862-3843-414D-9E73-1A7611618B41</v>
      </c>
      <c r="C11" t="str">
        <v>UNIX Marselle</v>
      </c>
      <c r="D11" t="str">
        <v>B59170EC-16CC-499A-9FF7-0428DCB8F727</v>
      </c>
      <c r="E11" t="str">
        <v>2019-05-22</v>
      </c>
      <c r="F11" s="4">
        <v>340000</v>
      </c>
      <c r="G11" t="str">
        <v>0790fb09-2de6-4ea3-a71c-58a007fc62a8</v>
      </c>
      <c r="H11" t="str">
        <v>9fed28b3-82cf-4afa-8e8d-952adf7a54a5</v>
      </c>
      <c r="I11" t="str">
        <v/>
      </c>
      <c r="L11" t="str">
        <v/>
      </c>
    </row>
    <row r="12" spans="1:12" x14ac:dyDescent="0.25">
      <c r="A12" t="str">
        <v>125722B7-4DB0-4817-B1A4-DBA0B1B893D4</v>
      </c>
      <c r="B12" t="str">
        <v>3F5B4217-38D4-4FB8-B3F3-E856A10FFF06</v>
      </c>
      <c r="C12" t="str">
        <v>Tbilisi Palace</v>
      </c>
      <c r="D12" t="str">
        <v>B59170EC-16CC-499A-9FF7-0428DCB8F727</v>
      </c>
      <c r="E12" t="str">
        <v>2018-12-26</v>
      </c>
      <c r="F12" s="4">
        <v>160000</v>
      </c>
      <c r="G12" t="str">
        <v>0790fb09-2de6-4ea3-a71c-58a007fc62a8</v>
      </c>
      <c r="H12" t="str">
        <v>9fed28b3-82cf-4afa-8e8d-952adf7a54a5</v>
      </c>
      <c r="I12" t="str">
        <v/>
      </c>
      <c r="L12" t="str">
        <v/>
      </c>
    </row>
    <row r="13" spans="1:12" x14ac:dyDescent="0.25">
      <c r="A13" t="str">
        <v>255604D7-5424-4548-9CAA-ECFF960BB6AE</v>
      </c>
      <c r="B13" t="str">
        <v>5A21C207-4868-4EA6-9B48-5D0F743D5535</v>
      </c>
      <c r="C13" t="str">
        <v>Tegeta Batumi</v>
      </c>
      <c r="D13" t="str">
        <v>B59170EC-16CC-499A-9FF7-0428DCB8F727</v>
      </c>
      <c r="E13" t="str">
        <v>2019-01-14</v>
      </c>
      <c r="F13" s="4">
        <v>28650</v>
      </c>
      <c r="G13" t="str">
        <v>0790fb09-2de6-4ea3-a71c-58a007fc62a8</v>
      </c>
      <c r="H13" t="str">
        <v>9fed28b3-82cf-4afa-8e8d-952adf7a54a5</v>
      </c>
      <c r="I13" t="str">
        <v/>
      </c>
      <c r="L13" t="str">
        <v/>
      </c>
    </row>
    <row r="14" spans="1:12" x14ac:dyDescent="0.25">
      <c r="A14" t="str">
        <v>A4EE54E2-C9BC-44F8-8554-44B9037B38D2</v>
      </c>
      <c r="B14" t="str">
        <v>7BF4A039-29BC-44AC-A87D-E8832394B94E</v>
      </c>
      <c r="C14" t="str">
        <v>DAR TOWER</v>
      </c>
      <c r="D14" t="str">
        <v>B59170EC-16CC-499A-9FF7-0428DCB8F727</v>
      </c>
      <c r="E14" t="str">
        <v>2018-09-20</v>
      </c>
      <c r="F14" s="4">
        <v>1046340</v>
      </c>
      <c r="G14" t="str">
        <v>0790fb09-2de6-4ea3-a71c-58a007fc62a8</v>
      </c>
      <c r="H14" t="str">
        <v>9fed28b3-82cf-4afa-8e8d-952adf7a54a5</v>
      </c>
      <c r="I14" t="str">
        <v>1 6 30 853 1</v>
      </c>
      <c r="L14" t="str">
        <v/>
      </c>
    </row>
    <row r="15" spans="1:12" x14ac:dyDescent="0.25">
      <c r="A15" t="str">
        <v>A7AFCD4C-CA26-464C-8F1B-E9A5240DCB0F</v>
      </c>
      <c r="B15" t="str">
        <v>DAE7B000-963F-42D9-AA35-8F3F2F8A3716</v>
      </c>
      <c r="C15" t="str">
        <v>BAT Tower</v>
      </c>
      <c r="D15" t="str">
        <v>B59170EC-16CC-499A-9FF7-0428DCB8F727</v>
      </c>
      <c r="E15" t="str">
        <v>2018-12-27</v>
      </c>
      <c r="F15" s="4">
        <v>73000</v>
      </c>
      <c r="G15" t="str">
        <v>0790fb09-2de6-4ea3-a71c-58a007fc62a8</v>
      </c>
      <c r="H15" t="str">
        <v>9fed28b3-82cf-4afa-8e8d-952adf7a54a5</v>
      </c>
      <c r="I15" t="str">
        <v>1 6 30 1039</v>
      </c>
      <c r="L15" t="str">
        <v/>
      </c>
    </row>
    <row r="16" spans="1:12" x14ac:dyDescent="0.25">
      <c r="A16" t="str">
        <v>E95274D6-921C-43D1-B7C4-4F99A71C4005</v>
      </c>
      <c r="B16" t="str">
        <v>BFABDF11-34C8-4815-A840-47DD5AAB9F4F</v>
      </c>
      <c r="C16" t="str">
        <v>Rumi - batumi</v>
      </c>
      <c r="D16" t="str">
        <v>B59170EC-16CC-499A-9FF7-0428DCB8F727</v>
      </c>
      <c r="E16" t="str">
        <v>2019-12-17</v>
      </c>
      <c r="F16" s="4">
        <v>117370</v>
      </c>
      <c r="G16" t="str">
        <v>0790fb09-2de6-4ea3-a71c-58a007fc62a8</v>
      </c>
      <c r="H16" t="str">
        <v>9fed28b3-82cf-4afa-8e8d-952adf7a54a5</v>
      </c>
      <c r="I16" t="str">
        <v>1 6 30 1335</v>
      </c>
      <c r="L16" t="str">
        <v/>
      </c>
    </row>
    <row r="17" spans="1:12" x14ac:dyDescent="0.25">
      <c r="A17" t="str">
        <v>C897938C-00C4-4220-BAF1-CA29F3237D16</v>
      </c>
      <c r="B17" t="str">
        <v>7F0A41E4-FA68-43E7-A979-126560D14B58</v>
      </c>
      <c r="C17" t="str">
        <v>Domus Paliashviliს 63</v>
      </c>
      <c r="D17" t="str">
        <v>B59170EC-16CC-499A-9FF7-0428DCB8F727</v>
      </c>
      <c r="E17" t="str">
        <v>2017-08-01</v>
      </c>
      <c r="F17" s="4">
        <v>97000</v>
      </c>
      <c r="G17" t="str">
        <v>5a2d799d-22a1-4e0a-b029-8031a1df6d56</v>
      </c>
      <c r="H17" t="str">
        <v>9fed28b3-82cf-4afa-8e8d-952adf7a54a5</v>
      </c>
      <c r="I17" t="str">
        <v/>
      </c>
      <c r="L17" t="str">
        <v/>
      </c>
    </row>
    <row r="18" spans="1:12" x14ac:dyDescent="0.25">
      <c r="A18" t="str">
        <v>196F7BB2-781C-4FF2-BAEE-C30045DA8E1E</v>
      </c>
      <c r="B18" t="str">
        <v>B25EF46E-8022-4949-A1EB-E8A1256C7A3B</v>
      </c>
      <c r="C18" t="str">
        <v>Gelovani 52</v>
      </c>
      <c r="D18" t="str">
        <v>B59170EC-16CC-499A-9FF7-0428DCB8F727</v>
      </c>
      <c r="E18" t="str">
        <v>2017-07-07</v>
      </c>
      <c r="F18" s="4">
        <v>161000</v>
      </c>
      <c r="G18" t="str">
        <v>0790fb09-2de6-4ea3-a71c-58a007fc62a8</v>
      </c>
      <c r="H18" t="str">
        <v>9fed28b3-82cf-4afa-8e8d-952adf7a54a5</v>
      </c>
      <c r="I18" t="str">
        <v/>
      </c>
      <c r="L18" t="str">
        <v/>
      </c>
    </row>
    <row r="19" spans="1:12" x14ac:dyDescent="0.25">
      <c r="A19" t="str">
        <v>42197EB0-C73A-4679-8D11-1DD3BAC96135</v>
      </c>
      <c r="B19" t="str">
        <v>967EE73E-8B77-4A8F-9FD3-AA36FF0ECB17</v>
      </c>
      <c r="C19" t="str">
        <v>Chempioni</v>
      </c>
      <c r="D19" t="str">
        <v>B59170EC-16CC-499A-9FF7-0428DCB8F727</v>
      </c>
      <c r="E19" t="str">
        <v>2016-06-15</v>
      </c>
      <c r="F19" s="4">
        <v>23924</v>
      </c>
      <c r="G19" t="str">
        <v>0790fb09-2de6-4ea3-a71c-58a007fc62a8</v>
      </c>
      <c r="H19" t="str">
        <v>9fed28b3-82cf-4afa-8e8d-952adf7a54a5</v>
      </c>
      <c r="I19" t="str">
        <v/>
      </c>
      <c r="L19" t="str">
        <v/>
      </c>
    </row>
    <row r="20" spans="1:12" x14ac:dyDescent="0.25">
      <c r="A20" t="str">
        <v>7A83BC1F-C807-436E-9390-775B1D423BFD</v>
      </c>
      <c r="B20" t="str">
        <v>EEF69DEA-9E1B-41C3-B563-3922DCE0A9BD</v>
      </c>
      <c r="C20" t="str">
        <v>New Time</v>
      </c>
      <c r="D20" t="str">
        <v>B59170EC-16CC-499A-9FF7-0428DCB8F727</v>
      </c>
      <c r="E20" t="str">
        <v>2017-05-30</v>
      </c>
      <c r="F20" s="4">
        <v>150000</v>
      </c>
      <c r="G20" t="str">
        <v>0790fb09-2de6-4ea3-a71c-58a007fc62a8</v>
      </c>
      <c r="H20" t="str">
        <v>9fed28b3-82cf-4afa-8e8d-952adf7a54a5</v>
      </c>
      <c r="I20" t="str">
        <v/>
      </c>
      <c r="L20" t="str">
        <v/>
      </c>
    </row>
    <row r="21" spans="1:12" x14ac:dyDescent="0.25">
      <c r="A21" t="str">
        <v>D9285AF5-11A4-4764-B11B-745E9DAF1D34</v>
      </c>
      <c r="B21" t="str">
        <v>0A7F5182-3B4F-4292-8569-FC31854BA5B4</v>
      </c>
      <c r="C21" t="str">
        <v>Green Cape</v>
      </c>
      <c r="D21" t="str">
        <v>B59170EC-16CC-499A-9FF7-0428DCB8F727</v>
      </c>
      <c r="E21" t="str">
        <v>2018-12-26</v>
      </c>
      <c r="F21" s="4">
        <v>70360</v>
      </c>
      <c r="G21" t="str">
        <v>0790fb09-2de6-4ea3-a71c-58a007fc62a8</v>
      </c>
      <c r="H21" t="str">
        <v>9fed28b3-82cf-4afa-8e8d-952adf7a54a5</v>
      </c>
      <c r="I21" t="str">
        <v/>
      </c>
      <c r="L21" t="str">
        <v/>
      </c>
    </row>
    <row r="22" spans="1:12" x14ac:dyDescent="0.25">
      <c r="A22" t="str">
        <v>C5E1547A-8529-495B-974D-92544D0F1C66</v>
      </c>
      <c r="B22" t="str">
        <v>8E8E99BE-75FC-49EC-9D89-960E30E7CB06</v>
      </c>
      <c r="C22" t="str">
        <v>Indeko - shartava 39</v>
      </c>
      <c r="D22" t="str">
        <v>B59170EC-16CC-499A-9FF7-0428DCB8F727</v>
      </c>
      <c r="E22" t="str">
        <v>2018-12-26</v>
      </c>
      <c r="F22" s="4">
        <v>155520</v>
      </c>
      <c r="G22" t="str">
        <v>0790fb09-2de6-4ea3-a71c-58a007fc62a8</v>
      </c>
      <c r="H22" t="str">
        <v>9fed28b3-82cf-4afa-8e8d-952adf7a54a5</v>
      </c>
      <c r="I22" t="str">
        <v/>
      </c>
      <c r="L22" t="str">
        <v/>
      </c>
    </row>
    <row r="23" spans="1:12" x14ac:dyDescent="0.25">
      <c r="A23" t="str">
        <v>D421D947-C097-4870-8EF1-C7F724377248</v>
      </c>
      <c r="B23" t="str">
        <v>DA9D440B-CACD-4076-8B91-BFFCA46814B6</v>
      </c>
      <c r="C23" t="str">
        <v>Redco 1</v>
      </c>
      <c r="D23" t="str">
        <v>B59170EC-16CC-499A-9FF7-0428DCB8F727</v>
      </c>
      <c r="E23" t="str">
        <v>2018-05-28</v>
      </c>
      <c r="F23" s="4">
        <v>370000</v>
      </c>
      <c r="G23" t="str">
        <v>0790fb09-2de6-4ea3-a71c-58a007fc62a8</v>
      </c>
      <c r="H23" t="str">
        <v>9fed28b3-82cf-4afa-8e8d-952adf7a54a5</v>
      </c>
      <c r="I23" t="str">
        <v>1 6 30 917 2</v>
      </c>
      <c r="L23" t="str">
        <v/>
      </c>
    </row>
    <row r="24" spans="1:12" x14ac:dyDescent="0.25">
      <c r="A24" t="str">
        <v>2496A0E0-1118-49DC-8A82-539003DC1B23</v>
      </c>
      <c r="B24" t="str">
        <v>62F6C15C-8FCC-4A60-B37E-8A3DE9D20A48</v>
      </c>
      <c r="C24" t="str">
        <v>Delisi</v>
      </c>
      <c r="D24" t="str">
        <v>B59170EC-16CC-499A-9FF7-0428DCB8F727</v>
      </c>
      <c r="E24" t="str">
        <v>2016-08-16</v>
      </c>
      <c r="F24" s="4">
        <v>53454</v>
      </c>
      <c r="G24" t="str">
        <v>0790fb09-2de6-4ea3-a71c-58a007fc62a8</v>
      </c>
      <c r="H24" t="str">
        <v>9fed28b3-82cf-4afa-8e8d-952adf7a54a5</v>
      </c>
      <c r="I24" t="str">
        <v/>
      </c>
      <c r="L24" t="str">
        <v/>
      </c>
    </row>
    <row r="25" spans="1:12" x14ac:dyDescent="0.25">
      <c r="A25" t="str">
        <v>1C2CAB23-3967-41F9-AC61-62415AE0373C</v>
      </c>
      <c r="B25" t="str">
        <v>A5C44F5D-1F9C-4BC1-BD39-C8B2E88BC49A</v>
      </c>
      <c r="C25" t="str">
        <v>Shvela</v>
      </c>
      <c r="D25" t="str">
        <v>B59170EC-16CC-499A-9FF7-0428DCB8F727</v>
      </c>
      <c r="E25" t="str">
        <v>2016-06-15</v>
      </c>
      <c r="F25" s="4">
        <v>50206</v>
      </c>
      <c r="G25" t="str">
        <v>0790fb09-2de6-4ea3-a71c-58a007fc62a8</v>
      </c>
      <c r="H25" t="str">
        <v>9fed28b3-82cf-4afa-8e8d-952adf7a54a5</v>
      </c>
      <c r="I25" t="str">
        <v/>
      </c>
      <c r="L25" t="str">
        <v/>
      </c>
    </row>
    <row r="26" spans="1:12" x14ac:dyDescent="0.25">
      <c r="A26" t="str">
        <v>202843CA-C5C3-4057-8040-234B6C369B5E</v>
      </c>
      <c r="B26" t="str">
        <v>D57E2878-F57C-4B96-B89E-A8B81F35634A</v>
      </c>
      <c r="C26" t="str">
        <v>Moxy Zaabruken Hotel 1</v>
      </c>
      <c r="D26" t="str">
        <v>B59170EC-16CC-499A-9FF7-0428DCB8F727</v>
      </c>
      <c r="E26" t="str">
        <v>2016-10-04</v>
      </c>
      <c r="F26" s="4">
        <v>157608.67000000001</v>
      </c>
      <c r="G26" t="str">
        <v>0790fb09-2de6-4ea3-a71c-58a007fc62a8</v>
      </c>
      <c r="H26" t="str">
        <v>9fed28b3-82cf-4afa-8e8d-952adf7a54a5</v>
      </c>
      <c r="I26" t="str">
        <v/>
      </c>
      <c r="L26" t="str">
        <v/>
      </c>
    </row>
    <row r="27" spans="1:12" x14ac:dyDescent="0.25">
      <c r="A27" t="str">
        <v>8C8C52A5-1A7C-485F-9AC8-043862EF3D55</v>
      </c>
      <c r="B27" t="str">
        <v>2ED6F730-5337-4222-94F9-284E801BCE61</v>
      </c>
      <c r="C27" t="str">
        <v>Tbilisi Gardens</v>
      </c>
      <c r="D27" t="str">
        <v>B59170EC-16CC-499A-9FF7-0428DCB8F727</v>
      </c>
      <c r="E27" t="str">
        <v>2016-12-19</v>
      </c>
      <c r="F27" s="4">
        <v>325000</v>
      </c>
      <c r="G27" t="str">
        <v>0790fb09-2de6-4ea3-a71c-58a007fc62a8</v>
      </c>
      <c r="H27" t="str">
        <v>9fed28b3-82cf-4afa-8e8d-952adf7a54a5</v>
      </c>
      <c r="I27" t="str">
        <v/>
      </c>
      <c r="L27" t="str">
        <v/>
      </c>
    </row>
    <row r="28" spans="1:12" x14ac:dyDescent="0.25">
      <c r="A28" t="str">
        <v>BFD4409A-7F01-4C7C-9F40-73A80C2E63A6</v>
      </c>
      <c r="B28" t="str">
        <v>9729C88B-F3C5-441A-8782-0656302A37F2</v>
      </c>
      <c r="C28" t="str">
        <v>Modus Kakhety HW</v>
      </c>
      <c r="D28" t="str">
        <v>B59170EC-16CC-499A-9FF7-0428DCB8F727</v>
      </c>
      <c r="E28" t="str">
        <v>2016-09-28</v>
      </c>
      <c r="F28" s="4">
        <v>25000</v>
      </c>
      <c r="G28" t="str">
        <v>0790fb09-2de6-4ea3-a71c-58a007fc62a8</v>
      </c>
      <c r="H28" t="str">
        <v>9fed28b3-82cf-4afa-8e8d-952adf7a54a5</v>
      </c>
      <c r="I28" t="str">
        <v/>
      </c>
      <c r="L28" t="str">
        <v/>
      </c>
    </row>
    <row r="29" spans="1:12" x14ac:dyDescent="0.25">
      <c r="A29" t="str">
        <v>A53105CE-1BDB-4625-B775-A01DA1F6C8AD</v>
      </c>
      <c r="B29" t="str">
        <v>57A60218-744B-4922-BF21-F9C52A01DAF6</v>
      </c>
      <c r="C29" t="str">
        <v>Kbuleti Str. - Khomeriki</v>
      </c>
      <c r="D29" t="str">
        <v>B59170EC-16CC-499A-9FF7-0428DCB8F727</v>
      </c>
      <c r="E29" t="str">
        <v>2016-04-25</v>
      </c>
      <c r="F29" s="4">
        <v>36577</v>
      </c>
      <c r="G29" t="str">
        <v>0790fb09-2de6-4ea3-a71c-58a007fc62a8</v>
      </c>
      <c r="H29" t="str">
        <v>9fed28b3-82cf-4afa-8e8d-952adf7a54a5</v>
      </c>
      <c r="I29" t="str">
        <v/>
      </c>
      <c r="L29" t="str">
        <v/>
      </c>
    </row>
    <row r="30" spans="1:12" x14ac:dyDescent="0.25">
      <c r="A30" t="str">
        <v>F154242F-E028-49D8-B7BE-42EB31281CD5</v>
      </c>
      <c r="B30" t="str">
        <v>A3C5943B-D1C3-4CB2-946C-86BF678B6183</v>
      </c>
      <c r="C30" t="str">
        <v>Domus</v>
      </c>
      <c r="D30" t="str">
        <v>B59170EC-16CC-499A-9FF7-0428DCB8F727</v>
      </c>
      <c r="E30" t="str">
        <v>2015-12-17</v>
      </c>
      <c r="F30" s="4">
        <v>527700</v>
      </c>
      <c r="G30" t="str">
        <v>0790fb09-2de6-4ea3-a71c-58a007fc62a8</v>
      </c>
      <c r="H30" t="str">
        <v>9fed28b3-82cf-4afa-8e8d-952adf7a54a5</v>
      </c>
      <c r="I30" t="str">
        <v/>
      </c>
      <c r="L30" t="str">
        <v/>
      </c>
    </row>
    <row r="31" spans="1:12" x14ac:dyDescent="0.25">
      <c r="A31" t="str">
        <v>6D999F5B-2199-4578-A47D-FDC2DF179273</v>
      </c>
      <c r="B31" t="str">
        <v>9AE0C821-91FF-44A4-90E6-F71F98BC044C</v>
      </c>
      <c r="C31" t="str">
        <v>Paliashvili 23</v>
      </c>
      <c r="D31" t="str">
        <v>12238130-9D12-4099-A48B-9EB5A085E0F8</v>
      </c>
      <c r="E31" t="str">
        <v>2020-01-01</v>
      </c>
      <c r="F31" s="4">
        <v>1</v>
      </c>
      <c r="G31" t="str">
        <v>5a2d799d-22a1-4e0a-b029-8031a1df6d56</v>
      </c>
      <c r="H31" t="str">
        <v>9fed28b3-82cf-4afa-8e8d-952adf7a54a5</v>
      </c>
      <c r="I31" t="str">
        <v>1 6 31 1380</v>
      </c>
      <c r="L31" t="str">
        <v/>
      </c>
    </row>
    <row r="32" spans="1:12" x14ac:dyDescent="0.25">
      <c r="A32" t="str">
        <v>5E543EA8-4A6A-4F8C-9F72-071B61F85EEB</v>
      </c>
      <c r="B32" t="str">
        <v>D57E2878-F57C-4B96-B89E-A8B81F35634A</v>
      </c>
      <c r="C32" t="str">
        <v>Moxy Zabruken Restaurant</v>
      </c>
      <c r="D32" t="str">
        <v>B59170EC-16CC-499A-9FF7-0428DCB8F727</v>
      </c>
      <c r="E32" t="str">
        <v>2019-10-04</v>
      </c>
      <c r="F32" s="4">
        <v>78804.33</v>
      </c>
      <c r="G32" t="str">
        <v>0790fb09-2de6-4ea3-a71c-58a007fc62a8</v>
      </c>
      <c r="H32" t="str">
        <v>9fed28b3-82cf-4afa-8e8d-952adf7a54a5</v>
      </c>
      <c r="I32" t="str">
        <v/>
      </c>
      <c r="L32" t="str">
        <v/>
      </c>
    </row>
    <row r="33" spans="1:12" x14ac:dyDescent="0.25">
      <c r="A33" t="str">
        <v>C35D9FF1-3A09-4634-9BFA-87C709266063</v>
      </c>
      <c r="B33" t="str">
        <v>E284E0FD-A2B7-4D93-8E91-006FF0A8A4CE</v>
      </c>
      <c r="C33" t="str">
        <v>TWIN TOWER</v>
      </c>
      <c r="D33" t="str">
        <v>B59170EC-16CC-499A-9FF7-0428DCB8F727</v>
      </c>
      <c r="E33" t="str">
        <v>2017-11-20</v>
      </c>
      <c r="F33" s="4">
        <v>3273908</v>
      </c>
      <c r="G33" t="str">
        <v>0790fb09-2de6-4ea3-a71c-58a007fc62a8</v>
      </c>
      <c r="H33" t="str">
        <v>9fed28b3-82cf-4afa-8e8d-952adf7a54a5</v>
      </c>
      <c r="I33" t="str">
        <v>1 6 30 773 1</v>
      </c>
      <c r="L33" t="str">
        <v/>
      </c>
    </row>
    <row r="34" spans="1:12" x14ac:dyDescent="0.25">
      <c r="A34" t="str">
        <v>EA15EDA6-F906-4932-87BA-DDB8898D4EBC</v>
      </c>
      <c r="B34" t="str">
        <v>DDFBBDF4-5DA2-4BD2-918A-77AAF121BF72</v>
      </c>
      <c r="C34" t="str">
        <v>City Mall</v>
      </c>
      <c r="D34" t="str">
        <v>B59170EC-16CC-499A-9FF7-0428DCB8F727</v>
      </c>
      <c r="E34" t="str">
        <v>2018-09-11</v>
      </c>
      <c r="F34" s="4">
        <v>1194345</v>
      </c>
      <c r="G34" t="str">
        <v>0790fb09-2de6-4ea3-a71c-58a007fc62a8</v>
      </c>
      <c r="H34" t="str">
        <v>9fed28b3-82cf-4afa-8e8d-952adf7a54a5</v>
      </c>
      <c r="I34" t="str">
        <v>1 6 30 971</v>
      </c>
      <c r="L34" t="str">
        <v/>
      </c>
    </row>
    <row r="35" spans="1:12" x14ac:dyDescent="0.25">
      <c r="A35" t="str">
        <v>55F53FA9-CDDE-4FBA-91A1-FEAFA51B29A0</v>
      </c>
      <c r="B35" t="str">
        <v>9B349A17-7CE1-4232-98C6-02C565C3642C</v>
      </c>
      <c r="C35" t="str">
        <v>Renting BNB</v>
      </c>
      <c r="D35" t="str">
        <v>B59170EC-16CC-499A-9FF7-0428DCB8F727</v>
      </c>
      <c r="E35" t="str">
        <v>2020-02-25</v>
      </c>
      <c r="F35" s="4">
        <v>26000</v>
      </c>
      <c r="G35" t="str">
        <v>0790fb09-2de6-4ea3-a71c-58a007fc62a8</v>
      </c>
      <c r="H35" t="str">
        <v>9fed28b3-82cf-4afa-8e8d-952adf7a54a5</v>
      </c>
      <c r="I35" t="str">
        <v>1 6 30 1429</v>
      </c>
      <c r="L35" t="str">
        <v/>
      </c>
    </row>
    <row r="36" spans="1:12" x14ac:dyDescent="0.25">
      <c r="A36" t="str">
        <v>44F2F4A0-908E-42D1-B73F-04859CACCB08</v>
      </c>
      <c r="B36" t="str">
        <v>9B21D54A-56D8-405D-95E2-A05872C7C1E9</v>
      </c>
      <c r="C36" t="str">
        <v>Aeroporti</v>
      </c>
      <c r="D36" t="str">
        <v>B59170EC-16CC-499A-9FF7-0428DCB8F727</v>
      </c>
      <c r="E36" t="str">
        <v>2019-08-22</v>
      </c>
      <c r="F36" s="4">
        <v>20000</v>
      </c>
      <c r="G36" t="str">
        <v>0790fb09-2de6-4ea3-a71c-58a007fc62a8</v>
      </c>
      <c r="H36" t="str">
        <v>9fed28b3-82cf-4afa-8e8d-952adf7a54a5</v>
      </c>
      <c r="I36" t="str">
        <v/>
      </c>
      <c r="L36" t="str">
        <v/>
      </c>
    </row>
    <row r="37" spans="1:12" x14ac:dyDescent="0.25">
      <c r="A37" t="str">
        <v>2F958FC8-AC98-416D-BEAC-E4C6006FCCB3</v>
      </c>
      <c r="B37" t="str">
        <v>3029E0C5-9337-4596-87DB-0A677D44A180</v>
      </c>
      <c r="C37" t="str">
        <v>Dividers Med Uni</v>
      </c>
      <c r="D37" t="str">
        <v>B59170EC-16CC-499A-9FF7-0428DCB8F727</v>
      </c>
      <c r="E37" t="str">
        <v>2019-01-12</v>
      </c>
      <c r="F37" s="4">
        <v>11000</v>
      </c>
      <c r="G37" t="str">
        <v>5a2d799d-22a1-4e0a-b029-8031a1df6d56</v>
      </c>
      <c r="H37" t="str">
        <v>9fed28b3-82cf-4afa-8e8d-952adf7a54a5</v>
      </c>
      <c r="I37" t="str">
        <v/>
      </c>
      <c r="L37" t="str">
        <v/>
      </c>
    </row>
    <row r="38" spans="1:12" x14ac:dyDescent="0.25">
      <c r="A38" t="str">
        <v>4DB7E760-9ECD-4426-BB50-E293E58D2B02</v>
      </c>
      <c r="B38" t="str">
        <v>1C2A10A9-FA2F-437B-8C70-F109D1C009EE</v>
      </c>
      <c r="C38" t="str">
        <v>Brewery 1 (300KG)</v>
      </c>
      <c r="D38" t="str">
        <v>B59170EC-16CC-499A-9FF7-0428DCB8F727</v>
      </c>
      <c r="E38" t="str">
        <v>2020-03-06</v>
      </c>
      <c r="F38" s="4">
        <v>10610</v>
      </c>
      <c r="G38" t="str">
        <v>0790fb09-2de6-4ea3-a71c-58a007fc62a8</v>
      </c>
      <c r="H38" t="str">
        <v>9fed28b3-82cf-4afa-8e8d-952adf7a54a5</v>
      </c>
      <c r="I38" t="str">
        <v/>
      </c>
      <c r="L38" t="str">
        <v/>
      </c>
    </row>
    <row r="39" spans="1:12" x14ac:dyDescent="0.25">
      <c r="A39" t="str">
        <v>E136ACFA-DBED-49EE-B224-24513754542C</v>
      </c>
      <c r="B39" t="str">
        <v>04FB28EA-5501-4B01-BA1D-C2955C0E1213</v>
      </c>
      <c r="C39" t="str">
        <v>Khiliani</v>
      </c>
      <c r="D39" t="str">
        <v>B59170EC-16CC-499A-9FF7-0428DCB8F727</v>
      </c>
      <c r="E39" t="str">
        <v>2019-07-31</v>
      </c>
      <c r="F39" s="4">
        <v>26400</v>
      </c>
      <c r="G39" t="str">
        <v>0790fb09-2de6-4ea3-a71c-58a007fc62a8</v>
      </c>
      <c r="H39" t="str">
        <v>9fed28b3-82cf-4afa-8e8d-952adf7a54a5</v>
      </c>
      <c r="I39" t="str">
        <v/>
      </c>
      <c r="L39" t="str">
        <v/>
      </c>
    </row>
    <row r="40" spans="1:12" x14ac:dyDescent="0.25">
      <c r="A40" t="str">
        <v>5B0BA252-1105-4374-8654-430AE04E8A64</v>
      </c>
      <c r="B40" t="str">
        <v>E284E0FD-A2B7-4D93-8E91-006FF0A8A4CE</v>
      </c>
      <c r="C40" t="str">
        <v>ORBI Office Lift</v>
      </c>
      <c r="D40" t="str">
        <v>B59170EC-16CC-499A-9FF7-0428DCB8F727</v>
      </c>
      <c r="E40" t="str">
        <v>2019-11-19</v>
      </c>
      <c r="F40" s="4">
        <v>30000</v>
      </c>
      <c r="G40" t="str">
        <v>0790fb09-2de6-4ea3-a71c-58a007fc62a8</v>
      </c>
      <c r="H40" t="str">
        <v>9fed28b3-82cf-4afa-8e8d-952adf7a54a5</v>
      </c>
      <c r="I40" t="str">
        <v/>
      </c>
      <c r="L40" t="str">
        <v/>
      </c>
    </row>
    <row r="41" spans="1:12" x14ac:dyDescent="0.25">
      <c r="A41" t="str">
        <v>3619FEF3-250F-43C1-93C3-B77FEADECC84</v>
      </c>
      <c r="B41" t="str">
        <v>3029E0C5-9337-4596-87DB-0A677D44A180</v>
      </c>
      <c r="C41" t="str">
        <v>IBIS Perovi</v>
      </c>
      <c r="D41" t="str">
        <v>B59170EC-16CC-499A-9FF7-0428DCB8F727</v>
      </c>
      <c r="E41" t="str">
        <v>2019-09-11</v>
      </c>
      <c r="F41" s="4">
        <v>83750</v>
      </c>
      <c r="G41" t="str">
        <v>0790fb09-2de6-4ea3-a71c-58a007fc62a8</v>
      </c>
      <c r="H41" t="str">
        <v>9fed28b3-82cf-4afa-8e8d-952adf7a54a5</v>
      </c>
      <c r="I41" t="str">
        <v>1 6 30 1257 1</v>
      </c>
      <c r="L41" t="str">
        <v/>
      </c>
    </row>
    <row r="42" spans="1:12" x14ac:dyDescent="0.25">
      <c r="A42" t="str">
        <v>0159D5F2-86A6-4D6F-87C4-D563AB9AA860</v>
      </c>
      <c r="B42" t="str">
        <v>F43C8D9B-B556-4114-B404-AEEFA8C31B20</v>
      </c>
      <c r="C42" t="str">
        <v>Sololaki</v>
      </c>
      <c r="D42" t="str">
        <v>B59170EC-16CC-499A-9FF7-0428DCB8F727</v>
      </c>
      <c r="E42" t="str">
        <v>2019-10-31</v>
      </c>
      <c r="F42" s="4">
        <v>24000</v>
      </c>
      <c r="G42" t="str">
        <v>0790fb09-2de6-4ea3-a71c-58a007fc62a8</v>
      </c>
      <c r="H42" t="str">
        <v>9fed28b3-82cf-4afa-8e8d-952adf7a54a5</v>
      </c>
      <c r="I42" t="str">
        <v/>
      </c>
      <c r="L42" t="str">
        <v/>
      </c>
    </row>
    <row r="43" spans="1:12" x14ac:dyDescent="0.25">
      <c r="A43" t="str">
        <v>B9668B49-46F2-4E2F-B183-F802279CAA6C</v>
      </c>
      <c r="B43" t="str">
        <v>3029E0C5-9337-4596-87DB-0A677D44A180</v>
      </c>
      <c r="C43" t="str">
        <v>IBIS Perov Dumbwaiter</v>
      </c>
      <c r="D43" t="str">
        <v>B59170EC-16CC-499A-9FF7-0428DCB8F727</v>
      </c>
      <c r="E43" t="str">
        <v>2019-12-05</v>
      </c>
      <c r="F43" s="4">
        <v>16300</v>
      </c>
      <c r="G43" t="str">
        <v>0790fb09-2de6-4ea3-a71c-58a007fc62a8</v>
      </c>
      <c r="H43" t="str">
        <v>9fed28b3-82cf-4afa-8e8d-952adf7a54a5</v>
      </c>
      <c r="I43" t="str">
        <v/>
      </c>
      <c r="L43" t="str">
        <v/>
      </c>
    </row>
    <row r="44" spans="1:12" x14ac:dyDescent="0.25">
      <c r="A44" t="str">
        <v>7BF69DE1-9EA3-4EAE-9713-910380F15356</v>
      </c>
      <c r="B44" t="str">
        <v>04B265BA-02B2-4620-87C1-1D9CA09C8962</v>
      </c>
      <c r="C44" t="str">
        <v>Kleemann Pekini</v>
      </c>
      <c r="D44" t="str">
        <v>B59170EC-16CC-499A-9FF7-0428DCB8F727</v>
      </c>
      <c r="E44" t="str">
        <v>2018-05-08</v>
      </c>
      <c r="F44" s="4">
        <v>353218</v>
      </c>
      <c r="G44" t="str">
        <v>0790fb09-2de6-4ea3-a71c-58a007fc62a8</v>
      </c>
      <c r="H44" t="str">
        <v>9fed28b3-82cf-4afa-8e8d-952adf7a54a5</v>
      </c>
      <c r="I44" t="str">
        <v/>
      </c>
      <c r="L44" t="str">
        <v/>
      </c>
    </row>
    <row r="45" spans="1:12" x14ac:dyDescent="0.25">
      <c r="A45" t="str">
        <v>56B157A4-78FF-42DD-B032-B267792BBED8</v>
      </c>
      <c r="B45" t="str">
        <v>7DDF7E55-92EE-4E47-9E16-F1D4D3FABF60</v>
      </c>
      <c r="C45" t="str">
        <v>Gudauri Alpic</v>
      </c>
      <c r="D45" t="str">
        <v>B59170EC-16CC-499A-9FF7-0428DCB8F727</v>
      </c>
      <c r="E45" t="str">
        <v>2019-09-24</v>
      </c>
      <c r="F45" s="4">
        <v>81000</v>
      </c>
      <c r="G45" t="str">
        <v>0790fb09-2de6-4ea3-a71c-58a007fc62a8</v>
      </c>
      <c r="H45" t="str">
        <v>9fed28b3-82cf-4afa-8e8d-952adf7a54a5</v>
      </c>
      <c r="I45" t="str">
        <v/>
      </c>
      <c r="L45" t="str">
        <v/>
      </c>
    </row>
    <row r="46" spans="1:12" x14ac:dyDescent="0.25">
      <c r="A46" t="str">
        <v>8A712C8E-EE09-4385-8E22-3C7E70676923</v>
      </c>
      <c r="B46" t="str">
        <v>7DDF7E55-92EE-4E47-9E16-F1D4D3FABF60</v>
      </c>
      <c r="C46" t="str">
        <v>Batumi Stadium</v>
      </c>
      <c r="D46" t="str">
        <v>B59170EC-16CC-499A-9FF7-0428DCB8F727</v>
      </c>
      <c r="E46" t="str">
        <v>2019-05-04</v>
      </c>
      <c r="F46" s="4">
        <v>139932.66</v>
      </c>
      <c r="G46" t="str">
        <v>0790fb09-2de6-4ea3-a71c-58a007fc62a8</v>
      </c>
      <c r="H46" t="str">
        <v>9fed28b3-82cf-4afa-8e8d-952adf7a54a5</v>
      </c>
      <c r="I46" t="str">
        <v/>
      </c>
      <c r="L46" t="str">
        <v/>
      </c>
    </row>
    <row r="47" spans="1:12" x14ac:dyDescent="0.25">
      <c r="A47" t="str">
        <v>F487D937-85D8-43B1-8D4D-27757BC0BE36</v>
      </c>
      <c r="B47" t="str">
        <v>EC22924D-9707-4BC1-9814-FD45570D704B</v>
      </c>
      <c r="C47" t="str">
        <v>Gazapkhuli</v>
      </c>
      <c r="D47" t="str">
        <v>12238130-9D12-4099-A48B-9EB5A085E0F8</v>
      </c>
      <c r="E47" t="str">
        <v>2020-01-01</v>
      </c>
      <c r="F47" s="4">
        <v>100</v>
      </c>
      <c r="G47" t="str">
        <v>5a2d799d-22a1-4e0a-b029-8031a1df6d56</v>
      </c>
      <c r="H47" t="str">
        <v>9fed28b3-82cf-4afa-8e8d-952adf7a54a5</v>
      </c>
      <c r="I47" t="str">
        <v/>
      </c>
      <c r="L47" t="str">
        <v/>
      </c>
    </row>
    <row r="48" spans="1:12" x14ac:dyDescent="0.25">
      <c r="A48" t="str">
        <v>554B8399-3687-4503-A8C9-12E3BBDE60E9</v>
      </c>
      <c r="B48" t="str">
        <v>A71E107A-D0C2-4155-83C0-22DCD22BD19F</v>
      </c>
      <c r="C48" t="str">
        <v>Thermoroom</v>
      </c>
      <c r="D48" t="str">
        <v>B59170EC-16CC-499A-9FF7-0428DCB8F727</v>
      </c>
      <c r="E48" t="str">
        <v>2019-03-22</v>
      </c>
      <c r="F48" s="4">
        <v>82900</v>
      </c>
      <c r="G48" t="str">
        <v>0790fb09-2de6-4ea3-a71c-58a007fc62a8</v>
      </c>
      <c r="H48" t="str">
        <v>9fed28b3-82cf-4afa-8e8d-952adf7a54a5</v>
      </c>
      <c r="I48" t="str">
        <v/>
      </c>
      <c r="L48" t="str">
        <v/>
      </c>
    </row>
    <row r="49" spans="1:12" x14ac:dyDescent="0.25">
      <c r="A49" t="str">
        <v>165277AE-3A0C-494C-8C92-CC3A68C15375</v>
      </c>
      <c r="B49" t="str">
        <v>967D325E-9818-4D9E-8716-3D66A117AF42</v>
      </c>
      <c r="C49" t="str">
        <v>ENCORE Gudauri</v>
      </c>
      <c r="D49" t="str">
        <v>B59170EC-16CC-499A-9FF7-0428DCB8F727</v>
      </c>
      <c r="E49" t="str">
        <v>2019-09-03</v>
      </c>
      <c r="F49" s="4">
        <v>180540</v>
      </c>
      <c r="G49" t="str">
        <v>4cfda3f2-535e-4b77-a467-eac9dc64feca</v>
      </c>
      <c r="H49" t="str">
        <v>9fed28b3-82cf-4afa-8e8d-952adf7a54a5</v>
      </c>
      <c r="I49" t="str">
        <v/>
      </c>
      <c r="L49" t="str">
        <v/>
      </c>
    </row>
    <row r="50" spans="1:12" x14ac:dyDescent="0.25">
      <c r="A50" t="str">
        <v>C78D3D45-B3FB-4533-AE2E-53D8A5FA6C34</v>
      </c>
      <c r="B50" t="str">
        <v>9E3145B1-F47E-49C3-BF51-BCB9055ABC20</v>
      </c>
      <c r="C50" t="str">
        <v>MOXY HVAC</v>
      </c>
      <c r="D50" t="str">
        <v>FEA4B88F-633F-4422-B3D6-250792A2DA80</v>
      </c>
      <c r="E50" t="str">
        <v>2018-01-24</v>
      </c>
      <c r="F50" s="4">
        <v>416156.43</v>
      </c>
      <c r="G50" t="str">
        <v>0790fb09-2de6-4ea3-a71c-58a007fc62a8</v>
      </c>
      <c r="H50" t="str">
        <v>9fed28b3-82cf-4afa-8e8d-952adf7a54a5</v>
      </c>
      <c r="I50" t="str">
        <v/>
      </c>
      <c r="L50" t="str">
        <v/>
      </c>
    </row>
    <row r="51" spans="1:12" x14ac:dyDescent="0.25">
      <c r="A51" t="str">
        <v>59251EDF-2EEC-4871-ADAA-D7901FD7C84E</v>
      </c>
      <c r="B51" t="str">
        <v>30D1E20E-3889-4EAC-883A-6509ABFFA5D7</v>
      </c>
      <c r="C51" t="str">
        <v>Paster Hostel</v>
      </c>
      <c r="D51" t="str">
        <v>B59170EC-16CC-499A-9FF7-0428DCB8F727</v>
      </c>
      <c r="E51" t="str">
        <v>2019-04-16</v>
      </c>
      <c r="F51" s="4">
        <v>36200</v>
      </c>
      <c r="G51" t="str">
        <v>0790fb09-2de6-4ea3-a71c-58a007fc62a8</v>
      </c>
      <c r="H51" t="str">
        <v>9fed28b3-82cf-4afa-8e8d-952adf7a54a5</v>
      </c>
      <c r="I51" t="str">
        <v/>
      </c>
      <c r="L51" t="str">
        <v/>
      </c>
    </row>
    <row r="52" spans="1:12" x14ac:dyDescent="0.25">
      <c r="A52" t="str">
        <v>BCE7664A-F047-41AD-8D93-756E595D21F6</v>
      </c>
      <c r="B52" t="str">
        <v>B658F42E-3F0A-44A3-B4ED-A7B4C1D8DEAE</v>
      </c>
      <c r="C52" t="str">
        <v>Kaklebi</v>
      </c>
      <c r="D52" t="str">
        <v>B59170EC-16CC-499A-9FF7-0428DCB8F727</v>
      </c>
      <c r="E52" t="str">
        <v>2019-04-11</v>
      </c>
      <c r="F52" s="4">
        <v>37760</v>
      </c>
      <c r="G52" t="str">
        <v>0790fb09-2de6-4ea3-a71c-58a007fc62a8</v>
      </c>
      <c r="H52" t="str">
        <v>9fed28b3-82cf-4afa-8e8d-952adf7a54a5</v>
      </c>
      <c r="I52" t="str">
        <v/>
      </c>
      <c r="L52" t="str">
        <v/>
      </c>
    </row>
    <row r="53" spans="1:12" x14ac:dyDescent="0.25">
      <c r="A53" t="str">
        <v>6E5F6760-7CEF-41CD-B373-B0F3B4EABCCA</v>
      </c>
      <c r="B53" t="str">
        <v>E0680301-116E-4D99-93F4-7C694EC80172</v>
      </c>
      <c r="C53" t="str">
        <v>156-ე საჯარო სკოლა</v>
      </c>
      <c r="D53" t="str">
        <v>B59170EC-16CC-499A-9FF7-0428DCB8F727</v>
      </c>
      <c r="E53" t="str">
        <v>2020-01-31</v>
      </c>
      <c r="F53" s="4">
        <v>8900</v>
      </c>
      <c r="G53" t="str">
        <v>0790fb09-2de6-4ea3-a71c-58a007fc62a8</v>
      </c>
      <c r="H53" t="str">
        <v>9fed28b3-82cf-4afa-8e8d-952adf7a54a5</v>
      </c>
      <c r="I53" t="str">
        <v/>
      </c>
      <c r="L53" t="str">
        <v/>
      </c>
    </row>
    <row r="54" spans="1:12" x14ac:dyDescent="0.25">
      <c r="A54" t="str">
        <v>A4E19F43-E4DA-4585-8CAE-4CC3E97F5AF8</v>
      </c>
      <c r="B54" t="str">
        <v>90293CD0-6262-4F6E-9B52-E8D909232966</v>
      </c>
      <c r="C54" t="str">
        <v>Beach Tower</v>
      </c>
      <c r="D54" t="str">
        <v>B59170EC-16CC-499A-9FF7-0428DCB8F727</v>
      </c>
      <c r="E54" t="str">
        <v>2018-09-05</v>
      </c>
      <c r="F54" s="4">
        <v>650000</v>
      </c>
      <c r="G54" t="str">
        <v>0790fb09-2de6-4ea3-a71c-58a007fc62a8</v>
      </c>
      <c r="H54" t="str">
        <v>9fed28b3-82cf-4afa-8e8d-952adf7a54a5</v>
      </c>
      <c r="I54" t="str">
        <v/>
      </c>
      <c r="L54" t="str">
        <v/>
      </c>
    </row>
    <row r="55" spans="1:12" x14ac:dyDescent="0.25">
      <c r="A55" t="str">
        <v>A9B6FEBD-3A47-4DFB-ACC0-BE284A1FE961</v>
      </c>
      <c r="B55" t="str">
        <v>43EABC78-AF64-4C14-9FEF-C7E6A1B6F07E</v>
      </c>
      <c r="C55" t="str">
        <v>Modus PU Duct</v>
      </c>
      <c r="D55" t="str">
        <v>FEA4B88F-633F-4422-B3D6-250792A2DA80</v>
      </c>
      <c r="E55" t="str">
        <v>2019-05-10</v>
      </c>
      <c r="F55" s="4">
        <v>109423.76</v>
      </c>
      <c r="G55" t="str">
        <v>5a2d799d-22a1-4e0a-b029-8031a1df6d56</v>
      </c>
      <c r="H55" t="str">
        <v>9fed28b3-82cf-4afa-8e8d-952adf7a54a5</v>
      </c>
      <c r="I55" t="str">
        <v/>
      </c>
      <c r="L55" t="str">
        <v/>
      </c>
    </row>
    <row r="56" spans="1:12" x14ac:dyDescent="0.25">
      <c r="A56" t="str">
        <v>FD1EDF0D-38F3-4DAD-BD01-A54531CAD071</v>
      </c>
      <c r="B56" t="str">
        <v>43EABC78-AF64-4C14-9FEF-C7E6A1B6F07E</v>
      </c>
      <c r="C56" t="str">
        <v>Modus VRV</v>
      </c>
      <c r="D56" t="str">
        <v>FEA4B88F-633F-4422-B3D6-250792A2DA80</v>
      </c>
      <c r="E56" t="str">
        <v>2019-05-17</v>
      </c>
      <c r="F56" s="4">
        <v>11810</v>
      </c>
      <c r="G56" t="str">
        <v>0790fb09-2de6-4ea3-a71c-58a007fc62a8</v>
      </c>
      <c r="H56" t="str">
        <v>9fed28b3-82cf-4afa-8e8d-952adf7a54a5</v>
      </c>
      <c r="I56" t="str">
        <v/>
      </c>
      <c r="L56" t="str">
        <v/>
      </c>
    </row>
    <row r="57" spans="1:12" x14ac:dyDescent="0.25">
      <c r="A57" t="str">
        <v>9A0748F1-7447-4E99-B52A-C299B2BE2267</v>
      </c>
      <c r="B57" t="str">
        <v>43EABC78-AF64-4C14-9FEF-C7E6A1B6F07E</v>
      </c>
      <c r="C57" t="str">
        <v>Ramada Melikishvili</v>
      </c>
      <c r="D57" t="str">
        <v>FEA4B88F-633F-4422-B3D6-250792A2DA80</v>
      </c>
      <c r="E57" t="str">
        <v>2019-06-17</v>
      </c>
      <c r="F57" s="4">
        <v>312660.95999999996</v>
      </c>
      <c r="G57" t="str">
        <v>0790fb09-2de6-4ea3-a71c-58a007fc62a8</v>
      </c>
      <c r="H57" t="str">
        <v>9fed28b3-82cf-4afa-8e8d-952adf7a54a5</v>
      </c>
      <c r="I57" t="str">
        <v/>
      </c>
      <c r="L57" t="str">
        <v/>
      </c>
    </row>
    <row r="58" spans="1:12" x14ac:dyDescent="0.25">
      <c r="A58" t="str">
        <v>300E878A-B016-48B5-A930-E3EDEEFB0FED</v>
      </c>
      <c r="B58" t="str">
        <v>43EABC78-AF64-4C14-9FEF-C7E6A1B6F07E</v>
      </c>
      <c r="C58" t="str">
        <v>Ramada Melikishvili Additional</v>
      </c>
      <c r="D58" t="str">
        <v>FEA4B88F-633F-4422-B3D6-250792A2DA80</v>
      </c>
      <c r="E58" t="str">
        <v>2019-08-16</v>
      </c>
      <c r="F58" s="4">
        <v>11636.28</v>
      </c>
      <c r="G58" t="str">
        <v>0790fb09-2de6-4ea3-a71c-58a007fc62a8</v>
      </c>
      <c r="H58" t="str">
        <v>9fed28b3-82cf-4afa-8e8d-952adf7a54a5</v>
      </c>
      <c r="I58" t="str">
        <v/>
      </c>
      <c r="L58" t="str">
        <v/>
      </c>
    </row>
    <row r="59" spans="1:12" x14ac:dyDescent="0.25">
      <c r="A59" t="str">
        <v>B866CCA1-4F5C-4C49-9517-CD64763AD8CC</v>
      </c>
      <c r="B59" t="str">
        <v>43EABC78-AF64-4C14-9FEF-C7E6A1B6F07E</v>
      </c>
      <c r="C59" t="str">
        <v>Hilton Garden Mockup</v>
      </c>
      <c r="D59" t="str">
        <v>FEA4B88F-633F-4422-B3D6-250792A2DA80</v>
      </c>
      <c r="E59" t="str">
        <v>2019-05-12</v>
      </c>
      <c r="F59" s="4">
        <v>2872.57</v>
      </c>
      <c r="G59" t="str">
        <v>0790fb09-2de6-4ea3-a71c-58a007fc62a8</v>
      </c>
      <c r="H59" t="str">
        <v>9fed28b3-82cf-4afa-8e8d-952adf7a54a5</v>
      </c>
      <c r="I59" t="str">
        <v/>
      </c>
      <c r="L59" t="str">
        <v/>
      </c>
    </row>
    <row r="60" spans="1:12" x14ac:dyDescent="0.25">
      <c r="A60" t="str">
        <v>3A44DBA7-152B-4C3D-8A70-C51193549F07</v>
      </c>
      <c r="B60" t="str">
        <v>43EABC78-AF64-4C14-9FEF-C7E6A1B6F07E</v>
      </c>
      <c r="C60" t="str">
        <v>Kempinski Mockup</v>
      </c>
      <c r="D60" t="str">
        <v>FEA4B88F-633F-4422-B3D6-250792A2DA80</v>
      </c>
      <c r="E60" t="str">
        <v>2019-10-21</v>
      </c>
      <c r="F60" s="4">
        <v>2245.13</v>
      </c>
      <c r="G60" t="str">
        <v>0790fb09-2de6-4ea3-a71c-58a007fc62a8</v>
      </c>
      <c r="H60" t="str">
        <v>9fed28b3-82cf-4afa-8e8d-952adf7a54a5</v>
      </c>
      <c r="I60" t="str">
        <v/>
      </c>
      <c r="L60" t="str">
        <v/>
      </c>
    </row>
    <row r="61" spans="1:12" x14ac:dyDescent="0.25">
      <c r="A61" t="str">
        <v>89441EC7-27A5-4210-91F3-96BB35383900</v>
      </c>
      <c r="B61" t="str">
        <v>43EABC78-AF64-4C14-9FEF-C7E6A1B6F07E</v>
      </c>
      <c r="C61" t="str">
        <v>Copper Pipes Stock</v>
      </c>
      <c r="D61" t="str">
        <v>FEA4B88F-633F-4422-B3D6-250792A2DA80</v>
      </c>
      <c r="E61" t="str">
        <v>2020-02-21</v>
      </c>
      <c r="F61" s="4">
        <v>7201.2</v>
      </c>
      <c r="G61" t="str">
        <v>5a2d799d-22a1-4e0a-b029-8031a1df6d56</v>
      </c>
      <c r="H61" t="str">
        <v>9fed28b3-82cf-4afa-8e8d-952adf7a54a5</v>
      </c>
      <c r="I61" t="str">
        <v/>
      </c>
      <c r="L61" t="str">
        <v/>
      </c>
    </row>
    <row r="62" spans="1:12" x14ac:dyDescent="0.25">
      <c r="A62" t="str">
        <v>F4A2EDEE-7E84-4F30-91BA-5752286BD0A1</v>
      </c>
      <c r="B62" t="str">
        <v>43EABC78-AF64-4C14-9FEF-C7E6A1B6F07E</v>
      </c>
      <c r="C62" t="str">
        <v>Valves Med. University</v>
      </c>
      <c r="D62" t="str">
        <v>FEA4B88F-633F-4422-B3D6-250792A2DA80</v>
      </c>
      <c r="E62" t="str">
        <v>2019-12-16</v>
      </c>
      <c r="F62" s="4">
        <v>881.46</v>
      </c>
      <c r="G62" t="str">
        <v>4cfda3f2-535e-4b77-a467-eac9dc64feca</v>
      </c>
      <c r="H62" t="str">
        <v>9fed28b3-82cf-4afa-8e8d-952adf7a54a5</v>
      </c>
      <c r="I62" t="str">
        <v/>
      </c>
      <c r="L62" t="str">
        <v/>
      </c>
    </row>
    <row r="63" spans="1:12" x14ac:dyDescent="0.25">
      <c r="A63" t="str">
        <v>740B928C-4173-4A00-8523-A29D1C596ECC</v>
      </c>
      <c r="B63" t="str">
        <v>43EABC78-AF64-4C14-9FEF-C7E6A1B6F07E</v>
      </c>
      <c r="C63" t="str">
        <v>Orbi Bakuriani VRV</v>
      </c>
      <c r="D63" t="str">
        <v>FEA4B88F-633F-4422-B3D6-250792A2DA80</v>
      </c>
      <c r="E63" t="str">
        <v>2020-03-04</v>
      </c>
      <c r="F63" s="4">
        <v>87484.25</v>
      </c>
      <c r="G63" t="str">
        <v>0790fb09-2de6-4ea3-a71c-58a007fc62a8</v>
      </c>
      <c r="H63" t="str">
        <v>9fed28b3-82cf-4afa-8e8d-952adf7a54a5</v>
      </c>
      <c r="I63" t="str">
        <v/>
      </c>
      <c r="L63" t="str">
        <v/>
      </c>
    </row>
    <row r="64" spans="1:12" x14ac:dyDescent="0.25">
      <c r="A64" t="str">
        <v>68E42D82-BE50-4F66-82A4-CDC4DEB322C3</v>
      </c>
      <c r="B64" t="str">
        <v>43EABC78-AF64-4C14-9FEF-C7E6A1B6F07E</v>
      </c>
      <c r="C64" t="str">
        <v>Hilton Garden Inn VRV 1</v>
      </c>
      <c r="D64" t="str">
        <v>FEA4B88F-633F-4422-B3D6-250792A2DA80</v>
      </c>
      <c r="E64" t="str">
        <v>2020-03-10</v>
      </c>
      <c r="F64" s="4">
        <v>56818.84</v>
      </c>
      <c r="G64" t="str">
        <v>0790fb09-2de6-4ea3-a71c-58a007fc62a8</v>
      </c>
      <c r="H64" t="str">
        <v>9fed28b3-82cf-4afa-8e8d-952adf7a54a5</v>
      </c>
      <c r="I64" t="str">
        <v>1 6 30 1148</v>
      </c>
      <c r="L64" t="str">
        <v/>
      </c>
    </row>
    <row r="65" spans="1:12" x14ac:dyDescent="0.25">
      <c r="A65" t="str">
        <v>4723017E-EF0C-427F-BE8D-95A49C03170F</v>
      </c>
      <c r="B65" t="str">
        <v>43EABC78-AF64-4C14-9FEF-C7E6A1B6F07E</v>
      </c>
      <c r="C65" t="str">
        <v>Hilton Garden Inn PIPES</v>
      </c>
      <c r="D65" t="str">
        <v>FEA4B88F-633F-4422-B3D6-250792A2DA80</v>
      </c>
      <c r="E65" t="str">
        <v>2020-03-13</v>
      </c>
      <c r="F65" s="4">
        <v>8684.86</v>
      </c>
      <c r="G65" t="str">
        <v>0790fb09-2de6-4ea3-a71c-58a007fc62a8</v>
      </c>
      <c r="H65" t="str">
        <v>9fed28b3-82cf-4afa-8e8d-952adf7a54a5</v>
      </c>
      <c r="I65" t="str">
        <v/>
      </c>
      <c r="L65" t="str">
        <v/>
      </c>
    </row>
    <row r="66" spans="1:12" x14ac:dyDescent="0.25">
      <c r="A66" t="str">
        <v>E3FEF6DB-0C48-4832-A5CF-868EF7B591A4</v>
      </c>
      <c r="B66" t="str">
        <v>7BF4A039-29BC-44AC-A87D-E8832394B94E</v>
      </c>
      <c r="C66" t="str">
        <v>OFFICE Dar Building</v>
      </c>
      <c r="D66" t="str">
        <v>B59170EC-16CC-499A-9FF7-0428DCB8F727</v>
      </c>
      <c r="E66" t="str">
        <v>2020-12-05</v>
      </c>
      <c r="F66" s="4">
        <v>20800</v>
      </c>
      <c r="G66" t="str">
        <v>0790fb09-2de6-4ea3-a71c-58a007fc62a8</v>
      </c>
      <c r="H66" t="str">
        <v>9fed28b3-82cf-4afa-8e8d-952adf7a54a5</v>
      </c>
      <c r="I66" t="str">
        <v/>
      </c>
      <c r="L66" t="str">
        <v/>
      </c>
    </row>
    <row r="67" spans="1:12" x14ac:dyDescent="0.25">
      <c r="A67" t="str">
        <v>A68BEF97-923B-4D3C-8A08-9CF9311578B7</v>
      </c>
      <c r="B67" t="str">
        <v>7DDF7E55-92EE-4E47-9E16-F1D4D3FABF60</v>
      </c>
      <c r="C67" t="str">
        <v>Archi Digomi</v>
      </c>
      <c r="D67" t="str">
        <v>B59170EC-16CC-499A-9FF7-0428DCB8F727</v>
      </c>
      <c r="E67" t="str">
        <v>2020-05-04</v>
      </c>
      <c r="F67" s="4">
        <v>107760</v>
      </c>
      <c r="G67" t="str">
        <v>0790fb09-2de6-4ea3-a71c-58a007fc62a8</v>
      </c>
      <c r="H67" t="str">
        <v>9fed28b3-82cf-4afa-8e8d-952adf7a54a5</v>
      </c>
      <c r="I67" t="str">
        <v>1 6 30 1132 3</v>
      </c>
      <c r="L67" t="str">
        <v/>
      </c>
    </row>
    <row r="68" spans="1:12" x14ac:dyDescent="0.25">
      <c r="A68" t="str">
        <v>5D93EA98-C1B5-460B-B2FB-C526651B3F64</v>
      </c>
      <c r="B68" t="str">
        <v>6DF25574-2F03-43D0-AEC4-2CD26A4A0C3A</v>
      </c>
      <c r="C68" t="str">
        <v>Zara City Mall</v>
      </c>
      <c r="D68" t="str">
        <v>12238130-9D12-4099-A48B-9EB5A085E0F8</v>
      </c>
      <c r="E68" t="str">
        <v>2019-12-01</v>
      </c>
      <c r="F68" s="4">
        <v>1800</v>
      </c>
      <c r="G68" t="str">
        <v>5a2d799d-22a1-4e0a-b029-8031a1df6d56</v>
      </c>
      <c r="H68" t="str">
        <v>9fed28b3-82cf-4afa-8e8d-952adf7a54a5</v>
      </c>
      <c r="I68" t="str">
        <v/>
      </c>
      <c r="L68" t="str">
        <v/>
      </c>
    </row>
    <row r="69" spans="1:12" x14ac:dyDescent="0.25">
      <c r="A69" t="str">
        <v>7A62FB55-149C-4A13-B506-1117D0761263</v>
      </c>
      <c r="B69" t="str">
        <v>75C62470-4093-4FB3-8DB7-F700FEC2C222</v>
      </c>
      <c r="C69" t="str">
        <v>Galleria Hotel</v>
      </c>
      <c r="D69" t="str">
        <v>12238130-9D12-4099-A48B-9EB5A085E0F8</v>
      </c>
      <c r="E69" t="str">
        <v>2019-06-01</v>
      </c>
      <c r="F69" s="4">
        <v>300</v>
      </c>
      <c r="G69" t="str">
        <v>0790fb09-2de6-4ea3-a71c-58a007fc62a8</v>
      </c>
      <c r="H69" t="str">
        <v>9fed28b3-82cf-4afa-8e8d-952adf7a54a5</v>
      </c>
      <c r="I69" t="str">
        <v>1 6 31 1221</v>
      </c>
      <c r="L69" t="str">
        <v/>
      </c>
    </row>
    <row r="70" spans="1:12" x14ac:dyDescent="0.25">
      <c r="A70" t="str">
        <v>75411B5D-3913-49E0-B5A6-48ED0D4EEBB6</v>
      </c>
      <c r="B70" t="str">
        <v>71A96223-5CD1-4DA9-9617-A85A565B4669</v>
      </c>
      <c r="C70" t="str">
        <v>Era Palace</v>
      </c>
      <c r="D70" t="str">
        <v>12238130-9D12-4099-A48B-9EB5A085E0F8</v>
      </c>
      <c r="E70" t="str">
        <v>2019-05-01</v>
      </c>
      <c r="F70" s="4">
        <v>200</v>
      </c>
      <c r="G70" t="str">
        <v>5a2d799d-22a1-4e0a-b029-8031a1df6d56</v>
      </c>
      <c r="H70" t="str">
        <v>9fed28b3-82cf-4afa-8e8d-952adf7a54a5</v>
      </c>
      <c r="I70" t="str">
        <v/>
      </c>
      <c r="L70" t="str">
        <v/>
      </c>
    </row>
    <row r="71" spans="1:12" x14ac:dyDescent="0.25">
      <c r="A71" t="str">
        <v>9D27243C-D81D-4430-90C4-5F8CCBF5809F</v>
      </c>
      <c r="B71" t="str">
        <v>726D9023-53A2-435E-8A5B-8BCEA9625E08</v>
      </c>
      <c r="C71" t="str">
        <v>Muzeums</v>
      </c>
      <c r="D71" t="str">
        <v>12238130-9D12-4099-A48B-9EB5A085E0F8</v>
      </c>
      <c r="E71" t="str">
        <v>2019-02-01</v>
      </c>
      <c r="F71" s="4">
        <v>750</v>
      </c>
      <c r="G71" t="str">
        <v>5a2d799d-22a1-4e0a-b029-8031a1df6d56</v>
      </c>
      <c r="H71" t="str">
        <v>9fed28b3-82cf-4afa-8e8d-952adf7a54a5</v>
      </c>
      <c r="I71" t="str">
        <v/>
      </c>
      <c r="L71" t="str">
        <v/>
      </c>
    </row>
    <row r="72" spans="1:12" x14ac:dyDescent="0.25">
      <c r="A72" t="str">
        <v>4C7A7F0C-187C-4D2B-857D-A522EE632F24</v>
      </c>
      <c r="B72" t="str">
        <v>B4968862-3843-414D-9E73-1A7611618B41</v>
      </c>
      <c r="C72" t="str">
        <v>UNIX Ipolit Ivanov</v>
      </c>
      <c r="D72" t="str">
        <v>12238130-9D12-4099-A48B-9EB5A085E0F8</v>
      </c>
      <c r="E72" t="str">
        <v>2019-03-15</v>
      </c>
      <c r="F72" s="4">
        <v>1500</v>
      </c>
      <c r="G72" t="str">
        <v>5a2d799d-22a1-4e0a-b029-8031a1df6d56</v>
      </c>
      <c r="H72" t="str">
        <v>9fed28b3-82cf-4afa-8e8d-952adf7a54a5</v>
      </c>
      <c r="I72" t="str">
        <v>1 6 31 902</v>
      </c>
      <c r="L72" t="str">
        <v/>
      </c>
    </row>
    <row r="73" spans="1:12" x14ac:dyDescent="0.25">
      <c r="A73" t="str">
        <v>5485535C-2F61-456A-9548-E6F7EE885A7B</v>
      </c>
      <c r="B73" t="str">
        <v>42A1D3CC-F7CD-4EC1-A425-6E261EB22EBC</v>
      </c>
      <c r="C73" t="str">
        <v>PIXEL</v>
      </c>
      <c r="D73" t="str">
        <v>12238130-9D12-4099-A48B-9EB5A085E0F8</v>
      </c>
      <c r="E73" t="str">
        <v>2018-12-01</v>
      </c>
      <c r="F73" s="4">
        <v>1645</v>
      </c>
      <c r="G73" t="str">
        <v>0790fb09-2de6-4ea3-a71c-58a007fc62a8</v>
      </c>
      <c r="H73" t="str">
        <v>9fed28b3-82cf-4afa-8e8d-952adf7a54a5</v>
      </c>
      <c r="I73" t="str">
        <v>1 6 31 1044</v>
      </c>
      <c r="L73" t="str">
        <v/>
      </c>
    </row>
    <row r="74" spans="1:12" x14ac:dyDescent="0.25">
      <c r="A74" t="str">
        <v>1937421D-0C5D-47B3-84E7-F06B2CECE212</v>
      </c>
      <c r="B74" t="str">
        <v>059C7B48-86B5-4FB3-AF87-564E29C595E9</v>
      </c>
      <c r="C74" t="str">
        <v>Khetagurov Office</v>
      </c>
      <c r="D74" t="str">
        <v>12238130-9D12-4099-A48B-9EB5A085E0F8</v>
      </c>
      <c r="E74" t="str">
        <v>2018-12-28</v>
      </c>
      <c r="F74" s="4">
        <v>1000</v>
      </c>
      <c r="G74" t="str">
        <v>5a2d799d-22a1-4e0a-b029-8031a1df6d56</v>
      </c>
      <c r="H74" t="str">
        <v>9fed28b3-82cf-4afa-8e8d-952adf7a54a5</v>
      </c>
      <c r="I74" t="str">
        <v>1 6 31 1059</v>
      </c>
      <c r="L74" t="str">
        <v/>
      </c>
    </row>
    <row r="75" spans="1:12" x14ac:dyDescent="0.25">
      <c r="A75" t="str">
        <v>0ABCF801-1738-4393-BF70-87C1FA8C9F0D</v>
      </c>
      <c r="B75" t="str">
        <v>726D9023-53A2-435E-8A5B-8BCEA9625E08</v>
      </c>
      <c r="C75" t="str">
        <v>Galleria Tbilisi</v>
      </c>
      <c r="D75" t="str">
        <v>12238130-9D12-4099-A48B-9EB5A085E0F8</v>
      </c>
      <c r="E75" t="str">
        <v>2020-02-01</v>
      </c>
      <c r="F75" s="4">
        <v>1</v>
      </c>
      <c r="G75" t="str">
        <v>0790fb09-2de6-4ea3-a71c-58a007fc62a8</v>
      </c>
      <c r="H75" t="str">
        <v>9fed28b3-82cf-4afa-8e8d-952adf7a54a5</v>
      </c>
      <c r="I75" t="str">
        <v>1 6 31 4 1</v>
      </c>
      <c r="L75" t="str">
        <v/>
      </c>
    </row>
    <row r="76" spans="1:12" x14ac:dyDescent="0.25">
      <c r="A76" t="str">
        <v>F2EB27A3-4AED-4096-AF24-4B7A9C4512A7</v>
      </c>
      <c r="B76" t="str">
        <v>3D0B2E19-A7F7-45A1-A329-05C7D5F99C8A</v>
      </c>
      <c r="C76" t="str">
        <v>Tbilisi Central HVAC Service</v>
      </c>
      <c r="D76" t="str">
        <v>31562B13-85C8-472E-8D02-01D802D635C1</v>
      </c>
      <c r="E76" t="str">
        <v>2020-09-01</v>
      </c>
      <c r="F76" s="4">
        <v>1</v>
      </c>
      <c r="G76" t="str">
        <v>5a2d799d-22a1-4e0a-b029-8031a1df6d56</v>
      </c>
      <c r="H76" t="str">
        <v>9fed28b3-82cf-4afa-8e8d-952adf7a54a5</v>
      </c>
      <c r="I76" t="str">
        <v>1 6 31 1371</v>
      </c>
      <c r="L76" t="str">
        <v/>
      </c>
    </row>
    <row r="77" spans="1:12" x14ac:dyDescent="0.25">
      <c r="A77" t="str">
        <v>7D93AE81-A3AA-4EF2-A79C-0DE309E1B402</v>
      </c>
      <c r="B77" t="str">
        <v>A5C53B51-103C-4B24-B833-6653108CDE4E</v>
      </c>
      <c r="C77" t="str">
        <v>Mziuri</v>
      </c>
      <c r="D77" t="str">
        <v>12238130-9D12-4099-A48B-9EB5A085E0F8</v>
      </c>
      <c r="E77" t="str">
        <v>2020-01-01</v>
      </c>
      <c r="F77" s="4">
        <v>1</v>
      </c>
      <c r="G77" t="str">
        <v>5a2d799d-22a1-4e0a-b029-8031a1df6d56</v>
      </c>
      <c r="H77" t="str">
        <v>9fed28b3-82cf-4afa-8e8d-952adf7a54a5</v>
      </c>
      <c r="I77" t="str">
        <v/>
      </c>
      <c r="L77" t="str">
        <v/>
      </c>
    </row>
    <row r="78" spans="1:12" x14ac:dyDescent="0.25">
      <c r="A78" t="str">
        <v>DCE1FBA2-AC1D-4481-B551-0D2215188884</v>
      </c>
      <c r="B78" t="str">
        <v>E284E0FD-A2B7-4D93-8E91-006FF0A8A4CE</v>
      </c>
      <c r="C78" t="str">
        <v>Orbi Other</v>
      </c>
      <c r="D78" t="str">
        <v>12238130-9D12-4099-A48B-9EB5A085E0F8</v>
      </c>
      <c r="E78" t="str">
        <v>2020-01-01</v>
      </c>
      <c r="F78" s="4">
        <v>1</v>
      </c>
      <c r="G78" t="str">
        <v>5a2d799d-22a1-4e0a-b029-8031a1df6d56</v>
      </c>
      <c r="H78" t="str">
        <v>9fed28b3-82cf-4afa-8e8d-952adf7a54a5</v>
      </c>
      <c r="I78" t="str">
        <v/>
      </c>
      <c r="L78" t="str">
        <v/>
      </c>
    </row>
    <row r="79" spans="1:12" x14ac:dyDescent="0.25">
      <c r="A79" t="str">
        <v>DA0DFA6D-FB59-42CC-A78F-D211EFD8F169</v>
      </c>
      <c r="B79" t="str">
        <v>ADBD14C7-72E2-4703-84A5-B47EC0ACB641</v>
      </c>
      <c r="C79" t="str">
        <v>Bagebi</v>
      </c>
      <c r="D79" t="str">
        <v>B59170EC-16CC-499A-9FF7-0428DCB8F727</v>
      </c>
      <c r="E79" t="str">
        <v>2018-01-22</v>
      </c>
      <c r="F79" s="4">
        <v>132998</v>
      </c>
      <c r="G79" t="str">
        <v>0790fb09-2de6-4ea3-a71c-58a007fc62a8</v>
      </c>
      <c r="H79" t="str">
        <v>9fed28b3-82cf-4afa-8e8d-952adf7a54a5</v>
      </c>
      <c r="I79" t="str">
        <v/>
      </c>
      <c r="L79" t="str">
        <v/>
      </c>
    </row>
    <row r="80" spans="1:12" x14ac:dyDescent="0.25">
      <c r="A80" t="str">
        <v>BF531404-15D2-4F83-B5B6-88709B6ADBF6</v>
      </c>
      <c r="B80" t="str">
        <v>5569F396-B588-4816-B115-348127388797</v>
      </c>
      <c r="C80" t="str">
        <v>H&amp;M</v>
      </c>
      <c r="D80" t="str">
        <v>12238130-9D12-4099-A48B-9EB5A085E0F8</v>
      </c>
      <c r="E80" t="str">
        <v>2020-01-01</v>
      </c>
      <c r="F80" s="4">
        <v>1</v>
      </c>
      <c r="G80" t="str">
        <v>0790fb09-2de6-4ea3-a71c-58a007fc62a8</v>
      </c>
      <c r="H80" t="str">
        <v>9fed28b3-82cf-4afa-8e8d-952adf7a54a5</v>
      </c>
      <c r="I80" t="str">
        <v/>
      </c>
      <c r="L80" t="str">
        <v/>
      </c>
    </row>
    <row r="81" spans="1:12" x14ac:dyDescent="0.25">
      <c r="A81" t="str">
        <v>96631073-7C4A-4C6C-B52A-4318B544C05B</v>
      </c>
      <c r="B81" t="str">
        <v>E6DBF0EF-BE8A-403C-B757-246FDF95B244</v>
      </c>
      <c r="C81" t="str">
        <v>Marshal Gelovanis 52</v>
      </c>
      <c r="D81" t="str">
        <v>12238130-9D12-4099-A48B-9EB5A085E0F8</v>
      </c>
      <c r="E81" t="str">
        <v>2020-01-01</v>
      </c>
      <c r="F81" s="4">
        <v>1</v>
      </c>
      <c r="G81" t="str">
        <v>5a2d799d-22a1-4e0a-b029-8031a1df6d56</v>
      </c>
      <c r="H81" t="str">
        <v>9fed28b3-82cf-4afa-8e8d-952adf7a54a5</v>
      </c>
      <c r="I81" t="str">
        <v/>
      </c>
      <c r="L81" t="str">
        <v/>
      </c>
    </row>
    <row r="82" spans="1:12" x14ac:dyDescent="0.25">
      <c r="A82" t="str">
        <v>46C2E29A-C8A7-4F32-BAC6-1FA5D9731A7D</v>
      </c>
      <c r="B82" t="str">
        <v>C08C6F90-5808-41D5-A1CC-2A1CCFAF531B</v>
      </c>
      <c r="C82" t="str">
        <v>Marshal Gelovani 52</v>
      </c>
      <c r="D82" t="str">
        <v>12238130-9D12-4099-A48B-9EB5A085E0F8</v>
      </c>
      <c r="E82" t="str">
        <v>2019-01-01</v>
      </c>
      <c r="F82" s="4">
        <v>1200</v>
      </c>
      <c r="G82" t="str">
        <v>5a2d799d-22a1-4e0a-b029-8031a1df6d56</v>
      </c>
      <c r="H82" t="str">
        <v>9fed28b3-82cf-4afa-8e8d-952adf7a54a5</v>
      </c>
      <c r="I82" t="str">
        <v/>
      </c>
      <c r="L82" t="str">
        <v/>
      </c>
    </row>
    <row r="83" spans="1:12" x14ac:dyDescent="0.25">
      <c r="A83" t="str">
        <v>4DE1AF55-BD4D-49EA-9CC2-7254972C4832</v>
      </c>
      <c r="B83" t="str">
        <v>F830C37E-1BED-416F-996D-C3C709C5F339</v>
      </c>
      <c r="C83" t="str">
        <v>Marshal Gelovani 52</v>
      </c>
      <c r="D83" t="str">
        <v>12238130-9D12-4099-A48B-9EB5A085E0F8</v>
      </c>
      <c r="E83" t="str">
        <v>2019-01-06</v>
      </c>
      <c r="F83" s="4">
        <v>10</v>
      </c>
      <c r="G83" t="str">
        <v>5a2d799d-22a1-4e0a-b029-8031a1df6d56</v>
      </c>
      <c r="H83" t="str">
        <v>9fed28b3-82cf-4afa-8e8d-952adf7a54a5</v>
      </c>
      <c r="I83" t="str">
        <v/>
      </c>
      <c r="L83" t="str">
        <v/>
      </c>
    </row>
    <row r="84" spans="1:12" x14ac:dyDescent="0.25">
      <c r="A84" t="str">
        <v>7F8895E0-BD86-4959-A763-AD1CD0F7FC77</v>
      </c>
      <c r="B84" t="str">
        <v>25CECFAB-615A-4A1E-AC57-B18B8A92799B</v>
      </c>
      <c r="C84" t="str">
        <v>Archi Jikia Block C</v>
      </c>
      <c r="D84" t="str">
        <v>B59170EC-16CC-499A-9FF7-0428DCB8F727</v>
      </c>
      <c r="E84" t="str">
        <v>2020-12-05</v>
      </c>
      <c r="F84" s="4">
        <v>136600</v>
      </c>
      <c r="G84" t="str">
        <v>0790fb09-2de6-4ea3-a71c-58a007fc62a8</v>
      </c>
      <c r="H84" t="str">
        <v>9fed28b3-82cf-4afa-8e8d-952adf7a54a5</v>
      </c>
      <c r="I84" t="str">
        <v>1 6 30 1453</v>
      </c>
      <c r="L84" t="str">
        <v/>
      </c>
    </row>
    <row r="85" spans="1:12" x14ac:dyDescent="0.25">
      <c r="A85" t="str">
        <v>798DCBA8-C0CF-4CAA-83E5-397FD911AAF0</v>
      </c>
      <c r="B85" t="str">
        <v>0E3C8876-D73B-417A-A61E-5FD08F98EDCB</v>
      </c>
      <c r="C85" t="str">
        <v>Shato Mukhrani Gen-Set 2020</v>
      </c>
      <c r="D85" t="str">
        <v>FEA4B88F-633F-4422-B3D6-250792A2DA80</v>
      </c>
      <c r="E85" t="str">
        <v>2020-06-08</v>
      </c>
      <c r="F85" s="4">
        <v>55680</v>
      </c>
      <c r="G85" t="str">
        <v>4cfda3f2-535e-4b77-a467-eac9dc64feca</v>
      </c>
      <c r="H85" t="str">
        <v>9fed28b3-82cf-4afa-8e8d-952adf7a54a5</v>
      </c>
      <c r="I85" t="str">
        <v/>
      </c>
      <c r="L85" t="str">
        <v/>
      </c>
    </row>
    <row r="86" spans="1:12" x14ac:dyDescent="0.25">
      <c r="A86" t="str">
        <v>1BF0C1A7-EC4F-48F6-B5F1-6257BAB8D882</v>
      </c>
      <c r="B86" t="str">
        <v>E13FA661-3B3D-437A-A26D-FB16D4C0D1C1</v>
      </c>
      <c r="C86" t="str">
        <v>Galleria Tbilisi</v>
      </c>
      <c r="D86" t="str">
        <v>12238130-9D12-4099-A48B-9EB5A085E0F8</v>
      </c>
      <c r="E86" t="str">
        <v>2019-02-01</v>
      </c>
      <c r="F86" s="4">
        <v>3500</v>
      </c>
      <c r="G86" t="str">
        <v>0790fb09-2de6-4ea3-a71c-58a007fc62a8</v>
      </c>
      <c r="H86" t="str">
        <v>9fed28b3-82cf-4afa-8e8d-952adf7a54a5</v>
      </c>
      <c r="I86" t="str">
        <v/>
      </c>
      <c r="L86" t="str">
        <v/>
      </c>
    </row>
    <row r="87" spans="1:12" x14ac:dyDescent="0.25">
      <c r="A87" t="str">
        <v>4E9E5103-4BE9-4B72-838F-7CCF0A771578</v>
      </c>
      <c r="B87" t="str">
        <v>B6B26BE3-174A-4141-A509-B6EE28D4677B</v>
      </c>
      <c r="C87" t="str">
        <v>Domus</v>
      </c>
      <c r="D87" t="str">
        <v>12238130-9D12-4099-A48B-9EB5A085E0F8</v>
      </c>
      <c r="E87" t="str">
        <v>2018-02-15</v>
      </c>
      <c r="F87" s="4">
        <v>1400</v>
      </c>
      <c r="G87" t="str">
        <v>0790fb09-2de6-4ea3-a71c-58a007fc62a8</v>
      </c>
      <c r="H87" t="str">
        <v>9fed28b3-82cf-4afa-8e8d-952adf7a54a5</v>
      </c>
      <c r="I87" t="str">
        <v/>
      </c>
      <c r="L87" t="str">
        <v/>
      </c>
    </row>
    <row r="88" spans="1:12" x14ac:dyDescent="0.25">
      <c r="A88" t="str">
        <v>97C6ECBA-DA0F-4E2C-B8DB-26993DFCE122</v>
      </c>
      <c r="B88" t="str">
        <v>3E3BB97B-230C-48D5-B6EF-41C9AE93AE61</v>
      </c>
      <c r="C88" t="str">
        <v>Rovshan Mamadovi</v>
      </c>
      <c r="D88" t="str">
        <v>FEA4B88F-633F-4422-B3D6-250792A2DA80</v>
      </c>
      <c r="E88" t="str">
        <v>2020-06-17</v>
      </c>
      <c r="F88" s="4">
        <v>8214</v>
      </c>
      <c r="G88" t="str">
        <v>0790fb09-2de6-4ea3-a71c-58a007fc62a8</v>
      </c>
      <c r="H88" t="str">
        <v>9fed28b3-82cf-4afa-8e8d-952adf7a54a5</v>
      </c>
      <c r="I88" t="str">
        <v/>
      </c>
      <c r="L88" t="str">
        <v/>
      </c>
    </row>
    <row r="89" spans="1:12" x14ac:dyDescent="0.25">
      <c r="A89" t="str">
        <v>8BDDF5BD-4A6B-4C8E-942A-C62E20BCD667</v>
      </c>
      <c r="B89" t="str">
        <v>726D9023-53A2-435E-8A5B-8BCEA9625E08</v>
      </c>
      <c r="C89" t="str">
        <v>Sapatrulo</v>
      </c>
      <c r="D89" t="str">
        <v>12238130-9D12-4099-A48B-9EB5A085E0F8</v>
      </c>
      <c r="E89" t="str">
        <v>2019-02-01</v>
      </c>
      <c r="F89" s="4">
        <v>250</v>
      </c>
      <c r="G89" t="str">
        <v>5a2d799d-22a1-4e0a-b029-8031a1df6d56</v>
      </c>
      <c r="H89" t="str">
        <v>9fed28b3-82cf-4afa-8e8d-952adf7a54a5</v>
      </c>
      <c r="I89" t="str">
        <v/>
      </c>
      <c r="L89" t="str">
        <v/>
      </c>
    </row>
    <row r="90" spans="1:12" x14ac:dyDescent="0.25">
      <c r="A90" t="str">
        <v>ED933289-CEA4-446C-99AC-B1B310C1ECB5</v>
      </c>
      <c r="B90" t="str">
        <v>726D9023-53A2-435E-8A5B-8BCEA9625E08</v>
      </c>
      <c r="C90" t="str">
        <v>Erovnuli</v>
      </c>
      <c r="D90" t="str">
        <v>12238130-9D12-4099-A48B-9EB5A085E0F8</v>
      </c>
      <c r="E90" t="str">
        <v>2019-02-01</v>
      </c>
      <c r="F90" s="4">
        <v>500</v>
      </c>
      <c r="G90" t="str">
        <v>5a2d799d-22a1-4e0a-b029-8031a1df6d56</v>
      </c>
      <c r="H90" t="str">
        <v>9fed28b3-82cf-4afa-8e8d-952adf7a54a5</v>
      </c>
      <c r="I90" t="str">
        <v/>
      </c>
      <c r="L90" t="str">
        <v/>
      </c>
    </row>
    <row r="91" spans="1:12" x14ac:dyDescent="0.25">
      <c r="A91" t="str">
        <v>3D3A6BA2-FC37-4C7B-9979-9C6C932BA9BF</v>
      </c>
      <c r="B91" t="str">
        <v>71A96223-5CD1-4DA9-9617-A85A565B4669</v>
      </c>
      <c r="C91" t="str">
        <v>Gonio</v>
      </c>
      <c r="D91" t="str">
        <v>12238130-9D12-4099-A48B-9EB5A085E0F8</v>
      </c>
      <c r="E91" t="str">
        <v>2019-06-01</v>
      </c>
      <c r="F91" s="4">
        <v>300</v>
      </c>
      <c r="G91" t="str">
        <v>5a2d799d-22a1-4e0a-b029-8031a1df6d56</v>
      </c>
      <c r="H91" t="str">
        <v>9fed28b3-82cf-4afa-8e8d-952adf7a54a5</v>
      </c>
      <c r="I91" t="str">
        <v/>
      </c>
      <c r="L91" t="str">
        <v/>
      </c>
    </row>
    <row r="92" spans="1:12" x14ac:dyDescent="0.25">
      <c r="A92" t="str">
        <v>07BBF564-E19D-46EA-8A32-44F28241B4B1</v>
      </c>
      <c r="B92" t="str">
        <v>9729C88B-F3C5-441A-8782-0656302A37F2</v>
      </c>
      <c r="C92" t="str">
        <v>Modus batumi</v>
      </c>
      <c r="D92" t="str">
        <v>12238130-9D12-4099-A48B-9EB5A085E0F8</v>
      </c>
      <c r="E92" t="str">
        <v>2019-05-07</v>
      </c>
      <c r="F92" s="4">
        <v>400</v>
      </c>
      <c r="G92" t="str">
        <v>5a2d799d-22a1-4e0a-b029-8031a1df6d56</v>
      </c>
      <c r="H92" t="str">
        <v>9fed28b3-82cf-4afa-8e8d-952adf7a54a5</v>
      </c>
      <c r="I92" t="str">
        <v/>
      </c>
      <c r="L92" t="str">
        <v/>
      </c>
    </row>
    <row r="93" spans="1:12" x14ac:dyDescent="0.25">
      <c r="A93" t="str">
        <v>AFEF3A3A-0240-4773-9C5F-B7AC3C14711D</v>
      </c>
      <c r="B93" t="str">
        <v>3D0E73E0-0C40-467D-922F-74E3D4746FBD</v>
      </c>
      <c r="C93" t="str">
        <v>Abashidze 70</v>
      </c>
      <c r="D93" t="str">
        <v>12238130-9D12-4099-A48B-9EB5A085E0F8</v>
      </c>
      <c r="E93" t="str">
        <v>2020-07-01</v>
      </c>
      <c r="F93" s="4">
        <v>3000</v>
      </c>
      <c r="G93" t="str">
        <v>5a2d799d-22a1-4e0a-b029-8031a1df6d56</v>
      </c>
      <c r="H93" t="str">
        <v>9fed28b3-82cf-4afa-8e8d-952adf7a54a5</v>
      </c>
      <c r="I93" t="str">
        <v>1 6 31 1485</v>
      </c>
      <c r="L93" t="str">
        <v/>
      </c>
    </row>
    <row r="94" spans="1:12" x14ac:dyDescent="0.25">
      <c r="A94" t="str">
        <v>F132898D-4C52-4676-8689-21E7C2709157</v>
      </c>
      <c r="B94" t="str">
        <v>E18CBC98-9D65-4F4A-ADC0-B7350770D6F8</v>
      </c>
      <c r="C94" t="str">
        <v>Epic gazapkhuli</v>
      </c>
      <c r="D94" t="str">
        <v>12238130-9D12-4099-A48B-9EB5A085E0F8</v>
      </c>
      <c r="E94" t="str">
        <v>2020-07-02</v>
      </c>
      <c r="F94" s="4">
        <v>500</v>
      </c>
      <c r="G94" t="str">
        <v>5a2d799d-22a1-4e0a-b029-8031a1df6d56</v>
      </c>
      <c r="H94" t="str">
        <v>9fed28b3-82cf-4afa-8e8d-952adf7a54a5</v>
      </c>
      <c r="I94" t="str">
        <v>1 6 31 1470</v>
      </c>
      <c r="L94" t="str">
        <v/>
      </c>
    </row>
    <row r="95" spans="1:12" x14ac:dyDescent="0.25">
      <c r="A95" t="str">
        <v>6F71BE16-57C6-4634-B19B-DAD451C7CB11</v>
      </c>
      <c r="B95" t="str">
        <v>C270A903-5EB0-4E5A-8448-B4A637D5211F</v>
      </c>
      <c r="C95" t="str">
        <v>Epic Bagebi</v>
      </c>
      <c r="D95" t="str">
        <v>B59170EC-16CC-499A-9FF7-0428DCB8F727</v>
      </c>
      <c r="E95" t="str">
        <v>2020-07-01</v>
      </c>
      <c r="F95" s="4">
        <v>64790</v>
      </c>
      <c r="G95" t="str">
        <v>0790fb09-2de6-4ea3-a71c-58a007fc62a8</v>
      </c>
      <c r="H95" t="str">
        <v>9fed28b3-82cf-4afa-8e8d-952adf7a54a5</v>
      </c>
      <c r="I95" t="str">
        <v>1 6 30 1471</v>
      </c>
      <c r="L95" t="str">
        <v/>
      </c>
    </row>
    <row r="96" spans="1:12" x14ac:dyDescent="0.25">
      <c r="A96" t="str">
        <v>53D78126-348D-47EC-8E18-ACA366D918B3</v>
      </c>
      <c r="B96" t="str">
        <v>43EABC78-AF64-4C14-9FEF-C7E6A1B6F07E</v>
      </c>
      <c r="C96" t="str">
        <v>Hilton Garden Inn Pipes 2</v>
      </c>
      <c r="D96" t="str">
        <v>FEA4B88F-633F-4422-B3D6-250792A2DA80</v>
      </c>
      <c r="E96" t="str">
        <v>2020-06-01</v>
      </c>
      <c r="F96" s="4">
        <v>4580.9399999999996</v>
      </c>
      <c r="G96" t="str">
        <v>0790fb09-2de6-4ea3-a71c-58a007fc62a8</v>
      </c>
      <c r="H96" t="str">
        <v>9fed28b3-82cf-4afa-8e8d-952adf7a54a5</v>
      </c>
      <c r="I96" t="str">
        <v/>
      </c>
      <c r="L96" t="str">
        <v/>
      </c>
    </row>
    <row r="97" spans="1:12" x14ac:dyDescent="0.25">
      <c r="A97" t="str">
        <v>065B3CAD-864E-4949-AE0A-9170B8973736</v>
      </c>
      <c r="B97" t="str">
        <v>5A21C207-4868-4EA6-9B48-5D0F743D5535</v>
      </c>
      <c r="C97" t="str">
        <v>Tegeta Batumi</v>
      </c>
      <c r="D97" t="str">
        <v>12238130-9D12-4099-A48B-9EB5A085E0F8</v>
      </c>
      <c r="E97" t="str">
        <v>2020-07-01</v>
      </c>
      <c r="F97" s="4">
        <v>1</v>
      </c>
      <c r="G97" t="str">
        <v>5a2d799d-22a1-4e0a-b029-8031a1df6d56</v>
      </c>
      <c r="H97" t="str">
        <v>9fed28b3-82cf-4afa-8e8d-952adf7a54a5</v>
      </c>
      <c r="I97" t="str">
        <v/>
      </c>
      <c r="L97" t="str">
        <v/>
      </c>
    </row>
    <row r="98" spans="1:12" x14ac:dyDescent="0.25">
      <c r="A98" t="str">
        <v>67800432-96FF-489A-983A-99BD3F4C4954</v>
      </c>
      <c r="B98" t="str">
        <v>43A2E6CF-382D-45D9-9C82-D074B7CA8474</v>
      </c>
      <c r="C98" t="str">
        <v>Grena MEP 1</v>
      </c>
      <c r="D98" t="str">
        <v>FEA4B88F-633F-4422-B3D6-250792A2DA80</v>
      </c>
      <c r="E98" t="str">
        <v>2020-06-22</v>
      </c>
      <c r="F98" s="4">
        <v>9885</v>
      </c>
      <c r="G98" t="str">
        <v>5a2d799d-22a1-4e0a-b029-8031a1df6d56</v>
      </c>
      <c r="H98" t="str">
        <v>9fed28b3-82cf-4afa-8e8d-952adf7a54a5</v>
      </c>
      <c r="I98" t="str">
        <v/>
      </c>
      <c r="L98" t="str">
        <v/>
      </c>
    </row>
    <row r="99" spans="1:12" x14ac:dyDescent="0.25">
      <c r="A99" t="str">
        <v>AB270374-C6A2-4223-A667-ED4DD185CC7F</v>
      </c>
      <c r="B99" t="str">
        <v>04FB28EA-5501-4B01-BA1D-C2955C0E1213</v>
      </c>
      <c r="C99" t="str">
        <v>Khiliani</v>
      </c>
      <c r="D99" t="str">
        <v>12238130-9D12-4099-A48B-9EB5A085E0F8</v>
      </c>
      <c r="E99" t="str">
        <v>2020-03-01</v>
      </c>
      <c r="F99" s="4">
        <v>1</v>
      </c>
      <c r="G99" t="str">
        <v>5a2d799d-22a1-4e0a-b029-8031a1df6d56</v>
      </c>
      <c r="H99" t="str">
        <v>9fed28b3-82cf-4afa-8e8d-952adf7a54a5</v>
      </c>
      <c r="I99" t="str">
        <v/>
      </c>
      <c r="L99" t="str">
        <v/>
      </c>
    </row>
    <row r="100" spans="1:12" x14ac:dyDescent="0.25">
      <c r="A100" t="str">
        <v>D1923AD8-5716-4970-9AD0-37642D2C4B69</v>
      </c>
      <c r="B100" t="str">
        <v>7F0A41E4-FA68-43E7-A979-126560D14B58</v>
      </c>
      <c r="C100" t="str">
        <v>Domus Paliashvilis 63</v>
      </c>
      <c r="D100" t="str">
        <v>12238130-9D12-4099-A48B-9EB5A085E0F8</v>
      </c>
      <c r="E100" t="str">
        <v>2020-07-07</v>
      </c>
      <c r="F100" s="4">
        <v>1</v>
      </c>
      <c r="G100" t="str">
        <v>5a2d799d-22a1-4e0a-b029-8031a1df6d56</v>
      </c>
      <c r="H100" t="str">
        <v>9fed28b3-82cf-4afa-8e8d-952adf7a54a5</v>
      </c>
      <c r="I100" t="str">
        <v>1 6 31 863</v>
      </c>
      <c r="L100" t="str">
        <v/>
      </c>
    </row>
    <row r="101" spans="1:12" x14ac:dyDescent="0.25">
      <c r="A101" t="str">
        <v>36DA9AC9-FD85-4E9B-B6AF-0CFCDD8E7D93</v>
      </c>
      <c r="B101" t="str">
        <v>8E8E99BE-75FC-49EC-9D89-960E30E7CB06</v>
      </c>
      <c r="C101" t="str">
        <v>Indeko - shartava 39</v>
      </c>
      <c r="D101" t="str">
        <v>12238130-9D12-4099-A48B-9EB5A085E0F8</v>
      </c>
      <c r="E101" t="str">
        <v>2018-01-02</v>
      </c>
      <c r="F101" s="4">
        <v>1</v>
      </c>
      <c r="G101" t="str">
        <v>5a2d799d-22a1-4e0a-b029-8031a1df6d56</v>
      </c>
      <c r="H101" t="str">
        <v>9fed28b3-82cf-4afa-8e8d-952adf7a54a5</v>
      </c>
      <c r="I101" t="str">
        <v/>
      </c>
      <c r="L101" t="str">
        <v/>
      </c>
    </row>
    <row r="102" spans="1:12" x14ac:dyDescent="0.25">
      <c r="A102" t="str">
        <v>576EC610-01F5-4D9B-9A18-3AE87057BAE9</v>
      </c>
      <c r="B102" t="str">
        <v>9B2B30F8-1FC4-427E-8478-DB1B57B48DDA</v>
      </c>
      <c r="C102" t="str">
        <v>Domus</v>
      </c>
      <c r="D102" t="str">
        <v>12238130-9D12-4099-A48B-9EB5A085E0F8</v>
      </c>
      <c r="E102" t="str">
        <v>2019-07-01</v>
      </c>
      <c r="F102" s="4">
        <v>1</v>
      </c>
      <c r="G102" t="str">
        <v>0790fb09-2de6-4ea3-a71c-58a007fc62a8</v>
      </c>
      <c r="H102" t="str">
        <v>9fed28b3-82cf-4afa-8e8d-952adf7a54a5</v>
      </c>
      <c r="I102" t="str">
        <v>1 6 31 1233</v>
      </c>
      <c r="L102" t="str">
        <v/>
      </c>
    </row>
    <row r="103" spans="1:12" x14ac:dyDescent="0.25">
      <c r="A103" t="str">
        <v>91EE07CF-9713-420D-A132-7AEFD9A5F054</v>
      </c>
      <c r="B103" t="str">
        <v>B4968862-3843-414D-9E73-1A7611618B41</v>
      </c>
      <c r="C103" t="str">
        <v>UNIX Marselle 1</v>
      </c>
      <c r="D103" t="str">
        <v>12238130-9D12-4099-A48B-9EB5A085E0F8</v>
      </c>
      <c r="E103" t="str">
        <v>2020-07-01</v>
      </c>
      <c r="F103" s="4">
        <v>1</v>
      </c>
      <c r="G103" t="str">
        <v>5a2d799d-22a1-4e0a-b029-8031a1df6d56</v>
      </c>
      <c r="H103" t="str">
        <v>9fed28b3-82cf-4afa-8e8d-952adf7a54a5</v>
      </c>
      <c r="I103" t="str">
        <v/>
      </c>
      <c r="L103" t="str">
        <v/>
      </c>
    </row>
    <row r="104" spans="1:12" x14ac:dyDescent="0.25">
      <c r="A104" t="str">
        <v>C01D4ADB-B292-4EAB-9036-EE74F4FB870D</v>
      </c>
      <c r="B104" t="str">
        <v>62F6C15C-8FCC-4A60-B37E-8A3DE9D20A48</v>
      </c>
      <c r="C104" t="str">
        <v>Delisi</v>
      </c>
      <c r="D104" t="str">
        <v>12238130-9D12-4099-A48B-9EB5A085E0F8</v>
      </c>
      <c r="E104" t="str">
        <v>2020-01-01</v>
      </c>
      <c r="F104" s="4">
        <v>1</v>
      </c>
      <c r="G104" t="str">
        <v>5a2d799d-22a1-4e0a-b029-8031a1df6d56</v>
      </c>
      <c r="H104" t="str">
        <v>9fed28b3-82cf-4afa-8e8d-952adf7a54a5</v>
      </c>
      <c r="I104" t="str">
        <v/>
      </c>
      <c r="L104" t="str">
        <v/>
      </c>
    </row>
    <row r="105" spans="1:12" x14ac:dyDescent="0.25">
      <c r="A105" t="str">
        <v>2A0A1CC3-2FD5-4F5A-BF97-52EE5BDDE144</v>
      </c>
      <c r="B105" t="str">
        <v>9729C88B-F3C5-441A-8782-0656302A37F2</v>
      </c>
      <c r="C105" t="str">
        <v>Modus Kakhety HW</v>
      </c>
      <c r="D105" t="str">
        <v>12238130-9D12-4099-A48B-9EB5A085E0F8</v>
      </c>
      <c r="E105" t="str">
        <v>2019-05-01</v>
      </c>
      <c r="F105" s="4">
        <v>1</v>
      </c>
      <c r="G105" t="str">
        <v>5a2d799d-22a1-4e0a-b029-8031a1df6d56</v>
      </c>
      <c r="H105" t="str">
        <v>9fed28b3-82cf-4afa-8e8d-952adf7a54a5</v>
      </c>
      <c r="I105" t="str">
        <v>1 6 30 642 2</v>
      </c>
      <c r="L105" t="str">
        <v/>
      </c>
    </row>
    <row r="106" spans="1:12" x14ac:dyDescent="0.25">
      <c r="A106" t="str">
        <v>D3F209CC-BD48-4729-87EA-24F29DD15FF4</v>
      </c>
      <c r="B106" t="str">
        <v>97275D0F-23EB-47CD-8A0F-C93649EE6164</v>
      </c>
      <c r="C106" t="str">
        <v>Tbilisi Gardens</v>
      </c>
      <c r="D106" t="str">
        <v>12238130-9D12-4099-A48B-9EB5A085E0F8</v>
      </c>
      <c r="E106" t="str">
        <v>2019-01-01</v>
      </c>
      <c r="F106" s="4">
        <v>1</v>
      </c>
      <c r="G106" t="str">
        <v>0790fb09-2de6-4ea3-a71c-58a007fc62a8</v>
      </c>
      <c r="H106" t="str">
        <v>9fed28b3-82cf-4afa-8e8d-952adf7a54a5</v>
      </c>
      <c r="I106" t="str">
        <v>1 6 31 848</v>
      </c>
      <c r="L106" t="str">
        <v/>
      </c>
    </row>
    <row r="107" spans="1:12" x14ac:dyDescent="0.25">
      <c r="A107" t="str">
        <v>0172DB76-BF07-40C8-8007-921476501A04</v>
      </c>
      <c r="B107" t="str">
        <v>D92736A6-D9AA-4539-B5F8-0F34FACD5367</v>
      </c>
      <c r="C107" t="str">
        <v>Kbuleti Str. - Khomeriki</v>
      </c>
      <c r="D107" t="str">
        <v>12238130-9D12-4099-A48B-9EB5A085E0F8</v>
      </c>
      <c r="E107" t="str">
        <v>2018-02-01</v>
      </c>
      <c r="F107" s="4">
        <v>1</v>
      </c>
      <c r="G107" t="str">
        <v>5a2d799d-22a1-4e0a-b029-8031a1df6d56</v>
      </c>
      <c r="H107" t="str">
        <v>9fed28b3-82cf-4afa-8e8d-952adf7a54a5</v>
      </c>
      <c r="I107" t="str">
        <v>1 6 31 882</v>
      </c>
      <c r="L107" t="str">
        <v/>
      </c>
    </row>
    <row r="108" spans="1:12" x14ac:dyDescent="0.25">
      <c r="A108" t="str">
        <v>1322892A-5957-4D09-88EC-FC474E90B292</v>
      </c>
      <c r="B108" t="str">
        <v>3F5B4217-38D4-4FB8-B3F3-E856A10FFF06</v>
      </c>
      <c r="C108" t="str">
        <v>Tbilisi Palace</v>
      </c>
      <c r="D108" t="str">
        <v>12238130-9D12-4099-A48B-9EB5A085E0F8</v>
      </c>
      <c r="E108" t="str">
        <v>2020-05-06</v>
      </c>
      <c r="F108" s="4">
        <v>1</v>
      </c>
      <c r="G108" t="str">
        <v>5a2d799d-22a1-4e0a-b029-8031a1df6d56</v>
      </c>
      <c r="H108" t="str">
        <v>9fed28b3-82cf-4afa-8e8d-952adf7a54a5</v>
      </c>
      <c r="I108" t="str">
        <v/>
      </c>
      <c r="L108" t="str">
        <v/>
      </c>
    </row>
    <row r="109" spans="1:12" x14ac:dyDescent="0.25">
      <c r="A109" t="str">
        <v>7F33E521-91AC-45E6-BEDC-038FF8B6F75A</v>
      </c>
      <c r="B109" t="str">
        <v>9729C88B-F3C5-441A-8782-0656302A37F2</v>
      </c>
      <c r="C109" t="str">
        <v>Modus Agladze</v>
      </c>
      <c r="D109" t="str">
        <v>12238130-9D12-4099-A48B-9EB5A085E0F8</v>
      </c>
      <c r="E109" t="str">
        <v>2019-06-17</v>
      </c>
      <c r="F109" s="4">
        <v>1</v>
      </c>
      <c r="G109" t="str">
        <v>5a2d799d-22a1-4e0a-b029-8031a1df6d56</v>
      </c>
      <c r="H109" t="str">
        <v>9fed28b3-82cf-4afa-8e8d-952adf7a54a5</v>
      </c>
      <c r="I109" t="str">
        <v/>
      </c>
      <c r="L109" t="str">
        <v/>
      </c>
    </row>
    <row r="110" spans="1:12" x14ac:dyDescent="0.25">
      <c r="A110" t="str">
        <v>7E7F4F08-6722-4720-ADA7-30669A9837B9</v>
      </c>
      <c r="B110" t="str">
        <v>EEF69DEA-9E1B-41C3-B563-3922DCE0A9BD</v>
      </c>
      <c r="C110" t="str">
        <v>New Time</v>
      </c>
      <c r="D110" t="str">
        <v>12238130-9D12-4099-A48B-9EB5A085E0F8</v>
      </c>
      <c r="E110" t="str">
        <v>2018-07-30</v>
      </c>
      <c r="F110" s="4">
        <v>1</v>
      </c>
      <c r="G110" t="str">
        <v>0790fb09-2de6-4ea3-a71c-58a007fc62a8</v>
      </c>
      <c r="H110" t="str">
        <v>9fed28b3-82cf-4afa-8e8d-952adf7a54a5</v>
      </c>
      <c r="I110" t="str">
        <v/>
      </c>
      <c r="L110" t="str">
        <v/>
      </c>
    </row>
    <row r="111" spans="1:12" x14ac:dyDescent="0.25">
      <c r="A111" t="str">
        <v>5564FE9D-DA57-4C23-B925-E2D095D97D24</v>
      </c>
      <c r="B111" t="str">
        <v>E284E0FD-A2B7-4D93-8E91-006FF0A8A4CE</v>
      </c>
      <c r="C111" t="str">
        <v>ORBI Office Lift</v>
      </c>
      <c r="D111" t="str">
        <v>12238130-9D12-4099-A48B-9EB5A085E0F8</v>
      </c>
      <c r="E111" t="str">
        <v>2019-11-19</v>
      </c>
      <c r="F111" s="4">
        <v>1</v>
      </c>
      <c r="G111" t="str">
        <v>0790fb09-2de6-4ea3-a71c-58a007fc62a8</v>
      </c>
      <c r="H111" t="str">
        <v>9fed28b3-82cf-4afa-8e8d-952adf7a54a5</v>
      </c>
      <c r="I111" t="str">
        <v/>
      </c>
      <c r="L111" t="str">
        <v/>
      </c>
    </row>
    <row r="112" spans="1:12" x14ac:dyDescent="0.25">
      <c r="A112" t="str">
        <v>A7C8AABE-B230-4454-A8DA-93EE74161089</v>
      </c>
      <c r="B112" t="str">
        <v>19F602E5-A978-4128-B38E-2D3540A8F675</v>
      </c>
      <c r="C112" t="str">
        <v>Redco 1</v>
      </c>
      <c r="D112" t="str">
        <v>12238130-9D12-4099-A48B-9EB5A085E0F8</v>
      </c>
      <c r="E112" t="str">
        <v>2020-02-18</v>
      </c>
      <c r="F112" s="4">
        <v>1</v>
      </c>
      <c r="G112" t="str">
        <v>0790fb09-2de6-4ea3-a71c-58a007fc62a8</v>
      </c>
      <c r="H112" t="str">
        <v>9fed28b3-82cf-4afa-8e8d-952adf7a54a5</v>
      </c>
      <c r="I112" t="str">
        <v>1 6 31 1166</v>
      </c>
      <c r="L112" t="str">
        <v/>
      </c>
    </row>
    <row r="113" spans="1:12" x14ac:dyDescent="0.25">
      <c r="A113" t="str">
        <v>991C9FFA-E5D2-4508-9686-89EF7630FD0F</v>
      </c>
      <c r="B113" t="str">
        <v>3C2A6CD6-D08E-4286-A3DF-9EB685C45CBF</v>
      </c>
      <c r="C113" t="str">
        <v>Moxy Zabruken Restaurant</v>
      </c>
      <c r="D113" t="str">
        <v>12238130-9D12-4099-A48B-9EB5A085E0F8</v>
      </c>
      <c r="E113" t="str">
        <v>2019-11-01</v>
      </c>
      <c r="F113" s="4">
        <v>1</v>
      </c>
      <c r="G113" t="str">
        <v>0790fb09-2de6-4ea3-a71c-58a007fc62a8</v>
      </c>
      <c r="H113" t="str">
        <v>9fed28b3-82cf-4afa-8e8d-952adf7a54a5</v>
      </c>
      <c r="I113" t="str">
        <v/>
      </c>
      <c r="L113" t="str">
        <v/>
      </c>
    </row>
    <row r="114" spans="1:12" x14ac:dyDescent="0.25">
      <c r="A114" t="str">
        <v>31548D1C-A62E-4FFA-A6F0-2D3E0834752A</v>
      </c>
      <c r="B114" t="str">
        <v>9E3145B1-F47E-49C3-BF51-BCB9055ABC20</v>
      </c>
      <c r="C114" t="str">
        <v>MOXY OFFICE</v>
      </c>
      <c r="D114" t="str">
        <v>12238130-9D12-4099-A48B-9EB5A085E0F8</v>
      </c>
      <c r="E114" t="str">
        <v>2019-05-01</v>
      </c>
      <c r="F114" s="4">
        <v>1</v>
      </c>
      <c r="G114" t="str">
        <v>0790fb09-2de6-4ea3-a71c-58a007fc62a8</v>
      </c>
      <c r="H114" t="str">
        <v>9fed28b3-82cf-4afa-8e8d-952adf7a54a5</v>
      </c>
      <c r="I114" t="str">
        <v/>
      </c>
      <c r="L114" t="str">
        <v/>
      </c>
    </row>
    <row r="115" spans="1:12" x14ac:dyDescent="0.25">
      <c r="A115" t="str">
        <v>85E695E4-28FF-4C98-A0E2-59689D6E4CA6</v>
      </c>
      <c r="B115" t="str">
        <v>30D1E20E-3889-4EAC-883A-6509ABFFA5D7</v>
      </c>
      <c r="C115" t="str">
        <v>Paster Hostel</v>
      </c>
      <c r="D115" t="str">
        <v>12238130-9D12-4099-A48B-9EB5A085E0F8</v>
      </c>
      <c r="E115" t="str">
        <v>2019-04-16</v>
      </c>
      <c r="F115" s="4">
        <v>1</v>
      </c>
      <c r="G115" t="str">
        <v>0790fb09-2de6-4ea3-a71c-58a007fc62a8</v>
      </c>
      <c r="H115" t="str">
        <v>9fed28b3-82cf-4afa-8e8d-952adf7a54a5</v>
      </c>
      <c r="I115" t="str">
        <v>1 6 31 1108</v>
      </c>
      <c r="L115" t="str">
        <v/>
      </c>
    </row>
    <row r="116" spans="1:12" x14ac:dyDescent="0.25">
      <c r="A116" t="str">
        <v>EEFB7378-5E83-4D5D-91D0-794D1D10F07F</v>
      </c>
      <c r="B116" t="str">
        <v>B25EF46E-8022-4949-A1EB-E8A1256C7A3B</v>
      </c>
      <c r="C116" t="str">
        <v>Gelovani 52</v>
      </c>
      <c r="D116" t="str">
        <v>12238130-9D12-4099-A48B-9EB5A085E0F8</v>
      </c>
      <c r="E116" t="str">
        <v>2018-01-08</v>
      </c>
      <c r="F116" s="4">
        <v>1</v>
      </c>
      <c r="G116" t="str">
        <v>0790fb09-2de6-4ea3-a71c-58a007fc62a8</v>
      </c>
      <c r="H116" t="str">
        <v>9fed28b3-82cf-4afa-8e8d-952adf7a54a5</v>
      </c>
      <c r="I116" t="str">
        <v/>
      </c>
      <c r="L116" t="str">
        <v/>
      </c>
    </row>
    <row r="117" spans="1:12" x14ac:dyDescent="0.25">
      <c r="A117" t="str">
        <v>5CD4B412-58AC-4380-AE6A-747C3CC488A5</v>
      </c>
      <c r="B117" t="str">
        <v>7BF4A039-29BC-44AC-A87D-E8832394B94E</v>
      </c>
      <c r="C117" t="str">
        <v>DAR TOWER</v>
      </c>
      <c r="D117" t="str">
        <v>12238130-9D12-4099-A48B-9EB5A085E0F8</v>
      </c>
      <c r="E117" t="str">
        <v>2020-09-01</v>
      </c>
      <c r="F117" s="4">
        <v>1</v>
      </c>
      <c r="G117" t="str">
        <v>0790fb09-2de6-4ea3-a71c-58a007fc62a8</v>
      </c>
      <c r="H117" t="str">
        <v>9fed28b3-82cf-4afa-8e8d-952adf7a54a5</v>
      </c>
      <c r="I117" t="str">
        <v>1 6 31 853</v>
      </c>
      <c r="L117" t="str">
        <v/>
      </c>
    </row>
    <row r="118" spans="1:12" x14ac:dyDescent="0.25">
      <c r="A118" t="str">
        <v>FC82605A-4030-4C2A-8EFE-6F9BC6842F61</v>
      </c>
      <c r="B118" t="str">
        <v>B25EF46E-8022-4949-A1EB-E8A1256C7A3B</v>
      </c>
      <c r="C118" t="str">
        <v>Encoder</v>
      </c>
      <c r="D118" t="str">
        <v>C491BFF3-6F7B-4412-9DF0-EAED6F3EE238</v>
      </c>
      <c r="E118" t="str">
        <v>2020-07-01</v>
      </c>
      <c r="F118" s="4">
        <v>2000</v>
      </c>
      <c r="G118" t="str">
        <v>5a2d799d-22a1-4e0a-b029-8031a1df6d56</v>
      </c>
      <c r="H118" t="str">
        <v>9fed28b3-82cf-4afa-8e8d-952adf7a54a5</v>
      </c>
      <c r="I118" t="str">
        <v/>
      </c>
      <c r="L118" t="str">
        <v/>
      </c>
    </row>
    <row r="119" spans="1:12" x14ac:dyDescent="0.25">
      <c r="A119" t="str">
        <v>5D7F9683-902A-436B-86B8-F3CF981F6C85</v>
      </c>
      <c r="B119" t="str">
        <v>7BF4A039-29BC-44AC-A87D-E8832394B94E</v>
      </c>
      <c r="C119" t="str">
        <v>OFFICE Dar Building</v>
      </c>
      <c r="D119" t="str">
        <v>12238130-9D12-4099-A48B-9EB5A085E0F8</v>
      </c>
      <c r="E119" t="str">
        <v>2020-12-05</v>
      </c>
      <c r="F119" s="4">
        <v>1</v>
      </c>
      <c r="G119" t="str">
        <v>0790fb09-2de6-4ea3-a71c-58a007fc62a8</v>
      </c>
      <c r="H119" t="str">
        <v>9fed28b3-82cf-4afa-8e8d-952adf7a54a5</v>
      </c>
      <c r="I119" t="str">
        <v/>
      </c>
      <c r="L119" t="str">
        <v/>
      </c>
    </row>
    <row r="120" spans="1:12" x14ac:dyDescent="0.25">
      <c r="A120" t="str">
        <v>57F7E542-EE11-48FB-96F9-15131F005D4D</v>
      </c>
      <c r="B120" t="str">
        <v>15F35EBB-5A28-4C1B-B7CC-45FF3F31D4D6</v>
      </c>
      <c r="C120" t="str">
        <v>Abuseridze - Batumi</v>
      </c>
      <c r="D120" t="str">
        <v>12238130-9D12-4099-A48B-9EB5A085E0F8</v>
      </c>
      <c r="E120" t="str">
        <v>2019-06-06</v>
      </c>
      <c r="F120" s="4">
        <v>1</v>
      </c>
      <c r="G120" t="str">
        <v>0790fb09-2de6-4ea3-a71c-58a007fc62a8</v>
      </c>
      <c r="H120" t="str">
        <v>9fed28b3-82cf-4afa-8e8d-952adf7a54a5</v>
      </c>
      <c r="I120" t="str">
        <v/>
      </c>
      <c r="L120" t="str">
        <v/>
      </c>
    </row>
    <row r="121" spans="1:12" x14ac:dyDescent="0.25">
      <c r="A121" t="str">
        <v>FD8D72C0-37E0-47E4-A595-CE2288AB374D</v>
      </c>
      <c r="B121" t="str">
        <v>7DDF7E55-92EE-4E47-9E16-F1D4D3FABF60</v>
      </c>
      <c r="C121" t="str">
        <v>Batumi Stadium</v>
      </c>
      <c r="D121" t="str">
        <v>12238130-9D12-4099-A48B-9EB5A085E0F8</v>
      </c>
      <c r="E121" t="str">
        <v>2019-05-04</v>
      </c>
      <c r="F121" s="4">
        <v>1</v>
      </c>
      <c r="G121" t="str">
        <v>0790fb09-2de6-4ea3-a71c-58a007fc62a8</v>
      </c>
      <c r="H121" t="str">
        <v>9fed28b3-82cf-4afa-8e8d-952adf7a54a5</v>
      </c>
      <c r="I121" t="str">
        <v/>
      </c>
      <c r="L121" t="str">
        <v/>
      </c>
    </row>
    <row r="122" spans="1:12" x14ac:dyDescent="0.25">
      <c r="A122" t="str">
        <v>E0BA3C10-5FB6-4816-81CE-B5BAE20C122D</v>
      </c>
      <c r="B122" t="str">
        <v>AEB05B14-77B4-473B-AAFD-FC47BDF7BDAF</v>
      </c>
      <c r="C122" t="str">
        <v>Archi Digomi</v>
      </c>
      <c r="D122" t="str">
        <v>12238130-9D12-4099-A48B-9EB5A085E0F8</v>
      </c>
      <c r="E122" t="str">
        <v>2020-05-05</v>
      </c>
      <c r="F122" s="4">
        <v>1</v>
      </c>
      <c r="G122" t="str">
        <v>0790fb09-2de6-4ea3-a71c-58a007fc62a8</v>
      </c>
      <c r="H122" t="str">
        <v>9fed28b3-82cf-4afa-8e8d-952adf7a54a5</v>
      </c>
      <c r="I122" t="str">
        <v>1 6 31 1717</v>
      </c>
      <c r="L122" t="str">
        <v/>
      </c>
    </row>
    <row r="123" spans="1:12" x14ac:dyDescent="0.25">
      <c r="A123" t="str">
        <v>4194F937-E12F-4BEE-AE41-ED29E3542132</v>
      </c>
      <c r="B123" t="str">
        <v>DAE7B000-963F-42D9-AA35-8F3F2F8A3716</v>
      </c>
      <c r="C123" t="str">
        <v>BAT Tower</v>
      </c>
      <c r="D123" t="str">
        <v>12238130-9D12-4099-A48B-9EB5A085E0F8</v>
      </c>
      <c r="E123" t="str">
        <v>2018-12-27</v>
      </c>
      <c r="F123" s="4">
        <v>1</v>
      </c>
      <c r="G123" t="str">
        <v>0790fb09-2de6-4ea3-a71c-58a007fc62a8</v>
      </c>
      <c r="H123" t="str">
        <v>9fed28b3-82cf-4afa-8e8d-952adf7a54a5</v>
      </c>
      <c r="I123" t="str">
        <v/>
      </c>
      <c r="L123" t="str">
        <v/>
      </c>
    </row>
    <row r="124" spans="1:12" x14ac:dyDescent="0.25">
      <c r="A124" t="str">
        <v>061C70BF-3363-4CE1-97EC-3F704E1FCECF</v>
      </c>
      <c r="B124" t="str">
        <v>83EBEF94-D00F-4136-96C7-A3C68AAADFE9</v>
      </c>
      <c r="C124" t="str">
        <v>Crystal Bakuriani</v>
      </c>
      <c r="D124" t="str">
        <v>12238130-9D12-4099-A48B-9EB5A085E0F8</v>
      </c>
      <c r="E124" t="str">
        <v>2019-05-23</v>
      </c>
      <c r="F124" s="4">
        <v>1</v>
      </c>
      <c r="G124" t="str">
        <v>0790fb09-2de6-4ea3-a71c-58a007fc62a8</v>
      </c>
      <c r="H124" t="str">
        <v>9fed28b3-82cf-4afa-8e8d-952adf7a54a5</v>
      </c>
      <c r="I124" t="str">
        <v/>
      </c>
      <c r="L124" t="str">
        <v/>
      </c>
    </row>
    <row r="125" spans="1:12" x14ac:dyDescent="0.25">
      <c r="A125" t="str">
        <v>70724719-A960-437A-A800-B2F21E235FD7</v>
      </c>
      <c r="B125" t="str">
        <v>3029E0C5-9337-4596-87DB-0A677D44A180</v>
      </c>
      <c r="C125" t="str">
        <v>Med. University</v>
      </c>
      <c r="D125" t="str">
        <v>12238130-9D12-4099-A48B-9EB5A085E0F8</v>
      </c>
      <c r="E125" t="str">
        <v>2019-10-29</v>
      </c>
      <c r="F125" s="4">
        <v>1</v>
      </c>
      <c r="G125" t="str">
        <v>0790fb09-2de6-4ea3-a71c-58a007fc62a8</v>
      </c>
      <c r="H125" t="str">
        <v>9fed28b3-82cf-4afa-8e8d-952adf7a54a5</v>
      </c>
      <c r="I125" t="str">
        <v/>
      </c>
      <c r="L125" t="str">
        <v/>
      </c>
    </row>
    <row r="126" spans="1:12" x14ac:dyDescent="0.25">
      <c r="A126" t="str">
        <v>F2E099BD-FBF9-4E4F-9F49-B23293EC0CD8</v>
      </c>
      <c r="B126" t="str">
        <v>3029E0C5-9337-4596-87DB-0A677D44A180</v>
      </c>
      <c r="C126" t="str">
        <v>IBIS Perovi</v>
      </c>
      <c r="D126" t="str">
        <v>12238130-9D12-4099-A48B-9EB5A085E0F8</v>
      </c>
      <c r="E126" t="str">
        <v>2019-09-11</v>
      </c>
      <c r="F126" s="4">
        <v>1</v>
      </c>
      <c r="G126" t="str">
        <v>0790fb09-2de6-4ea3-a71c-58a007fc62a8</v>
      </c>
      <c r="H126" t="str">
        <v>9fed28b3-82cf-4afa-8e8d-952adf7a54a5</v>
      </c>
      <c r="I126" t="str">
        <v>1 6 30 1257 1</v>
      </c>
      <c r="L126" t="str">
        <v/>
      </c>
    </row>
    <row r="127" spans="1:12" x14ac:dyDescent="0.25">
      <c r="A127" t="str">
        <v>4863E815-E96B-40A3-B8D2-9A507B9FBE95</v>
      </c>
      <c r="B127" t="str">
        <v>3029E0C5-9337-4596-87DB-0A677D44A180</v>
      </c>
      <c r="C127" t="str">
        <v>IBIS Perov Dumbwaiter</v>
      </c>
      <c r="D127" t="str">
        <v>12238130-9D12-4099-A48B-9EB5A085E0F8</v>
      </c>
      <c r="E127" t="str">
        <v>2019-12-05</v>
      </c>
      <c r="F127" s="4">
        <v>1</v>
      </c>
      <c r="G127" t="str">
        <v>0790fb09-2de6-4ea3-a71c-58a007fc62a8</v>
      </c>
      <c r="H127" t="str">
        <v>9fed28b3-82cf-4afa-8e8d-952adf7a54a5</v>
      </c>
      <c r="I127" t="str">
        <v/>
      </c>
      <c r="L127" t="str">
        <v/>
      </c>
    </row>
    <row r="128" spans="1:12" x14ac:dyDescent="0.25">
      <c r="A128" t="str">
        <v>9CFD239A-4BD2-402C-BC14-2C95514DD913</v>
      </c>
      <c r="B128" t="str">
        <v>97BEEA92-7829-4A09-8B1C-D0FE871340D4</v>
      </c>
      <c r="C128" t="str">
        <v>Varketili</v>
      </c>
      <c r="D128" t="str">
        <v>12238130-9D12-4099-A48B-9EB5A085E0F8</v>
      </c>
      <c r="E128" t="str">
        <v>2019-09-16</v>
      </c>
      <c r="F128" s="4">
        <v>1</v>
      </c>
      <c r="G128" t="str">
        <v>0790fb09-2de6-4ea3-a71c-58a007fc62a8</v>
      </c>
      <c r="H128" t="str">
        <v>9fed28b3-82cf-4afa-8e8d-952adf7a54a5</v>
      </c>
      <c r="I128" t="str">
        <v/>
      </c>
      <c r="L128" t="str">
        <v/>
      </c>
    </row>
    <row r="129" spans="1:12" x14ac:dyDescent="0.25">
      <c r="A129" t="str">
        <v>6385E6FA-04D7-4EBF-854D-9B43C797C09B</v>
      </c>
      <c r="B129" t="str">
        <v>B658F42E-3F0A-44A3-B4ED-A7B4C1D8DEAE</v>
      </c>
      <c r="C129" t="str">
        <v>Kaklebi</v>
      </c>
      <c r="D129" t="str">
        <v>12238130-9D12-4099-A48B-9EB5A085E0F8</v>
      </c>
      <c r="E129" t="str">
        <v>2019-04-11</v>
      </c>
      <c r="F129" s="4">
        <v>1</v>
      </c>
      <c r="G129" t="str">
        <v>0790fb09-2de6-4ea3-a71c-58a007fc62a8</v>
      </c>
      <c r="H129" t="str">
        <v>9fed28b3-82cf-4afa-8e8d-952adf7a54a5</v>
      </c>
      <c r="I129" t="str">
        <v/>
      </c>
      <c r="L129" t="str">
        <v/>
      </c>
    </row>
    <row r="130" spans="1:12" x14ac:dyDescent="0.25">
      <c r="A130" t="str">
        <v>D36328AA-95D4-49C8-911A-C573267803D5</v>
      </c>
      <c r="B130" t="str">
        <v>0A7F5182-3B4F-4292-8569-FC31854BA5B4</v>
      </c>
      <c r="C130" t="str">
        <v>Green Cape</v>
      </c>
      <c r="D130" t="str">
        <v>12238130-9D12-4099-A48B-9EB5A085E0F8</v>
      </c>
      <c r="E130" t="str">
        <v>2018-12-26</v>
      </c>
      <c r="F130" s="4">
        <v>1</v>
      </c>
      <c r="G130" t="str">
        <v>0790fb09-2de6-4ea3-a71c-58a007fc62a8</v>
      </c>
      <c r="H130" t="str">
        <v>9fed28b3-82cf-4afa-8e8d-952adf7a54a5</v>
      </c>
      <c r="I130" t="str">
        <v/>
      </c>
      <c r="L130" t="str">
        <v/>
      </c>
    </row>
    <row r="131" spans="1:12" x14ac:dyDescent="0.25">
      <c r="A131" t="str">
        <v>9780EFF7-0DFF-48D3-A489-92594CFB595A</v>
      </c>
      <c r="B131" t="str">
        <v>A71E107A-D0C2-4155-83C0-22DCD22BD19F</v>
      </c>
      <c r="C131" t="str">
        <v>Thermoroom</v>
      </c>
      <c r="D131" t="str">
        <v>12238130-9D12-4099-A48B-9EB5A085E0F8</v>
      </c>
      <c r="E131" t="str">
        <v>2019-03-22</v>
      </c>
      <c r="F131" s="4">
        <v>1</v>
      </c>
      <c r="G131" t="str">
        <v>5a2d799d-22a1-4e0a-b029-8031a1df6d56</v>
      </c>
      <c r="H131" t="str">
        <v>9fed28b3-82cf-4afa-8e8d-952adf7a54a5</v>
      </c>
      <c r="I131" t="str">
        <v/>
      </c>
      <c r="L131" t="str">
        <v/>
      </c>
    </row>
    <row r="132" spans="1:12" x14ac:dyDescent="0.25">
      <c r="A132" t="str">
        <v>2DBBDB2A-AE3C-4D2E-9732-25F75C16DC1A</v>
      </c>
      <c r="B132" t="str">
        <v>8E8E99BE-75FC-49EC-9D89-960E30E7CB06</v>
      </c>
      <c r="C132" t="str">
        <v>Chakhrukhadze</v>
      </c>
      <c r="D132" t="str">
        <v>12238130-9D12-4099-A48B-9EB5A085E0F8</v>
      </c>
      <c r="E132" t="str">
        <v>2019-10-24</v>
      </c>
      <c r="F132" s="4">
        <v>1</v>
      </c>
      <c r="G132" t="str">
        <v>0790fb09-2de6-4ea3-a71c-58a007fc62a8</v>
      </c>
      <c r="H132" t="str">
        <v>9fed28b3-82cf-4afa-8e8d-952adf7a54a5</v>
      </c>
      <c r="I132" t="str">
        <v/>
      </c>
      <c r="L132" t="str">
        <v/>
      </c>
    </row>
    <row r="133" spans="1:12" x14ac:dyDescent="0.25">
      <c r="A133" t="str">
        <v>D28381C0-B27A-4E4C-B54B-186420AB3048</v>
      </c>
      <c r="B133" t="str">
        <v>88114C6E-F2B4-44AC-AACB-3937108FCC9D</v>
      </c>
      <c r="C133" t="str">
        <v>Kobuleti Garden Inn</v>
      </c>
      <c r="D133" t="str">
        <v>12238130-9D12-4099-A48B-9EB5A085E0F8</v>
      </c>
      <c r="E133" t="str">
        <v>2019-12-25</v>
      </c>
      <c r="F133" s="4">
        <v>1</v>
      </c>
      <c r="G133" t="str">
        <v>0790fb09-2de6-4ea3-a71c-58a007fc62a8</v>
      </c>
      <c r="H133" t="str">
        <v>9fed28b3-82cf-4afa-8e8d-952adf7a54a5</v>
      </c>
      <c r="I133" t="str">
        <v/>
      </c>
      <c r="L133" t="str">
        <v/>
      </c>
    </row>
    <row r="134" spans="1:12" x14ac:dyDescent="0.25">
      <c r="A134" t="str">
        <v>A452FED2-BCEF-45B4-A40A-B18CD1747F27</v>
      </c>
      <c r="B134" t="str">
        <v>2A9CB749-334E-4076-9125-B73DD63C7D94</v>
      </c>
      <c r="C134" t="str">
        <v>Aparthotel Vake</v>
      </c>
      <c r="D134" t="str">
        <v>12238130-9D12-4099-A48B-9EB5A085E0F8</v>
      </c>
      <c r="E134" t="str">
        <v>2019-10-30</v>
      </c>
      <c r="F134" s="4">
        <v>1</v>
      </c>
      <c r="G134" t="str">
        <v>5a2d799d-22a1-4e0a-b029-8031a1df6d56</v>
      </c>
      <c r="H134" t="str">
        <v>9fed28b3-82cf-4afa-8e8d-952adf7a54a5</v>
      </c>
      <c r="I134" t="str">
        <v/>
      </c>
      <c r="L134" t="str">
        <v/>
      </c>
    </row>
    <row r="135" spans="1:12" x14ac:dyDescent="0.25">
      <c r="A135" t="str">
        <v>45DB2F98-7677-4764-9578-FE28296376AF</v>
      </c>
      <c r="B135" t="str">
        <v>F43C8D9B-B556-4114-B404-AEEFA8C31B20</v>
      </c>
      <c r="C135" t="str">
        <v>Sololaki</v>
      </c>
      <c r="D135" t="str">
        <v>12238130-9D12-4099-A48B-9EB5A085E0F8</v>
      </c>
      <c r="E135" t="str">
        <v>2019-10-31</v>
      </c>
      <c r="F135" s="4">
        <v>1</v>
      </c>
      <c r="G135" t="str">
        <v>0790fb09-2de6-4ea3-a71c-58a007fc62a8</v>
      </c>
      <c r="H135" t="str">
        <v>9fed28b3-82cf-4afa-8e8d-952adf7a54a5</v>
      </c>
      <c r="I135" t="str">
        <v/>
      </c>
      <c r="L135" t="str">
        <v/>
      </c>
    </row>
    <row r="136" spans="1:12" x14ac:dyDescent="0.25">
      <c r="A136" t="str">
        <v>90A47262-D355-4249-8FB7-FB5501E3B465</v>
      </c>
      <c r="B136" t="str">
        <v>D5136DB7-C17A-4DDB-9797-D1B10612D28C</v>
      </c>
      <c r="C136" t="str">
        <v>Ortachala</v>
      </c>
      <c r="D136" t="str">
        <v>12238130-9D12-4099-A48B-9EB5A085E0F8</v>
      </c>
      <c r="E136" t="str">
        <v>2019-07-26</v>
      </c>
      <c r="F136" s="4">
        <v>1</v>
      </c>
      <c r="G136" t="str">
        <v>0790fb09-2de6-4ea3-a71c-58a007fc62a8</v>
      </c>
      <c r="H136" t="str">
        <v>9fed28b3-82cf-4afa-8e8d-952adf7a54a5</v>
      </c>
      <c r="I136" t="str">
        <v/>
      </c>
      <c r="L136" t="str">
        <v/>
      </c>
    </row>
    <row r="137" spans="1:12" x14ac:dyDescent="0.25">
      <c r="A137" t="str">
        <v>94C3F1ED-B241-4AC2-8709-FDC471284D94</v>
      </c>
      <c r="B137" t="str">
        <v>ADBD14C7-72E2-4703-84A5-B47EC0ACB641</v>
      </c>
      <c r="C137" t="str">
        <v>Bagebi</v>
      </c>
      <c r="D137" t="str">
        <v>12238130-9D12-4099-A48B-9EB5A085E0F8</v>
      </c>
      <c r="E137" t="str">
        <v>2018-01-22</v>
      </c>
      <c r="F137" s="4">
        <v>1</v>
      </c>
      <c r="G137" t="str">
        <v>5a2d799d-22a1-4e0a-b029-8031a1df6d56</v>
      </c>
      <c r="H137" t="str">
        <v>9fed28b3-82cf-4afa-8e8d-952adf7a54a5</v>
      </c>
      <c r="I137" t="str">
        <v/>
      </c>
      <c r="L137" t="str">
        <v/>
      </c>
    </row>
    <row r="138" spans="1:12" x14ac:dyDescent="0.25">
      <c r="A138" t="str">
        <v>E942C8AD-0FFF-46B9-958C-5332E0F75B89</v>
      </c>
      <c r="B138" t="str">
        <v>6DECD64D-60DA-49AE-A9B3-49D7E02F2D62</v>
      </c>
      <c r="C138" t="str">
        <v>Biota Park</v>
      </c>
      <c r="D138" t="str">
        <v>12238130-9D12-4099-A48B-9EB5A085E0F8</v>
      </c>
      <c r="E138" t="str">
        <v>2019-10-29</v>
      </c>
      <c r="F138" s="4">
        <v>1</v>
      </c>
      <c r="G138" t="str">
        <v>0790fb09-2de6-4ea3-a71c-58a007fc62a8</v>
      </c>
      <c r="H138" t="str">
        <v>9fed28b3-82cf-4afa-8e8d-952adf7a54a5</v>
      </c>
      <c r="I138" t="str">
        <v>1 6 31 1270</v>
      </c>
      <c r="L138" t="str">
        <v/>
      </c>
    </row>
    <row r="139" spans="1:12" x14ac:dyDescent="0.25">
      <c r="A139" t="str">
        <v>3C438861-094F-4792-ADC9-29FC48D9BB12</v>
      </c>
      <c r="B139" t="str">
        <v>90293CD0-6262-4F6E-9B52-E8D909232966</v>
      </c>
      <c r="C139" t="str">
        <v>Beach Tower</v>
      </c>
      <c r="D139" t="str">
        <v>12238130-9D12-4099-A48B-9EB5A085E0F8</v>
      </c>
      <c r="E139" t="str">
        <v>2018-09-05</v>
      </c>
      <c r="F139" s="4">
        <v>1</v>
      </c>
      <c r="G139" t="str">
        <v>0790fb09-2de6-4ea3-a71c-58a007fc62a8</v>
      </c>
      <c r="H139" t="str">
        <v>9fed28b3-82cf-4afa-8e8d-952adf7a54a5</v>
      </c>
      <c r="I139" t="str">
        <v>1 6 31 998</v>
      </c>
      <c r="L139" t="str">
        <v/>
      </c>
    </row>
    <row r="140" spans="1:12" x14ac:dyDescent="0.25">
      <c r="A140" t="str">
        <v>B60CF255-4AA3-4F6B-AFB7-5681954C6A79</v>
      </c>
      <c r="B140" t="str">
        <v>E284E0FD-A2B7-4D93-8E91-006FF0A8A4CE</v>
      </c>
      <c r="C140" t="str">
        <v>ORBI CITY A</v>
      </c>
      <c r="D140" t="str">
        <v>12238130-9D12-4099-A48B-9EB5A085E0F8</v>
      </c>
      <c r="E140" t="str">
        <v>2020-07-01</v>
      </c>
      <c r="F140" s="4">
        <v>1</v>
      </c>
      <c r="G140" t="str">
        <v>0790fb09-2de6-4ea3-a71c-58a007fc62a8</v>
      </c>
      <c r="H140" t="str">
        <v>9fed28b3-82cf-4afa-8e8d-952adf7a54a5</v>
      </c>
      <c r="I140" t="str">
        <v>1 6 31 773 1</v>
      </c>
      <c r="L140" t="str">
        <v/>
      </c>
    </row>
    <row r="141" spans="1:12" x14ac:dyDescent="0.25">
      <c r="A141" t="str">
        <v>7F26EB7B-2E7C-4A75-8728-31AC9AD52FEE</v>
      </c>
      <c r="B141" t="str">
        <v>19F602E5-A978-4128-B38E-2D3540A8F675</v>
      </c>
      <c r="C141" t="str">
        <v>Gudauri Alpic</v>
      </c>
      <c r="D141" t="str">
        <v>12238130-9D12-4099-A48B-9EB5A085E0F8</v>
      </c>
      <c r="E141" t="str">
        <v>2019-09-24</v>
      </c>
      <c r="F141" s="4">
        <v>1</v>
      </c>
      <c r="G141" t="str">
        <v>0790fb09-2de6-4ea3-a71c-58a007fc62a8</v>
      </c>
      <c r="H141" t="str">
        <v>9fed28b3-82cf-4afa-8e8d-952adf7a54a5</v>
      </c>
      <c r="I141" t="str">
        <v/>
      </c>
      <c r="L141" t="str">
        <v/>
      </c>
    </row>
    <row r="142" spans="1:12" x14ac:dyDescent="0.25">
      <c r="A142" t="str">
        <v>FBE8F7D7-AB34-4D32-8646-AB0CB9EC7987</v>
      </c>
      <c r="B142" t="str">
        <v>9B349A17-7CE1-4232-98C6-02C565C3642C</v>
      </c>
      <c r="C142" t="str">
        <v>Renting BNB</v>
      </c>
      <c r="D142" t="str">
        <v>12238130-9D12-4099-A48B-9EB5A085E0F8</v>
      </c>
      <c r="E142" t="str">
        <v>2020-02-25</v>
      </c>
      <c r="F142" s="4">
        <v>1</v>
      </c>
      <c r="G142" t="str">
        <v>0790fb09-2de6-4ea3-a71c-58a007fc62a8</v>
      </c>
      <c r="H142" t="str">
        <v>9fed28b3-82cf-4afa-8e8d-952adf7a54a5</v>
      </c>
      <c r="I142" t="str">
        <v/>
      </c>
      <c r="L142" t="str">
        <v/>
      </c>
    </row>
    <row r="143" spans="1:12" x14ac:dyDescent="0.25">
      <c r="A143" t="str">
        <v>CF77CD66-BD5F-4839-897D-B40775CA9C74</v>
      </c>
      <c r="B143" t="str">
        <v>BFABDF11-34C8-4815-A840-47DD5AAB9F4F</v>
      </c>
      <c r="C143" t="str">
        <v>Rumi - batumi</v>
      </c>
      <c r="D143" t="str">
        <v>12238130-9D12-4099-A48B-9EB5A085E0F8</v>
      </c>
      <c r="E143" t="str">
        <v>2019-12-17</v>
      </c>
      <c r="F143" s="4">
        <v>1</v>
      </c>
      <c r="G143" t="str">
        <v>0790fb09-2de6-4ea3-a71c-58a007fc62a8</v>
      </c>
      <c r="H143" t="str">
        <v>9fed28b3-82cf-4afa-8e8d-952adf7a54a5</v>
      </c>
      <c r="I143" t="str">
        <v/>
      </c>
      <c r="L143" t="str">
        <v/>
      </c>
    </row>
    <row r="144" spans="1:12" x14ac:dyDescent="0.25">
      <c r="A144" t="str">
        <v>B979C2B2-4F18-41FA-9937-5CEDC68EE335</v>
      </c>
      <c r="B144" t="str">
        <v>9B21D54A-56D8-405D-95E2-A05872C7C1E9</v>
      </c>
      <c r="C144" t="str">
        <v>Aeroporti</v>
      </c>
      <c r="D144" t="str">
        <v>12238130-9D12-4099-A48B-9EB5A085E0F8</v>
      </c>
      <c r="E144" t="str">
        <v>2019-08-22</v>
      </c>
      <c r="F144" s="4">
        <v>1</v>
      </c>
      <c r="G144" t="str">
        <v>5a2d799d-22a1-4e0a-b029-8031a1df6d56</v>
      </c>
      <c r="H144" t="str">
        <v>9fed28b3-82cf-4afa-8e8d-952adf7a54a5</v>
      </c>
      <c r="I144" t="str">
        <v/>
      </c>
      <c r="L144" t="str">
        <v/>
      </c>
    </row>
    <row r="145" spans="1:12" x14ac:dyDescent="0.25">
      <c r="A145" t="str">
        <v>F5002C98-BCD3-4F89-BA3F-A0705D2B1681</v>
      </c>
      <c r="B145" t="str">
        <v>25CECFAB-615A-4A1E-AC57-B18B8A92799B</v>
      </c>
      <c r="C145" t="str">
        <v>Archi Jikia Block C</v>
      </c>
      <c r="D145" t="str">
        <v>12238130-9D12-4099-A48B-9EB5A085E0F8</v>
      </c>
      <c r="E145" t="str">
        <v>2020-12-05</v>
      </c>
      <c r="F145" s="4">
        <v>1</v>
      </c>
      <c r="G145" t="str">
        <v>0790fb09-2de6-4ea3-a71c-58a007fc62a8</v>
      </c>
      <c r="H145" t="str">
        <v>9fed28b3-82cf-4afa-8e8d-952adf7a54a5</v>
      </c>
      <c r="I145" t="str">
        <v>1 6 31 1453</v>
      </c>
      <c r="L145" t="str">
        <v/>
      </c>
    </row>
    <row r="146" spans="1:12" x14ac:dyDescent="0.25">
      <c r="A146" t="str">
        <v>0085F59A-37C7-4424-9251-C2428F3E6E7D</v>
      </c>
      <c r="B146" t="str">
        <v>19F602E5-A978-4128-B38E-2D3540A8F675</v>
      </c>
      <c r="C146" t="str">
        <v>Gudauri Redco Parking</v>
      </c>
      <c r="D146" t="str">
        <v>12238130-9D12-4099-A48B-9EB5A085E0F8</v>
      </c>
      <c r="E146" t="str">
        <v>2019-09-26</v>
      </c>
      <c r="F146" s="4">
        <v>1</v>
      </c>
      <c r="G146" t="str">
        <v>0790fb09-2de6-4ea3-a71c-58a007fc62a8</v>
      </c>
      <c r="H146" t="str">
        <v>9fed28b3-82cf-4afa-8e8d-952adf7a54a5</v>
      </c>
      <c r="I146" t="str">
        <v/>
      </c>
      <c r="L146" t="str">
        <v/>
      </c>
    </row>
    <row r="147" spans="1:12" x14ac:dyDescent="0.25">
      <c r="A147" t="str">
        <v>0EB1F4BD-032C-4A62-8299-F30448D70FF4</v>
      </c>
      <c r="B147" t="str">
        <v>DDFBBDF4-5DA2-4BD2-918A-77AAF121BF72</v>
      </c>
      <c r="C147" t="str">
        <v>City Mall</v>
      </c>
      <c r="D147" t="str">
        <v>12238130-9D12-4099-A48B-9EB5A085E0F8</v>
      </c>
      <c r="E147" t="str">
        <v>2018-09-11</v>
      </c>
      <c r="F147" s="4">
        <v>1</v>
      </c>
      <c r="G147" t="str">
        <v>0790fb09-2de6-4ea3-a71c-58a007fc62a8</v>
      </c>
      <c r="H147" t="str">
        <v>9fed28b3-82cf-4afa-8e8d-952adf7a54a5</v>
      </c>
      <c r="I147" t="str">
        <v>1 6 31 971</v>
      </c>
      <c r="L147" t="str">
        <v/>
      </c>
    </row>
    <row r="148" spans="1:12" x14ac:dyDescent="0.25">
      <c r="A148" t="str">
        <v>C205D89E-2E55-44C0-A690-4A0274298F9A</v>
      </c>
      <c r="B148" t="str">
        <v>08D9917E-9D2C-4D04-A0C9-794059D0E55B</v>
      </c>
      <c r="C148" t="str">
        <v>ENCORE Gudauri</v>
      </c>
      <c r="D148" t="str">
        <v>12238130-9D12-4099-A48B-9EB5A085E0F8</v>
      </c>
      <c r="E148" t="str">
        <v>2019-09-03</v>
      </c>
      <c r="F148" s="4">
        <v>1</v>
      </c>
      <c r="G148" t="str">
        <v>0790fb09-2de6-4ea3-a71c-58a007fc62a8</v>
      </c>
      <c r="H148" t="str">
        <v>9fed28b3-82cf-4afa-8e8d-952adf7a54a5</v>
      </c>
      <c r="I148" t="str">
        <v/>
      </c>
      <c r="L148" t="str">
        <v/>
      </c>
    </row>
    <row r="149" spans="1:12" x14ac:dyDescent="0.25">
      <c r="A149" t="str">
        <v>0308AEC3-30A9-411F-9805-0D2F71F2198B</v>
      </c>
      <c r="B149" t="str">
        <v>A5C44F5D-1F9C-4BC1-BD39-C8B2E88BC49A</v>
      </c>
      <c r="C149" t="str">
        <v>Shvela</v>
      </c>
      <c r="D149" t="str">
        <v>12238130-9D12-4099-A48B-9EB5A085E0F8</v>
      </c>
      <c r="E149" t="str">
        <v>2016-06-15</v>
      </c>
      <c r="F149" s="4">
        <v>1</v>
      </c>
      <c r="G149" t="str">
        <v>0790fb09-2de6-4ea3-a71c-58a007fc62a8</v>
      </c>
      <c r="H149" t="str">
        <v>9fed28b3-82cf-4afa-8e8d-952adf7a54a5</v>
      </c>
      <c r="I149" t="str">
        <v/>
      </c>
      <c r="L149" t="str">
        <v/>
      </c>
    </row>
    <row r="150" spans="1:12" x14ac:dyDescent="0.25">
      <c r="A150" t="str">
        <v>850E50A8-0FAD-4499-9FF4-3555DAA33336</v>
      </c>
      <c r="B150" t="str">
        <v>967EE73E-8B77-4A8F-9FD3-AA36FF0ECB17</v>
      </c>
      <c r="C150" t="str">
        <v>Chempioni</v>
      </c>
      <c r="D150" t="str">
        <v>12238130-9D12-4099-A48B-9EB5A085E0F8</v>
      </c>
      <c r="E150" t="str">
        <v>2016-06-15</v>
      </c>
      <c r="F150" s="4">
        <v>1</v>
      </c>
      <c r="G150" t="str">
        <v>5a2d799d-22a1-4e0a-b029-8031a1df6d56</v>
      </c>
      <c r="H150" t="str">
        <v>9fed28b3-82cf-4afa-8e8d-952adf7a54a5</v>
      </c>
      <c r="I150" t="str">
        <v/>
      </c>
      <c r="L150" t="str">
        <v/>
      </c>
    </row>
    <row r="151" spans="1:12" x14ac:dyDescent="0.25">
      <c r="A151" t="str">
        <v>01BB45F4-491B-4BCC-B27D-6FDA17023B88</v>
      </c>
      <c r="B151" t="str">
        <v>57A60218-744B-4922-BF21-F9C52A01DAF6</v>
      </c>
      <c r="C151" t="str">
        <v>Kbuleti Str. - Khomeriki</v>
      </c>
      <c r="D151" t="str">
        <v>12238130-9D12-4099-A48B-9EB5A085E0F8</v>
      </c>
      <c r="E151" t="str">
        <v>2018-02-15</v>
      </c>
      <c r="F151" s="4">
        <v>1</v>
      </c>
      <c r="G151" t="str">
        <v>5a2d799d-22a1-4e0a-b029-8031a1df6d56</v>
      </c>
      <c r="H151" t="str">
        <v>9fed28b3-82cf-4afa-8e8d-952adf7a54a5</v>
      </c>
      <c r="I151" t="str">
        <v/>
      </c>
      <c r="L151" t="str">
        <v/>
      </c>
    </row>
    <row r="152" spans="1:12" x14ac:dyDescent="0.25">
      <c r="A152" t="str">
        <v>FB0EE8E6-158C-4DA7-8FAE-ED32E09A1D20</v>
      </c>
      <c r="B152" t="str">
        <v>726D9023-53A2-435E-8A5B-8BCEA9625E08</v>
      </c>
      <c r="C152" t="str">
        <v>Hospital Generator</v>
      </c>
      <c r="D152" t="str">
        <v>FEA4B88F-633F-4422-B3D6-250792A2DA80</v>
      </c>
      <c r="E152" t="str">
        <v>2020-07-20</v>
      </c>
      <c r="F152" s="4">
        <v>5100</v>
      </c>
      <c r="G152" t="str">
        <v>0790fb09-2de6-4ea3-a71c-58a007fc62a8</v>
      </c>
      <c r="H152" t="str">
        <v>9fed28b3-82cf-4afa-8e8d-952adf7a54a5</v>
      </c>
      <c r="I152" t="str">
        <v/>
      </c>
      <c r="L152" t="str">
        <v/>
      </c>
    </row>
    <row r="153" spans="1:12" x14ac:dyDescent="0.25">
      <c r="A153" t="str">
        <v>5F53D4EF-21DF-4A59-8401-BB1245C0D8B9</v>
      </c>
      <c r="B153" t="str">
        <v>43EABC78-AF64-4C14-9FEF-C7E6A1B6F07E</v>
      </c>
      <c r="C153" t="str">
        <v>Tskhneti House Valves</v>
      </c>
      <c r="D153" t="str">
        <v>FEA4B88F-633F-4422-B3D6-250792A2DA80</v>
      </c>
      <c r="E153" t="str">
        <v>2020-06-15</v>
      </c>
      <c r="F153" s="4">
        <v>3658.893</v>
      </c>
      <c r="G153" t="str">
        <v>4cfda3f2-535e-4b77-a467-eac9dc64feca</v>
      </c>
      <c r="H153" t="str">
        <v>9fed28b3-82cf-4afa-8e8d-952adf7a54a5</v>
      </c>
      <c r="I153" t="str">
        <v/>
      </c>
      <c r="L153" t="str">
        <v/>
      </c>
    </row>
    <row r="154" spans="1:12" x14ac:dyDescent="0.25">
      <c r="A154" t="str">
        <v>3618EDEB-286D-491B-8594-7033EC0CD557</v>
      </c>
      <c r="B154" t="str">
        <v>C270A903-5EB0-4E5A-8448-B4A637D5211F</v>
      </c>
      <c r="C154" t="str">
        <v>Epic Bagebi</v>
      </c>
      <c r="D154" t="str">
        <v>12238130-9D12-4099-A48B-9EB5A085E0F8</v>
      </c>
      <c r="E154" t="str">
        <v>2020-07-01</v>
      </c>
      <c r="F154" s="4">
        <v>1</v>
      </c>
      <c r="G154" t="str">
        <v>5a2d799d-22a1-4e0a-b029-8031a1df6d56</v>
      </c>
      <c r="H154" t="str">
        <v>9fed28b3-82cf-4afa-8e8d-952adf7a54a5</v>
      </c>
      <c r="I154" t="str">
        <v/>
      </c>
      <c r="L154" t="str">
        <v/>
      </c>
    </row>
    <row r="155" spans="1:12" x14ac:dyDescent="0.25">
      <c r="A155" t="str">
        <v>51838B0D-DD89-4A12-B525-8D367543250C</v>
      </c>
      <c r="B155" t="str">
        <v>43EABC78-AF64-4C14-9FEF-C7E6A1B6F07E</v>
      </c>
      <c r="C155" t="str">
        <v>Hilton Garden VRV2</v>
      </c>
      <c r="D155" t="str">
        <v>FEA4B88F-633F-4422-B3D6-250792A2DA80</v>
      </c>
      <c r="E155" t="str">
        <v>2020-07-20</v>
      </c>
      <c r="F155" s="4">
        <v>124122.43</v>
      </c>
      <c r="G155" t="str">
        <v>0790fb09-2de6-4ea3-a71c-58a007fc62a8</v>
      </c>
      <c r="H155" t="str">
        <v>9fed28b3-82cf-4afa-8e8d-952adf7a54a5</v>
      </c>
      <c r="I155" t="str">
        <v/>
      </c>
      <c r="L155" t="str">
        <v/>
      </c>
    </row>
    <row r="156" spans="1:12" x14ac:dyDescent="0.25">
      <c r="A156" t="str">
        <v>30259522-170B-46DB-BCEA-36D4C04025B4</v>
      </c>
      <c r="B156" t="str">
        <v>D239BCA7-C0E0-431B-8055-6778FA312A38</v>
      </c>
      <c r="C156" t="str">
        <v>Paata House</v>
      </c>
      <c r="D156" t="str">
        <v>FEA4B88F-633F-4422-B3D6-250792A2DA80</v>
      </c>
      <c r="E156" t="str">
        <v>2020-07-20</v>
      </c>
      <c r="F156" s="4">
        <v>2812.46</v>
      </c>
      <c r="G156" t="str">
        <v>0790fb09-2de6-4ea3-a71c-58a007fc62a8</v>
      </c>
      <c r="H156" t="str">
        <v>9fed28b3-82cf-4afa-8e8d-952adf7a54a5</v>
      </c>
      <c r="I156" t="str">
        <v/>
      </c>
      <c r="L156" t="str">
        <v/>
      </c>
    </row>
    <row r="157" spans="1:12" x14ac:dyDescent="0.25">
      <c r="A157" t="str">
        <v>E9489C29-8AFF-4DD7-9089-2A094F602BF0</v>
      </c>
      <c r="B157" t="str">
        <v>726D9023-53A2-435E-8A5B-8BCEA9625E08</v>
      </c>
      <c r="C157" t="str">
        <v>MHI Splits</v>
      </c>
      <c r="D157" t="str">
        <v>FEA4B88F-633F-4422-B3D6-250792A2DA80</v>
      </c>
      <c r="E157" t="str">
        <v>2020-08-10</v>
      </c>
      <c r="F157" s="4">
        <v>9490</v>
      </c>
      <c r="G157" t="str">
        <v>5a2d799d-22a1-4e0a-b029-8031a1df6d56</v>
      </c>
      <c r="H157" t="str">
        <v>9fed28b3-82cf-4afa-8e8d-952adf7a54a5</v>
      </c>
      <c r="I157" t="str">
        <v/>
      </c>
      <c r="L157" t="str">
        <v/>
      </c>
    </row>
    <row r="158" spans="1:12" x14ac:dyDescent="0.25">
      <c r="A158" t="str">
        <v>549138A5-B81C-40F1-B7A5-E69622BE26E5</v>
      </c>
      <c r="B158" t="str">
        <v>DDFBBDF4-5DA2-4BD2-918A-77AAF121BF72</v>
      </c>
      <c r="C158" t="str">
        <v>P1 P2 Ceilings</v>
      </c>
      <c r="D158" t="str">
        <v>B59170EC-16CC-499A-9FF7-0428DCB8F727</v>
      </c>
      <c r="E158" t="str">
        <v>2020-08-11</v>
      </c>
      <c r="F158" s="4">
        <v>10200</v>
      </c>
      <c r="G158" t="str">
        <v>0790fb09-2de6-4ea3-a71c-58a007fc62a8</v>
      </c>
      <c r="H158" t="str">
        <v>9fed28b3-82cf-4afa-8e8d-952adf7a54a5</v>
      </c>
      <c r="I158" t="str">
        <v/>
      </c>
      <c r="L158" t="str">
        <v/>
      </c>
    </row>
    <row r="159" spans="1:12" x14ac:dyDescent="0.25">
      <c r="A159" t="str">
        <v>163C4119-B1C7-4F27-830E-B834747A6363</v>
      </c>
      <c r="B159" t="str">
        <v>3A516BC6-5B32-480E-A832-CC303C538C11</v>
      </c>
      <c r="C159" t="str">
        <v>Chonkadze Home</v>
      </c>
      <c r="D159" t="str">
        <v>FEA4B88F-633F-4422-B3D6-250792A2DA80</v>
      </c>
      <c r="E159" t="str">
        <v>2020-07-29</v>
      </c>
      <c r="F159" s="4">
        <v>11508</v>
      </c>
      <c r="G159" t="str">
        <v>0790fb09-2de6-4ea3-a71c-58a007fc62a8</v>
      </c>
      <c r="H159" t="str">
        <v>9fed28b3-82cf-4afa-8e8d-952adf7a54a5</v>
      </c>
      <c r="I159" t="str">
        <v>1 6 30 1481</v>
      </c>
      <c r="L159" t="str">
        <v/>
      </c>
    </row>
    <row r="160" spans="1:12" x14ac:dyDescent="0.25">
      <c r="A160" t="str">
        <v>D7419E4C-7B69-450C-8038-3EBFD263DECD</v>
      </c>
      <c r="B160" t="str">
        <v>3A516BC6-5B32-480E-A832-CC303C538C11</v>
      </c>
      <c r="C160" t="str">
        <v>Chonkadze Home Split</v>
      </c>
      <c r="D160" t="str">
        <v>FEA4B88F-633F-4422-B3D6-250792A2DA80</v>
      </c>
      <c r="E160" t="str">
        <v>2020-07-27</v>
      </c>
      <c r="F160" s="4">
        <v>3492</v>
      </c>
      <c r="G160" t="str">
        <v>5a2d799d-22a1-4e0a-b029-8031a1df6d56</v>
      </c>
      <c r="H160" t="str">
        <v>9fed28b3-82cf-4afa-8e8d-952adf7a54a5</v>
      </c>
      <c r="I160" t="str">
        <v>1 6 30 1481</v>
      </c>
      <c r="L160" t="str">
        <v/>
      </c>
    </row>
    <row r="161" spans="1:12" x14ac:dyDescent="0.25">
      <c r="A161" t="str">
        <v>D72D52DD-C778-46D7-BF4A-D3A3A3036DA6</v>
      </c>
      <c r="B161" t="str">
        <v>E284E0FD-A2B7-4D93-8E91-006FF0A8A4CE</v>
      </c>
      <c r="C161" t="str">
        <v>Uninstall/Install 2</v>
      </c>
      <c r="D161" t="str">
        <v>B59170EC-16CC-499A-9FF7-0428DCB8F727</v>
      </c>
      <c r="E161" t="str">
        <v>2018-05-04</v>
      </c>
      <c r="F161" s="4">
        <v>5343</v>
      </c>
      <c r="G161" t="str">
        <v>0790fb09-2de6-4ea3-a71c-58a007fc62a8</v>
      </c>
      <c r="H161" t="str">
        <v>9fed28b3-82cf-4afa-8e8d-952adf7a54a5</v>
      </c>
      <c r="I161" t="str">
        <v/>
      </c>
      <c r="L161" t="str">
        <v/>
      </c>
    </row>
    <row r="162" spans="1:12" x14ac:dyDescent="0.25">
      <c r="A162" t="str">
        <v>849ECBD3-21CC-405B-A8C4-621B4912D3CB</v>
      </c>
      <c r="B162" t="str">
        <v>E284E0FD-A2B7-4D93-8E91-006FF0A8A4CE</v>
      </c>
      <c r="C162" t="str">
        <v>Uninstall/Install 1</v>
      </c>
      <c r="D162" t="str">
        <v>B59170EC-16CC-499A-9FF7-0428DCB8F727</v>
      </c>
      <c r="E162" t="str">
        <v>2017-12-26</v>
      </c>
      <c r="F162" s="4">
        <v>5343</v>
      </c>
      <c r="G162" t="str">
        <v>0790fb09-2de6-4ea3-a71c-58a007fc62a8</v>
      </c>
      <c r="H162" t="str">
        <v>9fed28b3-82cf-4afa-8e8d-952adf7a54a5</v>
      </c>
      <c r="I162" t="str">
        <v/>
      </c>
      <c r="L162" t="str">
        <v/>
      </c>
    </row>
    <row r="163" spans="1:12" x14ac:dyDescent="0.25">
      <c r="A163" t="str">
        <v>943A12D2-B154-408B-BD71-6FB3F860CAC8</v>
      </c>
      <c r="B163" t="str">
        <v>9729C88B-F3C5-441A-8782-0656302A37F2</v>
      </c>
      <c r="C163" t="str">
        <v>Modus Wedding Hall</v>
      </c>
      <c r="D163" t="str">
        <v>B59170EC-16CC-499A-9FF7-0428DCB8F727</v>
      </c>
      <c r="E163" t="str">
        <v>2020-05-25</v>
      </c>
      <c r="F163" s="4">
        <v>44100</v>
      </c>
      <c r="G163" t="str">
        <v>0790fb09-2de6-4ea3-a71c-58a007fc62a8</v>
      </c>
      <c r="H163" t="str">
        <v>9fed28b3-82cf-4afa-8e8d-952adf7a54a5</v>
      </c>
      <c r="I163" t="str">
        <v>1 6 30 642 5</v>
      </c>
      <c r="L163" t="str">
        <v/>
      </c>
    </row>
    <row r="164" spans="1:12" x14ac:dyDescent="0.25">
      <c r="A164" t="str">
        <v>C5F7C66D-C0F5-4BD7-868A-BD0BF8CBCCB4</v>
      </c>
      <c r="B164" t="str">
        <v>378912CF-F98E-49C5-86EE-F343029B110A</v>
      </c>
      <c r="C164" t="str">
        <v>Norway Embassy MEP1</v>
      </c>
      <c r="D164" t="str">
        <v>FEA4B88F-633F-4422-B3D6-250792A2DA80</v>
      </c>
      <c r="E164" t="str">
        <v>2020-06-01</v>
      </c>
      <c r="F164" s="4">
        <v>5250</v>
      </c>
      <c r="G164" t="str">
        <v>5a2d799d-22a1-4e0a-b029-8031a1df6d56</v>
      </c>
      <c r="H164" t="str">
        <v>9fed28b3-82cf-4afa-8e8d-952adf7a54a5</v>
      </c>
      <c r="I164" t="str">
        <v/>
      </c>
      <c r="L164" t="str">
        <v/>
      </c>
    </row>
    <row r="165" spans="1:12" x14ac:dyDescent="0.25">
      <c r="A165" t="str">
        <v>6A60261F-4D2E-4156-8E79-882BCEC12952</v>
      </c>
      <c r="B165" t="str">
        <v>E284E0FD-A2B7-4D93-8E91-006FF0A8A4CE</v>
      </c>
      <c r="C165" t="str">
        <v>Turkish Repair</v>
      </c>
      <c r="D165" t="str">
        <v>B59170EC-16CC-499A-9FF7-0428DCB8F727</v>
      </c>
      <c r="E165" t="str">
        <v>2018-06-22</v>
      </c>
      <c r="F165" s="4">
        <v>16000</v>
      </c>
      <c r="G165" t="str">
        <v>5a2d799d-22a1-4e0a-b029-8031a1df6d56</v>
      </c>
      <c r="H165" t="str">
        <v>9fed28b3-82cf-4afa-8e8d-952adf7a54a5</v>
      </c>
      <c r="I165" t="str">
        <v/>
      </c>
      <c r="L165" t="str">
        <v/>
      </c>
    </row>
    <row r="166" spans="1:12" x14ac:dyDescent="0.25">
      <c r="A166" t="str">
        <v>62A84425-2431-42DB-8A77-4BCD9B8F13EC</v>
      </c>
      <c r="B166" t="str">
        <v>B3E373C9-2E2A-4FBA-BEC3-C5CE93DC6D4B</v>
      </c>
      <c r="C166" t="str">
        <v>ATU Duck Type 2020</v>
      </c>
      <c r="D166" t="str">
        <v>FEA4B88F-633F-4422-B3D6-250792A2DA80</v>
      </c>
      <c r="E166" t="str">
        <v>2020-08-27</v>
      </c>
      <c r="F166" s="4">
        <v>19200</v>
      </c>
      <c r="G166" t="str">
        <v>5a2d799d-22a1-4e0a-b029-8031a1df6d56</v>
      </c>
      <c r="H166" t="str">
        <v>9fed28b3-82cf-4afa-8e8d-952adf7a54a5</v>
      </c>
      <c r="I166" t="str">
        <v/>
      </c>
      <c r="L166" t="str">
        <v/>
      </c>
    </row>
    <row r="167" spans="1:12" x14ac:dyDescent="0.25">
      <c r="A167" t="str">
        <v>7ECC8BC0-1DD0-48FB-A138-1AB2CF5C27E8</v>
      </c>
      <c r="B167" t="str">
        <v>3D0B2E19-A7F7-45A1-A329-05C7D5F99C8A</v>
      </c>
      <c r="C167" t="str">
        <v>Compressors 1</v>
      </c>
      <c r="D167" t="str">
        <v>FEA4B88F-633F-4422-B3D6-250792A2DA80</v>
      </c>
      <c r="E167" t="str">
        <v>2020-02-17</v>
      </c>
      <c r="F167" s="4">
        <v>25200</v>
      </c>
      <c r="G167" t="str">
        <v>0790fb09-2de6-4ea3-a71c-58a007fc62a8</v>
      </c>
      <c r="H167" t="str">
        <v>9fed28b3-82cf-4afa-8e8d-952adf7a54a5</v>
      </c>
      <c r="I167" t="str">
        <v/>
      </c>
      <c r="L167" t="str">
        <v/>
      </c>
    </row>
    <row r="168" spans="1:12" x14ac:dyDescent="0.25">
      <c r="A168" t="str">
        <v>80817F8D-6F07-4AD5-9A74-C277FDF4687E</v>
      </c>
      <c r="B168" t="str">
        <v>3D0B2E19-A7F7-45A1-A329-05C7D5F99C8A</v>
      </c>
      <c r="C168" t="str">
        <v>Compressor Instalation</v>
      </c>
      <c r="D168" t="str">
        <v>FEA4B88F-633F-4422-B3D6-250792A2DA80</v>
      </c>
      <c r="E168" t="str">
        <v>2020-06-23</v>
      </c>
      <c r="F168" s="4">
        <v>6800</v>
      </c>
      <c r="G168" t="str">
        <v>5a2d799d-22a1-4e0a-b029-8031a1df6d56</v>
      </c>
      <c r="H168" t="str">
        <v>9fed28b3-82cf-4afa-8e8d-952adf7a54a5</v>
      </c>
      <c r="I168" t="str">
        <v/>
      </c>
      <c r="L168" t="str">
        <v/>
      </c>
    </row>
    <row r="169" spans="1:12" x14ac:dyDescent="0.25">
      <c r="A169" t="str">
        <v>4AED96E0-DB8E-4BF0-A866-B7492408CD65</v>
      </c>
      <c r="B169" t="str">
        <v>CA4BC010-5210-4004-9D64-42DE442CC571</v>
      </c>
      <c r="C169" t="str">
        <v>Mitsubishi Splits</v>
      </c>
      <c r="D169" t="str">
        <v>FEA4B88F-633F-4422-B3D6-250792A2DA80</v>
      </c>
      <c r="E169" t="str">
        <v>2020-03-12</v>
      </c>
      <c r="F169" s="4">
        <v>22240</v>
      </c>
      <c r="G169" t="str">
        <v>5a2d799d-22a1-4e0a-b029-8031a1df6d56</v>
      </c>
      <c r="H169" t="str">
        <v>9fed28b3-82cf-4afa-8e8d-952adf7a54a5</v>
      </c>
      <c r="I169" t="str">
        <v/>
      </c>
      <c r="L169" t="str">
        <v/>
      </c>
    </row>
    <row r="170" spans="1:12" x14ac:dyDescent="0.25">
      <c r="A170" t="str">
        <v>277C4480-EA4D-4C16-A668-709C6572DBCC</v>
      </c>
      <c r="B170" t="str">
        <v>26DD56C7-5751-4761-A491-772703E8B7AC</v>
      </c>
      <c r="C170" t="str">
        <v>Hilton Service Parts</v>
      </c>
      <c r="D170" t="str">
        <v>FEA4B88F-633F-4422-B3D6-250792A2DA80</v>
      </c>
      <c r="E170" t="str">
        <v>2020-08-19</v>
      </c>
      <c r="F170" s="4">
        <v>7350</v>
      </c>
      <c r="G170" t="str">
        <v>0790fb09-2de6-4ea3-a71c-58a007fc62a8</v>
      </c>
      <c r="H170" t="str">
        <v>9fed28b3-82cf-4afa-8e8d-952adf7a54a5</v>
      </c>
      <c r="I170" t="str">
        <v>1 6 30 1468</v>
      </c>
      <c r="L170" t="str">
        <v/>
      </c>
    </row>
    <row r="171" spans="1:12" x14ac:dyDescent="0.25">
      <c r="A171" t="str">
        <v>C226202D-D865-4E63-9FE3-33CA85B0E1BB</v>
      </c>
      <c r="B171" t="str">
        <v>3D0B2E19-A7F7-45A1-A329-05C7D5F99C8A</v>
      </c>
      <c r="C171" t="str">
        <v>Filter supply and compresor change service</v>
      </c>
      <c r="D171" t="str">
        <v>FEA4B88F-633F-4422-B3D6-250792A2DA80</v>
      </c>
      <c r="E171" t="str">
        <v>2020-09-10</v>
      </c>
      <c r="F171" s="4">
        <v>1150</v>
      </c>
      <c r="G171" t="str">
        <v>5a2d799d-22a1-4e0a-b029-8031a1df6d56</v>
      </c>
      <c r="H171" t="str">
        <v>9fed28b3-82cf-4afa-8e8d-952adf7a54a5</v>
      </c>
      <c r="I171" t="str">
        <v/>
      </c>
      <c r="L171" t="str">
        <v/>
      </c>
    </row>
    <row r="172" spans="1:12" x14ac:dyDescent="0.25">
      <c r="A172" t="str">
        <v>DC08644F-DC8A-4F5C-ADDE-5987253058B1</v>
      </c>
      <c r="B172" t="str">
        <v>A19DBE70-93E6-453B-840F-63A4C42291DC</v>
      </c>
      <c r="C172" t="str">
        <v>Conditioners</v>
      </c>
      <c r="D172" t="str">
        <v>FEA4B88F-633F-4422-B3D6-250792A2DA80</v>
      </c>
      <c r="E172" t="str">
        <v>2020-09-17</v>
      </c>
      <c r="F172" s="4">
        <v>6000</v>
      </c>
      <c r="G172" t="str">
        <v>5a2d799d-22a1-4e0a-b029-8031a1df6d56</v>
      </c>
      <c r="H172" t="str">
        <v>9fed28b3-82cf-4afa-8e8d-952adf7a54a5</v>
      </c>
      <c r="I172" t="str">
        <v/>
      </c>
      <c r="L172" t="str">
        <v/>
      </c>
    </row>
    <row r="173" spans="1:12" x14ac:dyDescent="0.25">
      <c r="A173" t="str">
        <v>D5F86A85-FBA6-4AF8-8441-B10F49E9FD59</v>
      </c>
      <c r="B173" t="str">
        <v>331D7AD9-06E8-4967-9C77-692788BBAD6D</v>
      </c>
      <c r="C173" t="str">
        <v>INVERTER COOLING FAN</v>
      </c>
      <c r="D173" t="str">
        <v>FEA4B88F-633F-4422-B3D6-250792A2DA80</v>
      </c>
      <c r="E173" t="str">
        <v>2020-08-20</v>
      </c>
      <c r="F173" s="4">
        <v>824</v>
      </c>
      <c r="G173" t="str">
        <v>4cfda3f2-535e-4b77-a467-eac9dc64feca</v>
      </c>
      <c r="H173" t="str">
        <v>9fed28b3-82cf-4afa-8e8d-952adf7a54a5</v>
      </c>
      <c r="I173" t="str">
        <v/>
      </c>
      <c r="L173" t="str">
        <v/>
      </c>
    </row>
    <row r="174" spans="1:12" x14ac:dyDescent="0.25">
      <c r="A174" t="str">
        <v>219F1651-BC31-4FFE-9F29-616243FFA049</v>
      </c>
      <c r="B174" t="str">
        <v>43EABC78-AF64-4C14-9FEF-C7E6A1B6F07E</v>
      </c>
      <c r="C174" t="str">
        <v>7Sky VRV Mockup</v>
      </c>
      <c r="D174" t="str">
        <v>FEA4B88F-633F-4422-B3D6-250792A2DA80</v>
      </c>
      <c r="E174" t="str">
        <v>2020-09-21</v>
      </c>
      <c r="F174" s="4">
        <v>2458.27</v>
      </c>
      <c r="G174" t="str">
        <v>0790fb09-2de6-4ea3-a71c-58a007fc62a8</v>
      </c>
      <c r="H174" t="str">
        <v>9fed28b3-82cf-4afa-8e8d-952adf7a54a5</v>
      </c>
      <c r="I174" t="str">
        <v/>
      </c>
      <c r="L174" t="str">
        <v/>
      </c>
    </row>
    <row r="175" spans="1:12" x14ac:dyDescent="0.25">
      <c r="A175" t="str">
        <v>3D160DBA-BCB2-4A49-833B-E00DCC93BDBB</v>
      </c>
      <c r="B175" t="str">
        <v>3D0B2E19-A7F7-45A1-A329-05C7D5F99C8A</v>
      </c>
      <c r="C175" t="str">
        <v>Compressors 2</v>
      </c>
      <c r="D175" t="str">
        <v>FEA4B88F-633F-4422-B3D6-250792A2DA80</v>
      </c>
      <c r="E175" t="str">
        <v>2020-09-17</v>
      </c>
      <c r="F175" s="4">
        <v>12410</v>
      </c>
      <c r="G175" t="str">
        <v>0790fb09-2de6-4ea3-a71c-58a007fc62a8</v>
      </c>
      <c r="H175" t="str">
        <v>9fed28b3-82cf-4afa-8e8d-952adf7a54a5</v>
      </c>
      <c r="I175" t="str">
        <v/>
      </c>
      <c r="L175" t="str">
        <v/>
      </c>
    </row>
    <row r="176" spans="1:12" x14ac:dyDescent="0.25">
      <c r="A176" t="str">
        <v>ADDF5F3A-4117-410E-8C74-7B4CA5FF0D04</v>
      </c>
      <c r="B176" t="str">
        <v>26DD56C7-5751-4761-A491-772703E8B7AC</v>
      </c>
      <c r="C176" t="str">
        <v>Hilton Batumi VRF</v>
      </c>
      <c r="D176" t="str">
        <v>B5CAA716-CA9B-47D4-85D4-9954ED4DBAD2</v>
      </c>
      <c r="E176" t="str">
        <v>2020-09-28</v>
      </c>
      <c r="F176" s="4">
        <v>7600</v>
      </c>
      <c r="G176" t="str">
        <v>5a2d799d-22a1-4e0a-b029-8031a1df6d56</v>
      </c>
      <c r="H176" t="str">
        <v>9fed28b3-82cf-4afa-8e8d-952adf7a54a5</v>
      </c>
      <c r="I176" t="str">
        <v>1 6 31 1468</v>
      </c>
      <c r="L176" t="str">
        <v/>
      </c>
    </row>
    <row r="177" spans="1:12" x14ac:dyDescent="0.25">
      <c r="A177" t="str">
        <v>021FDEF2-6CB7-4CA2-BB7A-C2591856FA4B</v>
      </c>
      <c r="B177" t="str">
        <v>9B21D54A-56D8-405D-95E2-A05872C7C1E9</v>
      </c>
      <c r="C177" t="str">
        <v>Rustavi MIA</v>
      </c>
      <c r="D177" t="str">
        <v>B59170EC-16CC-499A-9FF7-0428DCB8F727</v>
      </c>
      <c r="E177" t="str">
        <v>2020-08-17</v>
      </c>
      <c r="F177" s="4">
        <v>65300</v>
      </c>
      <c r="G177" t="str">
        <v>0790fb09-2de6-4ea3-a71c-58a007fc62a8</v>
      </c>
      <c r="H177" t="str">
        <v>9fed28b3-82cf-4afa-8e8d-952adf7a54a5</v>
      </c>
      <c r="I177" t="str">
        <v>1 6 30 1235</v>
      </c>
      <c r="L177" t="str">
        <v/>
      </c>
    </row>
    <row r="178" spans="1:12" x14ac:dyDescent="0.25">
      <c r="A178" t="str">
        <v>8852C85C-3176-4651-BCBB-8585B2842C8C</v>
      </c>
      <c r="B178" t="str">
        <v>B4968862-3843-414D-9E73-1A7611618B41</v>
      </c>
      <c r="C178" t="str">
        <v>Unix Marselle 2</v>
      </c>
      <c r="D178" t="str">
        <v>12238130-9D12-4099-A48B-9EB5A085E0F8</v>
      </c>
      <c r="E178" t="str">
        <v>2020-09-28</v>
      </c>
      <c r="F178" s="4">
        <v>800</v>
      </c>
      <c r="G178" t="str">
        <v>0790fb09-2de6-4ea3-a71c-58a007fc62a8</v>
      </c>
      <c r="H178" t="str">
        <v>9fed28b3-82cf-4afa-8e8d-952adf7a54a5</v>
      </c>
      <c r="I178" t="str">
        <v/>
      </c>
      <c r="L178" t="str">
        <v/>
      </c>
    </row>
    <row r="179" spans="1:12" x14ac:dyDescent="0.25">
      <c r="A179" t="str">
        <v>69A7700F-3EF5-4F71-A2F8-6FB637C08F41</v>
      </c>
      <c r="B179" t="str">
        <v>43EABC78-AF64-4C14-9FEF-C7E6A1B6F07E</v>
      </c>
      <c r="C179" t="str">
        <v>Meppers Hilton Garden Inn Carrier</v>
      </c>
      <c r="D179" t="str">
        <v>FEA4B88F-633F-4422-B3D6-250792A2DA80</v>
      </c>
      <c r="E179" t="str">
        <v>2020-10-01</v>
      </c>
      <c r="F179" s="4">
        <v>51684.38</v>
      </c>
      <c r="G179" t="str">
        <v>4cfda3f2-535e-4b77-a467-eac9dc64feca</v>
      </c>
      <c r="H179" t="str">
        <v>9fed28b3-82cf-4afa-8e8d-952adf7a54a5</v>
      </c>
      <c r="I179" t="str">
        <v/>
      </c>
      <c r="L179" t="str">
        <v/>
      </c>
    </row>
    <row r="180" spans="1:12" x14ac:dyDescent="0.25">
      <c r="A180" t="str">
        <v>BF9B0807-4D4F-4465-85FF-3ACBB87B2A78</v>
      </c>
      <c r="B180" t="str">
        <v>26DD56C7-5751-4761-A491-772703E8B7AC</v>
      </c>
      <c r="C180" t="str">
        <v>Inspection</v>
      </c>
      <c r="D180" t="str">
        <v>12238130-9D12-4099-A48B-9EB5A085E0F8</v>
      </c>
      <c r="E180" t="str">
        <v>2020-06-16</v>
      </c>
      <c r="F180" s="4">
        <v>600</v>
      </c>
      <c r="G180" t="str">
        <v>5a2d799d-22a1-4e0a-b029-8031a1df6d56</v>
      </c>
      <c r="H180" t="str">
        <v>9fed28b3-82cf-4afa-8e8d-952adf7a54a5</v>
      </c>
      <c r="I180" t="str">
        <v/>
      </c>
      <c r="L180" t="str">
        <v/>
      </c>
    </row>
    <row r="181" spans="1:12" x14ac:dyDescent="0.25">
      <c r="A181" t="str">
        <v>366DF48D-B7A6-4A58-AE2E-49272461E869</v>
      </c>
      <c r="B181" t="str">
        <v>416473B3-5E1E-4C7E-9FF8-71C38522F082</v>
      </c>
      <c r="C181" t="str">
        <v>Gazapkhuli</v>
      </c>
      <c r="D181" t="str">
        <v>B59170EC-16CC-499A-9FF7-0428DCB8F727</v>
      </c>
      <c r="E181" t="str">
        <v>2019-02-22</v>
      </c>
      <c r="F181" s="4">
        <v>31350</v>
      </c>
      <c r="G181" t="str">
        <v>0790fb09-2de6-4ea3-a71c-58a007fc62a8</v>
      </c>
      <c r="H181" t="str">
        <v>9fed28b3-82cf-4afa-8e8d-952adf7a54a5</v>
      </c>
      <c r="I181" t="str">
        <v/>
      </c>
      <c r="L181" t="str">
        <v/>
      </c>
    </row>
    <row r="182" spans="1:12" x14ac:dyDescent="0.25">
      <c r="A182" t="str">
        <v>9B64AD53-7BFE-490F-8DA4-BF87DF5FA6AE</v>
      </c>
      <c r="B182" t="str">
        <v>4379200F-9E1B-4867-A33B-C7040FC48CF9</v>
      </c>
      <c r="C182" t="str">
        <v xml:space="preserve">Stela  </v>
      </c>
      <c r="D182" t="str">
        <v>FEA4B88F-633F-4422-B3D6-250792A2DA80</v>
      </c>
      <c r="E182" t="str">
        <v>2020-09-25</v>
      </c>
      <c r="F182" s="4">
        <v>5700</v>
      </c>
      <c r="G182" t="str">
        <v>0790fb09-2de6-4ea3-a71c-58a007fc62a8</v>
      </c>
      <c r="H182" t="str">
        <v>9fed28b3-82cf-4afa-8e8d-952adf7a54a5</v>
      </c>
      <c r="I182" t="str">
        <v/>
      </c>
      <c r="L182" t="str">
        <v/>
      </c>
    </row>
    <row r="183" spans="1:12" x14ac:dyDescent="0.25">
      <c r="A183" t="str">
        <v>A00BF232-E4D4-40B5-88AD-806BDD7C6014</v>
      </c>
      <c r="B183" t="str">
        <v>A19DBE70-93E6-453B-840F-63A4C42291DC</v>
      </c>
      <c r="C183" t="str">
        <v>SRK45ZSP-S/SRC45ZSP-S</v>
      </c>
      <c r="D183" t="str">
        <v>FEA4B88F-633F-4422-B3D6-250792A2DA80</v>
      </c>
      <c r="E183" t="str">
        <v>2020-10-10</v>
      </c>
      <c r="F183" s="4">
        <v>2260</v>
      </c>
      <c r="G183" t="str">
        <v>5a2d799d-22a1-4e0a-b029-8031a1df6d56</v>
      </c>
      <c r="H183" t="str">
        <v>9fed28b3-82cf-4afa-8e8d-952adf7a54a5</v>
      </c>
      <c r="I183" t="str">
        <v/>
      </c>
      <c r="L183" t="str">
        <v/>
      </c>
    </row>
    <row r="184" spans="1:12" x14ac:dyDescent="0.25">
      <c r="A184" t="str">
        <v>49335194-4507-4C89-82FE-FAE37CAA6EE3</v>
      </c>
      <c r="B184" t="str">
        <v>A71E107A-D0C2-4155-83C0-22DCD22BD19F</v>
      </c>
      <c r="C184" t="str">
        <v>Thermoroom 2 units</v>
      </c>
      <c r="D184" t="str">
        <v>FEA4B88F-633F-4422-B3D6-250792A2DA80</v>
      </c>
      <c r="E184" t="str">
        <v>2020-10-13</v>
      </c>
      <c r="F184" s="4">
        <v>2640</v>
      </c>
      <c r="G184" t="str">
        <v>5a2d799d-22a1-4e0a-b029-8031a1df6d56</v>
      </c>
      <c r="H184" t="str">
        <v>9fed28b3-82cf-4afa-8e8d-952adf7a54a5</v>
      </c>
      <c r="I184" t="str">
        <v/>
      </c>
      <c r="L184" t="str">
        <v/>
      </c>
    </row>
    <row r="185" spans="1:12" x14ac:dyDescent="0.25">
      <c r="A185" t="str">
        <v>080B0609-8AC5-4A35-8F67-C1E8D392E2F5</v>
      </c>
      <c r="B185" t="str">
        <v>696DFC2F-EC38-4D1F-8A79-4F37B31F4535</v>
      </c>
      <c r="C185" t="str">
        <v>Conditioners</v>
      </c>
      <c r="D185" t="str">
        <v>FEA4B88F-633F-4422-B3D6-250792A2DA80</v>
      </c>
      <c r="E185" t="str">
        <v>2020-10-12</v>
      </c>
      <c r="F185" s="4">
        <v>10420</v>
      </c>
      <c r="G185" t="str">
        <v>5a2d799d-22a1-4e0a-b029-8031a1df6d56</v>
      </c>
      <c r="H185" t="str">
        <v>9fed28b3-82cf-4afa-8e8d-952adf7a54a5</v>
      </c>
      <c r="I185" t="str">
        <v>1 6 30 1511</v>
      </c>
      <c r="L185" t="str">
        <v/>
      </c>
    </row>
    <row r="186" spans="1:12" x14ac:dyDescent="0.25">
      <c r="A186" t="str">
        <v>3BE4829E-44A4-47CD-BE63-C250C40D1B55</v>
      </c>
      <c r="B186" t="str">
        <v>7F4998D7-42F1-45ED-9C10-DE5599AB161A</v>
      </c>
      <c r="C186" t="str">
        <v>Sunrise Batumi</v>
      </c>
      <c r="D186" t="str">
        <v>B59170EC-16CC-499A-9FF7-0428DCB8F727</v>
      </c>
      <c r="E186" t="str">
        <v>2020-10-14</v>
      </c>
      <c r="F186" s="4">
        <v>449870</v>
      </c>
      <c r="G186" t="str">
        <v>0790fb09-2de6-4ea3-a71c-58a007fc62a8</v>
      </c>
      <c r="H186" t="str">
        <v>9fed28b3-82cf-4afa-8e8d-952adf7a54a5</v>
      </c>
      <c r="I186" t="str">
        <v>1 6 30 1514</v>
      </c>
      <c r="L186" t="str">
        <v>A26DCE96-C08F-453E-9E26-10AAF72D142A</v>
      </c>
    </row>
    <row r="187" spans="1:12" x14ac:dyDescent="0.25">
      <c r="A187" t="str">
        <v>13EE18BD-CCE4-4A46-9493-F970255E5A5C</v>
      </c>
      <c r="B187" t="str">
        <v>19521391-5237-486E-B9F6-C4529F6D8E1D</v>
      </c>
      <c r="C187" t="str">
        <v>Jikia house</v>
      </c>
      <c r="D187" t="str">
        <v>FEA4B88F-633F-4422-B3D6-250792A2DA80</v>
      </c>
      <c r="E187" t="str">
        <v>2020-10-23</v>
      </c>
      <c r="F187" s="4">
        <v>2720</v>
      </c>
      <c r="G187" t="str">
        <v>5a2d799d-22a1-4e0a-b029-8031a1df6d56</v>
      </c>
      <c r="H187" t="str">
        <v>9fed28b3-82cf-4afa-8e8d-952adf7a54a5</v>
      </c>
      <c r="I187" t="str">
        <v/>
      </c>
      <c r="L187" t="str">
        <v/>
      </c>
    </row>
    <row r="188" spans="1:12" x14ac:dyDescent="0.25">
      <c r="A188" t="str">
        <v>A7467957-6D0F-46F0-9188-0491DD97F3F8</v>
      </c>
      <c r="B188" t="str">
        <v>D239BCA7-C0E0-431B-8055-6778FA312A38</v>
      </c>
      <c r="C188" t="str">
        <v>Paata House Splits</v>
      </c>
      <c r="D188" t="str">
        <v>FEA4B88F-633F-4422-B3D6-250792A2DA80</v>
      </c>
      <c r="E188" t="str">
        <v>2020-10-23</v>
      </c>
      <c r="F188" s="4">
        <v>5670</v>
      </c>
      <c r="G188" t="str">
        <v>5a2d799d-22a1-4e0a-b029-8031a1df6d56</v>
      </c>
      <c r="H188" t="str">
        <v>9fed28b3-82cf-4afa-8e8d-952adf7a54a5</v>
      </c>
      <c r="I188" t="str">
        <v/>
      </c>
      <c r="L188" t="str">
        <v/>
      </c>
    </row>
    <row r="189" spans="1:12" x14ac:dyDescent="0.25">
      <c r="A189" t="str">
        <v>F0412171-41C0-4B65-A228-D0B169A59F36</v>
      </c>
      <c r="B189" t="str">
        <v>726D9023-53A2-435E-8A5B-8BCEA9625E08</v>
      </c>
      <c r="C189" t="str">
        <v>Mitsubishi Split Conditioners</v>
      </c>
      <c r="D189" t="str">
        <v>FEA4B88F-633F-4422-B3D6-250792A2DA80</v>
      </c>
      <c r="E189" t="str">
        <v>2020-10-16</v>
      </c>
      <c r="F189" s="4">
        <v>7320</v>
      </c>
      <c r="G189" t="str">
        <v>5a2d799d-22a1-4e0a-b029-8031a1df6d56</v>
      </c>
      <c r="H189" t="str">
        <v>9fed28b3-82cf-4afa-8e8d-952adf7a54a5</v>
      </c>
      <c r="I189" t="str">
        <v/>
      </c>
      <c r="L189" t="str">
        <v>401318CA-BF39-49C3-9BDC-73836A8F9774</v>
      </c>
    </row>
    <row r="190" spans="1:12" x14ac:dyDescent="0.25">
      <c r="A190" t="str">
        <v>53F2A0EF-69DE-4231-8647-BE271EAFF618</v>
      </c>
      <c r="B190" t="str">
        <v>AEF33ADC-D3E1-4F29-9C04-1D160C138FDE</v>
      </c>
      <c r="C190" t="str">
        <v>Poti Port Service</v>
      </c>
      <c r="D190" t="str">
        <v>B5CAA716-CA9B-47D4-85D4-9954ED4DBAD2</v>
      </c>
      <c r="E190" t="str">
        <v>2020-09-04</v>
      </c>
      <c r="F190" s="4">
        <v>2000</v>
      </c>
      <c r="G190" t="str">
        <v>4cfda3f2-535e-4b77-a467-eac9dc64feca</v>
      </c>
      <c r="H190" t="str">
        <v>9fed28b3-82cf-4afa-8e8d-952adf7a54a5</v>
      </c>
      <c r="I190" t="str">
        <v/>
      </c>
      <c r="L190" t="str">
        <v>C309CB7C-404D-431A-A8FB-29671DCA0C49</v>
      </c>
    </row>
    <row r="191" spans="1:12" x14ac:dyDescent="0.25">
      <c r="A191" t="str">
        <v>B57F44DA-173F-4982-82AE-21A306C2B22E</v>
      </c>
      <c r="B191" t="str">
        <v>20FABFF1-1BAC-4741-A729-99202DDDFDD7</v>
      </c>
      <c r="C191" t="str">
        <v>MHI Conditioner</v>
      </c>
      <c r="D191" t="str">
        <v>FEA4B88F-633F-4422-B3D6-250792A2DA80</v>
      </c>
      <c r="E191" t="str">
        <v>2019-11-29</v>
      </c>
      <c r="F191" s="4">
        <v>1180</v>
      </c>
      <c r="G191" t="str">
        <v>5a2d799d-22a1-4e0a-b029-8031a1df6d56</v>
      </c>
      <c r="H191" t="str">
        <v>9fed28b3-82cf-4afa-8e8d-952adf7a54a5</v>
      </c>
      <c r="I191" t="str">
        <v/>
      </c>
      <c r="L191" t="str">
        <v>401318CA-BF39-49C3-9BDC-73836A8F9774</v>
      </c>
    </row>
    <row r="192" spans="1:12" x14ac:dyDescent="0.25">
      <c r="A192" t="str">
        <v>7370930E-DC0D-46C9-B0E3-571BCB140D9A</v>
      </c>
      <c r="B192" t="str">
        <v>696DFC2F-EC38-4D1F-8A79-4F37B31F4535</v>
      </c>
      <c r="C192" t="str">
        <v>Split Mitsubishi Conditioners (R410A)</v>
      </c>
      <c r="D192" t="str">
        <v>FEA4B88F-633F-4422-B3D6-250792A2DA80</v>
      </c>
      <c r="E192" t="str">
        <v>2020-10-12</v>
      </c>
      <c r="F192" s="4">
        <v>10420</v>
      </c>
      <c r="G192" t="str">
        <v>5a2d799d-22a1-4e0a-b029-8031a1df6d56</v>
      </c>
      <c r="H192" t="str">
        <v>9fed28b3-82cf-4afa-8e8d-952adf7a54a5</v>
      </c>
      <c r="I192" t="str">
        <v/>
      </c>
      <c r="L192" t="str">
        <v>83F0C711-34F6-45B3-A1ED-F85548418822</v>
      </c>
    </row>
    <row r="193" spans="1:12" x14ac:dyDescent="0.25">
      <c r="A193" t="str">
        <v>3DA92B0D-9FFF-4B92-AA85-26D103A4E032</v>
      </c>
      <c r="B193" t="str">
        <v>1D6C190E-3037-4435-BF28-B1D43DC3432D</v>
      </c>
      <c r="C193" t="str">
        <v>N2 lift service</v>
      </c>
      <c r="D193" t="str">
        <v>C491BFF3-6F7B-4412-9DF0-EAED6F3EE238</v>
      </c>
      <c r="E193" t="str">
        <v>2020-10-26</v>
      </c>
      <c r="F193" s="4">
        <v>200</v>
      </c>
      <c r="G193" t="str">
        <v>5a2d799d-22a1-4e0a-b029-8031a1df6d56</v>
      </c>
      <c r="H193" t="str">
        <v>9fed28b3-82cf-4afa-8e8d-952adf7a54a5</v>
      </c>
      <c r="I193" t="str">
        <v>1 6 31 4 1</v>
      </c>
      <c r="L193" t="str">
        <v>A4E9EDC7-B81F-4483-9069-A7790AEBE4FA</v>
      </c>
    </row>
    <row r="194" spans="1:12" x14ac:dyDescent="0.25">
      <c r="A194" t="str">
        <v>6EB56C6C-4342-4259-AAE1-743464C025C5</v>
      </c>
      <c r="B194" t="str">
        <v>967D325E-9818-4D9E-8716-3D66A117AF42</v>
      </c>
      <c r="C194" t="str">
        <v>Beach Tower Trouble</v>
      </c>
      <c r="D194" t="str">
        <v>FEA4B88F-633F-4422-B3D6-250792A2DA80</v>
      </c>
      <c r="E194" t="str">
        <v>2020-10-28</v>
      </c>
      <c r="F194" s="4">
        <v>3849</v>
      </c>
      <c r="G194" t="str">
        <v>5a2d799d-22a1-4e0a-b029-8031a1df6d56</v>
      </c>
      <c r="H194" t="str">
        <v>9fed28b3-82cf-4afa-8e8d-952adf7a54a5</v>
      </c>
      <c r="I194" t="str">
        <v/>
      </c>
      <c r="L194" t="str">
        <v>C309CB7C-404D-431A-A8FB-29671DCA0C49</v>
      </c>
    </row>
    <row r="195" spans="1:12" x14ac:dyDescent="0.25">
      <c r="A195" t="str">
        <v>E102A3D1-524E-4AAD-BC96-81D60D75A4A3</v>
      </c>
      <c r="B195" t="str">
        <v>9729C88B-F3C5-441A-8782-0656302A37F2</v>
      </c>
      <c r="C195" t="str">
        <v>Kafelis Saxli</v>
      </c>
      <c r="D195" t="str">
        <v>B59170EC-16CC-499A-9FF7-0428DCB8F727</v>
      </c>
      <c r="E195" t="str">
        <v>2020-09-23</v>
      </c>
      <c r="F195" s="4">
        <v>23000</v>
      </c>
      <c r="G195" t="str">
        <v>0790fb09-2de6-4ea3-a71c-58a007fc62a8</v>
      </c>
      <c r="H195" t="str">
        <v>9fed28b3-82cf-4afa-8e8d-952adf7a54a5</v>
      </c>
      <c r="I195" t="str">
        <v/>
      </c>
      <c r="L195" t="str">
        <v>A26DCE96-C08F-453E-9E26-10AAF72D142A</v>
      </c>
    </row>
    <row r="196" spans="1:12" x14ac:dyDescent="0.25">
      <c r="A196" t="str">
        <v>794560D8-FD88-4918-80C7-C550FDC68ABF</v>
      </c>
      <c r="B196" t="str">
        <v>726D9023-53A2-435E-8A5B-8BCEA9625E08</v>
      </c>
      <c r="C196" t="str">
        <v>Fan Propeller</v>
      </c>
      <c r="D196" t="str">
        <v>FEA4B88F-633F-4422-B3D6-250792A2DA80</v>
      </c>
      <c r="E196" t="str">
        <v>2020-11-05</v>
      </c>
      <c r="F196" s="4">
        <v>1180</v>
      </c>
      <c r="G196" t="str">
        <v>0790fb09-2de6-4ea3-a71c-58a007fc62a8</v>
      </c>
      <c r="H196" t="str">
        <v>9fed28b3-82cf-4afa-8e8d-952adf7a54a5</v>
      </c>
      <c r="I196" t="str">
        <v/>
      </c>
      <c r="L196" t="str">
        <v/>
      </c>
    </row>
    <row r="197" spans="1:12" x14ac:dyDescent="0.25">
      <c r="A197" t="str">
        <v>A7E6C5F8-C8AF-4F4A-8BFD-0891F6EB6546</v>
      </c>
      <c r="B197" t="str">
        <v>A71E107A-D0C2-4155-83C0-22DCD22BD19F</v>
      </c>
      <c r="C197" t="str">
        <v>4 Units RC-EX3</v>
      </c>
      <c r="D197" t="str">
        <v>FEA4B88F-633F-4422-B3D6-250792A2DA80</v>
      </c>
      <c r="E197" t="str">
        <v>2020-10-22</v>
      </c>
      <c r="F197" s="4">
        <v>500</v>
      </c>
      <c r="G197" t="str">
        <v>0790fb09-2de6-4ea3-a71c-58a007fc62a8</v>
      </c>
      <c r="H197" t="str">
        <v>9fed28b3-82cf-4afa-8e8d-952adf7a54a5</v>
      </c>
      <c r="I197" t="str">
        <v/>
      </c>
      <c r="L197" t="str">
        <v>C309CB7C-404D-431A-A8FB-29671DCA0C49</v>
      </c>
    </row>
    <row r="198" spans="1:12" x14ac:dyDescent="0.25">
      <c r="A198" t="str">
        <v>D2404F8C-8F50-4DAC-8C2E-26552253D955</v>
      </c>
      <c r="B198" t="str">
        <v>A71E107A-D0C2-4155-83C0-22DCD22BD19F</v>
      </c>
      <c r="C198" t="str">
        <v>3 MHI SPLITS</v>
      </c>
      <c r="D198" t="str">
        <v>FEA4B88F-633F-4422-B3D6-250792A2DA80</v>
      </c>
      <c r="E198" t="str">
        <v>2020-11-17</v>
      </c>
      <c r="F198" s="4">
        <v>5500</v>
      </c>
      <c r="G198" t="str">
        <v>5a2d799d-22a1-4e0a-b029-8031a1df6d56</v>
      </c>
      <c r="H198" t="str">
        <v>9fed28b3-82cf-4afa-8e8d-952adf7a54a5</v>
      </c>
      <c r="I198" t="str">
        <v/>
      </c>
      <c r="L198" t="str">
        <v>83F0C711-34F6-45B3-A1ED-F85548418822</v>
      </c>
    </row>
    <row r="199" spans="1:12" x14ac:dyDescent="0.25">
      <c r="A199" t="str">
        <v>8E720888-0071-44CA-8FB6-008DB71626F0</v>
      </c>
      <c r="B199" t="str">
        <v>F178344C-B538-493A-91F1-E50A67F53023</v>
      </c>
      <c r="C199" t="str">
        <v>Compressor</v>
      </c>
      <c r="D199" t="str">
        <v>FEA4B88F-633F-4422-B3D6-250792A2DA80</v>
      </c>
      <c r="E199" t="str">
        <v>2020-11-16</v>
      </c>
      <c r="F199" s="4">
        <v>3965</v>
      </c>
      <c r="G199" t="str">
        <v>0790fb09-2de6-4ea3-a71c-58a007fc62a8</v>
      </c>
      <c r="H199" t="str">
        <v>9fed28b3-82cf-4afa-8e8d-952adf7a54a5</v>
      </c>
      <c r="I199" t="str">
        <v/>
      </c>
      <c r="L199" t="str">
        <v>C309CB7C-404D-431A-A8FB-29671DCA0C49</v>
      </c>
    </row>
    <row r="200" spans="1:12" x14ac:dyDescent="0.25">
      <c r="A200" t="str">
        <v>B4B4F708-0972-42BD-817C-C52BAA10AEF0</v>
      </c>
      <c r="B200" t="str">
        <v>A71E107A-D0C2-4155-83C0-22DCD22BD19F</v>
      </c>
      <c r="C200" t="str">
        <v>PU Ducts</v>
      </c>
      <c r="D200" t="str">
        <v>FEA4B88F-633F-4422-B3D6-250792A2DA80</v>
      </c>
      <c r="E200" t="str">
        <v>2020-11-03</v>
      </c>
      <c r="F200" s="4">
        <v>14728.5</v>
      </c>
      <c r="G200" t="str">
        <v>5a2d799d-22a1-4e0a-b029-8031a1df6d56</v>
      </c>
      <c r="H200" t="str">
        <v>9fed28b3-82cf-4afa-8e8d-952adf7a54a5</v>
      </c>
      <c r="I200" t="str">
        <v/>
      </c>
      <c r="L200" t="str">
        <v/>
      </c>
    </row>
    <row r="201" spans="1:12" x14ac:dyDescent="0.25">
      <c r="A201" t="str">
        <v>2B68759A-5E01-4B6C-B9D8-86B509BD73AF</v>
      </c>
      <c r="B201" t="str">
        <v>90293CD0-6262-4F6E-9B52-E8D909232966</v>
      </c>
      <c r="C201" t="str">
        <v>Orbi Spa</v>
      </c>
      <c r="D201" t="str">
        <v>B59170EC-16CC-499A-9FF7-0428DCB8F727</v>
      </c>
      <c r="E201" t="str">
        <v>2020-10-08</v>
      </c>
      <c r="F201" s="4">
        <v>6000</v>
      </c>
      <c r="G201" t="str">
        <v>5a2d799d-22a1-4e0a-b029-8031a1df6d56</v>
      </c>
      <c r="H201" t="str">
        <v>9fed28b3-82cf-4afa-8e8d-952adf7a54a5</v>
      </c>
      <c r="I201" t="str">
        <v>1 6 30 998 2</v>
      </c>
      <c r="L201" t="str">
        <v/>
      </c>
    </row>
    <row r="202" spans="1:12" x14ac:dyDescent="0.25">
      <c r="A202" t="str">
        <v>C5AC07F9-352A-4364-B700-7E1101AC0852</v>
      </c>
      <c r="B202" t="str">
        <v>2A55DEBB-261B-4CE9-BAE4-296DDEA037AB</v>
      </c>
      <c r="C202" t="str">
        <v>ICE - Gazapkhuli Stock</v>
      </c>
      <c r="D202" t="str">
        <v>B59170EC-16CC-499A-9FF7-0428DCB8F727</v>
      </c>
      <c r="E202" t="str">
        <v>2020-12-18</v>
      </c>
      <c r="F202" s="4">
        <v>1</v>
      </c>
      <c r="G202" t="str">
        <v>5a2d799d-22a1-4e0a-b029-8031a1df6d56</v>
      </c>
      <c r="H202" t="str">
        <v>9fed28b3-82cf-4afa-8e8d-952adf7a54a5</v>
      </c>
      <c r="I202" t="str">
        <v>1_6 _20</v>
      </c>
      <c r="L202" t="str">
        <v/>
      </c>
    </row>
    <row r="203" spans="1:12" x14ac:dyDescent="0.25">
      <c r="A203" t="str">
        <v>7BF44D02-B0DC-4C8A-B073-3AF38B2CF72C</v>
      </c>
      <c r="B203" t="str">
        <v>D239BCA7-C0E0-431B-8055-6778FA312A38</v>
      </c>
      <c r="C203" t="str">
        <v xml:space="preserve">Paata House Thermostats </v>
      </c>
      <c r="D203" t="str">
        <v>FEA4B88F-633F-4422-B3D6-250792A2DA80</v>
      </c>
      <c r="E203" t="str">
        <v>2020-12-18</v>
      </c>
      <c r="F203" s="4">
        <v>800</v>
      </c>
      <c r="G203" t="str">
        <v>0790fb09-2de6-4ea3-a71c-58a007fc62a8</v>
      </c>
      <c r="H203" t="str">
        <v>9fed28b3-82cf-4afa-8e8d-952adf7a54a5</v>
      </c>
      <c r="I203" t="str">
        <v/>
      </c>
      <c r="L203" t="str">
        <v/>
      </c>
    </row>
    <row r="204" spans="1:12" x14ac:dyDescent="0.25">
      <c r="A204" t="str">
        <v>EDF87557-DF6E-4E04-9A90-23496F0293C8</v>
      </c>
      <c r="B204" t="str">
        <v>726D9023-53A2-435E-8A5B-8BCEA9625E08</v>
      </c>
      <c r="C204" t="str">
        <v>Ford Center Propeler Motor</v>
      </c>
      <c r="D204" t="str">
        <v>FEA4B88F-633F-4422-B3D6-250792A2DA80</v>
      </c>
      <c r="E204" t="str">
        <v>2020-11-19</v>
      </c>
      <c r="F204" s="4">
        <v>1735</v>
      </c>
      <c r="G204" t="str">
        <v>0790fb09-2de6-4ea3-a71c-58a007fc62a8</v>
      </c>
      <c r="H204" t="str">
        <v>9fed28b3-82cf-4afa-8e8d-952adf7a54a5</v>
      </c>
      <c r="I204" t="str">
        <v/>
      </c>
      <c r="L204" t="str">
        <v>401318CA-BF39-49C3-9BDC-73836A8F9774</v>
      </c>
    </row>
    <row r="205" spans="1:12" x14ac:dyDescent="0.25">
      <c r="A205" t="str">
        <v>C18AD321-297A-4CCD-A5E3-8012938B4B82</v>
      </c>
      <c r="B205" t="str">
        <v>1D6C190E-3037-4435-BF28-B1D43DC3432D</v>
      </c>
      <c r="C205" t="str">
        <v>N13 Elevator board</v>
      </c>
      <c r="D205" t="str">
        <v>C491BFF3-6F7B-4412-9DF0-EAED6F3EE238</v>
      </c>
      <c r="E205" t="str">
        <v>2020-11-24</v>
      </c>
      <c r="F205" s="4">
        <v>600</v>
      </c>
      <c r="G205" t="str">
        <v>0790fb09-2de6-4ea3-a71c-58a007fc62a8</v>
      </c>
      <c r="H205" t="str">
        <v>9fed28b3-82cf-4afa-8e8d-952adf7a54a5</v>
      </c>
      <c r="I205" t="str">
        <v/>
      </c>
      <c r="L205" t="str">
        <v>A4E9EDC7-B81F-4483-9069-A7790AEBE4FA</v>
      </c>
    </row>
    <row r="206" spans="1:12" x14ac:dyDescent="0.25">
      <c r="A206" t="str">
        <v>730C476F-BFEA-4580-8081-A195DF6C17EE</v>
      </c>
      <c r="B206" t="str">
        <v>B4968862-3843-414D-9E73-1A7611618B41</v>
      </c>
      <c r="C206" t="str">
        <v>Display &amp; Board</v>
      </c>
      <c r="D206" t="str">
        <v>C491BFF3-6F7B-4412-9DF0-EAED6F3EE238</v>
      </c>
      <c r="E206" t="str">
        <v>2020-10-02</v>
      </c>
      <c r="F206" s="4">
        <v>800</v>
      </c>
      <c r="G206" t="str">
        <v>0790fb09-2de6-4ea3-a71c-58a007fc62a8</v>
      </c>
      <c r="H206" t="str">
        <v>9fed28b3-82cf-4afa-8e8d-952adf7a54a5</v>
      </c>
      <c r="I206" t="str">
        <v/>
      </c>
      <c r="L206" t="str">
        <v/>
      </c>
    </row>
    <row r="207" spans="1:12" x14ac:dyDescent="0.25">
      <c r="A207" t="str">
        <v>66DA52BA-5CC9-4DB2-AB2F-E5D503A67FD1</v>
      </c>
      <c r="B207" t="str">
        <v>24E4EE43-5EF3-423D-9573-ECEC58B570C9</v>
      </c>
      <c r="C207" t="str">
        <v>Meboengineering</v>
      </c>
      <c r="D207" t="str">
        <v>FEA4B88F-633F-4422-B3D6-250792A2DA80</v>
      </c>
      <c r="E207" t="str">
        <v>2020-12-22</v>
      </c>
      <c r="F207" s="4">
        <v>18970</v>
      </c>
      <c r="G207" t="str">
        <v>0790fb09-2de6-4ea3-a71c-58a007fc62a8</v>
      </c>
      <c r="H207" t="str">
        <v>9fed28b3-82cf-4afa-8e8d-952adf7a54a5</v>
      </c>
      <c r="I207" t="str">
        <v>1 6 30 1543</v>
      </c>
      <c r="L207" t="str">
        <v/>
      </c>
    </row>
    <row r="208" spans="1:12" x14ac:dyDescent="0.25">
      <c r="A208" t="str">
        <v>A571A00D-DA60-4571-8053-F614F87192AE</v>
      </c>
      <c r="B208" t="str">
        <v>8BE1F54B-9D87-48F2-8C0A-2F20A5C303E9</v>
      </c>
      <c r="C208" t="str">
        <v>Havana club</v>
      </c>
      <c r="D208" t="str">
        <v>FEA4B88F-633F-4422-B3D6-250792A2DA80</v>
      </c>
      <c r="E208" t="str">
        <v>2020-11-27</v>
      </c>
      <c r="F208" s="4">
        <v>17000</v>
      </c>
      <c r="G208" t="str">
        <v>0790fb09-2de6-4ea3-a71c-58a007fc62a8</v>
      </c>
      <c r="H208" t="str">
        <v>9fed28b3-82cf-4afa-8e8d-952adf7a54a5</v>
      </c>
      <c r="I208" t="str">
        <v>1 6 30 1529</v>
      </c>
      <c r="L208" t="str">
        <v>C309CB7C-404D-431A-A8FB-29671DCA0C49</v>
      </c>
    </row>
    <row r="209" spans="1:12" x14ac:dyDescent="0.25">
      <c r="A209" t="str">
        <v>49FCFC77-A25C-4798-A811-A11D7B44CCA4</v>
      </c>
      <c r="B209" t="str">
        <v>8C656830-971B-4F16-823C-B3F9461FD619</v>
      </c>
      <c r="C209" t="str">
        <v>Carrier Unit</v>
      </c>
      <c r="D209" t="str">
        <v>FEA4B88F-633F-4422-B3D6-250792A2DA80</v>
      </c>
      <c r="E209" t="str">
        <v>2020-12-01</v>
      </c>
      <c r="F209" s="4">
        <v>1900</v>
      </c>
      <c r="G209" t="str">
        <v>0790fb09-2de6-4ea3-a71c-58a007fc62a8</v>
      </c>
      <c r="H209" t="str">
        <v>9fed28b3-82cf-4afa-8e8d-952adf7a54a5</v>
      </c>
      <c r="I209" t="str">
        <v/>
      </c>
      <c r="L209" t="str">
        <v>C309CB7C-404D-431A-A8FB-29671DCA0C49</v>
      </c>
    </row>
    <row r="210" spans="1:12" x14ac:dyDescent="0.25">
      <c r="A210" t="str">
        <v>08B11B3D-796F-4D80-82F9-149FC940360A</v>
      </c>
      <c r="B210" t="str">
        <v>8C656830-971B-4F16-823C-B3F9461FD619</v>
      </c>
      <c r="C210" t="str">
        <v>Dumpers</v>
      </c>
      <c r="D210" t="str">
        <v>FEA4B88F-633F-4422-B3D6-250792A2DA80</v>
      </c>
      <c r="E210" t="str">
        <v>2020-12-01</v>
      </c>
      <c r="F210" s="4">
        <v>150</v>
      </c>
      <c r="G210" t="str">
        <v>5a2d799d-22a1-4e0a-b029-8031a1df6d56</v>
      </c>
      <c r="H210" t="str">
        <v>9fed28b3-82cf-4afa-8e8d-952adf7a54a5</v>
      </c>
      <c r="I210" t="str">
        <v/>
      </c>
      <c r="L210" t="str">
        <v>C309CB7C-404D-431A-A8FB-29671DCA0C49</v>
      </c>
    </row>
    <row r="211" spans="1:12" x14ac:dyDescent="0.25">
      <c r="A211" t="str">
        <v>139CD247-57C9-4CC8-9B29-25F6F755ED38</v>
      </c>
      <c r="B211" t="str">
        <v>2A55DEBB-261B-4CE9-BAE4-296DDEA037AB</v>
      </c>
      <c r="C211" t="str">
        <v>ICE - Lilo Open Stock</v>
      </c>
      <c r="D211" t="str">
        <v>B59170EC-16CC-499A-9FF7-0428DCB8F727</v>
      </c>
      <c r="E211" t="str">
        <v>2011-01-01</v>
      </c>
      <c r="F211" s="4">
        <v>1</v>
      </c>
      <c r="G211" t="str">
        <v>5a2d799d-22a1-4e0a-b029-8031a1df6d56</v>
      </c>
      <c r="H211" t="str">
        <v>9fed28b3-82cf-4afa-8e8d-952adf7a54a5</v>
      </c>
      <c r="I211" t="str">
        <v>1_6 _20</v>
      </c>
      <c r="L211" t="str">
        <v/>
      </c>
    </row>
    <row r="212" spans="1:12" x14ac:dyDescent="0.25">
      <c r="A212" t="str">
        <v>DA744D3C-6591-4CC4-9519-A01B5D7ADCF7</v>
      </c>
      <c r="B212" t="str">
        <v>2A55DEBB-261B-4CE9-BAE4-296DDEA037AB</v>
      </c>
      <c r="C212" t="str">
        <v>ICE - Lilo Closed Stock</v>
      </c>
      <c r="D212" t="str">
        <v>B59170EC-16CC-499A-9FF7-0428DCB8F727</v>
      </c>
      <c r="E212" t="str">
        <v>2011-01-01</v>
      </c>
      <c r="F212" s="4">
        <v>1</v>
      </c>
      <c r="G212" t="str">
        <v>5a2d799d-22a1-4e0a-b029-8031a1df6d56</v>
      </c>
      <c r="H212" t="str">
        <v>9fed28b3-82cf-4afa-8e8d-952adf7a54a5</v>
      </c>
      <c r="I212" t="str">
        <v>1_6 _20</v>
      </c>
      <c r="L212" t="str">
        <v/>
      </c>
    </row>
    <row r="213" spans="1:12" x14ac:dyDescent="0.25">
      <c r="A213" t="str">
        <v>1DA13BC6-9AA2-4D33-8B24-E5D5205BF210</v>
      </c>
      <c r="B213" t="str">
        <v>B71DB46F-9742-4111-9C3C-118F6E6DB370</v>
      </c>
      <c r="C213" t="str">
        <v>Bagebi</v>
      </c>
      <c r="D213" t="str">
        <v>12238130-9D12-4099-A48B-9EB5A085E0F8</v>
      </c>
      <c r="E213" t="str">
        <v>2021-01-15</v>
      </c>
      <c r="F213" s="4">
        <v>350</v>
      </c>
      <c r="G213" t="str">
        <v>5a2d799d-22a1-4e0a-b029-8031a1df6d56</v>
      </c>
      <c r="H213" t="str">
        <v>9fed28b3-82cf-4afa-8e8d-952adf7a54a5</v>
      </c>
      <c r="I213" t="str">
        <v>1 6 31 1559</v>
      </c>
      <c r="L213" t="str">
        <v>A4E9EDC7-B81F-4483-9069-A7790AEBE4FA</v>
      </c>
    </row>
    <row r="214" spans="1:12" x14ac:dyDescent="0.25">
      <c r="A214" t="str">
        <v>788E0111-02A0-4084-922B-9B4B18D3B711</v>
      </c>
      <c r="B214" t="str">
        <v>726D9023-53A2-435E-8A5B-8BCEA9625E08</v>
      </c>
      <c r="C214" t="str">
        <v>Axis office</v>
      </c>
      <c r="D214" t="str">
        <v>FEA4B88F-633F-4422-B3D6-250792A2DA80</v>
      </c>
      <c r="E214" t="str">
        <v>2020-12-30</v>
      </c>
      <c r="F214" s="4">
        <v>60886</v>
      </c>
      <c r="G214" t="str">
        <v>0790fb09-2de6-4ea3-a71c-58a007fc62a8</v>
      </c>
      <c r="H214" t="str">
        <v>9fed28b3-82cf-4afa-8e8d-952adf7a54a5</v>
      </c>
      <c r="I214" t="str">
        <v/>
      </c>
      <c r="L214" t="str">
        <v>401318CA-BF39-49C3-9BDC-73836A8F9774</v>
      </c>
    </row>
    <row r="215" spans="1:12" x14ac:dyDescent="0.25">
      <c r="A215" t="str">
        <v>78DA1CFE-30D2-400B-93E4-D6C878C932C8</v>
      </c>
      <c r="B215" t="str">
        <v>F9B986D7-73AE-4F10-9DC3-1A4E90558499</v>
      </c>
      <c r="C215" t="str">
        <v>Jemali house Elevator</v>
      </c>
      <c r="D215" t="str">
        <v>B59170EC-16CC-499A-9FF7-0428DCB8F727</v>
      </c>
      <c r="E215" t="str">
        <v>2020-09-01</v>
      </c>
      <c r="F215" s="4">
        <v>29270</v>
      </c>
      <c r="G215" t="str">
        <v>4cfda3f2-535e-4b77-a467-eac9dc64feca</v>
      </c>
      <c r="H215" t="str">
        <v>9fed28b3-82cf-4afa-8e8d-952adf7a54a5</v>
      </c>
      <c r="I215" t="str">
        <v>1630 724 1</v>
      </c>
      <c r="L215" t="str">
        <v/>
      </c>
    </row>
    <row r="216" spans="1:12" x14ac:dyDescent="0.25">
      <c r="A216" t="str">
        <v>A772FB72-306F-40C9-B55C-7AE7407E466C</v>
      </c>
      <c r="B216" t="str">
        <v>726D9023-53A2-435E-8A5B-8BCEA9625E08</v>
      </c>
      <c r="C216" t="str">
        <v>Galleria Tbilisi</v>
      </c>
      <c r="D216" t="str">
        <v>C491BFF3-6F7B-4412-9DF0-EAED6F3EE238</v>
      </c>
      <c r="E216" t="str">
        <v>2020-12-08</v>
      </c>
      <c r="F216" s="4">
        <v>2585.4</v>
      </c>
      <c r="G216" t="str">
        <v>0790fb09-2de6-4ea3-a71c-58a007fc62a8</v>
      </c>
      <c r="H216" t="str">
        <v>9fed28b3-82cf-4afa-8e8d-952adf7a54a5</v>
      </c>
      <c r="I216" t="str">
        <v/>
      </c>
      <c r="L216" t="str">
        <v>A4E9EDC7-B81F-4483-9069-A7790AEBE4FA</v>
      </c>
    </row>
    <row r="217" spans="1:12" x14ac:dyDescent="0.25">
      <c r="A217" t="str">
        <v>90F593D7-5C95-4BDB-84A7-8BBD126DF038</v>
      </c>
      <c r="B217" t="str">
        <v>92C87C66-6CBF-4FCE-BD5B-BD20FDB791BF</v>
      </c>
      <c r="C217" t="str">
        <v>Asatiani - Kvariati</v>
      </c>
      <c r="D217" t="str">
        <v>FEA4B88F-633F-4422-B3D6-250792A2DA80</v>
      </c>
      <c r="E217" t="str">
        <v>2021-02-12</v>
      </c>
      <c r="F217" s="4">
        <v>1550</v>
      </c>
      <c r="G217" t="str">
        <v>5a2d799d-22a1-4e0a-b029-8031a1df6d56</v>
      </c>
      <c r="H217" t="str">
        <v>9fed28b3-82cf-4afa-8e8d-952adf7a54a5</v>
      </c>
      <c r="I217" t="str">
        <v/>
      </c>
      <c r="L217" t="str">
        <v/>
      </c>
    </row>
    <row r="218" spans="1:12" x14ac:dyDescent="0.25">
      <c r="A218" t="str">
        <v>CB33EDC0-148D-4378-97A5-6633BF7E40FF</v>
      </c>
      <c r="B218" t="str">
        <v>726D9023-53A2-435E-8A5B-8BCEA9625E08</v>
      </c>
      <c r="C218" t="str">
        <v>Mitsubishi Compressor</v>
      </c>
      <c r="D218" t="str">
        <v>FEA4B88F-633F-4422-B3D6-250792A2DA80</v>
      </c>
      <c r="E218" t="str">
        <v>2021-02-09</v>
      </c>
      <c r="F218" s="4">
        <v>6950</v>
      </c>
      <c r="G218" t="str">
        <v>0790fb09-2de6-4ea3-a71c-58a007fc62a8</v>
      </c>
      <c r="H218" t="str">
        <v>9fed28b3-82cf-4afa-8e8d-952adf7a54a5</v>
      </c>
      <c r="I218" t="str">
        <v/>
      </c>
      <c r="L218" t="str">
        <v>401318CA-BF39-49C3-9BDC-73836A8F9774</v>
      </c>
    </row>
    <row r="219" spans="1:12" x14ac:dyDescent="0.25">
      <c r="A219" t="str">
        <v>43BD641D-3C9F-40D5-9E8C-49D404A896DA</v>
      </c>
      <c r="B219" t="str">
        <v>1D6C190E-3037-4435-BF28-B1D43DC3432D</v>
      </c>
      <c r="C219" t="str">
        <v xml:space="preserve">Galleria Elevator Spare Parts </v>
      </c>
      <c r="D219" t="str">
        <v>C491BFF3-6F7B-4412-9DF0-EAED6F3EE238</v>
      </c>
      <c r="E219" t="str">
        <v>2020-08-25</v>
      </c>
      <c r="F219" s="4">
        <v>7335</v>
      </c>
      <c r="G219" t="str">
        <v>0790fb09-2de6-4ea3-a71c-58a007fc62a8</v>
      </c>
      <c r="H219" t="str">
        <v>9fed28b3-82cf-4afa-8e8d-952adf7a54a5</v>
      </c>
      <c r="I219" t="str">
        <v/>
      </c>
      <c r="L219" t="str">
        <v>A4E9EDC7-B81F-4483-9069-A7790AEBE4FA</v>
      </c>
    </row>
    <row r="220" spans="1:12" x14ac:dyDescent="0.25">
      <c r="A220" t="str">
        <v>10C38DC7-E96A-4B59-AEDE-84EBBAF6195E</v>
      </c>
      <c r="B220" t="str">
        <v>1D6C190E-3037-4435-BF28-B1D43DC3432D</v>
      </c>
      <c r="C220" t="str">
        <v xml:space="preserve">Galleria Escalator Spare Part </v>
      </c>
      <c r="D220" t="str">
        <v>C491BFF3-6F7B-4412-9DF0-EAED6F3EE238</v>
      </c>
      <c r="E220" t="str">
        <v>2021-02-16</v>
      </c>
      <c r="F220" s="4">
        <v>3420</v>
      </c>
      <c r="G220" t="str">
        <v>0790fb09-2de6-4ea3-a71c-58a007fc62a8</v>
      </c>
      <c r="H220" t="str">
        <v>9fed28b3-82cf-4afa-8e8d-952adf7a54a5</v>
      </c>
      <c r="I220" t="str">
        <v/>
      </c>
      <c r="L220" t="str">
        <v/>
      </c>
    </row>
    <row r="221" spans="1:12" x14ac:dyDescent="0.25">
      <c r="A221" t="str">
        <v>ADB80FD6-75D2-4715-BE23-7F79E37F6729</v>
      </c>
      <c r="B221" t="str">
        <v>E3AEC4BA-46A6-4271-BBEC-0FFA64B013BE</v>
      </c>
      <c r="C221" t="str">
        <v>Archi Isani 2</v>
      </c>
      <c r="D221" t="str">
        <v>B59170EC-16CC-499A-9FF7-0428DCB8F727</v>
      </c>
      <c r="E221" t="str">
        <v>2020-11-30</v>
      </c>
      <c r="F221" s="4">
        <v>220000</v>
      </c>
      <c r="G221" t="str">
        <v>0790fb09-2de6-4ea3-a71c-58a007fc62a8</v>
      </c>
      <c r="H221" t="str">
        <v>9fed28b3-82cf-4afa-8e8d-952adf7a54a5</v>
      </c>
      <c r="I221" t="str">
        <v>1 6 30 1538 2</v>
      </c>
      <c r="L221" t="str">
        <v/>
      </c>
    </row>
    <row r="222" spans="1:12" x14ac:dyDescent="0.25">
      <c r="A222" t="str">
        <v>AD817A46-E3D6-48A4-9448-7FD84B6A1869</v>
      </c>
      <c r="B222" t="str">
        <v>2CAC0320-27CD-4D39-A35D-9E45F2248ED4</v>
      </c>
      <c r="C222" t="str">
        <v>Rustavi Moll and Poti</v>
      </c>
      <c r="D222" t="str">
        <v>B59170EC-16CC-499A-9FF7-0428DCB8F727</v>
      </c>
      <c r="E222" t="str">
        <v>2020-12-20</v>
      </c>
      <c r="F222" s="4">
        <v>126360</v>
      </c>
      <c r="G222" t="str">
        <v>0790fb09-2de6-4ea3-a71c-58a007fc62a8</v>
      </c>
      <c r="H222" t="str">
        <v>9fed28b3-82cf-4afa-8e8d-952adf7a54a5</v>
      </c>
      <c r="I222" t="str">
        <v>1 6 30 1555</v>
      </c>
      <c r="L222" t="str">
        <v/>
      </c>
    </row>
    <row r="223" spans="1:12" x14ac:dyDescent="0.25">
      <c r="A223" t="str">
        <v>110B99BC-95C3-4ADE-8956-292EF046889B</v>
      </c>
      <c r="B223" t="str">
        <v>2173AA5E-10F7-4394-B9F6-482BD48BD919</v>
      </c>
      <c r="C223" t="str">
        <v>Zugdidi</v>
      </c>
      <c r="D223" t="str">
        <v>B59170EC-16CC-499A-9FF7-0428DCB8F727</v>
      </c>
      <c r="E223" t="str">
        <v>2020-12-20</v>
      </c>
      <c r="F223" s="4">
        <v>30140</v>
      </c>
      <c r="G223" t="str">
        <v>0790fb09-2de6-4ea3-a71c-58a007fc62a8</v>
      </c>
      <c r="H223" t="str">
        <v>9fed28b3-82cf-4afa-8e8d-952adf7a54a5</v>
      </c>
      <c r="I223" t="str">
        <v>1 6 30 1554</v>
      </c>
      <c r="L223" t="str">
        <v/>
      </c>
    </row>
    <row r="224" spans="1:12" x14ac:dyDescent="0.25">
      <c r="A224" t="str">
        <v>332C83A8-D0E9-486D-AFAE-FDC74DF9119E</v>
      </c>
      <c r="B224" t="str">
        <v>726D9023-53A2-435E-8A5B-8BCEA9625E08</v>
      </c>
      <c r="C224" t="str">
        <v>Digomi elevators</v>
      </c>
      <c r="D224" t="str">
        <v>B59170EC-16CC-499A-9FF7-0428DCB8F727</v>
      </c>
      <c r="E224" t="str">
        <v>2020-12-01</v>
      </c>
      <c r="F224" s="4">
        <v>53260</v>
      </c>
      <c r="G224" t="str">
        <v>0790fb09-2de6-4ea3-a71c-58a007fc62a8</v>
      </c>
      <c r="H224" t="str">
        <v>9fed28b3-82cf-4afa-8e8d-952adf7a54a5</v>
      </c>
      <c r="I224" t="str">
        <v>1 6 30 4 2</v>
      </c>
      <c r="L224" t="str">
        <v/>
      </c>
    </row>
    <row r="225" spans="1:12" x14ac:dyDescent="0.25">
      <c r="A225" t="str">
        <v>AB99535B-7282-4C49-99AD-B7B5C4BFC7B2</v>
      </c>
      <c r="B225" t="str">
        <v>3D0B2E19-A7F7-45A1-A329-05C7D5F99C8A</v>
      </c>
      <c r="C225" t="str">
        <v>VRF Sensor &amp; Fan motor</v>
      </c>
      <c r="D225" t="str">
        <v>FEA4B88F-633F-4422-B3D6-250792A2DA80</v>
      </c>
      <c r="E225" t="str">
        <v>2021-02-17</v>
      </c>
      <c r="F225" s="4">
        <v>680</v>
      </c>
      <c r="G225" t="str">
        <v>0790fb09-2de6-4ea3-a71c-58a007fc62a8</v>
      </c>
      <c r="H225" t="str">
        <v>9fed28b3-82cf-4afa-8e8d-952adf7a54a5</v>
      </c>
      <c r="I225" t="str">
        <v/>
      </c>
      <c r="L225" t="str">
        <v/>
      </c>
    </row>
    <row r="226" spans="1:12" x14ac:dyDescent="0.25">
      <c r="A226" t="str">
        <v>AA3BF3FC-6268-4E8F-BEC3-0779A283897E</v>
      </c>
      <c r="B226" t="str">
        <v>43EABC78-AF64-4C14-9FEF-C7E6A1B6F07E</v>
      </c>
      <c r="C226" t="str">
        <v>Living Container</v>
      </c>
      <c r="D226" t="str">
        <v>68627C8C-95F9-4383-9A95-1923038BB695</v>
      </c>
      <c r="E226" t="str">
        <v>2021-02-18</v>
      </c>
      <c r="F226" s="4">
        <v>22373</v>
      </c>
      <c r="G226" t="str">
        <v>5a2d799d-22a1-4e0a-b029-8031a1df6d56</v>
      </c>
      <c r="H226" t="str">
        <v>9fed28b3-82cf-4afa-8e8d-952adf7a54a5</v>
      </c>
      <c r="I226" t="str">
        <v/>
      </c>
      <c r="L226" t="str">
        <v/>
      </c>
    </row>
    <row r="227" spans="1:12" x14ac:dyDescent="0.25">
      <c r="A227" t="str">
        <v>4BBB6753-0B4E-4F5B-BB68-E06FF36148A2</v>
      </c>
      <c r="B227" t="str">
        <v>7920BD15-7996-44AE-B75F-5F4726C33E9A</v>
      </c>
      <c r="C227" t="str">
        <v>MHI Split</v>
      </c>
      <c r="D227" t="str">
        <v>FEA4B88F-633F-4422-B3D6-250792A2DA80</v>
      </c>
      <c r="E227" t="str">
        <v>2020-04-01</v>
      </c>
      <c r="F227" s="4">
        <v>1</v>
      </c>
      <c r="G227" t="str">
        <v>5a2d799d-22a1-4e0a-b029-8031a1df6d56</v>
      </c>
      <c r="H227" t="str">
        <v>9fed28b3-82cf-4afa-8e8d-952adf7a54a5</v>
      </c>
      <c r="I227" t="str">
        <v/>
      </c>
      <c r="L227" t="str">
        <v/>
      </c>
    </row>
    <row r="228" spans="1:12" x14ac:dyDescent="0.25">
      <c r="A228" t="str">
        <v>6D18EA0C-07C4-4974-90C9-67B1BC0AB3B7</v>
      </c>
      <c r="B228" t="str">
        <v>8F8E8A11-9B71-4C85-B91E-A9EC404CBC96</v>
      </c>
      <c r="C228" t="str">
        <v>Sveti</v>
      </c>
      <c r="D228" t="str">
        <v>B59170EC-16CC-499A-9FF7-0428DCB8F727</v>
      </c>
      <c r="E228" t="str">
        <v>2020-10-20</v>
      </c>
      <c r="F228" s="4">
        <v>2399130</v>
      </c>
      <c r="G228" t="str">
        <v>0790fb09-2de6-4ea3-a71c-58a007fc62a8</v>
      </c>
      <c r="H228" t="str">
        <v>9fed28b3-82cf-4afa-8e8d-952adf7a54a5</v>
      </c>
      <c r="I228" t="str">
        <v/>
      </c>
      <c r="L228" t="str">
        <v/>
      </c>
    </row>
    <row r="229" spans="1:12" x14ac:dyDescent="0.25">
      <c r="A229" t="str">
        <v>DA66F037-6E74-4365-89EC-71C75E6A827F</v>
      </c>
      <c r="B229" t="str">
        <v>9E3145B1-F47E-49C3-BF51-BCB9055ABC20</v>
      </c>
      <c r="C229" t="str">
        <v>Moxy Zaabruken Hotel 1</v>
      </c>
      <c r="D229" t="str">
        <v>C491BFF3-6F7B-4412-9DF0-EAED6F3EE238</v>
      </c>
      <c r="E229" t="str">
        <v>2021-02-24</v>
      </c>
      <c r="F229" s="4">
        <v>600</v>
      </c>
      <c r="G229" t="str">
        <v>0790fb09-2de6-4ea3-a71c-58a007fc62a8</v>
      </c>
      <c r="H229" t="str">
        <v>9fed28b3-82cf-4afa-8e8d-952adf7a54a5</v>
      </c>
      <c r="I229" t="str">
        <v/>
      </c>
      <c r="L229" t="str">
        <v>A4E9EDC7-B81F-4483-9069-A7790AEBE4FA</v>
      </c>
    </row>
    <row r="230" spans="1:12" x14ac:dyDescent="0.25">
      <c r="A230" t="str">
        <v>9872B8EF-9C0D-4988-B318-D5961B54D631</v>
      </c>
      <c r="B230" t="str">
        <v>9E3145B1-F47E-49C3-BF51-BCB9055ABC20</v>
      </c>
      <c r="C230" t="str">
        <v>Moxy Zaabruken Hotel 2</v>
      </c>
      <c r="D230" t="str">
        <v>C491BFF3-6F7B-4412-9DF0-EAED6F3EE238</v>
      </c>
      <c r="E230" t="str">
        <v>2021-02-25</v>
      </c>
      <c r="F230" s="4">
        <v>250</v>
      </c>
      <c r="G230" t="str">
        <v>0790fb09-2de6-4ea3-a71c-58a007fc62a8</v>
      </c>
      <c r="H230" t="str">
        <v>9fed28b3-82cf-4afa-8e8d-952adf7a54a5</v>
      </c>
      <c r="I230" t="str">
        <v/>
      </c>
      <c r="L230" t="str">
        <v>A4E9EDC7-B81F-4483-9069-A7790AEBE4FA</v>
      </c>
    </row>
    <row r="231" spans="1:12" x14ac:dyDescent="0.25">
      <c r="A231" t="str">
        <v>0DF15D30-571F-43AD-B36A-19DC2909B6D3</v>
      </c>
      <c r="B231" t="str">
        <v>CB2DE391-A27A-4189-AA88-867A0711DE44</v>
      </c>
      <c r="C231" t="str">
        <v>Mitsubishi Split Conditioners</v>
      </c>
      <c r="D231" t="str">
        <v>FEA4B88F-633F-4422-B3D6-250792A2DA80</v>
      </c>
      <c r="E231" t="str">
        <v>2021-02-25</v>
      </c>
      <c r="F231" s="4">
        <v>2450</v>
      </c>
      <c r="G231" t="str">
        <v>5a2d799d-22a1-4e0a-b029-8031a1df6d56</v>
      </c>
      <c r="H231" t="str">
        <v>9fed28b3-82cf-4afa-8e8d-952adf7a54a5</v>
      </c>
      <c r="I231" t="str">
        <v>1 6 30 1573</v>
      </c>
      <c r="L231" t="str">
        <v/>
      </c>
    </row>
    <row r="232" spans="1:12" x14ac:dyDescent="0.25">
      <c r="A232" t="str">
        <v>2C44B5D3-D4BB-4666-8EB0-1B61108ABEF7</v>
      </c>
      <c r="B232" t="str">
        <v>6DF25574-2F03-43D0-AEC4-2CD26A4A0C3A</v>
      </c>
      <c r="C232" t="str">
        <v>Zara Brush</v>
      </c>
      <c r="D232" t="str">
        <v>C491BFF3-6F7B-4412-9DF0-EAED6F3EE238</v>
      </c>
      <c r="E232" t="str">
        <v>2021-03-03</v>
      </c>
      <c r="F232" s="4">
        <v>576.79999999999995</v>
      </c>
      <c r="G232" t="str">
        <v>0790fb09-2de6-4ea3-a71c-58a007fc62a8</v>
      </c>
      <c r="H232" t="str">
        <v>9fed28b3-82cf-4afa-8e8d-952adf7a54a5</v>
      </c>
      <c r="I232" t="str">
        <v/>
      </c>
      <c r="L232" t="str">
        <v/>
      </c>
    </row>
    <row r="233" spans="1:12" x14ac:dyDescent="0.25">
      <c r="A233" t="str">
        <v>F914EFFA-DF0F-4FE1-BC99-203DBBE71CB4</v>
      </c>
      <c r="B233" t="str">
        <v>6DF25574-2F03-43D0-AEC4-2CD26A4A0C3A</v>
      </c>
      <c r="C233" t="str">
        <v>Zara City Mall</v>
      </c>
      <c r="D233" t="str">
        <v>C491BFF3-6F7B-4412-9DF0-EAED6F3EE238</v>
      </c>
      <c r="E233" t="str">
        <v>2021-03-03</v>
      </c>
      <c r="F233" s="4">
        <v>576.79999999999995</v>
      </c>
      <c r="G233" t="str">
        <v>0790fb09-2de6-4ea3-a71c-58a007fc62a8</v>
      </c>
      <c r="H233" t="str">
        <v>9fed28b3-82cf-4afa-8e8d-952adf7a54a5</v>
      </c>
      <c r="I233" t="str">
        <v/>
      </c>
      <c r="L233" t="str">
        <v/>
      </c>
    </row>
    <row r="234" spans="1:12" x14ac:dyDescent="0.25">
      <c r="A234" t="str">
        <v>902CD182-EFD6-4535-879A-2D22B2BBAB54</v>
      </c>
      <c r="B234" t="str">
        <v>3029E0C5-9337-4596-87DB-0A677D44A180</v>
      </c>
      <c r="C234" t="str">
        <v>IBIS Perovi</v>
      </c>
      <c r="D234" t="str">
        <v>C491BFF3-6F7B-4412-9DF0-EAED6F3EE238</v>
      </c>
      <c r="E234" t="str">
        <v>2021-03-03</v>
      </c>
      <c r="F234" s="4">
        <v>1440</v>
      </c>
      <c r="G234" t="str">
        <v>0790fb09-2de6-4ea3-a71c-58a007fc62a8</v>
      </c>
      <c r="H234" t="str">
        <v>9fed28b3-82cf-4afa-8e8d-952adf7a54a5</v>
      </c>
      <c r="I234" t="str">
        <v/>
      </c>
      <c r="L234" t="str">
        <v/>
      </c>
    </row>
    <row r="235" spans="1:12" x14ac:dyDescent="0.25">
      <c r="A235" t="str">
        <v>8C71BC64-77CD-48AE-A719-3B4155A180C5</v>
      </c>
      <c r="B235" t="str">
        <v>7BF4A039-29BC-44AC-A87D-E8832394B94E</v>
      </c>
      <c r="C235" t="str">
        <v>DAR TOWER</v>
      </c>
      <c r="D235" t="str">
        <v>C491BFF3-6F7B-4412-9DF0-EAED6F3EE238</v>
      </c>
      <c r="E235" t="str">
        <v>2021-02-22</v>
      </c>
      <c r="F235" s="4">
        <v>1214</v>
      </c>
      <c r="G235" t="str">
        <v>0790fb09-2de6-4ea3-a71c-58a007fc62a8</v>
      </c>
      <c r="H235" t="str">
        <v>9fed28b3-82cf-4afa-8e8d-952adf7a54a5</v>
      </c>
      <c r="I235" t="str">
        <v>1 6 31 853</v>
      </c>
      <c r="L235" t="str">
        <v>A4E9EDC7-B81F-4483-9069-A7790AEBE4FA</v>
      </c>
    </row>
    <row r="236" spans="1:12" x14ac:dyDescent="0.25">
      <c r="A236" t="str">
        <v>5BA4654C-95A6-41A4-ACF8-2E9CF225D016</v>
      </c>
      <c r="B236" t="str">
        <v>B4968862-3843-414D-9E73-1A7611618B41</v>
      </c>
      <c r="C236" t="str">
        <v>UNIX Ipolit Ivanov</v>
      </c>
      <c r="D236" t="str">
        <v>C491BFF3-6F7B-4412-9DF0-EAED6F3EE238</v>
      </c>
      <c r="E236" t="str">
        <v>2021-02-22</v>
      </c>
      <c r="F236" s="4">
        <v>773</v>
      </c>
      <c r="G236" t="str">
        <v>0790fb09-2de6-4ea3-a71c-58a007fc62a8</v>
      </c>
      <c r="H236" t="str">
        <v>9fed28b3-82cf-4afa-8e8d-952adf7a54a5</v>
      </c>
      <c r="I236" t="str">
        <v/>
      </c>
      <c r="L236" t="str">
        <v>A4E9EDC7-B81F-4483-9069-A7790AEBE4FA</v>
      </c>
    </row>
    <row r="237" spans="1:12" x14ac:dyDescent="0.25">
      <c r="A237" t="str">
        <v>D64B1AC6-1FE9-4DB9-B819-CF76F184770C</v>
      </c>
      <c r="B237" t="str">
        <v>E284E0FD-A2B7-4D93-8E91-006FF0A8A4CE</v>
      </c>
      <c r="C237" t="str">
        <v>TWIN TOWER</v>
      </c>
      <c r="D237" t="str">
        <v>C491BFF3-6F7B-4412-9DF0-EAED6F3EE238</v>
      </c>
      <c r="E237" t="str">
        <v>2021-02-07</v>
      </c>
      <c r="F237" s="4">
        <v>4009</v>
      </c>
      <c r="G237" t="str">
        <v>0790fb09-2de6-4ea3-a71c-58a007fc62a8</v>
      </c>
      <c r="H237" t="str">
        <v>9fed28b3-82cf-4afa-8e8d-952adf7a54a5</v>
      </c>
      <c r="I237" t="str">
        <v/>
      </c>
      <c r="L237" t="str">
        <v>A4E9EDC7-B81F-4483-9069-A7790AEBE4FA</v>
      </c>
    </row>
    <row r="238" spans="1:12" x14ac:dyDescent="0.25">
      <c r="A238" t="str">
        <v>4EC23D40-5EE5-458C-B5BC-525DD6FC2BA9</v>
      </c>
      <c r="B238" t="str">
        <v>90293CD0-6262-4F6E-9B52-E8D909232966</v>
      </c>
      <c r="C238" t="str">
        <v>Beach Tower</v>
      </c>
      <c r="D238" t="str">
        <v>C491BFF3-6F7B-4412-9DF0-EAED6F3EE238</v>
      </c>
      <c r="E238" t="str">
        <v>2021-02-07</v>
      </c>
      <c r="F238" s="4">
        <v>840</v>
      </c>
      <c r="G238" t="str">
        <v>0790fb09-2de6-4ea3-a71c-58a007fc62a8</v>
      </c>
      <c r="H238" t="str">
        <v>9fed28b3-82cf-4afa-8e8d-952adf7a54a5</v>
      </c>
      <c r="I238" t="str">
        <v/>
      </c>
      <c r="L238" t="str">
        <v>A4E9EDC7-B81F-4483-9069-A7790AEBE4FA</v>
      </c>
    </row>
    <row r="239" spans="1:12" x14ac:dyDescent="0.25">
      <c r="A239" t="str">
        <v>FD53DEC2-1DDE-4467-9E7C-82320A263903</v>
      </c>
      <c r="B239" t="str">
        <v>2A9CB749-334E-4076-9125-B73DD63C7D94</v>
      </c>
      <c r="C239" t="str">
        <v>Aparthotel Vake</v>
      </c>
      <c r="D239" t="str">
        <v>B59170EC-16CC-499A-9FF7-0428DCB8F727</v>
      </c>
      <c r="E239" t="str">
        <v>2019-10-30</v>
      </c>
      <c r="F239" s="4">
        <v>163727</v>
      </c>
      <c r="G239" t="str">
        <v>0790fb09-2de6-4ea3-a71c-58a007fc62a8</v>
      </c>
      <c r="H239" t="str">
        <v>9fed28b3-82cf-4afa-8e8d-952adf7a54a5</v>
      </c>
      <c r="I239" t="str">
        <v>1 6 30 1271</v>
      </c>
      <c r="L239" t="str">
        <v>2FF3A4BD-5868-4142-BDF6-BC3816DFD386</v>
      </c>
    </row>
    <row r="240" spans="1:12" x14ac:dyDescent="0.25">
      <c r="A240" t="str">
        <v>83C02AB9-664A-431A-B644-AC026D7A5846</v>
      </c>
      <c r="B240" t="str">
        <v>7DDF7E55-92EE-4E47-9E16-F1D4D3FABF60</v>
      </c>
      <c r="C240" t="str">
        <v>Archi Isani</v>
      </c>
      <c r="D240" t="str">
        <v>B59170EC-16CC-499A-9FF7-0428DCB8F727</v>
      </c>
      <c r="E240" t="str">
        <v>2020-09-03</v>
      </c>
      <c r="F240" s="4">
        <v>366050</v>
      </c>
      <c r="G240" t="str">
        <v>0790fb09-2de6-4ea3-a71c-58a007fc62a8</v>
      </c>
      <c r="H240" t="str">
        <v>9fed28b3-82cf-4afa-8e8d-952adf7a54a5</v>
      </c>
      <c r="I240" t="str">
        <v>1 6 30 1132 4</v>
      </c>
      <c r="L240" t="str">
        <v>86332895-C3C3-4313-AA1C-0D1B06C2386C</v>
      </c>
    </row>
    <row r="241" spans="1:12" x14ac:dyDescent="0.25">
      <c r="A241" t="str">
        <v>E6202743-B0E9-49F5-9608-2EC295FA7172</v>
      </c>
      <c r="B241" t="str">
        <v>88114C6E-F2B4-44AC-AACB-3937108FCC9D</v>
      </c>
      <c r="C241" t="str">
        <v>Kobuleti Garden Inn</v>
      </c>
      <c r="D241" t="str">
        <v>B59170EC-16CC-499A-9FF7-0428DCB8F727</v>
      </c>
      <c r="E241" t="str">
        <v>2019-12-25</v>
      </c>
      <c r="F241" s="4">
        <v>23750</v>
      </c>
      <c r="G241" t="str">
        <v>0790fb09-2de6-4ea3-a71c-58a007fc62a8</v>
      </c>
      <c r="H241" t="str">
        <v>9fed28b3-82cf-4afa-8e8d-952adf7a54a5</v>
      </c>
      <c r="I241" t="str">
        <v/>
      </c>
      <c r="L241" t="str">
        <v>AD901E05-ADD9-42DE-89BA-4D9A21C89BCF</v>
      </c>
    </row>
    <row r="242" spans="1:12" x14ac:dyDescent="0.25">
      <c r="A242" t="str">
        <v>E8D5552E-313D-4FCF-9D30-B98B197B6ACC</v>
      </c>
      <c r="B242" t="str">
        <v>683C3DF5-4CB1-4571-B08C-7154A4496822</v>
      </c>
      <c r="C242" t="str">
        <v>Thermostats and joints</v>
      </c>
      <c r="D242" t="str">
        <v>FEA4B88F-633F-4422-B3D6-250792A2DA80</v>
      </c>
      <c r="E242" t="str">
        <v>2021-03-28</v>
      </c>
      <c r="F242" s="4">
        <v>17882</v>
      </c>
      <c r="G242" t="str">
        <v>0790fb09-2de6-4ea3-a71c-58a007fc62a8</v>
      </c>
      <c r="H242" t="str">
        <v>9fed28b3-82cf-4afa-8e8d-952adf7a54a5</v>
      </c>
      <c r="I242" t="str">
        <v/>
      </c>
      <c r="L242" t="str">
        <v/>
      </c>
    </row>
    <row r="243" spans="1:12" x14ac:dyDescent="0.25">
      <c r="A243" t="str">
        <v>C586AC0E-3B96-40DA-ABB7-0B19B8064172</v>
      </c>
      <c r="B243" t="str">
        <v>A71E107A-D0C2-4155-83C0-22DCD22BD19F</v>
      </c>
      <c r="C243" t="str">
        <v>Mitsubishi Conditioner</v>
      </c>
      <c r="D243" t="str">
        <v>FEA4B88F-633F-4422-B3D6-250792A2DA80</v>
      </c>
      <c r="E243" t="str">
        <v>2021-03-23</v>
      </c>
      <c r="F243" s="4">
        <v>1380</v>
      </c>
      <c r="G243" t="str">
        <v>5a2d799d-22a1-4e0a-b029-8031a1df6d56</v>
      </c>
      <c r="H243" t="str">
        <v>9fed28b3-82cf-4afa-8e8d-952adf7a54a5</v>
      </c>
      <c r="I243" t="str">
        <v/>
      </c>
      <c r="L243" t="str">
        <v/>
      </c>
    </row>
    <row r="244" spans="1:12" x14ac:dyDescent="0.25">
      <c r="A244" t="str">
        <v>54304F4D-DFE3-4BF3-8802-5BEFB5793B76</v>
      </c>
      <c r="B244" t="str">
        <v>95F45B38-3701-4DA4-88FE-C53F96F7223C</v>
      </c>
      <c r="C244" t="str">
        <v>Mitsubishi Split Condicioner</v>
      </c>
      <c r="D244" t="str">
        <v>FEA4B88F-633F-4422-B3D6-250792A2DA80</v>
      </c>
      <c r="E244" t="str">
        <v>2021-03-29</v>
      </c>
      <c r="F244" s="4">
        <v>2800</v>
      </c>
      <c r="G244" t="str">
        <v>5a2d799d-22a1-4e0a-b029-8031a1df6d56</v>
      </c>
      <c r="H244" t="str">
        <v>9fed28b3-82cf-4afa-8e8d-952adf7a54a5</v>
      </c>
      <c r="I244" t="str">
        <v>1 6 30 1149</v>
      </c>
      <c r="L244" t="str">
        <v/>
      </c>
    </row>
    <row r="245" spans="1:12" x14ac:dyDescent="0.25">
      <c r="A245" t="str">
        <v>245040BF-9857-4BA8-A6E0-CC4D6BF1C0DA</v>
      </c>
      <c r="B245" t="str">
        <v>EB478E19-2E14-4D4C-900E-B9CF3561E540</v>
      </c>
      <c r="C245" t="str">
        <v>Rent-Tamarashvili</v>
      </c>
      <c r="D245" t="str">
        <v>DB8A7407-60A7-468B-97C8-72D31D12D117</v>
      </c>
      <c r="E245" t="str">
        <v>2021-03-23</v>
      </c>
      <c r="F245" s="4">
        <v>6913.5</v>
      </c>
      <c r="G245" t="str">
        <v>0790fb09-2de6-4ea3-a71c-58a007fc62a8</v>
      </c>
      <c r="H245" t="str">
        <v>9fed28b3-82cf-4afa-8e8d-952adf7a54a5</v>
      </c>
      <c r="I245" t="str">
        <v>1_6_44</v>
      </c>
      <c r="L245" t="str">
        <v/>
      </c>
    </row>
    <row r="246" spans="1:12" x14ac:dyDescent="0.25">
      <c r="A246" t="str">
        <v>0DC6CA59-634F-462E-989C-FBD7AB27545C</v>
      </c>
      <c r="B246" t="str">
        <v>E3AEC4BA-46A6-4271-BBEC-0FFA64B013BE</v>
      </c>
      <c r="C246" t="str">
        <v>M2 conditioner instalatio</v>
      </c>
      <c r="D246" t="str">
        <v>B5CAA716-CA9B-47D4-85D4-9954ED4DBAD2</v>
      </c>
      <c r="E246" t="str">
        <v>2020-12-14</v>
      </c>
      <c r="F246" s="4">
        <v>181545</v>
      </c>
      <c r="G246" t="str">
        <v>5a2d799d-22a1-4e0a-b029-8031a1df6d56</v>
      </c>
      <c r="H246" t="str">
        <v>9fed28b3-82cf-4afa-8e8d-952adf7a54a5</v>
      </c>
      <c r="I246" t="str">
        <v>1 6 30 1538</v>
      </c>
      <c r="L246" t="str">
        <v>C309CB7C-404D-431A-A8FB-29671DCA0C49</v>
      </c>
    </row>
    <row r="247" spans="1:12" x14ac:dyDescent="0.25">
      <c r="A247" t="str">
        <v>8C35AE1C-A6AB-42B6-9EE6-4FA33CE10E1E</v>
      </c>
      <c r="B247" t="str">
        <v>683C3DF5-4CB1-4571-B08C-7154A4496822</v>
      </c>
      <c r="C247" t="str">
        <v>Redisson Red VRV</v>
      </c>
      <c r="D247" t="str">
        <v>FEA4B88F-633F-4422-B3D6-250792A2DA80</v>
      </c>
      <c r="E247" t="str">
        <v>2021-04-05</v>
      </c>
      <c r="F247" s="4">
        <v>227761</v>
      </c>
      <c r="G247" t="str">
        <v>0790fb09-2de6-4ea3-a71c-58a007fc62a8</v>
      </c>
      <c r="H247" t="str">
        <v>9fed28b3-82cf-4afa-8e8d-952adf7a54a5</v>
      </c>
      <c r="I247" t="str">
        <v/>
      </c>
      <c r="L247" t="str">
        <v/>
      </c>
    </row>
    <row r="248" spans="1:12" x14ac:dyDescent="0.25">
      <c r="A248" t="str">
        <v>B2A08978-D922-469E-8E22-8010DCEBC223</v>
      </c>
      <c r="B248" t="str">
        <v>4AB3C0A1-63AE-4FCF-90FB-089A7E8985D1</v>
      </c>
      <c r="C248" t="str">
        <v>SAUDI</v>
      </c>
      <c r="D248" t="str">
        <v>FEA4B88F-633F-4422-B3D6-250792A2DA80</v>
      </c>
      <c r="E248" t="str">
        <v>2021-03-25</v>
      </c>
      <c r="F248" s="4">
        <v>10708</v>
      </c>
      <c r="G248" t="str">
        <v>4cfda3f2-535e-4b77-a467-eac9dc64feca</v>
      </c>
      <c r="H248" t="str">
        <v>9fed28b3-82cf-4afa-8e8d-952adf7a54a5</v>
      </c>
      <c r="I248" t="str">
        <v/>
      </c>
      <c r="L248" t="str">
        <v/>
      </c>
    </row>
    <row r="249" spans="1:12" x14ac:dyDescent="0.25">
      <c r="A249" t="str">
        <v>CD0D21E5-A18E-4593-A72D-8C014E2BE149</v>
      </c>
      <c r="B249" t="str">
        <v>3D0E73E0-0C40-467D-922F-74E3D4746FBD</v>
      </c>
      <c r="C249" t="str">
        <v xml:space="preserve">Abashidze 70 </v>
      </c>
      <c r="D249" t="str">
        <v>C491BFF3-6F7B-4412-9DF0-EAED6F3EE238</v>
      </c>
      <c r="E249" t="str">
        <v>2021-04-12</v>
      </c>
      <c r="F249" s="4">
        <v>1290</v>
      </c>
      <c r="G249" t="str">
        <v>0790fb09-2de6-4ea3-a71c-58a007fc62a8</v>
      </c>
      <c r="H249" t="str">
        <v>9fed28b3-82cf-4afa-8e8d-952adf7a54a5</v>
      </c>
      <c r="I249" t="str">
        <v/>
      </c>
      <c r="L249" t="str">
        <v>A4E9EDC7-B81F-4483-9069-A7790AEBE4FA</v>
      </c>
    </row>
    <row r="250" spans="1:12" x14ac:dyDescent="0.25">
      <c r="A250" t="str">
        <v>B8DF279B-A563-4A9E-A572-71092D60DFDC</v>
      </c>
      <c r="B250" t="str">
        <v>726D9023-53A2-435E-8A5B-8BCEA9625E08</v>
      </c>
      <c r="C250" t="str">
        <v>Ford Center</v>
      </c>
      <c r="D250" t="str">
        <v>FEA4B88F-633F-4422-B3D6-250792A2DA80</v>
      </c>
      <c r="E250" t="str">
        <v>2021-03-25</v>
      </c>
      <c r="F250" s="4">
        <v>2545</v>
      </c>
      <c r="G250" t="str">
        <v>0790fb09-2de6-4ea3-a71c-58a007fc62a8</v>
      </c>
      <c r="H250" t="str">
        <v>9fed28b3-82cf-4afa-8e8d-952adf7a54a5</v>
      </c>
      <c r="I250" t="str">
        <v/>
      </c>
      <c r="L250" t="str">
        <v/>
      </c>
    </row>
    <row r="251" spans="1:12" x14ac:dyDescent="0.25">
      <c r="A251" t="str">
        <v>9BC9B19C-886C-4EF5-A43C-8D1A0AB616F3</v>
      </c>
      <c r="B251" t="str">
        <v>726D9023-53A2-435E-8A5B-8BCEA9625E08</v>
      </c>
      <c r="C251" t="str">
        <v>Hotel Radius</v>
      </c>
      <c r="D251" t="str">
        <v>FEA4B88F-633F-4422-B3D6-250792A2DA80</v>
      </c>
      <c r="E251" t="str">
        <v>2021-04-15</v>
      </c>
      <c r="F251" s="4">
        <v>2340</v>
      </c>
      <c r="G251" t="str">
        <v>5a2d799d-22a1-4e0a-b029-8031a1df6d56</v>
      </c>
      <c r="H251" t="str">
        <v>9fed28b3-82cf-4afa-8e8d-952adf7a54a5</v>
      </c>
      <c r="I251" t="str">
        <v/>
      </c>
      <c r="L251" t="str">
        <v>401318CA-BF39-49C3-9BDC-73836A8F9774</v>
      </c>
    </row>
    <row r="252" spans="1:12" x14ac:dyDescent="0.25">
      <c r="A252" t="str">
        <v>1FBCCD92-F5A8-4225-91DD-DCD8DF379BAE</v>
      </c>
      <c r="B252" t="str">
        <v>D15F8998-6E45-4D86-B01A-2F0FFDF61114</v>
      </c>
      <c r="C252" t="str">
        <v xml:space="preserve">SOLOLAKI VRF </v>
      </c>
      <c r="D252" t="str">
        <v>FEA4B88F-633F-4422-B3D6-250792A2DA80</v>
      </c>
      <c r="E252" t="str">
        <v>2021-04-29</v>
      </c>
      <c r="F252" s="4">
        <v>5350</v>
      </c>
      <c r="G252" t="str">
        <v>0790fb09-2de6-4ea3-a71c-58a007fc62a8</v>
      </c>
      <c r="H252" t="str">
        <v>9fed28b3-82cf-4afa-8e8d-952adf7a54a5</v>
      </c>
      <c r="I252" t="str">
        <v>1 6 30 1606</v>
      </c>
      <c r="L252" t="str">
        <v>C309CB7C-404D-431A-A8FB-29671DCA0C49</v>
      </c>
    </row>
    <row r="253" spans="1:12" x14ac:dyDescent="0.25">
      <c r="A253" t="str">
        <v>5699445E-FB58-4ECB-BE76-17B8232DBF8B</v>
      </c>
      <c r="B253" t="str">
        <v>B437C7DF-108A-4B75-B00F-01A3AA261703</v>
      </c>
      <c r="C253" t="str">
        <v>2 Units Mitsubishi Split Conditioner</v>
      </c>
      <c r="D253" t="str">
        <v>FEA4B88F-633F-4422-B3D6-250792A2DA80</v>
      </c>
      <c r="E253" t="str">
        <v>2021-05-13</v>
      </c>
      <c r="F253" s="4">
        <v>4420</v>
      </c>
      <c r="G253" t="str">
        <v>5a2d799d-22a1-4e0a-b029-8031a1df6d56</v>
      </c>
      <c r="H253" t="str">
        <v>9fed28b3-82cf-4afa-8e8d-952adf7a54a5</v>
      </c>
      <c r="I253" t="str">
        <v/>
      </c>
      <c r="L253" t="str">
        <v>401318CA-BF39-49C3-9BDC-73836A8F9774</v>
      </c>
    </row>
    <row r="254" spans="1:12" x14ac:dyDescent="0.25">
      <c r="A254" t="str">
        <v>CCC27BA8-7504-4433-935B-C84F0425246D</v>
      </c>
      <c r="B254" t="str">
        <v>8FB0EC97-AA52-41D1-8516-B3C255D651F7</v>
      </c>
      <c r="C254" t="str">
        <v>SARJVELADZE - VRF</v>
      </c>
      <c r="D254" t="str">
        <v>FEA4B88F-633F-4422-B3D6-250792A2DA80</v>
      </c>
      <c r="E254" t="str">
        <v>2021-01-12</v>
      </c>
      <c r="F254" s="4">
        <v>11441</v>
      </c>
      <c r="G254" t="str">
        <v>0790fb09-2de6-4ea3-a71c-58a007fc62a8</v>
      </c>
      <c r="H254" t="str">
        <v>9fed28b3-82cf-4afa-8e8d-952adf7a54a5</v>
      </c>
      <c r="I254" t="str">
        <v>1 6 30 1614</v>
      </c>
      <c r="L254" t="str">
        <v/>
      </c>
    </row>
    <row r="255" spans="1:12" x14ac:dyDescent="0.25">
      <c r="A255" t="str">
        <v>4B566549-74E9-41C8-8391-72C2AD451C7B</v>
      </c>
      <c r="B255" t="str">
        <v>31D45C00-CEC1-4C42-8E96-8127B22496EB</v>
      </c>
      <c r="C255" t="str">
        <v>Samkharauli SOS</v>
      </c>
      <c r="D255" t="str">
        <v>FEA4B88F-633F-4422-B3D6-250792A2DA80</v>
      </c>
      <c r="E255" t="str">
        <v>2021-04-01</v>
      </c>
      <c r="F255" s="4">
        <v>271416.96000000002</v>
      </c>
      <c r="G255" t="str">
        <v>5a2d799d-22a1-4e0a-b029-8031a1df6d56</v>
      </c>
      <c r="H255" t="str">
        <v>9fed28b3-82cf-4afa-8e8d-952adf7a54a5</v>
      </c>
      <c r="I255" t="str">
        <v>1 6 30 504</v>
      </c>
      <c r="L255" t="str">
        <v/>
      </c>
    </row>
    <row r="256" spans="1:12" x14ac:dyDescent="0.25">
      <c r="A256" t="str">
        <v>295BB4D6-362D-4F8D-8F3C-5C31FE2D84D5</v>
      </c>
      <c r="B256" t="str">
        <v>B3E373C9-2E2A-4FBA-BEC3-C5CE93DC6D4B</v>
      </c>
      <c r="C256" t="str">
        <v>ATU Conditioners</v>
      </c>
      <c r="D256" t="str">
        <v>FEA4B88F-633F-4422-B3D6-250792A2DA80</v>
      </c>
      <c r="E256" t="str">
        <v>2021-05-20</v>
      </c>
      <c r="F256" s="4">
        <v>31200</v>
      </c>
      <c r="G256" t="str">
        <v>5a2d799d-22a1-4e0a-b029-8031a1df6d56</v>
      </c>
      <c r="H256" t="str">
        <v>9fed28b3-82cf-4afa-8e8d-952adf7a54a5</v>
      </c>
      <c r="I256" t="str">
        <v/>
      </c>
      <c r="L256" t="str">
        <v>C309CB7C-404D-431A-A8FB-29671DCA0C49</v>
      </c>
    </row>
    <row r="257" spans="1:12" x14ac:dyDescent="0.25">
      <c r="A257" t="str">
        <v>B6E0A204-58B5-494C-916D-CF90B1FC158B</v>
      </c>
      <c r="B257" t="str">
        <v>43EABC78-AF64-4C14-9FEF-C7E6A1B6F07E</v>
      </c>
      <c r="C257" t="str">
        <v>HIEX</v>
      </c>
      <c r="D257" t="str">
        <v>FEA4B88F-633F-4422-B3D6-250792A2DA80</v>
      </c>
      <c r="E257" t="str">
        <v>2021-03-01</v>
      </c>
      <c r="F257" s="4">
        <v>678014.84</v>
      </c>
      <c r="G257" t="str">
        <v>0790fb09-2de6-4ea3-a71c-58a007fc62a8</v>
      </c>
      <c r="H257" t="str">
        <v>9fed28b3-82cf-4afa-8e8d-952adf7a54a5</v>
      </c>
      <c r="I257" t="str">
        <v/>
      </c>
      <c r="L257" t="str">
        <v/>
      </c>
    </row>
    <row r="258" spans="1:12" x14ac:dyDescent="0.25">
      <c r="A258" t="str">
        <v>67037D5C-5BCA-4FC1-A900-E85128C5635F</v>
      </c>
      <c r="B258" t="str">
        <v>EB68A48E-56D3-4801-8842-5ADFBBED62C4</v>
      </c>
      <c r="C258" t="str">
        <v xml:space="preserve">Germany Embassy </v>
      </c>
      <c r="D258" t="str">
        <v>FEA4B88F-633F-4422-B3D6-250792A2DA80</v>
      </c>
      <c r="E258" t="str">
        <v>2021-05-20</v>
      </c>
      <c r="F258" s="4">
        <v>4320</v>
      </c>
      <c r="G258" t="str">
        <v>5a2d799d-22a1-4e0a-b029-8031a1df6d56</v>
      </c>
      <c r="H258" t="str">
        <v>9fed28b3-82cf-4afa-8e8d-952adf7a54a5</v>
      </c>
      <c r="I258" t="str">
        <v>1 6 30 1635</v>
      </c>
      <c r="L258" t="str">
        <v>C309CB7C-404D-431A-A8FB-29671DCA0C49</v>
      </c>
    </row>
    <row r="259" spans="1:12" x14ac:dyDescent="0.25">
      <c r="A259" t="str">
        <v>B9FD8DFD-ACCC-4897-A244-E0780733CEA0</v>
      </c>
      <c r="B259" t="str">
        <v>EB68A48E-56D3-4801-8842-5ADFBBED62C4</v>
      </c>
      <c r="C259" t="str">
        <v xml:space="preserve">Germany Embassy </v>
      </c>
      <c r="D259" t="str">
        <v>31562B13-85C8-472E-8D02-01D802D635C1</v>
      </c>
      <c r="E259" t="str">
        <v>2021-05-25</v>
      </c>
      <c r="F259" s="4">
        <v>1</v>
      </c>
      <c r="G259" t="str">
        <v>4cfda3f2-535e-4b77-a467-eac9dc64feca</v>
      </c>
      <c r="H259" t="str">
        <v>9fed28b3-82cf-4afa-8e8d-952adf7a54a5</v>
      </c>
      <c r="I259" t="str">
        <v/>
      </c>
      <c r="L259" t="str">
        <v>C309CB7C-404D-431A-A8FB-29671DCA0C49</v>
      </c>
    </row>
    <row r="260" spans="1:12" x14ac:dyDescent="0.25">
      <c r="A260" t="str">
        <v>D953DB46-2A80-436C-958A-A42BC2C32408</v>
      </c>
      <c r="B260" t="str">
        <v>EB68A48E-56D3-4801-8842-5ADFBBED62C4</v>
      </c>
      <c r="C260" t="str">
        <v xml:space="preserve">Germany Embassy </v>
      </c>
      <c r="D260" t="str">
        <v>B5CAA716-CA9B-47D4-85D4-9954ED4DBAD2</v>
      </c>
      <c r="E260" t="str">
        <v>2021-05-20</v>
      </c>
      <c r="F260" s="4">
        <v>6000</v>
      </c>
      <c r="G260" t="str">
        <v>5a2d799d-22a1-4e0a-b029-8031a1df6d56</v>
      </c>
      <c r="H260" t="str">
        <v>9fed28b3-82cf-4afa-8e8d-952adf7a54a5</v>
      </c>
      <c r="I260" t="str">
        <v>1 6 30 1635</v>
      </c>
      <c r="L260" t="str">
        <v>C309CB7C-404D-431A-A8FB-29671DCA0C49</v>
      </c>
    </row>
    <row r="261" spans="1:12" x14ac:dyDescent="0.25">
      <c r="A261" t="str">
        <v>6DBEF53F-401E-44E0-9814-80DDDCB72384</v>
      </c>
      <c r="B261" t="str">
        <v>738F3469-9A4B-4388-A057-181EF691F93E</v>
      </c>
      <c r="C261" t="str">
        <v>Tabori Resorts</v>
      </c>
      <c r="D261" t="str">
        <v>FEA4B88F-633F-4422-B3D6-250792A2DA80</v>
      </c>
      <c r="E261" t="str">
        <v>2021-05-17</v>
      </c>
      <c r="F261" s="4">
        <v>2035</v>
      </c>
      <c r="G261" t="str">
        <v>0790fb09-2de6-4ea3-a71c-58a007fc62a8</v>
      </c>
      <c r="H261" t="str">
        <v>9fed28b3-82cf-4afa-8e8d-952adf7a54a5</v>
      </c>
      <c r="I261" t="str">
        <v/>
      </c>
      <c r="L261" t="str">
        <v/>
      </c>
    </row>
    <row r="262" spans="1:12" x14ac:dyDescent="0.25">
      <c r="A262" t="str">
        <v>253BD701-F3DE-4528-A4AE-AD150CF28316</v>
      </c>
      <c r="B262" t="str">
        <v>726D9023-53A2-435E-8A5B-8BCEA9625E08</v>
      </c>
      <c r="C262" t="str">
        <v>Tbili Sakhli Digomi</v>
      </c>
      <c r="D262" t="str">
        <v>B59170EC-16CC-499A-9FF7-0428DCB8F727</v>
      </c>
      <c r="E262" t="str">
        <v>2020-09-01</v>
      </c>
      <c r="F262" s="4">
        <v>54510</v>
      </c>
      <c r="G262" t="str">
        <v>0790fb09-2de6-4ea3-a71c-58a007fc62a8</v>
      </c>
      <c r="H262" t="str">
        <v>9fed28b3-82cf-4afa-8e8d-952adf7a54a5</v>
      </c>
      <c r="I262" t="str">
        <v>1 6 30 4 2</v>
      </c>
      <c r="L262" t="str">
        <v/>
      </c>
    </row>
    <row r="263" spans="1:12" x14ac:dyDescent="0.25">
      <c r="A263" t="str">
        <v>11037C10-1318-4614-A60F-754E1147CE9E</v>
      </c>
      <c r="B263" t="str">
        <v>EE204598-CC64-48B0-9F9F-E325686ED810</v>
      </c>
      <c r="C263" t="str">
        <v>Tsirekidze - Mitsubishi Split Conditioner</v>
      </c>
      <c r="D263" t="str">
        <v>FEA4B88F-633F-4422-B3D6-250792A2DA80</v>
      </c>
      <c r="E263" t="str">
        <v>2021-06-02</v>
      </c>
      <c r="F263" s="4">
        <v>2900</v>
      </c>
      <c r="G263" t="str">
        <v>5a2d799d-22a1-4e0a-b029-8031a1df6d56</v>
      </c>
      <c r="H263" t="str">
        <v>9fed28b3-82cf-4afa-8e8d-952adf7a54a5</v>
      </c>
      <c r="I263" t="str">
        <v/>
      </c>
      <c r="L263" t="str">
        <v>401318CA-BF39-49C3-9BDC-73836A8F9774</v>
      </c>
    </row>
    <row r="264" spans="1:12" x14ac:dyDescent="0.25">
      <c r="A264" t="str">
        <v>C1390D34-BF59-475B-A80E-0AE757B25D27</v>
      </c>
      <c r="B264" t="str">
        <v>378912CF-F98E-49C5-86EE-F343029B110A</v>
      </c>
      <c r="C264" t="str">
        <v>Norwegian Embassy</v>
      </c>
      <c r="D264" t="str">
        <v>FEA4B88F-633F-4422-B3D6-250792A2DA80</v>
      </c>
      <c r="E264" t="str">
        <v>2021-06-09</v>
      </c>
      <c r="F264" s="4">
        <v>3600</v>
      </c>
      <c r="G264" t="str">
        <v>5a2d799d-22a1-4e0a-b029-8031a1df6d56</v>
      </c>
      <c r="H264" t="str">
        <v>9fed28b3-82cf-4afa-8e8d-952adf7a54a5</v>
      </c>
      <c r="I264" t="str">
        <v/>
      </c>
      <c r="L264" t="str">
        <v>C309CB7C-404D-431A-A8FB-29671DCA0C49</v>
      </c>
    </row>
    <row r="265" spans="1:12" x14ac:dyDescent="0.25">
      <c r="A265" t="str">
        <v>F54A67D3-6554-4E60-A206-69BC6652A169</v>
      </c>
      <c r="B265" t="str">
        <v>08D1C5F5-CD74-4351-833E-A1B294127921</v>
      </c>
      <c r="C265" t="str">
        <v>Krtsanisi Residence</v>
      </c>
      <c r="D265" t="str">
        <v>FEA4B88F-633F-4422-B3D6-250792A2DA80</v>
      </c>
      <c r="E265" t="str">
        <v>2021-06-16</v>
      </c>
      <c r="F265" s="4">
        <v>2260</v>
      </c>
      <c r="G265" t="str">
        <v>5a2d799d-22a1-4e0a-b029-8031a1df6d56</v>
      </c>
      <c r="H265" t="str">
        <v>9fed28b3-82cf-4afa-8e8d-952adf7a54a5</v>
      </c>
      <c r="I265" t="str">
        <v/>
      </c>
      <c r="L265" t="str">
        <v>401318CA-BF39-49C3-9BDC-73836A8F9774</v>
      </c>
    </row>
    <row r="266" spans="1:12" x14ac:dyDescent="0.25">
      <c r="A266" t="str">
        <v>F9565BE8-F96B-4443-9495-DF9FF7F2DE6D</v>
      </c>
      <c r="B266" t="str">
        <v>7885E9EF-3269-491C-91E3-5E98A71863CD</v>
      </c>
      <c r="C266" t="str">
        <v>Okrokana</v>
      </c>
      <c r="D266" t="str">
        <v>B59170EC-16CC-499A-9FF7-0428DCB8F727</v>
      </c>
      <c r="E266" t="str">
        <v>2021-02-26</v>
      </c>
      <c r="F266" s="4">
        <v>29415</v>
      </c>
      <c r="G266" t="str">
        <v>0790fb09-2de6-4ea3-a71c-58a007fc62a8</v>
      </c>
      <c r="H266" t="str">
        <v>9fed28b3-82cf-4afa-8e8d-952adf7a54a5</v>
      </c>
      <c r="I266" t="str">
        <v>1 6 30 1580</v>
      </c>
      <c r="L266" t="str">
        <v/>
      </c>
    </row>
    <row r="267" spans="1:12" x14ac:dyDescent="0.25">
      <c r="A267" t="str">
        <v>17AA883E-0952-423F-92AB-AB644127C587</v>
      </c>
      <c r="B267" t="str">
        <v>7885E9EF-3269-491C-91E3-5E98A71863CD</v>
      </c>
      <c r="C267" t="str">
        <v>Okrokana  MEP</v>
      </c>
      <c r="D267" t="str">
        <v>FEA4B88F-633F-4422-B3D6-250792A2DA80</v>
      </c>
      <c r="E267" t="str">
        <v>2021-04-23</v>
      </c>
      <c r="F267" s="4">
        <v>22060</v>
      </c>
      <c r="G267" t="str">
        <v>0790fb09-2de6-4ea3-a71c-58a007fc62a8</v>
      </c>
      <c r="H267" t="str">
        <v>9fed28b3-82cf-4afa-8e8d-952adf7a54a5</v>
      </c>
      <c r="I267" t="str">
        <v/>
      </c>
      <c r="L267" t="str">
        <v/>
      </c>
    </row>
    <row r="268" spans="1:12" x14ac:dyDescent="0.25">
      <c r="A268" t="str">
        <v>B2C29FA7-FAAB-409D-9C60-153629AF1011</v>
      </c>
      <c r="B268" t="str">
        <v>08D1C5F5-CD74-4351-833E-A1B294127921</v>
      </c>
      <c r="C268" t="str">
        <v>Krtsanisi Residence 1</v>
      </c>
      <c r="D268" t="str">
        <v>FEA4B88F-633F-4422-B3D6-250792A2DA80</v>
      </c>
      <c r="E268" t="str">
        <v>2021-06-21</v>
      </c>
      <c r="F268" s="4">
        <v>2260</v>
      </c>
      <c r="G268" t="str">
        <v>5a2d799d-22a1-4e0a-b029-8031a1df6d56</v>
      </c>
      <c r="H268" t="str">
        <v>9fed28b3-82cf-4afa-8e8d-952adf7a54a5</v>
      </c>
      <c r="I268" t="str">
        <v/>
      </c>
      <c r="L268" t="str">
        <v>401318CA-BF39-49C3-9BDC-73836A8F9774</v>
      </c>
    </row>
    <row r="269" spans="1:12" x14ac:dyDescent="0.25">
      <c r="A269" t="str">
        <v>2C9BC2B2-3114-464D-BFAB-15A69088E204</v>
      </c>
      <c r="B269" t="str">
        <v>415016FC-2E12-41BF-A2FC-AA3E7475751A</v>
      </c>
      <c r="C269" t="str">
        <v>Lezhava - Mitsubishi Split Conditioner</v>
      </c>
      <c r="D269" t="str">
        <v>FEA4B88F-633F-4422-B3D6-250792A2DA80</v>
      </c>
      <c r="E269" t="str">
        <v>2021-06-22</v>
      </c>
      <c r="F269" s="4">
        <v>3000</v>
      </c>
      <c r="G269" t="str">
        <v>5a2d799d-22a1-4e0a-b029-8031a1df6d56</v>
      </c>
      <c r="H269" t="str">
        <v>9fed28b3-82cf-4afa-8e8d-952adf7a54a5</v>
      </c>
      <c r="I269" t="str">
        <v>1 6 30 1652</v>
      </c>
      <c r="L269" t="str">
        <v>401318CA-BF39-49C3-9BDC-73836A8F9774</v>
      </c>
    </row>
    <row r="270" spans="1:12" x14ac:dyDescent="0.25">
      <c r="A270" t="str">
        <v>5095A22C-341E-47B7-883D-118C3212BEB6</v>
      </c>
      <c r="B270" t="str">
        <v>EC7AFECD-A5A6-4AA2-8997-05ADC012B4EF</v>
      </c>
      <c r="C270" t="str">
        <v>Gagnidze - Mitsubishi Split Conditioner</v>
      </c>
      <c r="D270" t="str">
        <v>FEA4B88F-633F-4422-B3D6-250792A2DA80</v>
      </c>
      <c r="E270" t="str">
        <v>2021-06-22</v>
      </c>
      <c r="F270" s="4">
        <v>3350</v>
      </c>
      <c r="G270" t="str">
        <v>5a2d799d-22a1-4e0a-b029-8031a1df6d56</v>
      </c>
      <c r="H270" t="str">
        <v>9fed28b3-82cf-4afa-8e8d-952adf7a54a5</v>
      </c>
      <c r="I270" t="str">
        <v>1 6 30 1651</v>
      </c>
      <c r="L270" t="str">
        <v>B2931E48-3277-49C0-B41B-D5F9C4CA15EE</v>
      </c>
    </row>
    <row r="271" spans="1:12" x14ac:dyDescent="0.25">
      <c r="A271" t="str">
        <v>0BFA7858-C205-453E-8FB3-CFD81D7F14AE</v>
      </c>
      <c r="B271" t="str">
        <v>EC7AFECD-A5A6-4AA2-8997-05ADC012B4EF</v>
      </c>
      <c r="C271" t="str">
        <v>Gagnidze - Mitsubishi Split Conditioner Instalation</v>
      </c>
      <c r="D271" t="str">
        <v>FEA4B88F-633F-4422-B3D6-250792A2DA80</v>
      </c>
      <c r="E271" t="str">
        <v>2021-06-22</v>
      </c>
      <c r="F271" s="4">
        <v>500</v>
      </c>
      <c r="G271" t="str">
        <v>5a2d799d-22a1-4e0a-b029-8031a1df6d56</v>
      </c>
      <c r="H271" t="str">
        <v>9fed28b3-82cf-4afa-8e8d-952adf7a54a5</v>
      </c>
      <c r="I271" t="str">
        <v/>
      </c>
      <c r="L271" t="str">
        <v>B2931E48-3277-49C0-B41B-D5F9C4CA15EE</v>
      </c>
    </row>
    <row r="272" spans="1:12" x14ac:dyDescent="0.25">
      <c r="A272" t="str">
        <v>BFF752D7-1527-48D2-A677-69843D831669</v>
      </c>
      <c r="B272" t="str">
        <v>26DD56C7-5751-4761-A491-772703E8B7AC</v>
      </c>
      <c r="C272" t="str">
        <v>Hilton Batumi VRF Service</v>
      </c>
      <c r="D272" t="str">
        <v>31562B13-85C8-472E-8D02-01D802D635C1</v>
      </c>
      <c r="E272" t="str">
        <v>2021-06-21</v>
      </c>
      <c r="F272" s="4">
        <v>12000</v>
      </c>
      <c r="G272" t="str">
        <v>5a2d799d-22a1-4e0a-b029-8031a1df6d56</v>
      </c>
      <c r="H272" t="str">
        <v>9fed28b3-82cf-4afa-8e8d-952adf7a54a5</v>
      </c>
      <c r="I272" t="str">
        <v>1 6 31 1468</v>
      </c>
      <c r="L272" t="str">
        <v>C309CB7C-404D-431A-A8FB-29671DCA0C49</v>
      </c>
    </row>
    <row r="273" spans="1:12" x14ac:dyDescent="0.25">
      <c r="A273" t="str">
        <v>25DE0BBA-BB92-433B-9EF1-8A99D709779B</v>
      </c>
      <c r="B273" t="str">
        <v>8EAF0D8D-92BE-4709-B21A-592D4F372042</v>
      </c>
      <c r="C273" t="str">
        <v>10 Units Mitsubishi Split Conditioner</v>
      </c>
      <c r="D273" t="str">
        <v>FEA4B88F-633F-4422-B3D6-250792A2DA80</v>
      </c>
      <c r="E273" t="str">
        <v>2021-06-25</v>
      </c>
      <c r="F273" s="4">
        <v>13800</v>
      </c>
      <c r="G273" t="str">
        <v>5a2d799d-22a1-4e0a-b029-8031a1df6d56</v>
      </c>
      <c r="H273" t="str">
        <v>9fed28b3-82cf-4afa-8e8d-952adf7a54a5</v>
      </c>
      <c r="I273" t="str">
        <v/>
      </c>
      <c r="L273" t="str">
        <v/>
      </c>
    </row>
    <row r="274" spans="1:12" x14ac:dyDescent="0.25">
      <c r="A274" t="str">
        <v>F1BF095E-8231-4CE2-896C-292CD8300A73</v>
      </c>
      <c r="B274" t="str">
        <v>0DD68E80-3361-4FB3-9275-31E828438ADC</v>
      </c>
      <c r="C274" t="str">
        <v>Talakvadze - Mitsubishi Split Conditioner</v>
      </c>
      <c r="D274" t="str">
        <v>FEA4B88F-633F-4422-B3D6-250792A2DA80</v>
      </c>
      <c r="E274" t="str">
        <v>2021-06-28</v>
      </c>
      <c r="F274" s="4">
        <v>3590</v>
      </c>
      <c r="G274" t="str">
        <v>5a2d799d-22a1-4e0a-b029-8031a1df6d56</v>
      </c>
      <c r="H274" t="str">
        <v>9fed28b3-82cf-4afa-8e8d-952adf7a54a5</v>
      </c>
      <c r="I274" t="str">
        <v/>
      </c>
      <c r="L274" t="str">
        <v>401318CA-BF39-49C3-9BDC-73836A8F9774</v>
      </c>
    </row>
    <row r="275" spans="1:12" x14ac:dyDescent="0.25">
      <c r="A275" t="str">
        <v>B4CE2B7E-624E-4F3B-9471-0B062C85E8F8</v>
      </c>
      <c r="B275" t="str">
        <v>27BE7E23-FFE5-4CD0-B081-F330DBB2EDBF</v>
      </c>
      <c r="C275" t="str">
        <v>Bragvadze - Mitsubishi Split Conditioner</v>
      </c>
      <c r="D275" t="str">
        <v>FEA4B88F-633F-4422-B3D6-250792A2DA80</v>
      </c>
      <c r="E275" t="str">
        <v>2021-07-01</v>
      </c>
      <c r="F275" s="4">
        <v>1860</v>
      </c>
      <c r="G275" t="str">
        <v>5a2d799d-22a1-4e0a-b029-8031a1df6d56</v>
      </c>
      <c r="H275" t="str">
        <v>9fed28b3-82cf-4afa-8e8d-952adf7a54a5</v>
      </c>
      <c r="I275" t="str">
        <v/>
      </c>
      <c r="L275" t="str">
        <v>401318CA-BF39-49C3-9BDC-73836A8F9774</v>
      </c>
    </row>
    <row r="276" spans="1:12" x14ac:dyDescent="0.25">
      <c r="A276" t="str">
        <v>F3E5ACC9-4FD1-4256-BED3-5A4B95F48BD1</v>
      </c>
      <c r="B276" t="str">
        <v>150EE4A2-4E30-43C4-B94F-3DA3A283FD5B</v>
      </c>
      <c r="C276" t="str">
        <v>Ioseliani - Mitsubishi Split Conditioner</v>
      </c>
      <c r="D276" t="str">
        <v>FEA4B88F-633F-4422-B3D6-250792A2DA80</v>
      </c>
      <c r="E276" t="str">
        <v>2021-07-01</v>
      </c>
      <c r="F276" s="4">
        <v>3000</v>
      </c>
      <c r="G276" t="str">
        <v>5a2d799d-22a1-4e0a-b029-8031a1df6d56</v>
      </c>
      <c r="H276" t="str">
        <v>9fed28b3-82cf-4afa-8e8d-952adf7a54a5</v>
      </c>
      <c r="I276" t="str">
        <v/>
      </c>
      <c r="L276" t="str">
        <v>401318CA-BF39-49C3-9BDC-73836A8F9774</v>
      </c>
    </row>
    <row r="277" spans="1:12" x14ac:dyDescent="0.25">
      <c r="A277" t="str">
        <v>FE67AE9A-A8DD-4AC1-9804-5B2EB570F00B</v>
      </c>
      <c r="B277" t="str">
        <v>8832AAFF-F2AE-44E8-876A-E1B1B305B48C</v>
      </c>
      <c r="C277" t="str">
        <v>Machavariani - 3 Units Mitsubishi Split Conditioner</v>
      </c>
      <c r="D277" t="str">
        <v>FEA4B88F-633F-4422-B3D6-250792A2DA80</v>
      </c>
      <c r="E277" t="str">
        <v>2021-07-02</v>
      </c>
      <c r="F277" s="4">
        <v>4690</v>
      </c>
      <c r="G277" t="str">
        <v>5a2d799d-22a1-4e0a-b029-8031a1df6d56</v>
      </c>
      <c r="H277" t="str">
        <v>9fed28b3-82cf-4afa-8e8d-952adf7a54a5</v>
      </c>
      <c r="I277" t="str">
        <v/>
      </c>
      <c r="L277" t="str">
        <v>401318CA-BF39-49C3-9BDC-73836A8F9774</v>
      </c>
    </row>
    <row r="278" spans="1:12" x14ac:dyDescent="0.25">
      <c r="A278" t="str">
        <v>2BA776E5-9B1A-453D-9B11-10AA2601C462</v>
      </c>
      <c r="B278" t="str">
        <v>7885E9EF-3269-491C-91E3-5E98A71863CD</v>
      </c>
      <c r="C278" t="str">
        <v>Green life - 2 Units Mitsubishi Split Conditioner</v>
      </c>
      <c r="D278" t="str">
        <v>FEA4B88F-633F-4422-B3D6-250792A2DA80</v>
      </c>
      <c r="E278" t="str">
        <v>2021-07-02</v>
      </c>
      <c r="F278" s="4">
        <v>3720</v>
      </c>
      <c r="G278" t="str">
        <v>5a2d799d-22a1-4e0a-b029-8031a1df6d56</v>
      </c>
      <c r="H278" t="str">
        <v>9fed28b3-82cf-4afa-8e8d-952adf7a54a5</v>
      </c>
      <c r="I278" t="str">
        <v>1 6 30 1580 1</v>
      </c>
      <c r="L278" t="str">
        <v>401318CA-BF39-49C3-9BDC-73836A8F9774</v>
      </c>
    </row>
    <row r="279" spans="1:12" x14ac:dyDescent="0.25">
      <c r="A279" t="str">
        <v>0477E04F-A631-4E98-A274-BD38F2269178</v>
      </c>
      <c r="B279" t="str">
        <v>D4783163-8E1D-47D8-B183-54109C9F72EF</v>
      </c>
      <c r="C279" t="str">
        <v>Tavartkiladze - Mitsubishi Split Conditioner</v>
      </c>
      <c r="D279" t="str">
        <v>FEA4B88F-633F-4422-B3D6-250792A2DA80</v>
      </c>
      <c r="E279" t="str">
        <v>2021-07-06</v>
      </c>
      <c r="F279" s="4">
        <v>1380</v>
      </c>
      <c r="G279" t="str">
        <v>5a2d799d-22a1-4e0a-b029-8031a1df6d56</v>
      </c>
      <c r="H279" t="str">
        <v>9fed28b3-82cf-4afa-8e8d-952adf7a54a5</v>
      </c>
      <c r="I279" t="str">
        <v/>
      </c>
      <c r="L279" t="str">
        <v>401318CA-BF39-49C3-9BDC-73836A8F9774</v>
      </c>
    </row>
    <row r="280" spans="1:12" x14ac:dyDescent="0.25">
      <c r="A280" t="str">
        <v>1C4D425B-1862-4B65-9A50-F0827C6BBDB2</v>
      </c>
      <c r="B280" t="str">
        <v>1B684003-1740-451A-A1EC-48E5DB8B05D7</v>
      </c>
      <c r="C280" t="str">
        <v>Wendys Compressors</v>
      </c>
      <c r="D280" t="str">
        <v>FEA4B88F-633F-4422-B3D6-250792A2DA80</v>
      </c>
      <c r="E280" t="str">
        <v>2021-07-09</v>
      </c>
      <c r="F280" s="4">
        <v>6505</v>
      </c>
      <c r="G280" t="str">
        <v>0790fb09-2de6-4ea3-a71c-58a007fc62a8</v>
      </c>
      <c r="H280" t="str">
        <v>9fed28b3-82cf-4afa-8e8d-952adf7a54a5</v>
      </c>
      <c r="I280" t="str">
        <v>1 6 31 225</v>
      </c>
      <c r="L280" t="str">
        <v/>
      </c>
    </row>
    <row r="281" spans="1:12" x14ac:dyDescent="0.25">
      <c r="A281" t="str">
        <v>388D50BC-735A-4D45-A8E5-0CCCD4A0941A</v>
      </c>
      <c r="B281" t="str">
        <v>48FE0F65-3537-41CE-9A86-F1731BB59E25</v>
      </c>
      <c r="C281" t="str">
        <v>IBIS ORTACHALA MEP + VRF Washing</v>
      </c>
      <c r="D281" t="str">
        <v>FEA4B88F-633F-4422-B3D6-250792A2DA80</v>
      </c>
      <c r="E281" t="str">
        <v>2021-07-08</v>
      </c>
      <c r="F281" s="4">
        <v>7575</v>
      </c>
      <c r="G281" t="str">
        <v>0790fb09-2de6-4ea3-a71c-58a007fc62a8</v>
      </c>
      <c r="H281" t="str">
        <v>9fed28b3-82cf-4afa-8e8d-952adf7a54a5</v>
      </c>
      <c r="I281" t="str">
        <v/>
      </c>
      <c r="L281" t="str">
        <v>C309CB7C-404D-431A-A8FB-29671DCA0C49</v>
      </c>
    </row>
    <row r="282" spans="1:12" x14ac:dyDescent="0.25">
      <c r="A282" t="str">
        <v>B4D90CA1-AB04-40A7-93BE-F9B4F171032D</v>
      </c>
      <c r="B282" t="str">
        <v>3D0B2E19-A7F7-45A1-A329-05C7D5F99C8A</v>
      </c>
      <c r="C282" t="str">
        <v>Tbilisi Central MHI Compressor</v>
      </c>
      <c r="D282" t="str">
        <v>FEA4B88F-633F-4422-B3D6-250792A2DA80</v>
      </c>
      <c r="E282" t="str">
        <v>2021-07-12</v>
      </c>
      <c r="F282" s="4">
        <v>5920</v>
      </c>
      <c r="G282" t="str">
        <v>0790fb09-2de6-4ea3-a71c-58a007fc62a8</v>
      </c>
      <c r="H282" t="str">
        <v>9fed28b3-82cf-4afa-8e8d-952adf7a54a5</v>
      </c>
      <c r="I282" t="str">
        <v>1 6 30 1371</v>
      </c>
      <c r="L282" t="str">
        <v/>
      </c>
    </row>
    <row r="283" spans="1:12" x14ac:dyDescent="0.25">
      <c r="A283" t="str">
        <v>EE11BA1E-7E0C-45E3-BD16-704D5062A778</v>
      </c>
      <c r="B283" t="str">
        <v>94A66A38-9C06-4CF8-BD70-E15F7054355C</v>
      </c>
      <c r="C283" t="str">
        <v>ICEBERG</v>
      </c>
      <c r="D283" t="str">
        <v>B59170EC-16CC-499A-9FF7-0428DCB8F727</v>
      </c>
      <c r="E283" t="str">
        <v>2021-05-01</v>
      </c>
      <c r="F283" s="4">
        <v>31500</v>
      </c>
      <c r="G283" t="str">
        <v>5a2d799d-22a1-4e0a-b029-8031a1df6d56</v>
      </c>
      <c r="H283" t="str">
        <v>9fed28b3-82cf-4afa-8e8d-952adf7a54a5</v>
      </c>
      <c r="I283" t="str">
        <v>1 6 30 1599</v>
      </c>
      <c r="L283" t="str">
        <v/>
      </c>
    </row>
    <row r="284" spans="1:12" x14ac:dyDescent="0.25">
      <c r="A284" t="str">
        <v>00E49759-7F95-4756-93D9-AFBBC1721877</v>
      </c>
      <c r="B284" t="str">
        <v>FD75B701-F0B0-4EFD-934E-9BC3480483AE</v>
      </c>
      <c r="C284" t="str">
        <v>7th Heaven Mockup 2</v>
      </c>
      <c r="D284" t="str">
        <v>FEA4B88F-633F-4422-B3D6-250792A2DA80</v>
      </c>
      <c r="E284" t="str">
        <v>2021-06-01</v>
      </c>
      <c r="F284" s="4">
        <v>1</v>
      </c>
      <c r="G284" t="str">
        <v>5a2d799d-22a1-4e0a-b029-8031a1df6d56</v>
      </c>
      <c r="H284" t="str">
        <v>9fed28b3-82cf-4afa-8e8d-952adf7a54a5</v>
      </c>
      <c r="I284" t="str">
        <v/>
      </c>
      <c r="L284" t="str">
        <v/>
      </c>
    </row>
    <row r="285" spans="1:12" x14ac:dyDescent="0.25">
      <c r="A285" t="str">
        <v>FD995793-412F-44A2-828A-97643944E79E</v>
      </c>
      <c r="B285" t="str">
        <v>B4968862-3843-414D-9E73-1A7611618B41</v>
      </c>
      <c r="C285" t="str">
        <v>Inverter Board and Buttons</v>
      </c>
      <c r="D285" t="str">
        <v>C491BFF3-6F7B-4412-9DF0-EAED6F3EE238</v>
      </c>
      <c r="E285" t="str">
        <v>2021-05-13</v>
      </c>
      <c r="F285" s="4">
        <v>1150</v>
      </c>
      <c r="G285" t="str">
        <v>0790fb09-2de6-4ea3-a71c-58a007fc62a8</v>
      </c>
      <c r="H285" t="str">
        <v>9fed28b3-82cf-4afa-8e8d-952adf7a54a5</v>
      </c>
      <c r="I285" t="str">
        <v>1 6 31 902</v>
      </c>
      <c r="L285" t="str">
        <v>A4E9EDC7-B81F-4483-9069-A7790AEBE4FA</v>
      </c>
    </row>
    <row r="286" spans="1:12" x14ac:dyDescent="0.25">
      <c r="A286" t="str">
        <v>68E60BFC-794B-4930-8623-83A6EAEC4EEB</v>
      </c>
      <c r="B286" t="str">
        <v>7DDF7E55-92EE-4E47-9E16-F1D4D3FABF60</v>
      </c>
      <c r="C286" t="str">
        <v>Mziuri Office</v>
      </c>
      <c r="D286" t="str">
        <v>B59170EC-16CC-499A-9FF7-0428DCB8F727</v>
      </c>
      <c r="E286" t="str">
        <v>2021-07-15</v>
      </c>
      <c r="F286" s="4">
        <v>62500</v>
      </c>
      <c r="G286" t="str">
        <v>0790fb09-2de6-4ea3-a71c-58a007fc62a8</v>
      </c>
      <c r="H286" t="str">
        <v>9fed28b3-82cf-4afa-8e8d-952adf7a54a5</v>
      </c>
      <c r="I286" t="str">
        <v>1 6 30 1132 5</v>
      </c>
      <c r="L286" t="str">
        <v/>
      </c>
    </row>
    <row r="287" spans="1:12" x14ac:dyDescent="0.25">
      <c r="A287" t="str">
        <v>72A4E017-677E-4C04-8946-3A941DA81F07</v>
      </c>
      <c r="B287" t="str">
        <v>933470D5-D1F0-4CB0-8738-317256F1B307</v>
      </c>
      <c r="C287" t="str">
        <v>Mziuri Garden</v>
      </c>
      <c r="D287" t="str">
        <v>B59170EC-16CC-499A-9FF7-0428DCB8F727</v>
      </c>
      <c r="E287" t="str">
        <v>2021-07-21</v>
      </c>
      <c r="F287" s="4">
        <v>575281.93000000005</v>
      </c>
      <c r="G287" t="str">
        <v>0790fb09-2de6-4ea3-a71c-58a007fc62a8</v>
      </c>
      <c r="H287" t="str">
        <v>9fed28b3-82cf-4afa-8e8d-952adf7a54a5</v>
      </c>
      <c r="I287" t="str">
        <v>1630 1703 1</v>
      </c>
      <c r="L287" t="str">
        <v/>
      </c>
    </row>
    <row r="288" spans="1:12" x14ac:dyDescent="0.25">
      <c r="A288" t="str">
        <v>EB0EFE21-F26B-4E3C-A378-8C460BEC7D38</v>
      </c>
      <c r="B288" t="str">
        <v>3D0B2E19-A7F7-45A1-A329-05C7D5F99C8A</v>
      </c>
      <c r="C288" t="str">
        <v>Tbilisi Central Conditioners system</v>
      </c>
      <c r="D288" t="str">
        <v>FEA4B88F-633F-4422-B3D6-250792A2DA80</v>
      </c>
      <c r="E288" t="str">
        <v>2021-08-05</v>
      </c>
      <c r="F288" s="4">
        <v>34060</v>
      </c>
      <c r="G288" t="str">
        <v>0790fb09-2de6-4ea3-a71c-58a007fc62a8</v>
      </c>
      <c r="H288" t="str">
        <v>9fed28b3-82cf-4afa-8e8d-952adf7a54a5</v>
      </c>
      <c r="I288" t="str">
        <v>1 6 30 1371</v>
      </c>
      <c r="L288" t="str">
        <v>C309CB7C-404D-431A-A8FB-29671DCA0C49</v>
      </c>
    </row>
    <row r="289" spans="1:12" x14ac:dyDescent="0.25">
      <c r="A289" t="str">
        <v>05075E08-C469-4344-970E-4AF1BE573411</v>
      </c>
      <c r="B289" t="str">
        <v>25CDD3DB-B92D-4066-8363-867726289059</v>
      </c>
      <c r="C289" t="str">
        <v>Lisi Green</v>
      </c>
      <c r="D289" t="str">
        <v>B59170EC-16CC-499A-9FF7-0428DCB8F727</v>
      </c>
      <c r="E289" t="str">
        <v>2021-08-06</v>
      </c>
      <c r="F289" s="4">
        <v>55690</v>
      </c>
      <c r="G289" t="str">
        <v>0790fb09-2de6-4ea3-a71c-58a007fc62a8</v>
      </c>
      <c r="H289" t="str">
        <v>9fed28b3-82cf-4afa-8e8d-952adf7a54a5</v>
      </c>
      <c r="I289" t="str">
        <v>1 6 30 1697</v>
      </c>
      <c r="L289" t="str">
        <v/>
      </c>
    </row>
    <row r="290" spans="1:12" x14ac:dyDescent="0.25">
      <c r="A290" t="str">
        <v>46E338E4-B5D7-4F56-8DAF-10D23A299F44</v>
      </c>
      <c r="B290" t="str">
        <v>1018E99A-DFDB-452F-BF44-0F3B42213AA9</v>
      </c>
      <c r="C290" t="str">
        <v>Disabled Platform</v>
      </c>
      <c r="D290" t="str">
        <v>B59170EC-16CC-499A-9FF7-0428DCB8F727</v>
      </c>
      <c r="E290" t="str">
        <v>2021-05-10</v>
      </c>
      <c r="F290" s="4">
        <v>11800</v>
      </c>
      <c r="G290" t="str">
        <v>0790fb09-2de6-4ea3-a71c-58a007fc62a8</v>
      </c>
      <c r="H290" t="str">
        <v>9fed28b3-82cf-4afa-8e8d-952adf7a54a5</v>
      </c>
      <c r="I290" t="str">
        <v>1 6 30 1617</v>
      </c>
      <c r="L290" t="str">
        <v/>
      </c>
    </row>
    <row r="291" spans="1:12" x14ac:dyDescent="0.25">
      <c r="A291" t="str">
        <v>FBF5D449-C6D6-4821-99A4-5050C11AE20B</v>
      </c>
      <c r="B291" t="str">
        <v>726D9023-53A2-435E-8A5B-8BCEA9625E08</v>
      </c>
      <c r="C291" t="str">
        <v>Carrier AC</v>
      </c>
      <c r="D291" t="str">
        <v>FEA4B88F-633F-4422-B3D6-250792A2DA80</v>
      </c>
      <c r="E291" t="str">
        <v>2021-08-12</v>
      </c>
      <c r="F291" s="4">
        <v>7600</v>
      </c>
      <c r="G291" t="str">
        <v>0790fb09-2de6-4ea3-a71c-58a007fc62a8</v>
      </c>
      <c r="H291" t="str">
        <v>9fed28b3-82cf-4afa-8e8d-952adf7a54a5</v>
      </c>
      <c r="I291" t="str">
        <v/>
      </c>
      <c r="L291" t="str">
        <v>401318CA-BF39-49C3-9BDC-73836A8F9774</v>
      </c>
    </row>
    <row r="292" spans="1:12" x14ac:dyDescent="0.25">
      <c r="A292" t="str">
        <v>DD87F96F-2DDE-46CD-8140-86CA6D815A40</v>
      </c>
      <c r="B292" t="str">
        <v>726D9023-53A2-435E-8A5B-8BCEA9625E08</v>
      </c>
      <c r="C292" t="str">
        <v>Akhaltsikhe Compressor</v>
      </c>
      <c r="D292" t="str">
        <v>FEA4B88F-633F-4422-B3D6-250792A2DA80</v>
      </c>
      <c r="E292" t="str">
        <v>2021-02-03</v>
      </c>
      <c r="F292" s="4">
        <v>3100</v>
      </c>
      <c r="G292" t="str">
        <v>0790fb09-2de6-4ea3-a71c-58a007fc62a8</v>
      </c>
      <c r="H292" t="str">
        <v>9fed28b3-82cf-4afa-8e8d-952adf7a54a5</v>
      </c>
      <c r="I292" t="str">
        <v/>
      </c>
      <c r="L292" t="str">
        <v>401318CA-BF39-49C3-9BDC-73836A8F9774</v>
      </c>
    </row>
    <row r="293" spans="1:12" x14ac:dyDescent="0.25">
      <c r="A293" t="str">
        <v>6E0930C6-BD7B-47D3-8C6D-2C31634A01E6</v>
      </c>
      <c r="B293" t="str">
        <v>046B5A1C-4C60-4272-A65C-20FC658BEFEC</v>
      </c>
      <c r="C293" t="str">
        <v>Toshiba Outdoor Unit</v>
      </c>
      <c r="D293" t="str">
        <v>FEA4B88F-633F-4422-B3D6-250792A2DA80</v>
      </c>
      <c r="E293" t="str">
        <v>2021-08-26</v>
      </c>
      <c r="F293" s="4">
        <v>320</v>
      </c>
      <c r="G293" t="str">
        <v>0790fb09-2de6-4ea3-a71c-58a007fc62a8</v>
      </c>
      <c r="H293" t="str">
        <v>9fed28b3-82cf-4afa-8e8d-952adf7a54a5</v>
      </c>
      <c r="I293" t="str">
        <v/>
      </c>
      <c r="L293" t="str">
        <v>401318CA-BF39-49C3-9BDC-73836A8F9774</v>
      </c>
    </row>
    <row r="294" spans="1:12" x14ac:dyDescent="0.25">
      <c r="A294" t="str">
        <v>A0F5E8C8-F574-497B-8136-430475789711</v>
      </c>
      <c r="B294" t="str">
        <v>4D14C355-EC7F-4B2D-A2C7-CE79B3AEAD88</v>
      </c>
      <c r="C294" t="str">
        <v>Hilton 1703</v>
      </c>
      <c r="D294" t="str">
        <v>FEA4B88F-633F-4422-B3D6-250792A2DA80</v>
      </c>
      <c r="E294" t="str">
        <v>2021-08-16</v>
      </c>
      <c r="F294" s="4">
        <v>2675</v>
      </c>
      <c r="G294" t="str">
        <v>0790fb09-2de6-4ea3-a71c-58a007fc62a8</v>
      </c>
      <c r="H294" t="str">
        <v>9fed28b3-82cf-4afa-8e8d-952adf7a54a5</v>
      </c>
      <c r="I294" t="str">
        <v/>
      </c>
      <c r="L294" t="str">
        <v>401318CA-BF39-49C3-9BDC-73836A8F9774</v>
      </c>
    </row>
    <row r="295" spans="1:12" x14ac:dyDescent="0.25">
      <c r="A295" t="str">
        <v>7F14CD1F-83C7-47D4-A33E-ED0751BF2CB8</v>
      </c>
      <c r="B295" t="str">
        <v>726D9023-53A2-435E-8A5B-8BCEA9625E08</v>
      </c>
      <c r="C295" t="str">
        <v>Gogotishvili kaklebi</v>
      </c>
      <c r="D295" t="str">
        <v>FEA4B88F-633F-4422-B3D6-250792A2DA80</v>
      </c>
      <c r="E295" t="str">
        <v>2021-08-19</v>
      </c>
      <c r="F295" s="4">
        <v>8805</v>
      </c>
      <c r="G295" t="str">
        <v>0790fb09-2de6-4ea3-a71c-58a007fc62a8</v>
      </c>
      <c r="H295" t="str">
        <v>9fed28b3-82cf-4afa-8e8d-952adf7a54a5</v>
      </c>
      <c r="I295" t="str">
        <v/>
      </c>
      <c r="L295" t="str">
        <v/>
      </c>
    </row>
    <row r="296" spans="1:12" x14ac:dyDescent="0.25">
      <c r="A296" t="str">
        <v>B9DA0AD3-690A-4CA3-8981-98AFCBCC6791</v>
      </c>
      <c r="B296" t="str">
        <v>719CFA1F-8A29-4D35-BF48-504F010EA546</v>
      </c>
      <c r="C296" t="str">
        <v>Armenia Project</v>
      </c>
      <c r="D296" t="str">
        <v>FEA4B88F-633F-4422-B3D6-250792A2DA80</v>
      </c>
      <c r="E296" t="str">
        <v>2021-07-06</v>
      </c>
      <c r="F296" s="4">
        <v>4681</v>
      </c>
      <c r="G296" t="str">
        <v>0790fb09-2de6-4ea3-a71c-58a007fc62a8</v>
      </c>
      <c r="H296" t="str">
        <v>9fed28b3-82cf-4afa-8e8d-952adf7a54a5</v>
      </c>
      <c r="I296" t="str">
        <v/>
      </c>
      <c r="L296" t="str">
        <v/>
      </c>
    </row>
    <row r="297" spans="1:12" x14ac:dyDescent="0.25">
      <c r="A297" t="str">
        <v>E33988DD-3F3B-4397-B736-73C95D7557AE</v>
      </c>
      <c r="B297" t="str">
        <v>5E3E7CDB-6C59-424F-BE60-1115A70E3B8E</v>
      </c>
      <c r="C297" t="str">
        <v>Supreme Solutions</v>
      </c>
      <c r="D297" t="str">
        <v>FEA4B88F-633F-4422-B3D6-250792A2DA80</v>
      </c>
      <c r="E297" t="str">
        <v>2021-09-28</v>
      </c>
      <c r="F297" s="4">
        <v>2975</v>
      </c>
      <c r="G297" t="str">
        <v>0790fb09-2de6-4ea3-a71c-58a007fc62a8</v>
      </c>
      <c r="H297" t="str">
        <v>9fed28b3-82cf-4afa-8e8d-952adf7a54a5</v>
      </c>
      <c r="I297" t="str">
        <v/>
      </c>
      <c r="L297" t="str">
        <v>401318CA-BF39-49C3-9BDC-73836A8F9774</v>
      </c>
    </row>
    <row r="298" spans="1:12" x14ac:dyDescent="0.25">
      <c r="A298" t="str">
        <v>A5B0D7A8-41BF-419C-BEFF-6C24D5E3B233</v>
      </c>
      <c r="B298" t="str">
        <v>48FE0F65-3537-41CE-9A86-F1731BB59E25</v>
      </c>
      <c r="C298" t="str">
        <v>HOTEL IBIS VRV Service</v>
      </c>
      <c r="D298" t="str">
        <v>B5CAA716-CA9B-47D4-85D4-9954ED4DBAD2</v>
      </c>
      <c r="E298" t="str">
        <v>2021-07-23</v>
      </c>
      <c r="F298" s="4">
        <v>2650</v>
      </c>
      <c r="G298" t="str">
        <v>0790fb09-2de6-4ea3-a71c-58a007fc62a8</v>
      </c>
      <c r="H298" t="str">
        <v>9fed28b3-82cf-4afa-8e8d-952adf7a54a5</v>
      </c>
      <c r="I298" t="str">
        <v>1 6 31 1655</v>
      </c>
      <c r="L298" t="str">
        <v>C309CB7C-404D-431A-A8FB-29671DCA0C49</v>
      </c>
    </row>
    <row r="299" spans="1:12" x14ac:dyDescent="0.25">
      <c r="A299" t="str">
        <v>F3E662E0-2276-4959-AEF7-FAA08D2B5257</v>
      </c>
      <c r="B299" t="str">
        <v>7DDF7E55-92EE-4E47-9E16-F1D4D3FABF60</v>
      </c>
      <c r="C299" t="str">
        <v>Makhata</v>
      </c>
      <c r="D299" t="str">
        <v>B59170EC-16CC-499A-9FF7-0428DCB8F727</v>
      </c>
      <c r="E299" t="str">
        <v>2021-10-05</v>
      </c>
      <c r="F299" s="4">
        <v>1158300</v>
      </c>
      <c r="G299" t="str">
        <v>0790fb09-2de6-4ea3-a71c-58a007fc62a8</v>
      </c>
      <c r="H299" t="str">
        <v>9fed28b3-82cf-4afa-8e8d-952adf7a54a5</v>
      </c>
      <c r="I299" t="str">
        <v>1 6 30 1132 6</v>
      </c>
      <c r="L299" t="str">
        <v/>
      </c>
    </row>
    <row r="300" spans="1:12" x14ac:dyDescent="0.25">
      <c r="A300" t="str">
        <v>4932E4A3-203D-47F8-9146-F2227B6DD2BB</v>
      </c>
      <c r="B300" t="str">
        <v>659DF8DF-26D9-41A4-81E1-287946E368FA</v>
      </c>
      <c r="C300" t="str">
        <v>BLC VRF</v>
      </c>
      <c r="D300" t="str">
        <v>FEA4B88F-633F-4422-B3D6-250792A2DA80</v>
      </c>
      <c r="E300" t="str">
        <v>2021-08-20</v>
      </c>
      <c r="F300" s="4">
        <v>6890</v>
      </c>
      <c r="G300" t="str">
        <v>0790fb09-2de6-4ea3-a71c-58a007fc62a8</v>
      </c>
      <c r="H300" t="str">
        <v>9fed28b3-82cf-4afa-8e8d-952adf7a54a5</v>
      </c>
      <c r="I300" t="str">
        <v>1 6 30 1707</v>
      </c>
      <c r="L300" t="str">
        <v/>
      </c>
    </row>
    <row r="301" spans="1:12" x14ac:dyDescent="0.25">
      <c r="A301" t="str">
        <v>F8FE7D90-F5DA-49F4-9668-66C44E339AB9</v>
      </c>
      <c r="B301" t="str">
        <v>14F0723B-2DFE-490E-80A0-15A1B4545C49</v>
      </c>
      <c r="C301" t="str">
        <v>Jgenti Warehouse</v>
      </c>
      <c r="D301" t="str">
        <v>B59170EC-16CC-499A-9FF7-0428DCB8F727</v>
      </c>
      <c r="E301" t="str">
        <v>2021-09-27</v>
      </c>
      <c r="F301" s="4">
        <v>29850</v>
      </c>
      <c r="G301" t="str">
        <v>0790fb09-2de6-4ea3-a71c-58a007fc62a8</v>
      </c>
      <c r="H301" t="str">
        <v>9fed28b3-82cf-4afa-8e8d-952adf7a54a5</v>
      </c>
      <c r="I301" t="str">
        <v>1 6 30 1720</v>
      </c>
      <c r="L301" t="str">
        <v/>
      </c>
    </row>
    <row r="302" spans="1:12" x14ac:dyDescent="0.25">
      <c r="A302" t="str">
        <v>3455D38B-7359-49D2-8DA9-D57E251D22BC</v>
      </c>
      <c r="B302" t="str">
        <v>C150916F-F6F1-4AAB-ADBF-39138A6288BA</v>
      </c>
      <c r="C302" t="str">
        <v>Vake Apartment</v>
      </c>
      <c r="D302" t="str">
        <v>FEA4B88F-633F-4422-B3D6-250792A2DA80</v>
      </c>
      <c r="E302" t="str">
        <v>2021-10-01</v>
      </c>
      <c r="F302" s="4">
        <v>13930</v>
      </c>
      <c r="G302" t="str">
        <v>0790fb09-2de6-4ea3-a71c-58a007fc62a8</v>
      </c>
      <c r="H302" t="str">
        <v>9fed28b3-82cf-4afa-8e8d-952adf7a54a5</v>
      </c>
      <c r="I302" t="str">
        <v>1 6 30 1732</v>
      </c>
      <c r="L302" t="str">
        <v/>
      </c>
    </row>
    <row r="303" spans="1:12" x14ac:dyDescent="0.25">
      <c r="A303" t="str">
        <v>C33BDAEB-0F9D-45DA-8F8A-D080739C67CA</v>
      </c>
      <c r="B303" t="str">
        <v>BE85F113-ED2E-49E3-82F1-CFA5A146ACFA</v>
      </c>
      <c r="C303" t="str">
        <v xml:space="preserve">Anton Voronin -HILTON BATUMI </v>
      </c>
      <c r="D303" t="str">
        <v>FEA4B88F-633F-4422-B3D6-250792A2DA80</v>
      </c>
      <c r="E303" t="str">
        <v>2021-10-15</v>
      </c>
      <c r="F303" s="4">
        <v>3505</v>
      </c>
      <c r="G303" t="str">
        <v>0790fb09-2de6-4ea3-a71c-58a007fc62a8</v>
      </c>
      <c r="H303" t="str">
        <v>9fed28b3-82cf-4afa-8e8d-952adf7a54a5</v>
      </c>
      <c r="I303" t="str">
        <v/>
      </c>
      <c r="L303" t="str">
        <v>401318CA-BF39-49C3-9BDC-73836A8F9774</v>
      </c>
    </row>
    <row r="304" spans="1:12" x14ac:dyDescent="0.25">
      <c r="A304" t="str">
        <v>48BDFDAC-9334-451B-99C2-00839670B7C6</v>
      </c>
      <c r="B304" t="str">
        <v>9CC4F811-3CFB-458A-B444-2C67195A5178</v>
      </c>
      <c r="C304" t="str">
        <v>Batumi Stadium</v>
      </c>
      <c r="D304" t="str">
        <v>12238130-9D12-4099-A48B-9EB5A085E0F8</v>
      </c>
      <c r="E304" t="str">
        <v>2021-10-07</v>
      </c>
      <c r="F304" s="4">
        <v>43200</v>
      </c>
      <c r="G304" t="str">
        <v>5a2d799d-22a1-4e0a-b029-8031a1df6d56</v>
      </c>
      <c r="H304" t="str">
        <v>9fed28b3-82cf-4afa-8e8d-952adf7a54a5</v>
      </c>
      <c r="I304" t="str">
        <v>1 6 31 1739</v>
      </c>
      <c r="L304" t="str">
        <v>A4E9EDC7-B81F-4483-9069-A7790AEBE4FA</v>
      </c>
    </row>
    <row r="305" spans="1:12" x14ac:dyDescent="0.25">
      <c r="A305" t="str">
        <v>BDC6A343-35DF-4438-B271-A93AA6CB9752</v>
      </c>
      <c r="B305" t="str">
        <v>C0FA4151-5E85-487D-96C5-68E4CE197C87</v>
      </c>
      <c r="C305" t="str">
        <v>Mshvildosani - Mitsubishi Conditioner</v>
      </c>
      <c r="D305" t="str">
        <v>FEA4B88F-633F-4422-B3D6-250792A2DA80</v>
      </c>
      <c r="E305" t="str">
        <v>2021-11-11</v>
      </c>
      <c r="F305" s="4">
        <v>1870</v>
      </c>
      <c r="G305" t="str">
        <v>5a2d799d-22a1-4e0a-b029-8031a1df6d56</v>
      </c>
      <c r="H305" t="str">
        <v>9fed28b3-82cf-4afa-8e8d-952adf7a54a5</v>
      </c>
      <c r="I305" t="str">
        <v/>
      </c>
      <c r="L305" t="str">
        <v>401318CA-BF39-49C3-9BDC-73836A8F9774</v>
      </c>
    </row>
    <row r="306" spans="1:12" x14ac:dyDescent="0.25">
      <c r="A306" t="str">
        <v>150F2BB6-D108-42DA-B719-736A38723D4D</v>
      </c>
      <c r="B306" t="str">
        <v>079E40C8-D88D-476C-BDEF-D2EBF2E4E276</v>
      </c>
      <c r="C306" t="str">
        <v>Shartava 39</v>
      </c>
      <c r="D306" t="str">
        <v>12238130-9D12-4099-A48B-9EB5A085E0F8</v>
      </c>
      <c r="E306" t="str">
        <v>2021-05-01</v>
      </c>
      <c r="F306" s="4">
        <v>450</v>
      </c>
      <c r="G306" t="str">
        <v>5a2d799d-22a1-4e0a-b029-8031a1df6d56</v>
      </c>
      <c r="H306" t="str">
        <v>9fed28b3-82cf-4afa-8e8d-952adf7a54a5</v>
      </c>
      <c r="I306" t="str">
        <v>1 6 31 1626</v>
      </c>
      <c r="L306" t="str">
        <v>A4E9EDC7-B81F-4483-9069-A7790AEBE4FA</v>
      </c>
    </row>
    <row r="307" spans="1:12" x14ac:dyDescent="0.25">
      <c r="A307" t="str">
        <v>3D5D929F-3463-45E5-9F02-79F8C75DB4C4</v>
      </c>
      <c r="B307" t="str">
        <v>B3E373C9-2E2A-4FBA-BEC3-C5CE93DC6D4B</v>
      </c>
      <c r="C307" t="str">
        <v>Kitchen Fan</v>
      </c>
      <c r="D307" t="str">
        <v>FEA4B88F-633F-4422-B3D6-250792A2DA80</v>
      </c>
      <c r="E307" t="str">
        <v>2021-11-29</v>
      </c>
      <c r="F307" s="4">
        <v>22250</v>
      </c>
      <c r="G307" t="str">
        <v>4cfda3f2-535e-4b77-a467-eac9dc64feca</v>
      </c>
      <c r="H307" t="str">
        <v>9fed28b3-82cf-4afa-8e8d-952adf7a54a5</v>
      </c>
      <c r="I307" t="str">
        <v/>
      </c>
      <c r="L307" t="str">
        <v>C309CB7C-404D-431A-A8FB-29671DCA0C49</v>
      </c>
    </row>
    <row r="308" spans="1:12" x14ac:dyDescent="0.25">
      <c r="A308" t="str">
        <v>4799E7CE-CC53-4FAF-B671-8E593922F7CD</v>
      </c>
      <c r="B308" t="str">
        <v>842A48FE-651B-4120-9F5E-F00AF55C0692</v>
      </c>
      <c r="C308" t="str">
        <v>Khachatrian - Mitsubishi Split Conditioner</v>
      </c>
      <c r="D308" t="str">
        <v>FEA4B88F-633F-4422-B3D6-250792A2DA80</v>
      </c>
      <c r="E308" t="str">
        <v>2021-12-06</v>
      </c>
      <c r="F308" s="4">
        <v>6600</v>
      </c>
      <c r="G308" t="str">
        <v>5a2d799d-22a1-4e0a-b029-8031a1df6d56</v>
      </c>
      <c r="H308" t="str">
        <v>9fed28b3-82cf-4afa-8e8d-952adf7a54a5</v>
      </c>
      <c r="I308" t="str">
        <v>1 6 30 1751</v>
      </c>
      <c r="L308" t="str">
        <v>C309CB7C-404D-431A-A8FB-29671DCA0C49</v>
      </c>
    </row>
    <row r="309" spans="1:12" x14ac:dyDescent="0.25">
      <c r="A309" t="str">
        <v>FA3D0A89-18D5-47BB-8E21-ACD82DCED4FD</v>
      </c>
      <c r="B309" t="str">
        <v>8C656830-971B-4F16-823C-B3F9461FD619</v>
      </c>
      <c r="C309" t="str">
        <v>Fans and Dumper</v>
      </c>
      <c r="D309" t="str">
        <v>FEA4B88F-633F-4422-B3D6-250792A2DA80</v>
      </c>
      <c r="E309" t="str">
        <v>2021-12-01</v>
      </c>
      <c r="F309" s="4">
        <v>9500</v>
      </c>
      <c r="G309" t="str">
        <v>0790fb09-2de6-4ea3-a71c-58a007fc62a8</v>
      </c>
      <c r="H309" t="str">
        <v>9fed28b3-82cf-4afa-8e8d-952adf7a54a5</v>
      </c>
      <c r="I309" t="str">
        <v/>
      </c>
      <c r="L309" t="str">
        <v>C309CB7C-404D-431A-A8FB-29671DCA0C49</v>
      </c>
    </row>
    <row r="310" spans="1:12" x14ac:dyDescent="0.25">
      <c r="A310" t="str">
        <v>CA21A428-93AA-4FDF-980E-486EC36530FC</v>
      </c>
      <c r="B310" t="str">
        <v>C1B734D0-6642-4B4C-AD22-ABF60C8F299C</v>
      </c>
      <c r="C310" t="str">
        <v>Premium Group</v>
      </c>
      <c r="D310" t="str">
        <v>B59170EC-16CC-499A-9FF7-0428DCB8F727</v>
      </c>
      <c r="E310" t="str">
        <v>2021-12-24</v>
      </c>
      <c r="F310" s="4">
        <v>400000</v>
      </c>
      <c r="G310" t="str">
        <v>0790fb09-2de6-4ea3-a71c-58a007fc62a8</v>
      </c>
      <c r="H310" t="str">
        <v>9fed28b3-82cf-4afa-8e8d-952adf7a54a5</v>
      </c>
      <c r="I310" t="str">
        <v>1 6 30 1820</v>
      </c>
      <c r="L310" t="str">
        <v/>
      </c>
    </row>
    <row r="311" spans="1:12" x14ac:dyDescent="0.25">
      <c r="A311" t="str">
        <v>B669FD06-8B10-470B-BE04-D96A1E457018</v>
      </c>
      <c r="B311" t="str">
        <v>AFCD9F23-05C7-4391-B0B8-DCFA0C2F7F05</v>
      </c>
      <c r="C311" t="str">
        <v>HAVANA CLUB KIFSHIDZE</v>
      </c>
      <c r="D311" t="str">
        <v>B5CAA716-CA9B-47D4-85D4-9954ED4DBAD2</v>
      </c>
      <c r="E311" t="str">
        <v>2022-01-10</v>
      </c>
      <c r="F311" s="4">
        <v>3000</v>
      </c>
      <c r="G311" t="str">
        <v>5a2d799d-22a1-4e0a-b029-8031a1df6d56</v>
      </c>
      <c r="H311" t="str">
        <v>9fed28b3-82cf-4afa-8e8d-952adf7a54a5</v>
      </c>
      <c r="I311" t="str">
        <v/>
      </c>
      <c r="L311" t="str">
        <v>C309CB7C-404D-431A-A8FB-29671DCA0C49</v>
      </c>
    </row>
    <row r="312" spans="1:12" x14ac:dyDescent="0.25">
      <c r="A312" t="str">
        <v>FDCA881B-9BEC-41C6-80D0-19AC10CDCC8D</v>
      </c>
      <c r="B312" t="str">
        <v>90293CD0-6262-4F6E-9B52-E8D909232966</v>
      </c>
      <c r="C312" t="str">
        <v>Sea Tower</v>
      </c>
      <c r="D312" t="str">
        <v>B59170EC-16CC-499A-9FF7-0428DCB8F727</v>
      </c>
      <c r="E312" t="str">
        <v>2021-04-07</v>
      </c>
      <c r="F312" s="4">
        <v>429922</v>
      </c>
      <c r="G312" t="str">
        <v>0790fb09-2de6-4ea3-a71c-58a007fc62a8</v>
      </c>
      <c r="H312" t="str">
        <v>9fed28b3-82cf-4afa-8e8d-952adf7a54a5</v>
      </c>
      <c r="I312" t="str">
        <v/>
      </c>
      <c r="L312" t="str">
        <v/>
      </c>
    </row>
    <row r="313" spans="1:12" x14ac:dyDescent="0.25">
      <c r="A313" t="str">
        <v>50B022E8-0E8D-406F-A6CA-C79BEF92A6C7</v>
      </c>
      <c r="B313" t="str">
        <v>A2A92AE7-925E-47DE-A372-1EB823A2A6D7</v>
      </c>
      <c r="C313" t="str">
        <v>MESKHI - 4 Units Mitsubishi Conditioner</v>
      </c>
      <c r="D313" t="str">
        <v>FEA4B88F-633F-4422-B3D6-250792A2DA80</v>
      </c>
      <c r="E313" t="str">
        <v>2022-01-24</v>
      </c>
      <c r="F313" s="4">
        <v>9000</v>
      </c>
      <c r="G313" t="str">
        <v>5a2d799d-22a1-4e0a-b029-8031a1df6d56</v>
      </c>
      <c r="H313" t="str">
        <v>9fed28b3-82cf-4afa-8e8d-952adf7a54a5</v>
      </c>
      <c r="I313" t="str">
        <v/>
      </c>
      <c r="L313" t="str">
        <v/>
      </c>
    </row>
    <row r="314" spans="1:12" x14ac:dyDescent="0.25">
      <c r="A314" t="str">
        <v>ABFCDA07-6250-4B68-AFFB-B896A63BE1B6</v>
      </c>
      <c r="B314" t="str">
        <v>8FB0EC97-AA52-41D1-8516-B3C255D651F7</v>
      </c>
      <c r="C314" t="str">
        <v>SARJVELADZE - Multisplit</v>
      </c>
      <c r="D314" t="str">
        <v>FEA4B88F-633F-4422-B3D6-250792A2DA80</v>
      </c>
      <c r="E314" t="str">
        <v>2021-06-10</v>
      </c>
      <c r="F314" s="4">
        <v>5352</v>
      </c>
      <c r="G314" t="str">
        <v>0790fb09-2de6-4ea3-a71c-58a007fc62a8</v>
      </c>
      <c r="H314" t="str">
        <v>9fed28b3-82cf-4afa-8e8d-952adf7a54a5</v>
      </c>
      <c r="I314" t="str">
        <v>1 6 30 1614</v>
      </c>
      <c r="L314" t="str">
        <v>83F0C711-34F6-45B3-A1ED-F85548418822</v>
      </c>
    </row>
    <row r="315" spans="1:12" x14ac:dyDescent="0.25">
      <c r="A315" t="str">
        <v>341D1EA2-1897-42FA-B1C6-AF74C2B745F7</v>
      </c>
      <c r="B315" t="str">
        <v>C1FE4361-F19C-4AAD-9122-7023B52DA711</v>
      </c>
      <c r="C315" t="str">
        <v>Batumi, Ninoshvilis 23</v>
      </c>
      <c r="D315" t="str">
        <v>12238130-9D12-4099-A48B-9EB5A085E0F8</v>
      </c>
      <c r="E315" t="str">
        <v>2022-01-01</v>
      </c>
      <c r="F315" s="4">
        <v>200</v>
      </c>
      <c r="G315" t="str">
        <v>0790fb09-2de6-4ea3-a71c-58a007fc62a8</v>
      </c>
      <c r="H315" t="str">
        <v>9fed28b3-82cf-4afa-8e8d-952adf7a54a5</v>
      </c>
      <c r="I315" t="str">
        <v>1 6 31 1817</v>
      </c>
      <c r="L315" t="str">
        <v/>
      </c>
    </row>
    <row r="316" spans="1:12" x14ac:dyDescent="0.25">
      <c r="A316" t="str">
        <v>A19E9D26-09AD-4255-819B-9373E4343D2E</v>
      </c>
      <c r="B316" t="str">
        <v>77AF1960-EC8C-4658-B33E-8D26E449F36A</v>
      </c>
      <c r="C316" t="str">
        <v>SAKCABELI</v>
      </c>
      <c r="D316" t="str">
        <v>FEA4B88F-633F-4422-B3D6-250792A2DA80</v>
      </c>
      <c r="E316" t="str">
        <v>2022-02-22</v>
      </c>
      <c r="F316" s="4">
        <v>60000</v>
      </c>
      <c r="G316" t="str">
        <v>0790fb09-2de6-4ea3-a71c-58a007fc62a8</v>
      </c>
      <c r="H316" t="str">
        <v>9fed28b3-82cf-4afa-8e8d-952adf7a54a5</v>
      </c>
      <c r="I316" t="str">
        <v>1 6 30 1847</v>
      </c>
      <c r="L316" t="str">
        <v>C309CB7C-404D-431A-A8FB-29671DCA0C49</v>
      </c>
    </row>
    <row r="317" spans="1:12" x14ac:dyDescent="0.25">
      <c r="A317" t="str">
        <v>A98AEB61-0717-49C6-8E93-F00DDBD6A8DC</v>
      </c>
      <c r="B317" t="str">
        <v>EEF71586-275A-4382-B2B2-0CE0940A8FD6</v>
      </c>
      <c r="C317" t="str">
        <v>Lisi Villa MEP &amp; Smart house</v>
      </c>
      <c r="D317" t="str">
        <v>FEA4B88F-633F-4422-B3D6-250792A2DA80</v>
      </c>
      <c r="E317" t="str">
        <v>2022-02-03</v>
      </c>
      <c r="F317" s="4">
        <v>9140</v>
      </c>
      <c r="G317" t="str">
        <v>0790fb09-2de6-4ea3-a71c-58a007fc62a8</v>
      </c>
      <c r="H317" t="str">
        <v>9fed28b3-82cf-4afa-8e8d-952adf7a54a5</v>
      </c>
      <c r="I317" t="str">
        <v/>
      </c>
      <c r="L317" t="str">
        <v>C309CB7C-404D-431A-A8FB-29671DCA0C49</v>
      </c>
    </row>
    <row r="318" spans="1:12" x14ac:dyDescent="0.25">
      <c r="A318" t="str">
        <v>272DE8FC-2CD2-4C41-BEDE-30C53C15D314</v>
      </c>
      <c r="B318" t="str">
        <v>1D6C190E-3037-4435-BF28-B1D43DC3432D</v>
      </c>
      <c r="C318" t="str">
        <v>Galleria Tbilisi - Escalator Handrail rollers</v>
      </c>
      <c r="D318" t="str">
        <v>C491BFF3-6F7B-4412-9DF0-EAED6F3EE238</v>
      </c>
      <c r="E318" t="str">
        <v>2021-11-23</v>
      </c>
      <c r="F318" s="4">
        <v>660</v>
      </c>
      <c r="G318" t="str">
        <v>0790fb09-2de6-4ea3-a71c-58a007fc62a8</v>
      </c>
      <c r="H318" t="str">
        <v>2adb3689-90cd-4ae8-832d-be7cc1a11029</v>
      </c>
      <c r="I318" t="str">
        <v/>
      </c>
      <c r="L318" t="str">
        <v/>
      </c>
    </row>
    <row r="319" spans="1:12" x14ac:dyDescent="0.25">
      <c r="A319" t="str">
        <v>A14A73A4-6449-4ED8-96BB-94AE30C5A311</v>
      </c>
      <c r="B319" t="str">
        <v>E284E0FD-A2B7-4D93-8E91-006FF0A8A4CE</v>
      </c>
      <c r="C319" t="str">
        <v>Orbi City D2 block</v>
      </c>
      <c r="D319" t="str">
        <v>B59170EC-16CC-499A-9FF7-0428DCB8F727</v>
      </c>
      <c r="E319" t="str">
        <v>2021-12-16</v>
      </c>
      <c r="F319" s="4">
        <v>1161507</v>
      </c>
      <c r="G319" t="str">
        <v>0790fb09-2de6-4ea3-a71c-58a007fc62a8</v>
      </c>
      <c r="H319" t="str">
        <v>9fed28b3-82cf-4afa-8e8d-952adf7a54a5</v>
      </c>
      <c r="I319" t="str">
        <v>1 6 30 773 7</v>
      </c>
      <c r="L319" t="str">
        <v/>
      </c>
    </row>
    <row r="320" spans="1:12" x14ac:dyDescent="0.25">
      <c r="A320" t="str">
        <v>07AEFB68-2673-4B70-A963-413918AF6741</v>
      </c>
      <c r="B320" t="str">
        <v>E284E0FD-A2B7-4D93-8E91-006FF0A8A4CE</v>
      </c>
      <c r="C320" t="str">
        <v>Orbi city D1 block</v>
      </c>
      <c r="D320" t="str">
        <v>B59170EC-16CC-499A-9FF7-0428DCB8F727</v>
      </c>
      <c r="E320" t="str">
        <v>2021-08-16</v>
      </c>
      <c r="F320" s="4">
        <v>1161507.82</v>
      </c>
      <c r="G320" t="str">
        <v>0790fb09-2de6-4ea3-a71c-58a007fc62a8</v>
      </c>
      <c r="H320" t="str">
        <v>9fed28b3-82cf-4afa-8e8d-952adf7a54a5</v>
      </c>
      <c r="I320" t="str">
        <v>1 6 30 773 5</v>
      </c>
      <c r="L320" t="str">
        <v/>
      </c>
    </row>
    <row r="321" spans="1:12" x14ac:dyDescent="0.25">
      <c r="A321" t="str">
        <v>C2805E58-E921-469C-A01A-9E824ED82099</v>
      </c>
      <c r="B321" t="str">
        <v>90293CD0-6262-4F6E-9B52-E8D909232966</v>
      </c>
      <c r="C321" t="str">
        <v>Sea Tower Additional</v>
      </c>
      <c r="D321" t="str">
        <v>B59170EC-16CC-499A-9FF7-0428DCB8F727</v>
      </c>
      <c r="E321" t="str">
        <v>2022-01-20</v>
      </c>
      <c r="F321" s="4">
        <v>24000</v>
      </c>
      <c r="G321" t="str">
        <v>0790fb09-2de6-4ea3-a71c-58a007fc62a8</v>
      </c>
      <c r="H321" t="str">
        <v>9fed28b3-82cf-4afa-8e8d-952adf7a54a5</v>
      </c>
      <c r="I321" t="str">
        <v/>
      </c>
      <c r="L321" t="str">
        <v/>
      </c>
    </row>
    <row r="322" spans="1:12" x14ac:dyDescent="0.25">
      <c r="A322" t="str">
        <v>2A5E8033-FAF4-4FFF-9566-79E0DAFF5DAC</v>
      </c>
      <c r="B322" t="str">
        <v>6CA0F547-5BC0-4947-824D-B84A8D012EE7</v>
      </c>
      <c r="C322" t="str">
        <v>Shyposha - Hilton Batumi  Apartment</v>
      </c>
      <c r="D322" t="str">
        <v>FEA4B88F-633F-4422-B3D6-250792A2DA80</v>
      </c>
      <c r="E322" t="str">
        <v>2022-03-24</v>
      </c>
      <c r="F322" s="4">
        <v>1250</v>
      </c>
      <c r="G322" t="str">
        <v>0790fb09-2de6-4ea3-a71c-58a007fc62a8</v>
      </c>
      <c r="H322" t="str">
        <v>9fed28b3-82cf-4afa-8e8d-952adf7a54a5</v>
      </c>
      <c r="I322" t="str">
        <v/>
      </c>
      <c r="L322" t="str">
        <v>401318CA-BF39-49C3-9BDC-73836A8F9774</v>
      </c>
    </row>
    <row r="323" spans="1:12" x14ac:dyDescent="0.25">
      <c r="A323" t="str">
        <v>D9C7317F-1A7E-41E4-A66E-C50365E0034B</v>
      </c>
      <c r="B323" t="str">
        <v>934ACF0F-2594-4C3F-9AF0-B7472C14257A</v>
      </c>
      <c r="C323" t="str">
        <v>Fan Motor</v>
      </c>
      <c r="D323" t="str">
        <v>FEA4B88F-633F-4422-B3D6-250792A2DA80</v>
      </c>
      <c r="E323" t="str">
        <v>2021-10-11</v>
      </c>
      <c r="F323" s="4">
        <v>870</v>
      </c>
      <c r="G323" t="str">
        <v>0790fb09-2de6-4ea3-a71c-58a007fc62a8</v>
      </c>
      <c r="H323" t="str">
        <v>9fed28b3-82cf-4afa-8e8d-952adf7a54a5</v>
      </c>
      <c r="I323" t="str">
        <v/>
      </c>
      <c r="L323" t="str">
        <v/>
      </c>
    </row>
    <row r="324" spans="1:12" x14ac:dyDescent="0.25">
      <c r="A324" t="str">
        <v>02CDC31F-D22B-4866-AFAE-513BA7A86530</v>
      </c>
      <c r="B324" t="str">
        <v>026E84AF-5543-4EA9-80AF-407FC0E41968</v>
      </c>
      <c r="C324" t="str">
        <v>Lortkipanidze - Mitsubishi Conditioner</v>
      </c>
      <c r="D324" t="str">
        <v>FEA4B88F-633F-4422-B3D6-250792A2DA80</v>
      </c>
      <c r="E324" t="str">
        <v>2022-03-25</v>
      </c>
      <c r="F324" s="4">
        <v>1420</v>
      </c>
      <c r="G324" t="str">
        <v>5a2d799d-22a1-4e0a-b029-8031a1df6d56</v>
      </c>
      <c r="H324" t="str">
        <v>9fed28b3-82cf-4afa-8e8d-952adf7a54a5</v>
      </c>
      <c r="I324" t="str">
        <v/>
      </c>
      <c r="L324" t="str">
        <v>401318CA-BF39-49C3-9BDC-73836A8F9774</v>
      </c>
    </row>
    <row r="325" spans="1:12" x14ac:dyDescent="0.25">
      <c r="A325" t="str">
        <v>DC975886-9BF9-42C8-AFBE-87695AA01262</v>
      </c>
      <c r="B325" t="str">
        <v>73F7A185-024C-4137-BCF6-0AF1157D6600</v>
      </c>
      <c r="C325" t="str">
        <v>Alliance Highline</v>
      </c>
      <c r="D325" t="str">
        <v>B59170EC-16CC-499A-9FF7-0428DCB8F727</v>
      </c>
      <c r="E325" t="str">
        <v>2022-01-21</v>
      </c>
      <c r="F325" s="4">
        <v>2281058</v>
      </c>
      <c r="G325" t="str">
        <v>0790fb09-2de6-4ea3-a71c-58a007fc62a8</v>
      </c>
      <c r="H325" t="str">
        <v>9fed28b3-82cf-4afa-8e8d-952adf7a54a5</v>
      </c>
      <c r="I325" t="str">
        <v>1 6 30 1791</v>
      </c>
      <c r="L325" t="str">
        <v/>
      </c>
    </row>
    <row r="326" spans="1:12" x14ac:dyDescent="0.25">
      <c r="A326" t="str">
        <v>A3CC070F-345E-4516-B64B-60DBC450A8EE</v>
      </c>
      <c r="B326" t="str">
        <v>B658F42E-3F0A-44A3-B4ED-A7B4C1D8DEAE</v>
      </c>
      <c r="C326" t="str">
        <v>Kaklebi doors repears</v>
      </c>
      <c r="D326" t="str">
        <v>C491BFF3-6F7B-4412-9DF0-EAED6F3EE238</v>
      </c>
      <c r="E326" t="str">
        <v>2022-03-23</v>
      </c>
      <c r="F326" s="4">
        <v>501</v>
      </c>
      <c r="G326" t="str">
        <v>0790fb09-2de6-4ea3-a71c-58a007fc62a8</v>
      </c>
      <c r="H326" t="str">
        <v>9fed28b3-82cf-4afa-8e8d-952adf7a54a5</v>
      </c>
      <c r="I326" t="str">
        <v/>
      </c>
      <c r="L326" t="str">
        <v>A26DCE96-C08F-453E-9E26-10AAF72D142A</v>
      </c>
    </row>
    <row r="327" spans="1:12" x14ac:dyDescent="0.25">
      <c r="A327" t="str">
        <v>411B72AF-F983-4A0D-8BBE-C8E1C5E1DA28</v>
      </c>
      <c r="B327" t="str">
        <v>2BE0B019-5123-46B7-AD88-7A56ACE72918</v>
      </c>
      <c r="C327" t="str">
        <v>Iveshniakov - Conditioner</v>
      </c>
      <c r="D327" t="str">
        <v>FEA4B88F-633F-4422-B3D6-250792A2DA80</v>
      </c>
      <c r="E327" t="str">
        <v>2022-03-24</v>
      </c>
      <c r="F327" s="4">
        <v>4750</v>
      </c>
      <c r="G327" t="str">
        <v>5a2d799d-22a1-4e0a-b029-8031a1df6d56</v>
      </c>
      <c r="H327" t="str">
        <v>9fed28b3-82cf-4afa-8e8d-952adf7a54a5</v>
      </c>
      <c r="I327" t="str">
        <v/>
      </c>
      <c r="L327" t="str">
        <v>401318CA-BF39-49C3-9BDC-73836A8F9774</v>
      </c>
    </row>
    <row r="328" spans="1:12" x14ac:dyDescent="0.25">
      <c r="A328" t="str">
        <v>E8B09C68-F084-4AC0-9095-D107A7A5B682</v>
      </c>
      <c r="B328" t="str">
        <v>5E3E7CDB-6C59-424F-BE60-1115A70E3B8E</v>
      </c>
      <c r="C328" t="str">
        <v>Supreme Solutions VRV</v>
      </c>
      <c r="D328" t="str">
        <v>FEA4B88F-633F-4422-B3D6-250792A2DA80</v>
      </c>
      <c r="E328" t="str">
        <v>2021-12-17</v>
      </c>
      <c r="F328" s="4">
        <v>1895</v>
      </c>
      <c r="G328" t="str">
        <v>0790fb09-2de6-4ea3-a71c-58a007fc62a8</v>
      </c>
      <c r="H328" t="str">
        <v>9fed28b3-82cf-4afa-8e8d-952adf7a54a5</v>
      </c>
      <c r="I328" t="str">
        <v/>
      </c>
      <c r="L328" t="str">
        <v/>
      </c>
    </row>
    <row r="329" spans="1:12" x14ac:dyDescent="0.25">
      <c r="A329" t="str">
        <v>5872F0BB-AB6A-4A31-BD17-24A33D9981B4</v>
      </c>
      <c r="B329" t="str">
        <v>3F1EB616-2884-429C-81CE-FD771A90FE2E</v>
      </c>
      <c r="C329" t="str">
        <v>Iakobidze - Mitsubishi Conditioner</v>
      </c>
      <c r="D329" t="str">
        <v>FEA4B88F-633F-4422-B3D6-250792A2DA80</v>
      </c>
      <c r="E329" t="str">
        <v>2022-04-14</v>
      </c>
      <c r="F329" s="4">
        <v>7600</v>
      </c>
      <c r="G329" t="str">
        <v>5a2d799d-22a1-4e0a-b029-8031a1df6d56</v>
      </c>
      <c r="H329" t="str">
        <v>9fed28b3-82cf-4afa-8e8d-952adf7a54a5</v>
      </c>
      <c r="I329" t="str">
        <v/>
      </c>
      <c r="L329" t="str">
        <v>83F0C711-34F6-45B3-A1ED-F85548418822</v>
      </c>
    </row>
    <row r="330" spans="1:12" x14ac:dyDescent="0.25">
      <c r="A330" t="str">
        <v>DC29629E-9A02-4442-B53F-71350CFB5A8F</v>
      </c>
      <c r="B330" t="str">
        <v>CAF9F1A5-1957-489C-B385-09AC1701F074</v>
      </c>
      <c r="C330" t="str">
        <v>Samkharadze - 2 Units Mitsubishi Conditioner</v>
      </c>
      <c r="D330" t="str">
        <v>FEA4B88F-633F-4422-B3D6-250792A2DA80</v>
      </c>
      <c r="E330" t="str">
        <v>2022-04-18</v>
      </c>
      <c r="F330" s="4">
        <v>6250</v>
      </c>
      <c r="G330" t="str">
        <v>5a2d799d-22a1-4e0a-b029-8031a1df6d56</v>
      </c>
      <c r="H330" t="str">
        <v>9fed28b3-82cf-4afa-8e8d-952adf7a54a5</v>
      </c>
      <c r="I330" t="str">
        <v/>
      </c>
      <c r="L330" t="str">
        <v/>
      </c>
    </row>
    <row r="331" spans="1:12" x14ac:dyDescent="0.25">
      <c r="A331" t="str">
        <v>390E884C-8C3A-41AE-B092-DC7B92CAFE7E</v>
      </c>
      <c r="B331" t="str">
        <v>F9B986D7-73AE-4F10-9DC3-1A4E90558499</v>
      </c>
      <c r="C331" t="str">
        <v>Inaishvili - 2 Units Mitsubishi Conditioner</v>
      </c>
      <c r="D331" t="str">
        <v>FEA4B88F-633F-4422-B3D6-250792A2DA80</v>
      </c>
      <c r="E331" t="str">
        <v>2022-05-02</v>
      </c>
      <c r="F331" s="4">
        <v>1280</v>
      </c>
      <c r="G331" t="str">
        <v>0790fb09-2de6-4ea3-a71c-58a007fc62a8</v>
      </c>
      <c r="H331" t="str">
        <v>9fed28b3-82cf-4afa-8e8d-952adf7a54a5</v>
      </c>
      <c r="I331" t="str">
        <v/>
      </c>
      <c r="L331" t="str">
        <v/>
      </c>
    </row>
    <row r="332" spans="1:12" x14ac:dyDescent="0.25">
      <c r="A332" t="str">
        <v>4E4AC57D-6605-4F1D-B999-7E2F5BEC4CD4</v>
      </c>
      <c r="B332" t="str">
        <v>9E3145B1-F47E-49C3-BF51-BCB9055ABC20</v>
      </c>
      <c r="C332" t="str">
        <v>MOXY HOTEL</v>
      </c>
      <c r="D332" t="str">
        <v>12238130-9D12-4099-A48B-9EB5A085E0F8</v>
      </c>
      <c r="E332" t="str">
        <v>2019-05-01</v>
      </c>
      <c r="F332" s="4">
        <v>1</v>
      </c>
      <c r="G332" t="str">
        <v>0790fb09-2de6-4ea3-a71c-58a007fc62a8</v>
      </c>
      <c r="H332" t="str">
        <v>9fed28b3-82cf-4afa-8e8d-952adf7a54a5</v>
      </c>
      <c r="I332" t="str">
        <v/>
      </c>
      <c r="L332" t="str">
        <v/>
      </c>
    </row>
    <row r="333" spans="1:12" x14ac:dyDescent="0.25">
      <c r="A333" t="str">
        <v>6A882251-3DE5-47F0-8EA4-3CB46367B476</v>
      </c>
      <c r="B333" t="str">
        <v>7BF4A039-29BC-44AC-A87D-E8832394B94E</v>
      </c>
      <c r="C333" t="str">
        <v>Baratashvili</v>
      </c>
      <c r="D333" t="str">
        <v>12238130-9D12-4099-A48B-9EB5A085E0F8</v>
      </c>
      <c r="E333" t="str">
        <v>2021-08-01</v>
      </c>
      <c r="F333" s="4">
        <v>250</v>
      </c>
      <c r="G333" t="str">
        <v>5a2d799d-22a1-4e0a-b029-8031a1df6d56</v>
      </c>
      <c r="H333" t="str">
        <v>9fed28b3-82cf-4afa-8e8d-952adf7a54a5</v>
      </c>
      <c r="I333" t="str">
        <v/>
      </c>
      <c r="L333" t="str">
        <v/>
      </c>
    </row>
    <row r="334" spans="1:12" x14ac:dyDescent="0.25">
      <c r="A334" t="str">
        <v>CAB7A927-2DEC-4953-8315-C062AF6048CD</v>
      </c>
      <c r="B334" t="str">
        <v>2BAD18DC-6E49-4AD3-9FDC-1B422FF3B90D</v>
      </c>
      <c r="C334" t="str">
        <v xml:space="preserve">Rustavi and Poti Mall </v>
      </c>
      <c r="D334" t="str">
        <v>12238130-9D12-4099-A48B-9EB5A085E0F8</v>
      </c>
      <c r="E334" t="str">
        <v>2022-04-01</v>
      </c>
      <c r="F334" s="4">
        <v>1500</v>
      </c>
      <c r="G334" t="str">
        <v>5a2d799d-22a1-4e0a-b029-8031a1df6d56</v>
      </c>
      <c r="H334" t="str">
        <v>9fed28b3-82cf-4afa-8e8d-952adf7a54a5</v>
      </c>
      <c r="I334" t="str">
        <v>1 6 31 810</v>
      </c>
      <c r="L334" t="str">
        <v/>
      </c>
    </row>
    <row r="335" spans="1:12" x14ac:dyDescent="0.25">
      <c r="A335" t="str">
        <v>00AF6EDA-0A83-4781-948C-6128CE9B212F</v>
      </c>
      <c r="B335" t="str">
        <v>2BAD18DC-6E49-4AD3-9FDC-1B422FF3B90D</v>
      </c>
      <c r="C335" t="str">
        <v>Poti</v>
      </c>
      <c r="D335" t="str">
        <v>12238130-9D12-4099-A48B-9EB5A085E0F8</v>
      </c>
      <c r="E335" t="str">
        <v>2022-04-01</v>
      </c>
      <c r="F335" s="4">
        <v>350</v>
      </c>
      <c r="G335" t="str">
        <v>5a2d799d-22a1-4e0a-b029-8031a1df6d56</v>
      </c>
      <c r="H335" t="str">
        <v>9fed28b3-82cf-4afa-8e8d-952adf7a54a5</v>
      </c>
      <c r="I335" t="str">
        <v>1 6 31 810</v>
      </c>
      <c r="L335" t="str">
        <v/>
      </c>
    </row>
    <row r="336" spans="1:12" x14ac:dyDescent="0.25">
      <c r="A336" t="str">
        <v>EC8ACDF0-B918-46AE-B853-6B9B147F81EC</v>
      </c>
      <c r="B336" t="str">
        <v>72217FB1-5EF9-48C3-8334-52575EBFC828</v>
      </c>
      <c r="C336" t="str">
        <v>Archi Isani C</v>
      </c>
      <c r="D336" t="str">
        <v>12238130-9D12-4099-A48B-9EB5A085E0F8</v>
      </c>
      <c r="E336" t="str">
        <v>2021-10-05</v>
      </c>
      <c r="F336" s="4">
        <v>900</v>
      </c>
      <c r="G336" t="str">
        <v>0790fb09-2de6-4ea3-a71c-58a007fc62a8</v>
      </c>
      <c r="H336" t="str">
        <v>9fed28b3-82cf-4afa-8e8d-952adf7a54a5</v>
      </c>
      <c r="I336" t="str">
        <v>1 6 31 1877</v>
      </c>
      <c r="L336" t="str">
        <v/>
      </c>
    </row>
    <row r="337" spans="1:12" x14ac:dyDescent="0.25">
      <c r="A337" t="str">
        <v>13B83657-2E92-45D5-AA6D-20D15037A1D6</v>
      </c>
      <c r="B337" t="str">
        <v>72217FB1-5EF9-48C3-8334-52575EBFC828</v>
      </c>
      <c r="C337" t="str">
        <v>Archi Isani D Block</v>
      </c>
      <c r="D337" t="str">
        <v>12238130-9D12-4099-A48B-9EB5A085E0F8</v>
      </c>
      <c r="E337" t="str">
        <v>2022-05-10</v>
      </c>
      <c r="F337" s="4">
        <v>400</v>
      </c>
      <c r="G337" t="str">
        <v>0790fb09-2de6-4ea3-a71c-58a007fc62a8</v>
      </c>
      <c r="H337" t="str">
        <v>9fed28b3-82cf-4afa-8e8d-952adf7a54a5</v>
      </c>
      <c r="I337" t="str">
        <v/>
      </c>
      <c r="L337" t="str">
        <v/>
      </c>
    </row>
    <row r="338" spans="1:12" x14ac:dyDescent="0.25">
      <c r="A338" t="str">
        <v>4FCA824F-7FDE-4D6D-9442-C6451402B4B7</v>
      </c>
      <c r="B338" t="str">
        <v>726D9023-53A2-435E-8A5B-8BCEA9625E08</v>
      </c>
      <c r="C338" t="str">
        <v>Dighomi</v>
      </c>
      <c r="D338" t="str">
        <v>12238130-9D12-4099-A48B-9EB5A085E0F8</v>
      </c>
      <c r="E338" t="str">
        <v>2020-09-01</v>
      </c>
      <c r="F338" s="4">
        <v>1</v>
      </c>
      <c r="G338" t="str">
        <v>5a2d799d-22a1-4e0a-b029-8031a1df6d56</v>
      </c>
      <c r="H338" t="str">
        <v>9fed28b3-82cf-4afa-8e8d-952adf7a54a5</v>
      </c>
      <c r="I338" t="str">
        <v/>
      </c>
      <c r="L338" t="str">
        <v/>
      </c>
    </row>
    <row r="339" spans="1:12" x14ac:dyDescent="0.25">
      <c r="A339" t="str">
        <v>7A07961A-9E7E-4222-BB76-1A367BEB3AB1</v>
      </c>
      <c r="B339" t="str">
        <v>726D9023-53A2-435E-8A5B-8BCEA9625E08</v>
      </c>
      <c r="C339" t="str">
        <v>Mestia</v>
      </c>
      <c r="D339" t="str">
        <v>12238130-9D12-4099-A48B-9EB5A085E0F8</v>
      </c>
      <c r="E339" t="str">
        <v>2019-01-01</v>
      </c>
      <c r="F339" s="4">
        <v>250</v>
      </c>
      <c r="G339" t="str">
        <v>5a2d799d-22a1-4e0a-b029-8031a1df6d56</v>
      </c>
      <c r="H339" t="str">
        <v>9fed28b3-82cf-4afa-8e8d-952adf7a54a5</v>
      </c>
      <c r="I339" t="str">
        <v/>
      </c>
      <c r="L339" t="str">
        <v/>
      </c>
    </row>
    <row r="340" spans="1:12" x14ac:dyDescent="0.25">
      <c r="A340" t="str">
        <v>C41B98D5-4119-4CB3-8D99-98517A940254</v>
      </c>
      <c r="B340" t="str">
        <v>726D9023-53A2-435E-8A5B-8BCEA9625E08</v>
      </c>
      <c r="C340" t="str">
        <v>Janashia</v>
      </c>
      <c r="D340" t="str">
        <v>12238130-9D12-4099-A48B-9EB5A085E0F8</v>
      </c>
      <c r="E340" t="str">
        <v>2019-01-01</v>
      </c>
      <c r="F340" s="4">
        <v>250</v>
      </c>
      <c r="G340" t="str">
        <v>5a2d799d-22a1-4e0a-b029-8031a1df6d56</v>
      </c>
      <c r="H340" t="str">
        <v>9fed28b3-82cf-4afa-8e8d-952adf7a54a5</v>
      </c>
      <c r="I340" t="str">
        <v/>
      </c>
      <c r="L340" t="str">
        <v/>
      </c>
    </row>
    <row r="341" spans="1:12" x14ac:dyDescent="0.25">
      <c r="A341" t="str">
        <v>0C1F69B1-A479-4D6A-93F1-EAC12C4730CE</v>
      </c>
      <c r="B341" t="str">
        <v>E284E0FD-A2B7-4D93-8E91-006FF0A8A4CE</v>
      </c>
      <c r="C341" t="str">
        <v>ORBI CITY C</v>
      </c>
      <c r="D341" t="str">
        <v>12238130-9D12-4099-A48B-9EB5A085E0F8</v>
      </c>
      <c r="E341" t="str">
        <v>2022-01-01</v>
      </c>
      <c r="F341" s="4">
        <v>225</v>
      </c>
      <c r="G341" t="str">
        <v>0790fb09-2de6-4ea3-a71c-58a007fc62a8</v>
      </c>
      <c r="H341" t="str">
        <v>9fed28b3-82cf-4afa-8e8d-952adf7a54a5</v>
      </c>
      <c r="I341" t="str">
        <v>1 6 31 773 1</v>
      </c>
      <c r="L341" t="str">
        <v/>
      </c>
    </row>
    <row r="342" spans="1:12" x14ac:dyDescent="0.25">
      <c r="A342" t="str">
        <v>5AB8BC71-BBF1-4D83-AE22-5A15F7AD6EA9</v>
      </c>
      <c r="B342" t="str">
        <v>B6D1A89E-F7B8-4B57-98D9-CDE962395C63</v>
      </c>
      <c r="C342" t="str">
        <v>Chavchavadze 30</v>
      </c>
      <c r="D342" t="str">
        <v>12238130-9D12-4099-A48B-9EB5A085E0F8</v>
      </c>
      <c r="E342" t="str">
        <v>2020-09-15</v>
      </c>
      <c r="F342" s="4">
        <v>1200</v>
      </c>
      <c r="G342" t="str">
        <v>5a2d799d-22a1-4e0a-b029-8031a1df6d56</v>
      </c>
      <c r="H342" t="str">
        <v>9fed28b3-82cf-4afa-8e8d-952adf7a54a5</v>
      </c>
      <c r="I342" t="str">
        <v/>
      </c>
      <c r="L342" t="str">
        <v/>
      </c>
    </row>
    <row r="343" spans="1:12" x14ac:dyDescent="0.25">
      <c r="A343" t="str">
        <v>4C70090C-46DF-496C-AA6E-73B4DB1D3B17</v>
      </c>
      <c r="B343" t="str">
        <v>E56C25E1-F15A-4390-BB92-B64890A90093</v>
      </c>
      <c r="C343" t="str">
        <v>UNIX MARSEL</v>
      </c>
      <c r="D343" t="str">
        <v>12238130-9D12-4099-A48B-9EB5A085E0F8</v>
      </c>
      <c r="E343" t="str">
        <v>2019-01-01</v>
      </c>
      <c r="F343" s="4">
        <v>1200</v>
      </c>
      <c r="G343" t="str">
        <v>5a2d799d-22a1-4e0a-b029-8031a1df6d56</v>
      </c>
      <c r="H343" t="str">
        <v>9fed28b3-82cf-4afa-8e8d-952adf7a54a5</v>
      </c>
      <c r="I343" t="str">
        <v/>
      </c>
      <c r="L343" t="str">
        <v/>
      </c>
    </row>
    <row r="344" spans="1:12" x14ac:dyDescent="0.25">
      <c r="A344" t="str">
        <v>52027283-5C5B-4FB8-86C1-ACAC8033D7BB</v>
      </c>
      <c r="B344" t="str">
        <v>6878FB60-0B5E-4898-ABCD-60ACC55A458D</v>
      </c>
      <c r="C344" t="str">
        <v>UNIX IPOLIT IVANOV</v>
      </c>
      <c r="D344" t="str">
        <v>12238130-9D12-4099-A48B-9EB5A085E0F8</v>
      </c>
      <c r="E344" t="str">
        <v>2019-01-01</v>
      </c>
      <c r="F344" s="4">
        <v>1500</v>
      </c>
      <c r="G344" t="str">
        <v>5a2d799d-22a1-4e0a-b029-8031a1df6d56</v>
      </c>
      <c r="H344" t="str">
        <v>9fed28b3-82cf-4afa-8e8d-952adf7a54a5</v>
      </c>
      <c r="I344" t="str">
        <v>1 6 31 1750</v>
      </c>
      <c r="L344" t="str">
        <v/>
      </c>
    </row>
    <row r="345" spans="1:12" x14ac:dyDescent="0.25">
      <c r="A345" t="str">
        <v>6739192B-BE6E-486B-9E6B-5B138112743F</v>
      </c>
      <c r="B345" t="str">
        <v>FE4FCC52-C6FC-42E2-BE3D-E360FEE52DEF</v>
      </c>
      <c r="C345" t="str">
        <v>Gorgiladzis 88a</v>
      </c>
      <c r="D345" t="str">
        <v>12238130-9D12-4099-A48B-9EB5A085E0F8</v>
      </c>
      <c r="E345" t="str">
        <v>2021-11-01</v>
      </c>
      <c r="F345" s="4">
        <v>900</v>
      </c>
      <c r="G345" t="str">
        <v>5a2d799d-22a1-4e0a-b029-8031a1df6d56</v>
      </c>
      <c r="H345" t="str">
        <v>9fed28b3-82cf-4afa-8e8d-952adf7a54a5</v>
      </c>
      <c r="I345" t="str">
        <v/>
      </c>
      <c r="L345" t="str">
        <v>DF44A1C6-0A8E-490A-924F-42D9CE2E573F</v>
      </c>
    </row>
    <row r="346" spans="1:12" x14ac:dyDescent="0.25">
      <c r="A346" t="str">
        <v>4EFF1D30-E9A2-4B2E-8E29-8E87933F3AC3</v>
      </c>
      <c r="B346" t="str">
        <v>C2317420-4845-4771-96EF-8159FBEF74FF</v>
      </c>
      <c r="C346" t="str">
        <v>Isani Palace</v>
      </c>
      <c r="D346" t="str">
        <v>12238130-9D12-4099-A48B-9EB5A085E0F8</v>
      </c>
      <c r="E346" t="str">
        <v>2022-03-31</v>
      </c>
      <c r="F346" s="4">
        <v>600</v>
      </c>
      <c r="G346" t="str">
        <v>5a2d799d-22a1-4e0a-b029-8031a1df6d56</v>
      </c>
      <c r="H346" t="str">
        <v>9fed28b3-82cf-4afa-8e8d-952adf7a54a5</v>
      </c>
      <c r="I346" t="str">
        <v>1 6 31 1607</v>
      </c>
      <c r="L346" t="str">
        <v>A4E9EDC7-B81F-4483-9069-A7790AEBE4FA</v>
      </c>
    </row>
    <row r="347" spans="1:12" x14ac:dyDescent="0.25">
      <c r="A347" t="str">
        <v>8E1C3019-5E66-470C-82E0-D83E9881E246</v>
      </c>
      <c r="B347" t="str">
        <v>14F0723B-2DFE-490E-80A0-15A1B4545C49</v>
      </c>
      <c r="C347" t="str">
        <v>Jgenti Warehouse</v>
      </c>
      <c r="D347" t="str">
        <v>12238130-9D12-4099-A48B-9EB5A085E0F8</v>
      </c>
      <c r="E347" t="str">
        <v>2022-05-01</v>
      </c>
      <c r="F347" s="4">
        <v>1</v>
      </c>
      <c r="G347" t="str">
        <v>5a2d799d-22a1-4e0a-b029-8031a1df6d56</v>
      </c>
      <c r="H347" t="str">
        <v>9fed28b3-82cf-4afa-8e8d-952adf7a54a5</v>
      </c>
      <c r="I347" t="str">
        <v>1 6 31 1713</v>
      </c>
      <c r="L347" t="str">
        <v/>
      </c>
    </row>
    <row r="348" spans="1:12" x14ac:dyDescent="0.25">
      <c r="A348" t="str">
        <v>3CEDF6A3-8AD9-4CF7-BD9B-FA7B624E1742</v>
      </c>
      <c r="B348" t="str">
        <v>FF29019D-6300-4647-97ED-EEB49D7F8A9D</v>
      </c>
      <c r="C348" t="str">
        <v>Ninotsminda - Mitsubishi Conditioner</v>
      </c>
      <c r="D348" t="str">
        <v>FEA4B88F-633F-4422-B3D6-250792A2DA80</v>
      </c>
      <c r="E348" t="str">
        <v>2022-05-16</v>
      </c>
      <c r="F348" s="4">
        <v>3590</v>
      </c>
      <c r="G348" t="str">
        <v>5a2d799d-22a1-4e0a-b029-8031a1df6d56</v>
      </c>
      <c r="H348" t="str">
        <v>9fed28b3-82cf-4afa-8e8d-952adf7a54a5</v>
      </c>
      <c r="I348" t="str">
        <v/>
      </c>
      <c r="L348" t="str">
        <v>83F0C711-34F6-45B3-A1ED-F85548418822</v>
      </c>
    </row>
    <row r="349" spans="1:12" x14ac:dyDescent="0.25">
      <c r="A349" t="str">
        <v>73CF56BA-474C-4F53-BBB3-D472BF9C9ECF</v>
      </c>
      <c r="B349" t="str">
        <v>9729C88B-F3C5-441A-8782-0656302A37F2</v>
      </c>
      <c r="C349" t="str">
        <v>Modus Kakhety HW 2</v>
      </c>
      <c r="D349" t="str">
        <v>12238130-9D12-4099-A48B-9EB5A085E0F8</v>
      </c>
      <c r="E349" t="str">
        <v>2019-01-01</v>
      </c>
      <c r="F349" s="4">
        <v>200</v>
      </c>
      <c r="G349" t="str">
        <v>5a2d799d-22a1-4e0a-b029-8031a1df6d56</v>
      </c>
      <c r="H349" t="str">
        <v>9fed28b3-82cf-4afa-8e8d-952adf7a54a5</v>
      </c>
      <c r="I349" t="str">
        <v/>
      </c>
      <c r="L349" t="str">
        <v/>
      </c>
    </row>
    <row r="350" spans="1:12" x14ac:dyDescent="0.25">
      <c r="A350" t="str">
        <v>E92822A0-3507-4608-9999-28DEEFF5237D</v>
      </c>
      <c r="B350" t="str">
        <v>2A55DEBB-261B-4CE9-BAE4-296DDEA037AB</v>
      </c>
      <c r="C350" t="str">
        <v>Batumi Apartaments</v>
      </c>
      <c r="D350" t="str">
        <v>68627C8C-95F9-4383-9A95-1923038BB695</v>
      </c>
      <c r="E350" t="str">
        <v>2022-01-01</v>
      </c>
      <c r="F350" s="4">
        <v>20000</v>
      </c>
      <c r="G350" t="str">
        <v>5a2d799d-22a1-4e0a-b029-8031a1df6d56</v>
      </c>
      <c r="H350" t="str">
        <v>9fed28b3-82cf-4afa-8e8d-952adf7a54a5</v>
      </c>
      <c r="I350" t="str">
        <v>1 6 48</v>
      </c>
      <c r="L350" t="str">
        <v/>
      </c>
    </row>
    <row r="351" spans="1:12" x14ac:dyDescent="0.25">
      <c r="A351" t="str">
        <v>582158FB-E56A-449E-9DEC-3B02E99690A7</v>
      </c>
      <c r="B351" t="str">
        <v>51469664-FF07-46CE-A2D1-3851CE293B88</v>
      </c>
      <c r="C351" t="str">
        <v>Tsikhisdziri</v>
      </c>
      <c r="D351" t="str">
        <v>FEA4B88F-633F-4422-B3D6-250792A2DA80</v>
      </c>
      <c r="E351" t="str">
        <v>2022-06-20</v>
      </c>
      <c r="F351" s="4">
        <v>10610</v>
      </c>
      <c r="G351" t="str">
        <v>0790fb09-2de6-4ea3-a71c-58a007fc62a8</v>
      </c>
      <c r="H351" t="str">
        <v>9fed28b3-82cf-4afa-8e8d-952adf7a54a5</v>
      </c>
      <c r="I351" t="str">
        <v>1 6 30 1876</v>
      </c>
      <c r="L351" t="str">
        <v/>
      </c>
    </row>
    <row r="352" spans="1:12" x14ac:dyDescent="0.25">
      <c r="A352" t="str">
        <v>2702712B-A1E7-43FA-8C75-F84D4BD6D43F</v>
      </c>
      <c r="B352" t="str">
        <v>E5065FFE-1CD4-4C87-A053-0558ECFC9B1D</v>
      </c>
      <c r="C352" t="str">
        <v>Holiday Inn</v>
      </c>
      <c r="D352" t="str">
        <v>B59170EC-16CC-499A-9FF7-0428DCB8F727</v>
      </c>
      <c r="E352" t="str">
        <v>2022-02-10</v>
      </c>
      <c r="F352" s="4">
        <v>372497</v>
      </c>
      <c r="G352" t="str">
        <v>0790fb09-2de6-4ea3-a71c-58a007fc62a8</v>
      </c>
      <c r="H352" t="str">
        <v>9fed28b3-82cf-4afa-8e8d-952adf7a54a5</v>
      </c>
      <c r="I352" t="str">
        <v>1 6 30 2142</v>
      </c>
      <c r="L352" t="str">
        <v/>
      </c>
    </row>
    <row r="353" spans="1:12" x14ac:dyDescent="0.25">
      <c r="A353" t="str">
        <v>016A3ACC-14B7-48A0-A8C1-C5485BD40EDD</v>
      </c>
      <c r="B353" t="str">
        <v>272FF8D3-4909-409A-99B0-E2C8CA3BB9AF</v>
      </c>
      <c r="C353" t="str">
        <v>Park Home Saburtalo</v>
      </c>
      <c r="D353" t="str">
        <v>B59170EC-16CC-499A-9FF7-0428DCB8F727</v>
      </c>
      <c r="E353" t="str">
        <v>2022-05-20</v>
      </c>
      <c r="F353" s="4">
        <v>626280</v>
      </c>
      <c r="G353" t="str">
        <v>0790fb09-2de6-4ea3-a71c-58a007fc62a8</v>
      </c>
      <c r="H353" t="str">
        <v>9fed28b3-82cf-4afa-8e8d-952adf7a54a5</v>
      </c>
      <c r="I353" t="str">
        <v>1 6 30 1911 1</v>
      </c>
      <c r="L353" t="str">
        <v/>
      </c>
    </row>
    <row r="354" spans="1:12" x14ac:dyDescent="0.25">
      <c r="A354" t="str">
        <v>FF479744-33DF-4D30-8471-BC78F6E40577</v>
      </c>
      <c r="B354" t="str">
        <v>659DF8DF-26D9-41A4-81E1-287946E368FA</v>
      </c>
      <c r="C354" t="str">
        <v>BLC VRF Service</v>
      </c>
      <c r="D354" t="str">
        <v>B5CAA716-CA9B-47D4-85D4-9954ED4DBAD2</v>
      </c>
      <c r="E354" t="str">
        <v>2022-06-03</v>
      </c>
      <c r="F354" s="4">
        <v>5000</v>
      </c>
      <c r="G354" t="str">
        <v>5a2d799d-22a1-4e0a-b029-8031a1df6d56</v>
      </c>
      <c r="H354" t="str">
        <v>9fed28b3-82cf-4afa-8e8d-952adf7a54a5</v>
      </c>
      <c r="I354" t="str">
        <v/>
      </c>
      <c r="L354" t="str">
        <v>C309CB7C-404D-431A-A8FB-29671DCA0C49</v>
      </c>
    </row>
    <row r="355" spans="1:12" x14ac:dyDescent="0.25">
      <c r="A355" t="str">
        <v>9E0D99F4-EDD9-4413-8BF9-FF5A090BFC4C</v>
      </c>
      <c r="B355" t="str">
        <v>6D35EE90-BD58-4E7D-8589-8EC87F57E04F</v>
      </c>
      <c r="C355" t="str">
        <v>Beroshvili - Mitsubishi Split Conditioner</v>
      </c>
      <c r="D355" t="str">
        <v>FEA4B88F-633F-4422-B3D6-250792A2DA80</v>
      </c>
      <c r="E355" t="str">
        <v>2022-06-07</v>
      </c>
      <c r="F355" s="4">
        <v>4050</v>
      </c>
      <c r="G355" t="str">
        <v>5a2d799d-22a1-4e0a-b029-8031a1df6d56</v>
      </c>
      <c r="H355" t="str">
        <v>9fed28b3-82cf-4afa-8e8d-952adf7a54a5</v>
      </c>
      <c r="I355" t="str">
        <v/>
      </c>
      <c r="L355" t="str">
        <v>83F0C711-34F6-45B3-A1ED-F85548418822</v>
      </c>
    </row>
    <row r="356" spans="1:12" x14ac:dyDescent="0.25">
      <c r="A356" t="str">
        <v>94F792A8-0A79-4BFE-AA88-7289C35686CA</v>
      </c>
      <c r="B356" t="str">
        <v>3F658A46-5957-4636-8191-BBE06C564EA7</v>
      </c>
      <c r="C356" t="str">
        <v>Seturidze - Mitsubishi Conditioner</v>
      </c>
      <c r="D356" t="str">
        <v>FEA4B88F-633F-4422-B3D6-250792A2DA80</v>
      </c>
      <c r="E356" t="str">
        <v>2022-06-13</v>
      </c>
      <c r="F356" s="4">
        <v>3370</v>
      </c>
      <c r="G356" t="str">
        <v>5a2d799d-22a1-4e0a-b029-8031a1df6d56</v>
      </c>
      <c r="H356" t="str">
        <v>9fed28b3-82cf-4afa-8e8d-952adf7a54a5</v>
      </c>
      <c r="I356" t="str">
        <v/>
      </c>
      <c r="L356" t="str">
        <v>83F0C711-34F6-45B3-A1ED-F85548418822</v>
      </c>
    </row>
    <row r="357" spans="1:12" x14ac:dyDescent="0.25">
      <c r="A357" t="str">
        <v>7fdd6160-db67-4d95-a4fc-7ae6ccc0c50a</v>
      </c>
      <c r="B357" t="str">
        <v>FD75B701-F0B0-4EFD-934E-9BC3480483AE</v>
      </c>
      <c r="C357" t="str">
        <v>7th sky</v>
      </c>
      <c r="D357" t="str">
        <v>B59170EC-16CC-499A-9FF7-0428DCB8F727</v>
      </c>
      <c r="E357" t="str">
        <v>2022-07-13</v>
      </c>
      <c r="F357" s="4">
        <v>1266280</v>
      </c>
      <c r="G357" t="str">
        <v>0790fb09-2de6-4ea3-a71c-58a007fc62a8</v>
      </c>
      <c r="H357" t="str">
        <v>9fed28b3-82cf-4afa-8e8d-952adf7a54a5</v>
      </c>
      <c r="I357" t="str">
        <v>1 6 30 1502</v>
      </c>
      <c r="L357" t="str">
        <v/>
      </c>
    </row>
    <row r="358" spans="1:12" x14ac:dyDescent="0.25">
      <c r="A358" t="str">
        <v>b00cd68e-053a-4994-80e0-dad77e2461da</v>
      </c>
      <c r="B358" t="str">
        <v>43EABC78-AF64-4C14-9FEF-C7E6A1B6F07E</v>
      </c>
      <c r="C358" t="str">
        <v>ALLIANCE HIGHLINES CHILLERS</v>
      </c>
      <c r="D358" t="str">
        <v>FEA4B88F-633F-4422-B3D6-250792A2DA80</v>
      </c>
      <c r="E358" t="str">
        <v>2022-06-15</v>
      </c>
      <c r="F358" s="4">
        <v>276034</v>
      </c>
      <c r="G358" t="str">
        <v>4cfda3f2-535e-4b77-a467-eac9dc64feca</v>
      </c>
      <c r="H358" t="str">
        <v>9fed28b3-82cf-4afa-8e8d-952adf7a54a5</v>
      </c>
      <c r="I358" t="str">
        <v/>
      </c>
      <c r="L358" t="str">
        <v/>
      </c>
    </row>
    <row r="359" spans="1:12" x14ac:dyDescent="0.25">
      <c r="A359" t="str">
        <v>a01720ab-7170-466b-916a-85a0ee7dfb6a</v>
      </c>
      <c r="B359" t="str">
        <v>b4a248a5-14b1-4b9b-96b6-186c1fb4b4d8</v>
      </c>
      <c r="C359" t="str">
        <v>Moxy hotel Service</v>
      </c>
      <c r="D359" t="str">
        <v>B5CAA716-CA9B-47D4-85D4-9954ED4DBAD2</v>
      </c>
      <c r="E359" t="str">
        <v>2022-07-13</v>
      </c>
      <c r="F359" s="4">
        <v>1300</v>
      </c>
      <c r="G359" t="str">
        <v>5a2d799d-22a1-4e0a-b029-8031a1df6d56</v>
      </c>
      <c r="H359" t="str">
        <v>9fed28b3-82cf-4afa-8e8d-952adf7a54a5</v>
      </c>
      <c r="I359" t="str">
        <v/>
      </c>
      <c r="L359" t="str">
        <v/>
      </c>
    </row>
    <row r="360" spans="1:12" x14ac:dyDescent="0.25">
      <c r="A360" t="str">
        <v>083ac5c9-6da9-4bdc-b93b-dd60b42c8cc9</v>
      </c>
      <c r="B360" t="str">
        <v>B40068C7-11CB-41B5-A54B-9395249A5F92</v>
      </c>
      <c r="C360" t="str">
        <v>Askaneli Restaurant</v>
      </c>
      <c r="D360" t="str">
        <v>B5CAA716-CA9B-47D4-85D4-9954ED4DBAD2</v>
      </c>
      <c r="E360" t="str">
        <v>2022-07-11</v>
      </c>
      <c r="F360" s="4">
        <v>1500</v>
      </c>
      <c r="G360" t="str">
        <v>5a2d799d-22a1-4e0a-b029-8031a1df6d56</v>
      </c>
      <c r="H360" t="str">
        <v>9fed28b3-82cf-4afa-8e8d-952adf7a54a5</v>
      </c>
      <c r="I360" t="str">
        <v/>
      </c>
      <c r="L360" t="str">
        <v>C309CB7C-404D-431A-A8FB-29671DCA0C49</v>
      </c>
    </row>
    <row r="361" spans="1:12" x14ac:dyDescent="0.25">
      <c r="A361" t="str">
        <v>beb3b0ee-c827-42c0-a283-0b86f554af6e</v>
      </c>
      <c r="B361" t="str">
        <v>1D6C190E-3037-4435-BF28-B1D43DC3432D</v>
      </c>
      <c r="C361" t="str">
        <v>Galleria Tbilisi - Escalator Combs</v>
      </c>
      <c r="D361" t="str">
        <v>C491BFF3-6F7B-4412-9DF0-EAED6F3EE238</v>
      </c>
      <c r="E361" t="str">
        <v>2022-07-05</v>
      </c>
      <c r="F361" s="4">
        <v>2493.56</v>
      </c>
      <c r="G361" t="str">
        <v>5a2d799d-22a1-4e0a-b029-8031a1df6d56</v>
      </c>
      <c r="H361" t="str">
        <v>9fed28b3-82cf-4afa-8e8d-952adf7a54a5</v>
      </c>
      <c r="I361" t="str">
        <v/>
      </c>
      <c r="L361" t="str">
        <v>A4E9EDC7-B81F-4483-9069-A7790AEBE4FA</v>
      </c>
    </row>
    <row r="362" spans="1:12" x14ac:dyDescent="0.25">
      <c r="A362" t="str">
        <v>d276735d-4cd8-453e-98e3-1bb5ace1a265</v>
      </c>
      <c r="B362" t="str">
        <v>B3E373C9-2E2A-4FBA-BEC3-C5CE93DC6D4B</v>
      </c>
      <c r="C362" t="str">
        <v>ATU Conditioners 2</v>
      </c>
      <c r="D362" t="str">
        <v>FEA4B88F-633F-4422-B3D6-250792A2DA80</v>
      </c>
      <c r="E362" t="str">
        <v>2022-06-22</v>
      </c>
      <c r="F362" s="4">
        <v>6300</v>
      </c>
      <c r="G362" t="str">
        <v>5a2d799d-22a1-4e0a-b029-8031a1df6d56</v>
      </c>
      <c r="H362" t="str">
        <v>9fed28b3-82cf-4afa-8e8d-952adf7a54a5</v>
      </c>
      <c r="I362" t="str">
        <v/>
      </c>
      <c r="L362" t="str">
        <v>C309CB7C-404D-431A-A8FB-29671DCA0C49</v>
      </c>
    </row>
    <row r="363" spans="1:12" x14ac:dyDescent="0.25">
      <c r="A363" t="str">
        <v>d3ba7e7c-b0d0-4092-84cc-fa3bd4ad9f85</v>
      </c>
      <c r="B363" t="str">
        <v>7885E9EF-3269-491C-91E3-5E98A71863CD</v>
      </c>
      <c r="C363" t="str">
        <v>Okrokana Service</v>
      </c>
      <c r="D363" t="str">
        <v>12238130-9D12-4099-A48B-9EB5A085E0F8</v>
      </c>
      <c r="E363" t="str">
        <v>2022-06-01</v>
      </c>
      <c r="F363" s="4">
        <v>100</v>
      </c>
      <c r="G363" t="str">
        <v>0790fb09-2de6-4ea3-a71c-58a007fc62a8</v>
      </c>
      <c r="H363" t="str">
        <v>9fed28b3-82cf-4afa-8e8d-952adf7a54a5</v>
      </c>
      <c r="I363" t="str">
        <v>1 6 31 1580</v>
      </c>
      <c r="L363" t="str">
        <v>A4E9EDC7-B81F-4483-9069-A7790AEBE4FA</v>
      </c>
    </row>
    <row r="364" spans="1:12" x14ac:dyDescent="0.25">
      <c r="A364" t="str">
        <v>4631583d-647c-4d35-b27c-0f6c2495469b</v>
      </c>
      <c r="B364" t="str">
        <v>FB20B5F4-212D-4E39-B5D5-EDCC2F8F507F</v>
      </c>
      <c r="C364" t="str">
        <v xml:space="preserve">Monadirishvili - Mitsubishi Conditioner </v>
      </c>
      <c r="D364" t="str">
        <v>FEA4B88F-633F-4422-B3D6-250792A2DA80</v>
      </c>
      <c r="E364" t="str">
        <v>2022-06-06</v>
      </c>
      <c r="F364" s="4">
        <v>1380</v>
      </c>
      <c r="G364" t="str">
        <v>5a2d799d-22a1-4e0a-b029-8031a1df6d56</v>
      </c>
      <c r="H364" t="str">
        <v>9fed28b3-82cf-4afa-8e8d-952adf7a54a5</v>
      </c>
      <c r="I364" t="str">
        <v/>
      </c>
      <c r="L364" t="str">
        <v>401318CA-BF39-49C3-9BDC-73836A8F9774</v>
      </c>
    </row>
    <row r="365" spans="1:12" x14ac:dyDescent="0.25">
      <c r="A365" t="str">
        <v>87c718f1-2605-4905-ab2d-949bc6ed80d9</v>
      </c>
      <c r="B365" t="str">
        <v>726D9023-53A2-435E-8A5B-8BCEA9625E08</v>
      </c>
      <c r="C365" t="str">
        <v>Compressor</v>
      </c>
      <c r="D365" t="str">
        <v>FEA4B88F-633F-4422-B3D6-250792A2DA80</v>
      </c>
      <c r="E365" t="str">
        <v>2022-05-24</v>
      </c>
      <c r="F365" s="4">
        <v>8780</v>
      </c>
      <c r="G365" t="str">
        <v>0790fb09-2de6-4ea3-a71c-58a007fc62a8</v>
      </c>
      <c r="H365" t="str">
        <v>9fed28b3-82cf-4afa-8e8d-952adf7a54a5</v>
      </c>
      <c r="I365" t="str">
        <v/>
      </c>
      <c r="L365" t="str">
        <v>401318CA-BF39-49C3-9BDC-73836A8F9774</v>
      </c>
    </row>
    <row r="366" spans="1:12" x14ac:dyDescent="0.25">
      <c r="A366" t="str">
        <v>5bd4920c-8403-4ba4-b865-a271c999b332</v>
      </c>
      <c r="B366" t="str">
        <v>e741733c-b798-4f98-9c57-c569f4b042ea</v>
      </c>
      <c r="C366" t="str">
        <v>VOYARG ASSY CONTROL</v>
      </c>
      <c r="D366" t="str">
        <v>FEA4B88F-633F-4422-B3D6-250792A2DA80</v>
      </c>
      <c r="E366" t="str">
        <v>2022-05-27</v>
      </c>
      <c r="F366" s="4">
        <v>2800</v>
      </c>
      <c r="G366" t="str">
        <v>0790fb09-2de6-4ea3-a71c-58a007fc62a8</v>
      </c>
      <c r="H366" t="str">
        <v>9fed28b3-82cf-4afa-8e8d-952adf7a54a5</v>
      </c>
      <c r="I366" t="str">
        <v/>
      </c>
      <c r="L366" t="str">
        <v>401318CA-BF39-49C3-9BDC-73836A8F9774</v>
      </c>
    </row>
    <row r="367" spans="1:12" x14ac:dyDescent="0.25">
      <c r="A367" t="str">
        <v>1b32c213-6c67-4c1a-a767-a06e197a43ae</v>
      </c>
      <c r="B367" t="str">
        <v>0E3C8876-D73B-417A-A61E-5FD08F98EDCB</v>
      </c>
      <c r="C367" t="str">
        <v>Shato Mukhrani Filters</v>
      </c>
      <c r="D367" t="str">
        <v>FEA4B88F-633F-4422-B3D6-250792A2DA80</v>
      </c>
      <c r="E367" t="str">
        <v>2022-07-26</v>
      </c>
      <c r="F367" s="4">
        <v>545</v>
      </c>
      <c r="G367" t="str">
        <v>0790fb09-2de6-4ea3-a71c-58a007fc62a8</v>
      </c>
      <c r="H367" t="str">
        <v>9fed28b3-82cf-4afa-8e8d-952adf7a54a5</v>
      </c>
      <c r="I367" t="str">
        <v/>
      </c>
      <c r="L367" t="str">
        <v/>
      </c>
    </row>
    <row r="368" spans="1:12" x14ac:dyDescent="0.25">
      <c r="A368" t="str">
        <v>9518b3a0-051a-4732-b24d-e59f121af873</v>
      </c>
      <c r="B368" t="str">
        <v>58fa8342-2181-4246-af05-590de2ef9e8d</v>
      </c>
      <c r="C368" t="str">
        <v>Bagrationi</v>
      </c>
      <c r="D368" t="str">
        <v>B59170EC-16CC-499A-9FF7-0428DCB8F727</v>
      </c>
      <c r="E368" t="str">
        <v>2022-06-25</v>
      </c>
      <c r="F368" s="4">
        <v>413654</v>
      </c>
      <c r="G368" t="str">
        <v>0790fb09-2de6-4ea3-a71c-58a007fc62a8</v>
      </c>
      <c r="H368" t="str">
        <v>9fed28b3-82cf-4afa-8e8d-952adf7a54a5</v>
      </c>
      <c r="I368" t="str">
        <v>1 6 30 1927</v>
      </c>
      <c r="L368" t="str">
        <v/>
      </c>
    </row>
    <row r="369" spans="1:12" x14ac:dyDescent="0.25">
      <c r="A369" t="str">
        <v>a22792ae-98f7-4990-a17d-8080e8e8bca5</v>
      </c>
      <c r="B369" t="str">
        <v>84fbebbf-ffe3-4de2-b726-6c20f7de3e5e</v>
      </c>
      <c r="C369" t="str">
        <v>IDC Mitsubishi Conditioner</v>
      </c>
      <c r="D369" t="str">
        <v>FEA4B88F-633F-4422-B3D6-250792A2DA80</v>
      </c>
      <c r="E369" t="str">
        <v>2022-07-25</v>
      </c>
      <c r="F369" s="4">
        <v>2855</v>
      </c>
      <c r="G369" t="str">
        <v>5a2d799d-22a1-4e0a-b029-8031a1df6d56</v>
      </c>
      <c r="H369" t="str">
        <v>9fed28b3-82cf-4afa-8e8d-952adf7a54a5</v>
      </c>
      <c r="I369" t="str">
        <v/>
      </c>
      <c r="L369" t="str">
        <v/>
      </c>
    </row>
    <row r="370" spans="1:12" x14ac:dyDescent="0.25">
      <c r="A370" t="str">
        <v>70a35471-a9c1-45d1-bfaf-a8c98abeaed7</v>
      </c>
      <c r="B370" t="str">
        <v>dbbb87c7-d197-4838-8a24-faf3e22917cc</v>
      </c>
      <c r="C370" t="str">
        <v>Alliance Previlige</v>
      </c>
      <c r="D370" t="str">
        <v>B59170EC-16CC-499A-9FF7-0428DCB8F727</v>
      </c>
      <c r="E370" t="str">
        <v>2022-08-01</v>
      </c>
      <c r="F370" s="4">
        <v>610990</v>
      </c>
      <c r="G370" t="str">
        <v>0790fb09-2de6-4ea3-a71c-58a007fc62a8</v>
      </c>
      <c r="H370" t="str">
        <v>9fed28b3-82cf-4afa-8e8d-952adf7a54a5</v>
      </c>
      <c r="I370" t="str">
        <v>1 6 30 1952</v>
      </c>
      <c r="L370" t="str">
        <v/>
      </c>
    </row>
    <row r="371" spans="1:12" x14ac:dyDescent="0.25">
      <c r="A371" t="str">
        <v>6f2dbefb-3202-4b51-bd70-ea1bd9534729</v>
      </c>
      <c r="B371" t="str">
        <v>fb5cb65c-f87e-4ad2-a3ed-fa346097ef17</v>
      </c>
      <c r="C371" t="str">
        <v>Batumi Mall</v>
      </c>
      <c r="D371" t="str">
        <v>B59170EC-16CC-499A-9FF7-0428DCB8F727</v>
      </c>
      <c r="E371" t="str">
        <v>2022-08-05</v>
      </c>
      <c r="F371" s="4">
        <v>1036581.96</v>
      </c>
      <c r="G371" t="str">
        <v>0790fb09-2de6-4ea3-a71c-58a007fc62a8</v>
      </c>
      <c r="H371" t="str">
        <v>9fed28b3-82cf-4afa-8e8d-952adf7a54a5</v>
      </c>
      <c r="I371" t="str">
        <v>1 6 30 1959</v>
      </c>
      <c r="L371" t="str">
        <v/>
      </c>
    </row>
    <row r="372" spans="1:12" x14ac:dyDescent="0.25">
      <c r="A372" t="str">
        <v>62a037bd-1204-4a28-996f-855d80be40c5</v>
      </c>
      <c r="B372" t="str">
        <v>1436a7f5-9177-4e1d-85e3-61dfd225db33</v>
      </c>
      <c r="C372" t="str">
        <v>Shavteli Street</v>
      </c>
      <c r="D372" t="str">
        <v>12238130-9D12-4099-A48B-9EB5A085E0F8</v>
      </c>
      <c r="E372" t="str">
        <v>2022-08-15</v>
      </c>
      <c r="F372" s="4">
        <v>120</v>
      </c>
      <c r="G372" t="str">
        <v>0790fb09-2de6-4ea3-a71c-58a007fc62a8</v>
      </c>
      <c r="H372" t="str">
        <v>9fed28b3-82cf-4afa-8e8d-952adf7a54a5</v>
      </c>
      <c r="I372" t="str">
        <v/>
      </c>
      <c r="L372" t="str">
        <v/>
      </c>
    </row>
    <row r="373" spans="1:12" x14ac:dyDescent="0.25">
      <c r="A373" t="str">
        <v>d91c249a-2c4d-4283-9a90-f48d3ffadf6c</v>
      </c>
      <c r="B373" t="str">
        <v>3D0B2E19-A7F7-45A1-A329-05C7D5F99C8A</v>
      </c>
      <c r="C373" t="str">
        <v>Conditioner Parts</v>
      </c>
      <c r="D373" t="str">
        <v>FEA4B88F-633F-4422-B3D6-250792A2DA80</v>
      </c>
      <c r="E373" t="str">
        <v>2022-07-26</v>
      </c>
      <c r="F373" s="4">
        <v>25080</v>
      </c>
      <c r="G373" t="str">
        <v>0790fb09-2de6-4ea3-a71c-58a007fc62a8</v>
      </c>
      <c r="H373" t="str">
        <v>9fed28b3-82cf-4afa-8e8d-952adf7a54a5</v>
      </c>
      <c r="I373" t="str">
        <v/>
      </c>
      <c r="L373" t="str">
        <v/>
      </c>
    </row>
    <row r="374" spans="1:12" x14ac:dyDescent="0.25">
      <c r="A374" t="str">
        <v>e74c8db3-ddb3-4186-ae37-00a9984b2262</v>
      </c>
      <c r="B374" t="str">
        <v>3D0B2E19-A7F7-45A1-A329-05C7D5F99C8A</v>
      </c>
      <c r="C374" t="str">
        <v>Chiller Compressors</v>
      </c>
      <c r="D374" t="str">
        <v>FEA4B88F-633F-4422-B3D6-250792A2DA80</v>
      </c>
      <c r="E374" t="str">
        <v>2022-08-17</v>
      </c>
      <c r="F374" s="4">
        <v>28800</v>
      </c>
      <c r="G374" t="str">
        <v>4cfda3f2-535e-4b77-a467-eac9dc64feca</v>
      </c>
      <c r="H374" t="str">
        <v>9fed28b3-82cf-4afa-8e8d-952adf7a54a5</v>
      </c>
      <c r="I374" t="str">
        <v/>
      </c>
      <c r="L374" t="str">
        <v>C309CB7C-404D-431A-A8FB-29671DCA0C49</v>
      </c>
    </row>
    <row r="375" spans="1:12" x14ac:dyDescent="0.25">
      <c r="A375" t="str">
        <v>71525840-B5A6-4072-8CED-599FA5A57798</v>
      </c>
      <c r="B375" t="str">
        <v>C54EB547-1BF2-4318-8B7A-B4FF1707E167</v>
      </c>
      <c r="C375" t="str">
        <v>Biota Park</v>
      </c>
      <c r="D375" t="str">
        <v>12238130-9D12-4099-A48B-9EB5A085E0F8</v>
      </c>
      <c r="E375" t="str">
        <v>2022-04-01</v>
      </c>
      <c r="F375" s="4">
        <v>1500</v>
      </c>
      <c r="G375" t="str">
        <v>5a2d799d-22a1-4e0a-b029-8031a1df6d56</v>
      </c>
      <c r="H375" t="str">
        <v>9fed28b3-82cf-4afa-8e8d-952adf7a54a5</v>
      </c>
      <c r="I375" t="str">
        <v>1 6 31 1865</v>
      </c>
      <c r="L375" t="str">
        <v>A4E9EDC7-B81F-4483-9069-A7790AEBE4FA</v>
      </c>
    </row>
    <row r="376" spans="1:12" x14ac:dyDescent="0.25">
      <c r="A376" t="str">
        <v>62201211-2503-4F94-B46A-D434C1788449</v>
      </c>
      <c r="B376" t="str">
        <v>F9B986D7-73AE-4F10-9DC3-1A4E90558499</v>
      </c>
      <c r="C376" t="str">
        <v>Jemali House</v>
      </c>
      <c r="D376" t="str">
        <v>FEA4B88F-633F-4422-B3D6-250792A2DA80</v>
      </c>
      <c r="E376" t="str">
        <v>2020-09-01</v>
      </c>
      <c r="F376" s="4">
        <v>31550</v>
      </c>
      <c r="G376" t="str">
        <v>0790fb09-2de6-4ea3-a71c-58a007fc62a8</v>
      </c>
      <c r="H376" t="str">
        <v>9fed28b3-82cf-4afa-8e8d-952adf7a54a5</v>
      </c>
      <c r="I376" t="str">
        <v>1 6 30 1493 2</v>
      </c>
      <c r="L376" t="str">
        <v/>
      </c>
    </row>
    <row r="377" spans="1:12" x14ac:dyDescent="0.25">
      <c r="A377" t="str">
        <v>c5a02d60-3c42-41be-b64a-371c3fd08fda</v>
      </c>
      <c r="B377" t="str">
        <v>C5D1F87D-8C4D-42C3-8E4A-B47A5A7D4D4A</v>
      </c>
      <c r="C377" t="str">
        <v>Toshiba Split</v>
      </c>
      <c r="D377" t="str">
        <v>FEA4B88F-633F-4422-B3D6-250792A2DA80</v>
      </c>
      <c r="E377" t="str">
        <v>2022-07-16</v>
      </c>
      <c r="F377" s="4">
        <v>2000</v>
      </c>
      <c r="G377" t="str">
        <v>5a2d799d-22a1-4e0a-b029-8031a1df6d56</v>
      </c>
      <c r="H377" t="str">
        <v>9fed28b3-82cf-4afa-8e8d-952adf7a54a5</v>
      </c>
      <c r="I377" t="str">
        <v/>
      </c>
      <c r="L377" t="str">
        <v>C5D1F87D-8C4D-42C3-8E4A-B47A5A7D4D4A</v>
      </c>
    </row>
    <row r="378" spans="1:12" x14ac:dyDescent="0.25">
      <c r="A378" t="str">
        <v>3d1dc457-9f05-41a4-ae86-f443e9936353</v>
      </c>
      <c r="B378" t="str">
        <v>81885caa-698e-4700-b0c0-60d0a5119680</v>
      </c>
      <c r="C378" t="str">
        <v>Yoga Center</v>
      </c>
      <c r="D378" t="str">
        <v>FEA4B88F-633F-4422-B3D6-250792A2DA80</v>
      </c>
      <c r="E378" t="str">
        <v>2022-10-18</v>
      </c>
      <c r="F378" s="4">
        <v>35733.599999999999</v>
      </c>
      <c r="G378" t="str">
        <v>0790fb09-2de6-4ea3-a71c-58a007fc62a8</v>
      </c>
      <c r="H378" t="str">
        <v>9fed28b3-82cf-4afa-8e8d-952adf7a54a5</v>
      </c>
      <c r="I378" t="str">
        <v>1 6 30 1984</v>
      </c>
      <c r="L378" t="str">
        <v>C309CB7C-404D-431A-A8FB-29671DCA0C49</v>
      </c>
    </row>
    <row r="379" spans="1:12" x14ac:dyDescent="0.25">
      <c r="A379" t="str">
        <v>ac2abdf7-c970-467c-af5b-35cf909642f4</v>
      </c>
      <c r="B379" t="str">
        <v>b4a248a5-14b1-4b9b-96b6-186c1fb4b4d8</v>
      </c>
      <c r="C379" t="str">
        <v>Moxy Hotel Rooftop Service</v>
      </c>
      <c r="D379" t="str">
        <v>B5CAA716-CA9B-47D4-85D4-9954ED4DBAD2</v>
      </c>
      <c r="E379" t="str">
        <v>2022-10-20</v>
      </c>
      <c r="F379" s="4">
        <v>2250</v>
      </c>
      <c r="G379" t="str">
        <v>5a2d799d-22a1-4e0a-b029-8031a1df6d56</v>
      </c>
      <c r="H379" t="str">
        <v>9fed28b3-82cf-4afa-8e8d-952adf7a54a5</v>
      </c>
      <c r="I379" t="str">
        <v/>
      </c>
      <c r="L379" t="str">
        <v>401318CA-BF39-49C3-9BDC-73836A8F9774</v>
      </c>
    </row>
    <row r="380" spans="1:12" x14ac:dyDescent="0.25">
      <c r="A380" t="str">
        <v>ec909037-e405-41bf-9bc1-c961967df04e</v>
      </c>
      <c r="B380" t="str">
        <v>13540E1C-4780-43C3-B08E-70C721E67E41</v>
      </c>
      <c r="C380" t="str">
        <v>Mitsubishi VRF System</v>
      </c>
      <c r="D380" t="str">
        <v>FEA4B88F-633F-4422-B3D6-250792A2DA80</v>
      </c>
      <c r="E380" t="str">
        <v>2022-10-25</v>
      </c>
      <c r="F380" s="4">
        <v>8600</v>
      </c>
      <c r="G380" t="str">
        <v>0790fb09-2de6-4ea3-a71c-58a007fc62a8</v>
      </c>
      <c r="H380" t="str">
        <v>9fed28b3-82cf-4afa-8e8d-952adf7a54a5</v>
      </c>
      <c r="I380" t="str">
        <v>1 6 30 1092</v>
      </c>
      <c r="L380" t="str">
        <v>83F0C711-34F6-45B3-A1ED-F85548418822</v>
      </c>
    </row>
    <row r="381" spans="1:12" x14ac:dyDescent="0.25">
      <c r="A381" t="str">
        <v>24f7bfb6-e62e-4ac7-ae2c-6cae7b9628f2</v>
      </c>
      <c r="B381" t="str">
        <v>9B2B30F8-1FC4-427E-8478-DB1B57B48DDA</v>
      </c>
      <c r="C381" t="str">
        <v>8 Units Elevator Service</v>
      </c>
      <c r="D381" t="str">
        <v>C491BFF3-6F7B-4412-9DF0-EAED6F3EE238</v>
      </c>
      <c r="E381" t="str">
        <v>2022-10-24</v>
      </c>
      <c r="F381" s="4">
        <v>1000</v>
      </c>
      <c r="G381" t="str">
        <v>5a2d799d-22a1-4e0a-b029-8031a1df6d56</v>
      </c>
      <c r="H381" t="str">
        <v>9fed28b3-82cf-4afa-8e8d-952adf7a54a5</v>
      </c>
      <c r="I381" t="str">
        <v/>
      </c>
      <c r="L381" t="str">
        <v>A4E9EDC7-B81F-4483-9069-A7790AEBE4FA</v>
      </c>
    </row>
    <row r="382" spans="1:12" x14ac:dyDescent="0.25">
      <c r="A382" t="str">
        <v>42af9194-e383-4f14-92d7-e3ab5d060023</v>
      </c>
      <c r="B382" t="str">
        <v>b178ee69-8398-4d71-9a3b-727043bba954</v>
      </c>
      <c r="C382" t="str">
        <v>V-JEO Restaurant Platform</v>
      </c>
      <c r="D382" t="str">
        <v>B59170EC-16CC-499A-9FF7-0428DCB8F727</v>
      </c>
      <c r="E382" t="str">
        <v>2022-10-26</v>
      </c>
      <c r="F382" s="4">
        <v>12000</v>
      </c>
      <c r="G382" t="str">
        <v>0790fb09-2de6-4ea3-a71c-58a007fc62a8</v>
      </c>
      <c r="H382" t="str">
        <v>9fed28b3-82cf-4afa-8e8d-952adf7a54a5</v>
      </c>
      <c r="I382" t="str">
        <v>1 6 30 1994</v>
      </c>
      <c r="L382" t="str">
        <v/>
      </c>
    </row>
    <row r="383" spans="1:12" x14ac:dyDescent="0.25">
      <c r="A383" t="str">
        <v>d126262c-dbc0-459a-9ecf-e2cee027e985</v>
      </c>
      <c r="B383" t="str">
        <v>6db1636b-2fd7-4d19-886e-7f4fdecc76fd</v>
      </c>
      <c r="C383" t="str">
        <v>Saturday Mode</v>
      </c>
      <c r="D383" t="str">
        <v>C491BFF3-6F7B-4412-9DF0-EAED6F3EE238</v>
      </c>
      <c r="E383" t="str">
        <v>2022-10-01</v>
      </c>
      <c r="F383" s="4">
        <v>3900</v>
      </c>
      <c r="G383" t="str">
        <v>5a2d799d-22a1-4e0a-b029-8031a1df6d56</v>
      </c>
      <c r="H383" t="str">
        <v>9fed28b3-82cf-4afa-8e8d-952adf7a54a5</v>
      </c>
      <c r="I383" t="str">
        <v/>
      </c>
      <c r="L383" t="str">
        <v/>
      </c>
    </row>
    <row r="384" spans="1:12" x14ac:dyDescent="0.25">
      <c r="A384" t="str">
        <v>dbd32fa4-83cc-4ef2-aeaa-8eef98900c56</v>
      </c>
      <c r="B384" t="str">
        <v>43EABC78-AF64-4C14-9FEF-C7E6A1B6F07E</v>
      </c>
      <c r="C384" t="str">
        <v>White square</v>
      </c>
      <c r="D384" t="str">
        <v>B59170EC-16CC-499A-9FF7-0428DCB8F727</v>
      </c>
      <c r="E384" t="str">
        <v>2022-11-05</v>
      </c>
      <c r="F384" s="4">
        <v>1000000</v>
      </c>
      <c r="G384" t="str">
        <v>0790fb09-2de6-4ea3-a71c-58a007fc62a8</v>
      </c>
      <c r="H384" t="str">
        <v>9fed28b3-82cf-4afa-8e8d-952adf7a54a5</v>
      </c>
      <c r="I384" t="str">
        <v/>
      </c>
      <c r="L384" t="str">
        <v/>
      </c>
    </row>
    <row r="385" spans="1:12" x14ac:dyDescent="0.25">
      <c r="A385" t="str">
        <v>88447f3e-4227-4c99-8cf8-67037c5ffac5</v>
      </c>
      <c r="B385" t="str">
        <v>68612348-6cfb-49fe-b24b-cac04030d5a7</v>
      </c>
      <c r="C385" t="str">
        <v>Goderdzi Hotel AHU</v>
      </c>
      <c r="D385" t="str">
        <v>FEA4B88F-633F-4422-B3D6-250792A2DA80</v>
      </c>
      <c r="E385" t="str">
        <v>2022-08-27</v>
      </c>
      <c r="F385" s="4">
        <v>71023.91</v>
      </c>
      <c r="G385" t="str">
        <v>4cfda3f2-535e-4b77-a467-eac9dc64feca</v>
      </c>
      <c r="H385" t="str">
        <v>9fed28b3-82cf-4afa-8e8d-952adf7a54a5</v>
      </c>
      <c r="I385" t="str">
        <v/>
      </c>
      <c r="L385" t="str">
        <v/>
      </c>
    </row>
    <row r="386" spans="1:12" x14ac:dyDescent="0.25">
      <c r="A386" t="str">
        <v>6213f7c7-afe1-4e2d-996f-36da99526997</v>
      </c>
      <c r="B386" t="str">
        <v>62adb203-22a8-4c9a-a654-f4abd3761f58</v>
      </c>
      <c r="C386" t="str">
        <v>Churkveidze - 2 Units Conditioner</v>
      </c>
      <c r="D386" t="str">
        <v>FEA4B88F-633F-4422-B3D6-250792A2DA80</v>
      </c>
      <c r="E386" t="str">
        <v>2022-11-17</v>
      </c>
      <c r="F386" s="4">
        <v>5140</v>
      </c>
      <c r="G386" t="str">
        <v>5a2d799d-22a1-4e0a-b029-8031a1df6d56</v>
      </c>
      <c r="H386" t="str">
        <v>9fed28b3-82cf-4afa-8e8d-952adf7a54a5</v>
      </c>
      <c r="I386" t="str">
        <v/>
      </c>
      <c r="L386" t="str">
        <v/>
      </c>
    </row>
    <row r="387" spans="1:12" x14ac:dyDescent="0.25">
      <c r="A387" t="str">
        <v>769a66f7-239b-4b07-9247-181ba26f119d</v>
      </c>
      <c r="B387" t="str">
        <v>726D9023-53A2-435E-8A5B-8BCEA9625E08</v>
      </c>
      <c r="C387" t="str">
        <v>1TV</v>
      </c>
      <c r="D387" t="str">
        <v>B59170EC-16CC-499A-9FF7-0428DCB8F727</v>
      </c>
      <c r="E387" t="str">
        <v>2022-11-01</v>
      </c>
      <c r="F387" s="4">
        <v>199940</v>
      </c>
      <c r="G387" t="str">
        <v>0790fb09-2de6-4ea3-a71c-58a007fc62a8</v>
      </c>
      <c r="H387" t="str">
        <v>9fed28b3-82cf-4afa-8e8d-952adf7a54a5</v>
      </c>
      <c r="I387" t="str">
        <v>1 6 30 4 4</v>
      </c>
      <c r="L387" t="str">
        <v/>
      </c>
    </row>
    <row r="388" spans="1:12" x14ac:dyDescent="0.25">
      <c r="A388" t="str">
        <v>609c623f-d3a4-469e-91c7-a7c5ffacb0fc</v>
      </c>
      <c r="B388" t="str">
        <v>E9C2253A-B4A6-4693-9A79-2AE9F4E5F66B</v>
      </c>
      <c r="C388" t="str">
        <v>Diesel Generator Service</v>
      </c>
      <c r="D388" t="str">
        <v>B5CAA716-CA9B-47D4-85D4-9954ED4DBAD2</v>
      </c>
      <c r="E388" t="str">
        <v>2022-10-25</v>
      </c>
      <c r="F388" s="4">
        <v>1076.2</v>
      </c>
      <c r="G388" t="str">
        <v>5a2d799d-22a1-4e0a-b029-8031a1df6d56</v>
      </c>
      <c r="H388" t="str">
        <v>9fed28b3-82cf-4afa-8e8d-952adf7a54a5</v>
      </c>
      <c r="I388" t="str">
        <v/>
      </c>
      <c r="L388" t="str">
        <v/>
      </c>
    </row>
    <row r="389" spans="1:12" x14ac:dyDescent="0.25">
      <c r="A389" t="str">
        <v>b1e1d0d3-3078-495e-8667-dc50cc397b43</v>
      </c>
      <c r="B389" t="str">
        <v>c12720de-3276-40e2-abd0-b542e0a18f02</v>
      </c>
      <c r="C389" t="str">
        <v>Cooling Tower Belts</v>
      </c>
      <c r="D389" t="str">
        <v>FEA4B88F-633F-4422-B3D6-250792A2DA80</v>
      </c>
      <c r="E389" t="str">
        <v>2022-11-07</v>
      </c>
      <c r="F389" s="4">
        <v>12060</v>
      </c>
      <c r="G389" t="str">
        <v>0790fb09-2de6-4ea3-a71c-58a007fc62a8</v>
      </c>
      <c r="H389" t="str">
        <v>9fed28b3-82cf-4afa-8e8d-952adf7a54a5</v>
      </c>
      <c r="I389" t="str">
        <v/>
      </c>
      <c r="L389" t="str">
        <v/>
      </c>
    </row>
    <row r="390" spans="1:12" x14ac:dyDescent="0.25">
      <c r="A390" t="str">
        <v>8bc6c19b-97f2-4132-8098-d17b7934309a</v>
      </c>
      <c r="B390" t="str">
        <v>726D9023-53A2-435E-8A5B-8BCEA9625E08</v>
      </c>
      <c r="C390" t="str">
        <v>Macdonalds Orkhevi</v>
      </c>
      <c r="D390" t="str">
        <v>31562B13-85C8-472E-8D02-01D802D635C1</v>
      </c>
      <c r="E390" t="str">
        <v>2022-10-01</v>
      </c>
      <c r="F390" s="4">
        <v>944</v>
      </c>
      <c r="G390" t="str">
        <v>5a2d799d-22a1-4e0a-b029-8031a1df6d56</v>
      </c>
      <c r="H390" t="str">
        <v>9fed28b3-82cf-4afa-8e8d-952adf7a54a5</v>
      </c>
      <c r="I390" t="str">
        <v/>
      </c>
      <c r="L390" t="str">
        <v/>
      </c>
    </row>
    <row r="391" spans="1:12" x14ac:dyDescent="0.25">
      <c r="A391" t="str">
        <v>5d79a202-227f-46ed-ac97-9b5c8899aaa3</v>
      </c>
      <c r="B391" t="str">
        <v>726D9023-53A2-435E-8A5B-8BCEA9625E08</v>
      </c>
      <c r="C391" t="str">
        <v>Macdonalds Isani</v>
      </c>
      <c r="D391" t="str">
        <v>31562B13-85C8-472E-8D02-01D802D635C1</v>
      </c>
      <c r="E391" t="str">
        <v>2022-11-01</v>
      </c>
      <c r="F391" s="4">
        <v>944</v>
      </c>
      <c r="G391" t="str">
        <v>5a2d799d-22a1-4e0a-b029-8031a1df6d56</v>
      </c>
      <c r="H391" t="str">
        <v>9fed28b3-82cf-4afa-8e8d-952adf7a54a5</v>
      </c>
      <c r="I391" t="str">
        <v/>
      </c>
      <c r="L391" t="str">
        <v/>
      </c>
    </row>
    <row r="392" spans="1:12" x14ac:dyDescent="0.25">
      <c r="A392" t="str">
        <v>86ef1332-8bc1-4ccc-8a9c-e79bc84c69cc</v>
      </c>
      <c r="B392" t="str">
        <v>3D0B2E19-A7F7-45A1-A329-05C7D5F99C8A</v>
      </c>
      <c r="C392" t="str">
        <v>Gold Market</v>
      </c>
      <c r="D392" t="str">
        <v>FEA4B88F-633F-4422-B3D6-250792A2DA80</v>
      </c>
      <c r="E392" t="str">
        <v>2022-10-27</v>
      </c>
      <c r="F392" s="4">
        <v>218060</v>
      </c>
      <c r="G392" t="str">
        <v>0790fb09-2de6-4ea3-a71c-58a007fc62a8</v>
      </c>
      <c r="H392" t="str">
        <v>9fed28b3-82cf-4afa-8e8d-952adf7a54a5</v>
      </c>
      <c r="I392" t="str">
        <v>1 6 30 1371</v>
      </c>
      <c r="L392" t="str">
        <v/>
      </c>
    </row>
    <row r="393" spans="1:12" x14ac:dyDescent="0.25">
      <c r="A393" t="str">
        <v>d6f67cb9-fc9f-480c-8810-a925042a1330</v>
      </c>
      <c r="B393" t="str">
        <v>8C656830-971B-4F16-823C-B3F9461FD619</v>
      </c>
      <c r="C393" t="str">
        <v>SAKCABELI - Fan</v>
      </c>
      <c r="D393" t="str">
        <v>31562B13-85C8-472E-8D02-01D802D635C1</v>
      </c>
      <c r="E393" t="str">
        <v>2022-09-30</v>
      </c>
      <c r="F393" s="4">
        <v>12850</v>
      </c>
      <c r="G393" t="str">
        <v>5a2d799d-22a1-4e0a-b029-8031a1df6d56</v>
      </c>
      <c r="H393" t="str">
        <v>9fed28b3-82cf-4afa-8e8d-952adf7a54a5</v>
      </c>
      <c r="I393" t="str">
        <v>1 6 30 1847</v>
      </c>
      <c r="L393" t="str">
        <v/>
      </c>
    </row>
    <row r="394" spans="1:12" x14ac:dyDescent="0.25">
      <c r="A394" t="str">
        <v>ba6961cc-1c74-41c9-b229-82eff87cfbdd</v>
      </c>
      <c r="B394" t="str">
        <v>95fd8a07-50e2-4f93-b641-f8fc33a8f6d2</v>
      </c>
      <c r="C394" t="str">
        <v>IBRAHIM GRILS</v>
      </c>
      <c r="D394" t="str">
        <v>FEA4B88F-633F-4422-B3D6-250792A2DA80</v>
      </c>
      <c r="E394" t="str">
        <v>2022-11-24</v>
      </c>
      <c r="F394" s="4">
        <v>22740</v>
      </c>
      <c r="G394" t="str">
        <v>0790fb09-2de6-4ea3-a71c-58a007fc62a8</v>
      </c>
      <c r="H394" t="str">
        <v>9fed28b3-82cf-4afa-8e8d-952adf7a54a5</v>
      </c>
      <c r="I394" t="str">
        <v/>
      </c>
      <c r="L394" t="str">
        <v>C309CB7C-404D-431A-A8FB-29671DCA0C49</v>
      </c>
    </row>
    <row r="395" spans="1:12" x14ac:dyDescent="0.25">
      <c r="A395" t="str">
        <v>d0dfb7e1-9ca2-4e35-9f4f-7db378cc7b8b</v>
      </c>
      <c r="B395" t="str">
        <v>9E3145B1-F47E-49C3-BF51-BCB9055ABC20</v>
      </c>
      <c r="C395" t="str">
        <v>Philip Morries Elevator Repair</v>
      </c>
      <c r="D395" t="str">
        <v>C491BFF3-6F7B-4412-9DF0-EAED6F3EE238</v>
      </c>
      <c r="E395" t="str">
        <v>2022-11-18</v>
      </c>
      <c r="F395" s="4">
        <v>2400</v>
      </c>
      <c r="G395" t="str">
        <v>5a2d799d-22a1-4e0a-b029-8031a1df6d56</v>
      </c>
      <c r="H395" t="str">
        <v>9fed28b3-82cf-4afa-8e8d-952adf7a54a5</v>
      </c>
      <c r="I395" t="str">
        <v/>
      </c>
      <c r="L395" t="str">
        <v>A4E9EDC7-B81F-4483-9069-A7790AEBE4FA</v>
      </c>
    </row>
    <row r="396" spans="1:12" x14ac:dyDescent="0.25">
      <c r="A396" t="str">
        <v>34ddb99b-0555-4a3e-9e84-ce906d1e5f4d</v>
      </c>
      <c r="B396" t="str">
        <v>e73bbc35-c413-4683-8c6f-c015c511dffa</v>
      </c>
      <c r="C396" t="str">
        <v>TBC Chillers</v>
      </c>
      <c r="D396" t="str">
        <v>FEA4B88F-633F-4422-B3D6-250792A2DA80</v>
      </c>
      <c r="E396" t="str">
        <v>2022-12-22</v>
      </c>
      <c r="F396" s="4">
        <v>465028</v>
      </c>
      <c r="G396" t="str">
        <v>0790fb09-2de6-4ea3-a71c-58a007fc62a8</v>
      </c>
      <c r="H396" t="str">
        <v>9fed28b3-82cf-4afa-8e8d-952adf7a54a5</v>
      </c>
      <c r="I396" t="str">
        <v/>
      </c>
      <c r="L396" t="str">
        <v/>
      </c>
    </row>
    <row r="397" spans="1:12" x14ac:dyDescent="0.25">
      <c r="A397" t="str">
        <v>1ee8831c-7b71-4b83-b948-f43843a68b54</v>
      </c>
      <c r="B397" t="str">
        <v>830b062b-b828-450d-8340-a3eabbf037ce</v>
      </c>
      <c r="C397" t="str">
        <v>TBC Refregerant</v>
      </c>
      <c r="D397" t="str">
        <v>FEA4B88F-633F-4422-B3D6-250792A2DA80</v>
      </c>
      <c r="E397" t="str">
        <v>2022-12-22</v>
      </c>
      <c r="F397" s="4">
        <v>12390</v>
      </c>
      <c r="G397" t="str">
        <v>0790fb09-2de6-4ea3-a71c-58a007fc62a8</v>
      </c>
      <c r="H397" t="str">
        <v>9fed28b3-82cf-4afa-8e8d-952adf7a54a5</v>
      </c>
      <c r="I397" t="str">
        <v/>
      </c>
      <c r="L397" t="str">
        <v/>
      </c>
    </row>
    <row r="398" spans="1:12" x14ac:dyDescent="0.25">
      <c r="A398" t="str">
        <v>df3bc660-2d88-4c2e-919b-a5268936542c</v>
      </c>
      <c r="B398" t="str">
        <v>e73bbc35-c413-4683-8c6f-c015c511dffa</v>
      </c>
      <c r="C398" t="str">
        <v>TBC Fancoils</v>
      </c>
      <c r="D398" t="str">
        <v>FEA4B88F-633F-4422-B3D6-250792A2DA80</v>
      </c>
      <c r="E398" t="str">
        <v>2022-12-22</v>
      </c>
      <c r="F398" s="4">
        <v>281128</v>
      </c>
      <c r="G398" t="str">
        <v>4cfda3f2-535e-4b77-a467-eac9dc64feca</v>
      </c>
      <c r="H398" t="str">
        <v>9fed28b3-82cf-4afa-8e8d-952adf7a54a5</v>
      </c>
      <c r="I398" t="str">
        <v/>
      </c>
      <c r="L398" t="str">
        <v/>
      </c>
    </row>
    <row r="399" spans="1:12" x14ac:dyDescent="0.25">
      <c r="A399" t="str">
        <v>7213db89-283a-482f-a6cc-6b9783c8b947</v>
      </c>
      <c r="B399" t="str">
        <v>830b062b-b828-450d-8340-a3eabbf037ce</v>
      </c>
      <c r="C399" t="str">
        <v>TBC AHU</v>
      </c>
      <c r="D399" t="str">
        <v>FEA4B88F-633F-4422-B3D6-250792A2DA80</v>
      </c>
      <c r="E399" t="str">
        <v>2022-12-22</v>
      </c>
      <c r="F399" s="4">
        <v>313042</v>
      </c>
      <c r="G399" t="str">
        <v>4cfda3f2-535e-4b77-a467-eac9dc64feca</v>
      </c>
      <c r="H399" t="str">
        <v>9fed28b3-82cf-4afa-8e8d-952adf7a54a5</v>
      </c>
      <c r="I399" t="str">
        <v/>
      </c>
      <c r="L399" t="str">
        <v/>
      </c>
    </row>
    <row r="400" spans="1:12" x14ac:dyDescent="0.25">
      <c r="A400" t="str">
        <v>97467425-3024-4e47-a9e4-7fae80ccd880</v>
      </c>
      <c r="B400" t="str">
        <v>8E8E99BE-75FC-49EC-9D89-960E30E7CB06</v>
      </c>
      <c r="C400" t="str">
        <v>Kvareli Elevators</v>
      </c>
      <c r="D400" t="str">
        <v>B59170EC-16CC-499A-9FF7-0428DCB8F727</v>
      </c>
      <c r="E400" t="str">
        <v>2022-11-01</v>
      </c>
      <c r="F400" s="4">
        <v>291990</v>
      </c>
      <c r="G400" t="str">
        <v>0790fb09-2de6-4ea3-a71c-58a007fc62a8</v>
      </c>
      <c r="H400" t="str">
        <v>9fed28b3-82cf-4afa-8e8d-952adf7a54a5</v>
      </c>
      <c r="I400" t="str">
        <v>1 6 30 541 6</v>
      </c>
      <c r="L400" t="str">
        <v/>
      </c>
    </row>
    <row r="401" spans="1:12" x14ac:dyDescent="0.25">
      <c r="A401" t="str">
        <v>66d9df28-01b5-4f93-88bb-2b5fac652ad7</v>
      </c>
      <c r="B401" t="str">
        <v>ba94ed59-522c-4852-994c-130ef7e8cd30</v>
      </c>
      <c r="C401" t="str">
        <v>Kvareli VRV</v>
      </c>
      <c r="D401" t="str">
        <v>FEA4B88F-633F-4422-B3D6-250792A2DA80</v>
      </c>
      <c r="E401" t="str">
        <v>2022-11-01</v>
      </c>
      <c r="F401" s="4">
        <v>254269.84</v>
      </c>
      <c r="G401" t="str">
        <v>0790fb09-2de6-4ea3-a71c-58a007fc62a8</v>
      </c>
      <c r="H401" t="str">
        <v>9fed28b3-82cf-4afa-8e8d-952adf7a54a5</v>
      </c>
      <c r="I401" t="str">
        <v/>
      </c>
      <c r="L401" t="str">
        <v/>
      </c>
    </row>
    <row r="402" spans="1:12" x14ac:dyDescent="0.25">
      <c r="A402" t="str">
        <v>2a0fd654-9360-49d7-a8a9-4b107127951e</v>
      </c>
      <c r="B402" t="str">
        <v>ba94ed59-522c-4852-994c-130ef7e8cd30</v>
      </c>
      <c r="C402" t="str">
        <v>Kvareli AHU</v>
      </c>
      <c r="D402" t="str">
        <v>FEA4B88F-633F-4422-B3D6-250792A2DA80</v>
      </c>
      <c r="E402" t="str">
        <v>2022-11-01</v>
      </c>
      <c r="F402" s="4">
        <v>109707</v>
      </c>
      <c r="G402" t="str">
        <v>4cfda3f2-535e-4b77-a467-eac9dc64feca</v>
      </c>
      <c r="H402" t="str">
        <v>9fed28b3-82cf-4afa-8e8d-952adf7a54a5</v>
      </c>
      <c r="I402" t="str">
        <v/>
      </c>
      <c r="L402" t="str">
        <v/>
      </c>
    </row>
    <row r="403" spans="1:12" x14ac:dyDescent="0.25">
      <c r="A403" t="str">
        <v>96eaf1a3-2f7c-4af8-bc23-29814db64545</v>
      </c>
      <c r="B403" t="str">
        <v>80df9929-4edd-411e-b6a3-b5e9f30e5fa0</v>
      </c>
      <c r="C403" t="str">
        <v>Chato di Vere</v>
      </c>
      <c r="D403" t="str">
        <v>B59170EC-16CC-499A-9FF7-0428DCB8F727</v>
      </c>
      <c r="E403" t="str">
        <v>2022-12-10</v>
      </c>
      <c r="F403" s="4">
        <v>28300</v>
      </c>
      <c r="G403" t="str">
        <v>0790fb09-2de6-4ea3-a71c-58a007fc62a8</v>
      </c>
      <c r="H403" t="str">
        <v>9fed28b3-82cf-4afa-8e8d-952adf7a54a5</v>
      </c>
      <c r="I403" t="str">
        <v>1 6 30 2037</v>
      </c>
      <c r="L403" t="str">
        <v/>
      </c>
    </row>
    <row r="404" spans="1:12" x14ac:dyDescent="0.25">
      <c r="A404" t="str">
        <v>42a65f49-f18f-4bda-9070-13bd45302953</v>
      </c>
      <c r="B404" t="str">
        <v>0ea1ff2e-cd21-42e6-8652-3079bf1d48b2</v>
      </c>
      <c r="C404" t="str">
        <v>Askaneli Kvareli</v>
      </c>
      <c r="D404" t="str">
        <v>B59170EC-16CC-499A-9FF7-0428DCB8F727</v>
      </c>
      <c r="E404" t="str">
        <v>2022-12-01</v>
      </c>
      <c r="F404" s="4">
        <v>139500</v>
      </c>
      <c r="G404" t="str">
        <v>0790fb09-2de6-4ea3-a71c-58a007fc62a8</v>
      </c>
      <c r="H404" t="str">
        <v>9fed28b3-82cf-4afa-8e8d-952adf7a54a5</v>
      </c>
      <c r="I404" t="str">
        <v>1 6 30 2102</v>
      </c>
      <c r="L404" t="str">
        <v/>
      </c>
    </row>
    <row r="405" spans="1:12" x14ac:dyDescent="0.25">
      <c r="A405" t="str">
        <v>e4210bd2-fb2b-41af-8034-a705ff42d187</v>
      </c>
      <c r="B405" t="str">
        <v>91DBD569-D92B-4DE1-81A0-7446C323A19C</v>
      </c>
      <c r="C405" t="str">
        <v>Watch Tower</v>
      </c>
      <c r="D405" t="str">
        <v>FEA4B88F-633F-4422-B3D6-250792A2DA80</v>
      </c>
      <c r="E405" t="str">
        <v>2022-12-23</v>
      </c>
      <c r="F405" s="4">
        <v>13090</v>
      </c>
      <c r="G405" t="str">
        <v>0790fb09-2de6-4ea3-a71c-58a007fc62a8</v>
      </c>
      <c r="H405" t="str">
        <v>9fed28b3-82cf-4afa-8e8d-952adf7a54a5</v>
      </c>
      <c r="I405" t="str">
        <v/>
      </c>
      <c r="L405" t="str">
        <v/>
      </c>
    </row>
    <row r="406" spans="1:12" x14ac:dyDescent="0.25">
      <c r="A406" t="str">
        <v>07bb9243-11c7-4752-b253-97344fa40f3a</v>
      </c>
      <c r="B406" t="str">
        <v>2BAD18DC-6E49-4AD3-9FDC-1B422FF3B90D</v>
      </c>
      <c r="C406" t="str">
        <v>Gori Mall</v>
      </c>
      <c r="D406" t="str">
        <v>B59170EC-16CC-499A-9FF7-0428DCB8F727</v>
      </c>
      <c r="E406" t="str">
        <v>2022-12-30</v>
      </c>
      <c r="F406" s="4">
        <v>125000</v>
      </c>
      <c r="G406" t="str">
        <v>0790fb09-2de6-4ea3-a71c-58a007fc62a8</v>
      </c>
      <c r="H406" t="str">
        <v>9fed28b3-82cf-4afa-8e8d-952adf7a54a5</v>
      </c>
      <c r="I406" t="str">
        <v>1 6 30 810</v>
      </c>
      <c r="L406" t="str">
        <v/>
      </c>
    </row>
    <row r="407" spans="1:12" x14ac:dyDescent="0.25">
      <c r="A407" t="str">
        <v>38fa946e-78aa-4ed9-9d8e-db82dcf798e7</v>
      </c>
      <c r="B407" t="str">
        <v>2490dae3-255a-413e-b60e-82d1999b0290</v>
      </c>
      <c r="C407" t="str">
        <v>Motor DC</v>
      </c>
      <c r="D407" t="str">
        <v>FEA4B88F-633F-4422-B3D6-250792A2DA80</v>
      </c>
      <c r="E407" t="str">
        <v>2023-01-18</v>
      </c>
      <c r="F407" s="4">
        <v>1250</v>
      </c>
      <c r="G407" t="str">
        <v>0790fb09-2de6-4ea3-a71c-58a007fc62a8</v>
      </c>
      <c r="H407" t="str">
        <v>9fed28b3-82cf-4afa-8e8d-952adf7a54a5</v>
      </c>
      <c r="I407" t="str">
        <v/>
      </c>
      <c r="L407" t="str">
        <v>401318CA-BF39-49C3-9BDC-73836A8F9774</v>
      </c>
    </row>
    <row r="408" spans="1:12" x14ac:dyDescent="0.25">
      <c r="A408" t="str">
        <v>1279700f-a7de-4cea-b2d1-44c49af62fd9</v>
      </c>
      <c r="B408" t="str">
        <v>6f986c6a-0419-4e51-b724-a6cb819550b1</v>
      </c>
      <c r="C408" t="str">
        <v>Beauty Life</v>
      </c>
      <c r="D408" t="str">
        <v>FEA4B88F-633F-4422-B3D6-250792A2DA80</v>
      </c>
      <c r="E408" t="str">
        <v>2023-01-20</v>
      </c>
      <c r="F408" s="4">
        <v>9330</v>
      </c>
      <c r="G408" t="str">
        <v>0790fb09-2de6-4ea3-a71c-58a007fc62a8</v>
      </c>
      <c r="H408" t="str">
        <v>9fed28b3-82cf-4afa-8e8d-952adf7a54a5</v>
      </c>
      <c r="I408" t="str">
        <v>1630 2064</v>
      </c>
      <c r="L408" t="str">
        <v>83F0C711-34F6-45B3-A1ED-F85548418822</v>
      </c>
    </row>
    <row r="409" spans="1:12" x14ac:dyDescent="0.25">
      <c r="A409" t="str">
        <v>bc3f57bb-8758-4550-9a02-e814eb170c54</v>
      </c>
      <c r="B409" t="str">
        <v>4919eb9d-4646-43e8-92f6-429e479dfb02</v>
      </c>
      <c r="C409" t="str">
        <v>ELT BUILDING</v>
      </c>
      <c r="D409" t="str">
        <v>B59170EC-16CC-499A-9FF7-0428DCB8F727</v>
      </c>
      <c r="E409" t="str">
        <v>2022-01-24</v>
      </c>
      <c r="F409" s="4">
        <v>328000</v>
      </c>
      <c r="G409" t="str">
        <v>0790fb09-2de6-4ea3-a71c-58a007fc62a8</v>
      </c>
      <c r="H409" t="str">
        <v>9fed28b3-82cf-4afa-8e8d-952adf7a54a5</v>
      </c>
      <c r="I409" t="str">
        <v>1 6 30 2101</v>
      </c>
      <c r="L409" t="str">
        <v/>
      </c>
    </row>
    <row r="410" spans="1:12" x14ac:dyDescent="0.25">
      <c r="A410" t="str">
        <v>5e3ae24f-6052-49c6-9539-798920a861ae</v>
      </c>
      <c r="B410" t="str">
        <v>2A55DEBB-261B-4CE9-BAE4-296DDEA037AB</v>
      </c>
      <c r="C410" t="str">
        <v>Iumashev Stock</v>
      </c>
      <c r="D410" t="str">
        <v>B59170EC-16CC-499A-9FF7-0428DCB8F727</v>
      </c>
      <c r="E410" t="str">
        <v>2001-01-01</v>
      </c>
      <c r="F410" s="4">
        <v>1</v>
      </c>
      <c r="G410" t="str">
        <v>5a2d799d-22a1-4e0a-b029-8031a1df6d56</v>
      </c>
      <c r="H410" t="str">
        <v>9fed28b3-82cf-4afa-8e8d-952adf7a54a5</v>
      </c>
      <c r="I410" t="str">
        <v>1_6 _20</v>
      </c>
      <c r="L410" t="str">
        <v/>
      </c>
    </row>
    <row r="411" spans="1:12" x14ac:dyDescent="0.25">
      <c r="A411" t="str">
        <v>0373d326-7feb-42eb-990c-3af94f0089e3</v>
      </c>
      <c r="B411" t="str">
        <v>7BF4A039-29BC-44AC-A87D-E8832394B94E</v>
      </c>
      <c r="C411" t="str">
        <v>Dar Building Doors</v>
      </c>
      <c r="D411" t="str">
        <v>B59170EC-16CC-499A-9FF7-0428DCB8F727</v>
      </c>
      <c r="E411" t="str">
        <v>2023-01-27</v>
      </c>
      <c r="F411" s="4">
        <v>17845</v>
      </c>
      <c r="G411" t="str">
        <v>5a2d799d-22a1-4e0a-b029-8031a1df6d56</v>
      </c>
      <c r="H411" t="str">
        <v>9fed28b3-82cf-4afa-8e8d-952adf7a54a5</v>
      </c>
      <c r="I411" t="str">
        <v/>
      </c>
      <c r="L411" t="str">
        <v/>
      </c>
    </row>
    <row r="412" spans="1:12" x14ac:dyDescent="0.25">
      <c r="A412" t="str">
        <v>2b337b80-f35d-4ea5-b222-e0e8c000067a</v>
      </c>
      <c r="B412" t="str">
        <v>726D9023-53A2-435E-8A5B-8BCEA9625E08</v>
      </c>
      <c r="C412" t="str">
        <v>Macdonalds Ortachala Rooftop System</v>
      </c>
      <c r="D412" t="str">
        <v>B5CAA716-CA9B-47D4-85D4-9954ED4DBAD2</v>
      </c>
      <c r="E412" t="str">
        <v>2022-12-19</v>
      </c>
      <c r="F412" s="4">
        <v>2500</v>
      </c>
      <c r="G412" t="str">
        <v>5a2d799d-22a1-4e0a-b029-8031a1df6d56</v>
      </c>
      <c r="H412" t="str">
        <v>9fed28b3-82cf-4afa-8e8d-952adf7a54a5</v>
      </c>
      <c r="I412" t="str">
        <v>1 6 31 4 6</v>
      </c>
      <c r="L412" t="str">
        <v/>
      </c>
    </row>
    <row r="413" spans="1:12" x14ac:dyDescent="0.25">
      <c r="A413" t="str">
        <v>3256f792-aa75-43f9-9aa9-e5d2abc77792</v>
      </c>
      <c r="B413" t="str">
        <v>b4a248a5-14b1-4b9b-96b6-186c1fb4b4d8</v>
      </c>
      <c r="C413" t="str">
        <v>Moxy Hotel Service 2023</v>
      </c>
      <c r="D413" t="str">
        <v>B5CAA716-CA9B-47D4-85D4-9954ED4DBAD2</v>
      </c>
      <c r="E413" t="str">
        <v>2023-01-23</v>
      </c>
      <c r="F413" s="4">
        <v>1300</v>
      </c>
      <c r="G413" t="str">
        <v>5a2d799d-22a1-4e0a-b029-8031a1df6d56</v>
      </c>
      <c r="H413" t="str">
        <v>9fed28b3-82cf-4afa-8e8d-952adf7a54a5</v>
      </c>
      <c r="I413" t="str">
        <v/>
      </c>
      <c r="L413" t="str">
        <v>C309CB7C-404D-431A-A8FB-29671DCA0C49</v>
      </c>
    </row>
    <row r="414" spans="1:12" x14ac:dyDescent="0.25">
      <c r="A414" t="str">
        <v>e27d0114-30c4-4a29-8271-7cf903b942ab</v>
      </c>
      <c r="B414" t="str">
        <v>2A55DEBB-261B-4CE9-BAE4-296DDEA037AB</v>
      </c>
      <c r="C414" t="str">
        <v>Chavchavadze Stock</v>
      </c>
      <c r="D414" t="str">
        <v>68627C8C-95F9-4383-9A95-1923038BB695</v>
      </c>
      <c r="E414" t="str">
        <v>2000-01-01</v>
      </c>
      <c r="F414" s="4">
        <v>1</v>
      </c>
      <c r="G414" t="str">
        <v>5a2d799d-22a1-4e0a-b029-8031a1df6d56</v>
      </c>
      <c r="H414" t="str">
        <v>9fed28b3-82cf-4afa-8e8d-952adf7a54a5</v>
      </c>
      <c r="I414" t="str">
        <v>1_6 _20</v>
      </c>
      <c r="L414" t="str">
        <v/>
      </c>
    </row>
    <row r="415" spans="1:12" x14ac:dyDescent="0.25">
      <c r="A415" t="str">
        <v>1599bf02-997e-469d-9096-8557eb953dad</v>
      </c>
      <c r="B415" t="str">
        <v>2A55DEBB-261B-4CE9-BAE4-296DDEA037AB</v>
      </c>
      <c r="C415" t="str">
        <v>Batumi Office Stock</v>
      </c>
      <c r="D415" t="str">
        <v>68627C8C-95F9-4383-9A95-1923038BB695</v>
      </c>
      <c r="E415" t="str">
        <v>2000-01-01</v>
      </c>
      <c r="F415" s="4">
        <v>1</v>
      </c>
      <c r="G415" t="str">
        <v>5a2d799d-22a1-4e0a-b029-8031a1df6d56</v>
      </c>
      <c r="H415" t="str">
        <v>9fed28b3-82cf-4afa-8e8d-952adf7a54a5</v>
      </c>
      <c r="I415" t="str">
        <v>1_6 _20</v>
      </c>
      <c r="L415" t="str">
        <v/>
      </c>
    </row>
    <row r="416" spans="1:12" x14ac:dyDescent="0.25">
      <c r="A416" t="str">
        <v>36f78c14-fe6c-4a5c-b47b-0eec5a6d2774</v>
      </c>
      <c r="B416" t="str">
        <v>adad13a6-7d16-40a4-a2ba-4f8cda09441a</v>
      </c>
      <c r="C416" t="str">
        <v>Didi dighomi LOP</v>
      </c>
      <c r="D416" t="str">
        <v>B5CAA716-CA9B-47D4-85D4-9954ED4DBAD2</v>
      </c>
      <c r="E416" t="str">
        <v>2023-01-26</v>
      </c>
      <c r="F416" s="4">
        <v>268</v>
      </c>
      <c r="G416" t="str">
        <v>0790fb09-2de6-4ea3-a71c-58a007fc62a8</v>
      </c>
      <c r="H416" t="str">
        <v>9fed28b3-82cf-4afa-8e8d-952adf7a54a5</v>
      </c>
      <c r="I416" t="str">
        <v/>
      </c>
      <c r="L416" t="str">
        <v>A4E9EDC7-B81F-4483-9069-A7790AEBE4FA</v>
      </c>
    </row>
    <row r="417" spans="1:12" x14ac:dyDescent="0.25">
      <c r="A417" t="str">
        <v>7af9a2cf-efaa-4068-b9e5-776d77265019</v>
      </c>
      <c r="B417" t="str">
        <v>726D9023-53A2-435E-8A5B-8BCEA9625E08</v>
      </c>
      <c r="C417" t="str">
        <v>Didi dighomi LOP</v>
      </c>
      <c r="D417" t="str">
        <v>C491BFF3-6F7B-4412-9DF0-EAED6F3EE238</v>
      </c>
      <c r="E417" t="str">
        <v>2023-01-26</v>
      </c>
      <c r="F417" s="4">
        <v>230</v>
      </c>
      <c r="G417" t="str">
        <v>0790fb09-2de6-4ea3-a71c-58a007fc62a8</v>
      </c>
      <c r="H417" t="str">
        <v>9fed28b3-82cf-4afa-8e8d-952adf7a54a5</v>
      </c>
      <c r="I417" t="str">
        <v/>
      </c>
      <c r="L417" t="str">
        <v>A4E9EDC7-B81F-4483-9069-A7790AEBE4FA</v>
      </c>
    </row>
    <row r="418" spans="1:12" x14ac:dyDescent="0.25">
      <c r="A418" t="str">
        <v>241bb860-e2e9-420d-86c8-20fe3416d93c</v>
      </c>
      <c r="B418" t="str">
        <v>43EABC78-AF64-4C14-9FEF-C7E6A1B6F07E</v>
      </c>
      <c r="C418" t="str">
        <v>Gas Co</v>
      </c>
      <c r="D418" t="str">
        <v>B59170EC-16CC-499A-9FF7-0428DCB8F727</v>
      </c>
      <c r="E418" t="str">
        <v>2022-02-01</v>
      </c>
      <c r="F418" s="4">
        <v>100000</v>
      </c>
      <c r="G418" t="str">
        <v>0790fb09-2de6-4ea3-a71c-58a007fc62a8</v>
      </c>
      <c r="H418" t="str">
        <v>9fed28b3-82cf-4afa-8e8d-952adf7a54a5</v>
      </c>
      <c r="I418" t="str">
        <v>1 6 30 1148</v>
      </c>
      <c r="L418" t="str">
        <v/>
      </c>
    </row>
    <row r="419" spans="1:12" x14ac:dyDescent="0.25">
      <c r="A419" t="str">
        <v>b455a95f-37f3-47d3-8efb-ca7b7017f3d6</v>
      </c>
      <c r="B419" t="str">
        <v>12941286-d054-4c3b-9910-04d6e3a4e33a</v>
      </c>
      <c r="C419" t="str">
        <v>Kostia Armenia Elmagan</v>
      </c>
      <c r="D419" t="str">
        <v>FEA4B88F-633F-4422-B3D6-250792A2DA80</v>
      </c>
      <c r="E419" t="str">
        <v>2023-01-18</v>
      </c>
      <c r="F419" s="4">
        <v>12050.75</v>
      </c>
      <c r="G419" t="str">
        <v>0790fb09-2de6-4ea3-a71c-58a007fc62a8</v>
      </c>
      <c r="H419" t="str">
        <v>9fed28b3-82cf-4afa-8e8d-952adf7a54a5</v>
      </c>
      <c r="I419" t="str">
        <v/>
      </c>
      <c r="L419" t="str">
        <v/>
      </c>
    </row>
    <row r="420" spans="1:12" x14ac:dyDescent="0.25">
      <c r="A420" t="str">
        <v>64e9d62c-acb0-491a-a10e-5ad9141e78b8</v>
      </c>
      <c r="B420" t="str">
        <v>75C62470-4093-4FB3-8DB7-F700FEC2C222</v>
      </c>
      <c r="C420" t="str">
        <v>Elevator Rope</v>
      </c>
      <c r="D420" t="str">
        <v>C491BFF3-6F7B-4412-9DF0-EAED6F3EE238</v>
      </c>
      <c r="E420" t="str">
        <v>2022-12-14</v>
      </c>
      <c r="F420" s="4">
        <v>2350</v>
      </c>
      <c r="G420" t="str">
        <v>0790fb09-2de6-4ea3-a71c-58a007fc62a8</v>
      </c>
      <c r="H420" t="str">
        <v>9fed28b3-82cf-4afa-8e8d-952adf7a54a5</v>
      </c>
      <c r="I420" t="str">
        <v/>
      </c>
      <c r="L420" t="str">
        <v>A4E9EDC7-B81F-4483-9069-A7790AEBE4FA</v>
      </c>
    </row>
    <row r="421" spans="1:12" x14ac:dyDescent="0.25">
      <c r="A421" t="str">
        <v>9fa80c94-64fb-4b66-bb90-3765753e1e44</v>
      </c>
      <c r="B421" t="str">
        <v>3D0B2E19-A7F7-45A1-A329-05C7D5F99C8A</v>
      </c>
      <c r="C421" t="str">
        <v>Waikiki Flo</v>
      </c>
      <c r="D421" t="str">
        <v>B5CAA716-CA9B-47D4-85D4-9954ED4DBAD2</v>
      </c>
      <c r="E421" t="str">
        <v>2023-02-02</v>
      </c>
      <c r="F421" s="4">
        <v>84897.5</v>
      </c>
      <c r="G421" t="str">
        <v>0790fb09-2de6-4ea3-a71c-58a007fc62a8</v>
      </c>
      <c r="H421" t="str">
        <v>9fed28b3-82cf-4afa-8e8d-952adf7a54a5</v>
      </c>
      <c r="I421" t="str">
        <v>1 6 30 1371</v>
      </c>
      <c r="L421" t="str">
        <v>C309CB7C-404D-431A-A8FB-29671DCA0C49</v>
      </c>
    </row>
    <row r="422" spans="1:12" x14ac:dyDescent="0.25">
      <c r="A422" t="str">
        <v>cc3aaef9-fd5b-45c6-b416-96cf78ba30df</v>
      </c>
      <c r="B422" t="str">
        <v>726D9023-53A2-435E-8A5B-8BCEA9625E08</v>
      </c>
      <c r="C422" t="str">
        <v>Macdonalds Orkhevi Rooftop System</v>
      </c>
      <c r="D422" t="str">
        <v>B5CAA716-CA9B-47D4-85D4-9954ED4DBAD2</v>
      </c>
      <c r="E422" t="str">
        <v>2022-09-22</v>
      </c>
      <c r="F422" s="4">
        <v>2500</v>
      </c>
      <c r="G422" t="str">
        <v>5a2d799d-22a1-4e0a-b029-8031a1df6d56</v>
      </c>
      <c r="H422" t="str">
        <v>9fed28b3-82cf-4afa-8e8d-952adf7a54a5</v>
      </c>
      <c r="I422" t="str">
        <v/>
      </c>
      <c r="L422" t="str">
        <v>C309CB7C-404D-431A-A8FB-29671DCA0C49</v>
      </c>
    </row>
    <row r="423" spans="1:12" x14ac:dyDescent="0.25">
      <c r="A423" t="str">
        <v>507e8d73-197b-4278-8461-30cea6a9a1cb</v>
      </c>
      <c r="B423" t="str">
        <v>6f986c6a-0419-4e51-b724-a6cb819550b1</v>
      </c>
      <c r="C423" t="str">
        <v>Beauty Life MEP</v>
      </c>
      <c r="D423" t="str">
        <v>FEA4B88F-633F-4422-B3D6-250792A2DA80</v>
      </c>
      <c r="E423" t="str">
        <v>2022-01-20</v>
      </c>
      <c r="F423" s="4">
        <v>9330</v>
      </c>
      <c r="G423" t="str">
        <v>0790fb09-2de6-4ea3-a71c-58a007fc62a8</v>
      </c>
      <c r="H423" t="str">
        <v>9fed28b3-82cf-4afa-8e8d-952adf7a54a5</v>
      </c>
      <c r="I423" t="str">
        <v>1630 2064</v>
      </c>
      <c r="L423" t="str">
        <v/>
      </c>
    </row>
    <row r="424" spans="1:12" x14ac:dyDescent="0.25">
      <c r="A424" t="str">
        <v>52cfbe12-fb35-4a80-9461-1a3148bbb342</v>
      </c>
      <c r="B424" t="str">
        <v>6f986c6a-0419-4e51-b724-a6cb819550b1</v>
      </c>
      <c r="C424" t="str">
        <v>Beauty Life MEP Installation</v>
      </c>
      <c r="D424" t="str">
        <v>FEA4B88F-633F-4422-B3D6-250792A2DA80</v>
      </c>
      <c r="E424" t="str">
        <v>2023-02-07</v>
      </c>
      <c r="F424" s="4">
        <v>3200</v>
      </c>
      <c r="G424" t="str">
        <v>5a2d799d-22a1-4e0a-b029-8031a1df6d56</v>
      </c>
      <c r="H424" t="str">
        <v>9fed28b3-82cf-4afa-8e8d-952adf7a54a5</v>
      </c>
      <c r="I424" t="str">
        <v>1630 2064</v>
      </c>
      <c r="L424" t="str">
        <v/>
      </c>
    </row>
    <row r="425" spans="1:12" x14ac:dyDescent="0.25">
      <c r="A425" t="str">
        <v>4a5004d6-b85b-41e0-99b0-a33785e10645</v>
      </c>
      <c r="B425" t="str">
        <v>5E3E7CDB-6C59-424F-BE60-1115A70E3B8E</v>
      </c>
      <c r="C425" t="str">
        <v>Heat Pumps</v>
      </c>
      <c r="D425" t="str">
        <v>FEA4B88F-633F-4422-B3D6-250792A2DA80</v>
      </c>
      <c r="E425" t="str">
        <v>2022-11-02</v>
      </c>
      <c r="F425" s="4">
        <v>3700</v>
      </c>
      <c r="G425" t="str">
        <v>0790fb09-2de6-4ea3-a71c-58a007fc62a8</v>
      </c>
      <c r="H425" t="str">
        <v>9fed28b3-82cf-4afa-8e8d-952adf7a54a5</v>
      </c>
      <c r="I425" t="str">
        <v/>
      </c>
      <c r="L425" t="str">
        <v>401318CA-BF39-49C3-9BDC-73836A8F9774</v>
      </c>
    </row>
    <row r="426" spans="1:12" x14ac:dyDescent="0.25">
      <c r="A426" t="str">
        <v>d2ae423a-fa4e-4277-93aa-a9cd216811e7</v>
      </c>
      <c r="B426" t="str">
        <v>5E3E7CDB-6C59-424F-BE60-1115A70E3B8E</v>
      </c>
      <c r="C426" t="str">
        <v>Ceiling Cassette Type &amp; Remote Control</v>
      </c>
      <c r="D426" t="str">
        <v>FEA4B88F-633F-4422-B3D6-250792A2DA80</v>
      </c>
      <c r="E426" t="str">
        <v>2022-12-21</v>
      </c>
      <c r="F426" s="4">
        <v>2250</v>
      </c>
      <c r="G426" t="str">
        <v>0790fb09-2de6-4ea3-a71c-58a007fc62a8</v>
      </c>
      <c r="H426" t="str">
        <v>9fed28b3-82cf-4afa-8e8d-952adf7a54a5</v>
      </c>
      <c r="I426" t="str">
        <v/>
      </c>
      <c r="L426" t="str">
        <v>401318CA-BF39-49C3-9BDC-73836A8F9774</v>
      </c>
    </row>
    <row r="427" spans="1:12" x14ac:dyDescent="0.25">
      <c r="A427" t="str">
        <v>17033b8c-e298-498e-9d1d-bfa663214fdd</v>
      </c>
      <c r="B427" t="str">
        <v>43EABC78-AF64-4C14-9FEF-C7E6A1B6F07E</v>
      </c>
      <c r="C427" t="str">
        <v>Alliance Chiller Repair</v>
      </c>
      <c r="D427" t="str">
        <v>FEA4B88F-633F-4422-B3D6-250792A2DA80</v>
      </c>
      <c r="E427" t="str">
        <v>2023-02-15</v>
      </c>
      <c r="F427" s="4">
        <v>7830</v>
      </c>
      <c r="G427" t="str">
        <v>0790fb09-2de6-4ea3-a71c-58a007fc62a8</v>
      </c>
      <c r="H427" t="str">
        <v>9fed28b3-82cf-4afa-8e8d-952adf7a54a5</v>
      </c>
      <c r="I427" t="str">
        <v/>
      </c>
      <c r="L427" t="str">
        <v/>
      </c>
    </row>
    <row r="428" spans="1:12" x14ac:dyDescent="0.25">
      <c r="A428" t="str">
        <v>43c78800-d4d2-4a51-a033-a3b62e7b15b8</v>
      </c>
      <c r="B428" t="str">
        <v>43EABC78-AF64-4C14-9FEF-C7E6A1B6F07E</v>
      </c>
      <c r="C428" t="str">
        <v>Meppers Casino</v>
      </c>
      <c r="D428" t="str">
        <v>FEA4B88F-633F-4422-B3D6-250792A2DA80</v>
      </c>
      <c r="E428" t="str">
        <v>2023-02-15</v>
      </c>
      <c r="F428" s="4">
        <v>2585.8000000000002</v>
      </c>
      <c r="G428" t="str">
        <v>5a2d799d-22a1-4e0a-b029-8031a1df6d56</v>
      </c>
      <c r="H428" t="str">
        <v>9fed28b3-82cf-4afa-8e8d-952adf7a54a5</v>
      </c>
      <c r="I428" t="str">
        <v/>
      </c>
      <c r="L428" t="str">
        <v/>
      </c>
    </row>
    <row r="429" spans="1:12" x14ac:dyDescent="0.25">
      <c r="A429" t="str">
        <v>484d112b-6487-49f4-892c-432a18ce641b</v>
      </c>
      <c r="B429" t="str">
        <v>1D6C190E-3037-4435-BF28-B1D43DC3432D</v>
      </c>
      <c r="C429" t="str">
        <v>Galeria Panoramic Buttons</v>
      </c>
      <c r="D429" t="str">
        <v>C491BFF3-6F7B-4412-9DF0-EAED6F3EE238</v>
      </c>
      <c r="E429" t="str">
        <v>2023-02-20</v>
      </c>
      <c r="F429" s="4">
        <v>1500</v>
      </c>
      <c r="G429" t="str">
        <v>0790fb09-2de6-4ea3-a71c-58a007fc62a8</v>
      </c>
      <c r="H429" t="str">
        <v>9fed28b3-82cf-4afa-8e8d-952adf7a54a5</v>
      </c>
      <c r="I429" t="str">
        <v/>
      </c>
      <c r="L429" t="str">
        <v>A4E9EDC7-B81F-4483-9069-A7790AEBE4FA</v>
      </c>
    </row>
    <row r="430" spans="1:12" x14ac:dyDescent="0.25">
      <c r="A430" t="str">
        <v>f272a413-c9c6-408a-a62e-ef675c0d05e0</v>
      </c>
      <c r="B430" t="str">
        <v>c12720de-3276-40e2-abd0-b542e0a18f02</v>
      </c>
      <c r="C430" t="str">
        <v>Cooling Tower Pomp</v>
      </c>
      <c r="D430" t="str">
        <v>FEA4B88F-633F-4422-B3D6-250792A2DA80</v>
      </c>
      <c r="E430" t="str">
        <v>2023-02-16</v>
      </c>
      <c r="F430" s="4">
        <v>37410</v>
      </c>
      <c r="G430" t="str">
        <v>4cfda3f2-535e-4b77-a467-eac9dc64feca</v>
      </c>
      <c r="H430" t="str">
        <v>9fed28b3-82cf-4afa-8e8d-952adf7a54a5</v>
      </c>
      <c r="I430" t="str">
        <v/>
      </c>
      <c r="L430" t="str">
        <v/>
      </c>
    </row>
    <row r="431" spans="1:12" x14ac:dyDescent="0.25">
      <c r="A431" t="str">
        <v>c69dece7-f496-4235-be0f-9da29321c89e</v>
      </c>
      <c r="B431" t="str">
        <v>726D9023-53A2-435E-8A5B-8BCEA9625E08</v>
      </c>
      <c r="C431" t="str">
        <v>H&amp;M</v>
      </c>
      <c r="D431" t="str">
        <v>FEA4B88F-633F-4422-B3D6-250792A2DA80</v>
      </c>
      <c r="E431" t="str">
        <v>2023-02-21</v>
      </c>
      <c r="F431" s="4">
        <v>1610</v>
      </c>
      <c r="G431" t="str">
        <v>0790fb09-2de6-4ea3-a71c-58a007fc62a8</v>
      </c>
      <c r="H431" t="str">
        <v>9fed28b3-82cf-4afa-8e8d-952adf7a54a5</v>
      </c>
      <c r="I431" t="str">
        <v/>
      </c>
      <c r="L431" t="str">
        <v>401318CA-BF39-49C3-9BDC-73836A8F9774</v>
      </c>
    </row>
    <row r="432" spans="1:12" x14ac:dyDescent="0.25">
      <c r="A432" t="str">
        <v>399d704a-ce6a-4c42-9993-99e7abaf419b</v>
      </c>
      <c r="B432" t="str">
        <v>3C2A6CD6-D08E-4286-A3DF-9EB685C45CBF</v>
      </c>
      <c r="C432" t="str">
        <v>Moxy Compressor</v>
      </c>
      <c r="D432" t="str">
        <v>FEA4B88F-633F-4422-B3D6-250792A2DA80</v>
      </c>
      <c r="E432" t="str">
        <v>2023-02-28</v>
      </c>
      <c r="F432" s="4">
        <v>7600</v>
      </c>
      <c r="G432" t="str">
        <v>4cfda3f2-535e-4b77-a467-eac9dc64feca</v>
      </c>
      <c r="H432" t="str">
        <v>9fed28b3-82cf-4afa-8e8d-952adf7a54a5</v>
      </c>
      <c r="I432" t="str">
        <v/>
      </c>
      <c r="L432" t="str">
        <v/>
      </c>
    </row>
    <row r="433" spans="1:12" x14ac:dyDescent="0.25">
      <c r="A433" t="str">
        <v>d65dc67a-c91e-4710-979f-0d94f5ddb5f9</v>
      </c>
      <c r="B433" t="str">
        <v>7BF4A039-29BC-44AC-A87D-E8832394B94E</v>
      </c>
      <c r="C433" t="str">
        <v>Darchidze Home</v>
      </c>
      <c r="D433" t="str">
        <v>B59170EC-16CC-499A-9FF7-0428DCB8F727</v>
      </c>
      <c r="E433" t="str">
        <v>2021-09-16</v>
      </c>
      <c r="F433" s="4">
        <v>31760</v>
      </c>
      <c r="G433" t="str">
        <v>0790fb09-2de6-4ea3-a71c-58a007fc62a8</v>
      </c>
      <c r="H433" t="str">
        <v>9fed28b3-82cf-4afa-8e8d-952adf7a54a5</v>
      </c>
      <c r="I433" t="str">
        <v>1 6 30 853 3</v>
      </c>
      <c r="L433" t="str">
        <v/>
      </c>
    </row>
    <row r="434" spans="1:12" x14ac:dyDescent="0.25">
      <c r="A434" t="str">
        <v>9f8ed6b9-f51b-4974-a77f-2e33583fd63d</v>
      </c>
      <c r="B434" t="str">
        <v>c8fdb161-d4e2-4c71-9458-6ae2614d6229</v>
      </c>
      <c r="C434" t="str">
        <v>Afisha</v>
      </c>
      <c r="D434" t="str">
        <v>B59170EC-16CC-499A-9FF7-0428DCB8F727</v>
      </c>
      <c r="E434" t="str">
        <v>2023-03-13</v>
      </c>
      <c r="F434" s="4">
        <v>188560</v>
      </c>
      <c r="G434" t="str">
        <v>0790fb09-2de6-4ea3-a71c-58a007fc62a8</v>
      </c>
      <c r="H434" t="str">
        <v>9fed28b3-82cf-4afa-8e8d-952adf7a54a5</v>
      </c>
      <c r="I434" t="str">
        <v>1 6 30 2172</v>
      </c>
      <c r="L434" t="str">
        <v/>
      </c>
    </row>
    <row r="435" spans="1:12" x14ac:dyDescent="0.25">
      <c r="A435" t="str">
        <v>c4991b70-92fa-4d49-afa6-fbe17d3f7d5f</v>
      </c>
      <c r="B435" t="str">
        <v>4c3a3cd9-98c7-4a67-9efe-b03541fe6177</v>
      </c>
      <c r="C435" t="str">
        <v>Calligraphy Hilton</v>
      </c>
      <c r="D435" t="str">
        <v>B59170EC-16CC-499A-9FF7-0428DCB8F727</v>
      </c>
      <c r="E435" t="str">
        <v>2022-12-27</v>
      </c>
      <c r="F435" s="4">
        <v>210000</v>
      </c>
      <c r="G435" t="str">
        <v>0790fb09-2de6-4ea3-a71c-58a007fc62a8</v>
      </c>
      <c r="H435" t="str">
        <v>9fed28b3-82cf-4afa-8e8d-952adf7a54a5</v>
      </c>
      <c r="I435" t="str">
        <v>1 6 30 2053 1</v>
      </c>
      <c r="L435" t="str">
        <v/>
      </c>
    </row>
    <row r="436" spans="1:12" x14ac:dyDescent="0.25">
      <c r="A436" t="str">
        <v>85114460-e291-4477-bab4-57c1a7da9ba1</v>
      </c>
      <c r="B436" t="str">
        <v>d0b71cce-b077-400a-9722-963ef3d1f7a0</v>
      </c>
      <c r="C436" t="str">
        <v>Gumbati Boulevard Point</v>
      </c>
      <c r="D436" t="str">
        <v>B59170EC-16CC-499A-9FF7-0428DCB8F727</v>
      </c>
      <c r="E436" t="str">
        <v>2023-02-27</v>
      </c>
      <c r="F436" s="4">
        <v>238490</v>
      </c>
      <c r="G436" t="str">
        <v>0790fb09-2de6-4ea3-a71c-58a007fc62a8</v>
      </c>
      <c r="H436" t="str">
        <v>9fed28b3-82cf-4afa-8e8d-952adf7a54a5</v>
      </c>
      <c r="I436" t="str">
        <v>1 6 30 2107</v>
      </c>
      <c r="L436" t="str">
        <v/>
      </c>
    </row>
    <row r="437" spans="1:12" x14ac:dyDescent="0.25">
      <c r="A437" t="str">
        <v>d7d18138-abc2-4a48-83bf-11f655f787ee</v>
      </c>
      <c r="B437" t="str">
        <v>B71DB46F-9742-4111-9C3C-118F6E6DB370</v>
      </c>
      <c r="C437" t="str">
        <v>Batteries</v>
      </c>
      <c r="D437" t="str">
        <v>C491BFF3-6F7B-4412-9DF0-EAED6F3EE238</v>
      </c>
      <c r="E437" t="str">
        <v>2023-03-16</v>
      </c>
      <c r="F437" s="4">
        <v>520</v>
      </c>
      <c r="G437" t="str">
        <v>5a2d799d-22a1-4e0a-b029-8031a1df6d56</v>
      </c>
      <c r="H437" t="str">
        <v>9fed28b3-82cf-4afa-8e8d-952adf7a54a5</v>
      </c>
      <c r="I437" t="str">
        <v/>
      </c>
      <c r="L437" t="str">
        <v/>
      </c>
    </row>
    <row r="438" spans="1:12" x14ac:dyDescent="0.25">
      <c r="A438" t="str">
        <v>45603235-6762-4618-a162-e5185e62d463</v>
      </c>
      <c r="B438" t="str">
        <v>3D0B2E19-A7F7-45A1-A329-05C7D5F99C8A</v>
      </c>
      <c r="C438" t="str">
        <v>Central Office</v>
      </c>
      <c r="D438" t="str">
        <v>FEA4B88F-633F-4422-B3D6-250792A2DA80</v>
      </c>
      <c r="E438" t="str">
        <v>2023-03-28</v>
      </c>
      <c r="F438" s="4">
        <v>364528</v>
      </c>
      <c r="G438" t="str">
        <v>0790fb09-2de6-4ea3-a71c-58a007fc62a8</v>
      </c>
      <c r="H438" t="str">
        <v>9fed28b3-82cf-4afa-8e8d-952adf7a54a5</v>
      </c>
      <c r="I438" t="str">
        <v>1 6 31 1371</v>
      </c>
      <c r="L438" t="str">
        <v/>
      </c>
    </row>
    <row r="439" spans="1:12" x14ac:dyDescent="0.25">
      <c r="A439" t="str">
        <v>114ab34b-069e-41d2-8980-e9ab37f708c2</v>
      </c>
      <c r="B439" t="str">
        <v>726D9023-53A2-435E-8A5B-8BCEA9625E08</v>
      </c>
      <c r="C439" t="str">
        <v>McDonalds Tsereteli</v>
      </c>
      <c r="D439" t="str">
        <v>FEA4B88F-633F-4422-B3D6-250792A2DA80</v>
      </c>
      <c r="E439" t="str">
        <v>2023-04-05</v>
      </c>
      <c r="F439" s="4">
        <v>2500</v>
      </c>
      <c r="G439" t="str">
        <v>5a2d799d-22a1-4e0a-b029-8031a1df6d56</v>
      </c>
      <c r="H439" t="str">
        <v>9fed28b3-82cf-4afa-8e8d-952adf7a54a5</v>
      </c>
      <c r="I439" t="str">
        <v/>
      </c>
      <c r="L439" t="str">
        <v>C309CB7C-404D-431A-A8FB-29671DCA0C49</v>
      </c>
    </row>
    <row r="440" spans="1:12" x14ac:dyDescent="0.25">
      <c r="A440" t="str">
        <v>291d1023-6d7d-4e76-9d5c-bafd22b2d1df</v>
      </c>
      <c r="B440" t="str">
        <v>be223411-77aa-4717-a468-70bac3cee5ba</v>
      </c>
      <c r="C440" t="str">
        <v>DRS AHU</v>
      </c>
      <c r="D440" t="str">
        <v>FEA4B88F-633F-4422-B3D6-250792A2DA80</v>
      </c>
      <c r="E440" t="str">
        <v>2022-12-27</v>
      </c>
      <c r="F440" s="4">
        <v>14300</v>
      </c>
      <c r="G440" t="str">
        <v>4cfda3f2-535e-4b77-a467-eac9dc64feca</v>
      </c>
      <c r="H440" t="str">
        <v>9fed28b3-82cf-4afa-8e8d-952adf7a54a5</v>
      </c>
      <c r="I440" t="str">
        <v/>
      </c>
      <c r="L440" t="str">
        <v/>
      </c>
    </row>
    <row r="441" spans="1:12" x14ac:dyDescent="0.25">
      <c r="A441" t="str">
        <v>5b9bbcea-65ad-447e-b953-72656ef4dfed</v>
      </c>
      <c r="B441" t="str">
        <v>726D9023-53A2-435E-8A5B-8BCEA9625E08</v>
      </c>
      <c r="C441" t="str">
        <v>1TV Fireboxes</v>
      </c>
      <c r="D441" t="str">
        <v>FEA4B88F-633F-4422-B3D6-250792A2DA80</v>
      </c>
      <c r="E441" t="str">
        <v>2023-03-01</v>
      </c>
      <c r="F441" s="4">
        <v>54875</v>
      </c>
      <c r="G441" t="str">
        <v>0790fb09-2de6-4ea3-a71c-58a007fc62a8</v>
      </c>
      <c r="H441" t="str">
        <v>9fed28b3-82cf-4afa-8e8d-952adf7a54a5</v>
      </c>
      <c r="I441" t="str">
        <v/>
      </c>
      <c r="L441" t="str">
        <v>C309CB7C-404D-431A-A8FB-29671DCA0C49</v>
      </c>
    </row>
    <row r="442" spans="1:12" x14ac:dyDescent="0.25">
      <c r="A442" t="str">
        <v>e9c2f796-1747-4be3-b301-c28cfc381dec</v>
      </c>
      <c r="B442" t="str">
        <v>7B714BC6-6914-42A2-8E42-3565165F1489</v>
      </c>
      <c r="C442" t="str">
        <v>Batumi office rental</v>
      </c>
      <c r="D442" t="str">
        <v>DB8A7407-60A7-468B-97C8-72D31D12D117</v>
      </c>
      <c r="E442" t="str">
        <v>2020-08-14</v>
      </c>
      <c r="F442" s="4">
        <v>500</v>
      </c>
      <c r="G442" t="str">
        <v>5a2d799d-22a1-4e0a-b029-8031a1df6d56</v>
      </c>
      <c r="H442" t="str">
        <v>9fed28b3-82cf-4afa-8e8d-952adf7a54a5</v>
      </c>
      <c r="I442" t="str">
        <v/>
      </c>
      <c r="L442" t="str">
        <v/>
      </c>
    </row>
    <row r="443" spans="1:12" x14ac:dyDescent="0.25">
      <c r="A443" t="str">
        <v>d64e89d4-5e06-419d-853e-cdc9fc33f100</v>
      </c>
      <c r="B443" t="str">
        <v>adad13a6-7d16-40a4-a2ba-4f8cda09441a</v>
      </c>
      <c r="C443" t="str">
        <v>Digomi Elevator Service</v>
      </c>
      <c r="D443" t="str">
        <v>12238130-9D12-4099-A48B-9EB5A085E0F8</v>
      </c>
      <c r="E443" t="str">
        <v>2023-01-01</v>
      </c>
      <c r="F443" s="4">
        <v>400</v>
      </c>
      <c r="G443" t="str">
        <v>5a2d799d-22a1-4e0a-b029-8031a1df6d56</v>
      </c>
      <c r="H443" t="str">
        <v>9fed28b3-82cf-4afa-8e8d-952adf7a54a5</v>
      </c>
      <c r="I443" t="str">
        <v>1 6 31 2060</v>
      </c>
      <c r="L443" t="str">
        <v>A4E9EDC7-B81F-4483-9069-A7790AEBE4FA</v>
      </c>
    </row>
    <row r="444" spans="1:12" x14ac:dyDescent="0.25">
      <c r="A444" t="str">
        <v>1d49edfe-7b52-4f74-8d55-94ba2f180fae</v>
      </c>
      <c r="B444" t="str">
        <v>B4968862-3843-414D-9E73-1A7611618B41</v>
      </c>
      <c r="C444" t="str">
        <v xml:space="preserve">Unix Lop &amp; Display </v>
      </c>
      <c r="D444" t="str">
        <v>B59170EC-16CC-499A-9FF7-0428DCB8F727</v>
      </c>
      <c r="E444" t="str">
        <v>2021-08-18</v>
      </c>
      <c r="F444" s="4">
        <v>400</v>
      </c>
      <c r="G444" t="str">
        <v>0790fb09-2de6-4ea3-a71c-58a007fc62a8</v>
      </c>
      <c r="H444" t="str">
        <v>9fed28b3-82cf-4afa-8e8d-952adf7a54a5</v>
      </c>
      <c r="I444" t="str">
        <v/>
      </c>
      <c r="L444" t="str">
        <v/>
      </c>
    </row>
    <row r="445" spans="1:12" x14ac:dyDescent="0.25">
      <c r="A445" t="str">
        <v>52008f18-ba5b-4a6c-a3c2-11b3b04a12ec</v>
      </c>
      <c r="B445" t="str">
        <v>25CDD3DB-B92D-4066-8363-867726289059</v>
      </c>
      <c r="C445" t="str">
        <v>Lisi Green Apartaments</v>
      </c>
      <c r="D445" t="str">
        <v>B59170EC-16CC-499A-9FF7-0428DCB8F727</v>
      </c>
      <c r="E445" t="str">
        <v>2023-04-01</v>
      </c>
      <c r="F445" s="4">
        <v>62400</v>
      </c>
      <c r="G445" t="str">
        <v>0790fb09-2de6-4ea3-a71c-58a007fc62a8</v>
      </c>
      <c r="H445" t="str">
        <v>9fed28b3-82cf-4afa-8e8d-952adf7a54a5</v>
      </c>
      <c r="I445" t="str">
        <v/>
      </c>
      <c r="L445" t="str">
        <v>A26DCE96-C08F-453E-9E26-10AAF72D142A</v>
      </c>
    </row>
    <row r="446" spans="1:12" x14ac:dyDescent="0.25">
      <c r="A446" t="str">
        <v>89b62d34-69c6-4d75-9082-21ae2a575cd2</v>
      </c>
      <c r="B446" t="str">
        <v>d8ec4c2f-8b68-413b-94fb-7491c3500643</v>
      </c>
      <c r="C446" t="str">
        <v>Chkonia Elevator</v>
      </c>
      <c r="D446" t="str">
        <v>B59170EC-16CC-499A-9FF7-0428DCB8F727</v>
      </c>
      <c r="E446" t="str">
        <v>2023-04-01</v>
      </c>
      <c r="F446" s="4">
        <v>38160</v>
      </c>
      <c r="G446" t="str">
        <v>0790fb09-2de6-4ea3-a71c-58a007fc62a8</v>
      </c>
      <c r="H446" t="str">
        <v>9fed28b3-82cf-4afa-8e8d-952adf7a54a5</v>
      </c>
      <c r="I446" t="str">
        <v>1 6 30 2169</v>
      </c>
      <c r="L446" t="str">
        <v/>
      </c>
    </row>
    <row r="447" spans="1:12" x14ac:dyDescent="0.25">
      <c r="A447" t="str">
        <v>ff726ffe-984d-4c8e-93d1-0cde30c09915</v>
      </c>
      <c r="B447" t="str">
        <v>43EABC78-AF64-4C14-9FEF-C7E6A1B6F07E</v>
      </c>
      <c r="C447" t="str">
        <v>HGI DOOR</v>
      </c>
      <c r="D447" t="str">
        <v>FEA4B88F-633F-4422-B3D6-250792A2DA80</v>
      </c>
      <c r="E447" t="str">
        <v>2023-04-19</v>
      </c>
      <c r="F447" s="4">
        <v>413</v>
      </c>
      <c r="G447" t="str">
        <v>0790fb09-2de6-4ea3-a71c-58a007fc62a8</v>
      </c>
      <c r="H447" t="str">
        <v>9fed28b3-82cf-4afa-8e8d-952adf7a54a5</v>
      </c>
      <c r="I447" t="str">
        <v/>
      </c>
      <c r="L447" t="str">
        <v/>
      </c>
    </row>
    <row r="448" spans="1:12" x14ac:dyDescent="0.25">
      <c r="A448" t="str">
        <v>c3a3712d-535f-4bbb-960a-7b3bbf0ceb61</v>
      </c>
      <c r="B448" t="str">
        <v>4c3a3cd9-98c7-4a67-9efe-b03541fe6177</v>
      </c>
      <c r="C448" t="str">
        <v>Calligraphy Hilton 2</v>
      </c>
      <c r="D448" t="str">
        <v>B59170EC-16CC-499A-9FF7-0428DCB8F727</v>
      </c>
      <c r="E448" t="str">
        <v>2023-03-01</v>
      </c>
      <c r="F448" s="4">
        <v>255000</v>
      </c>
      <c r="G448" t="str">
        <v>0790fb09-2de6-4ea3-a71c-58a007fc62a8</v>
      </c>
      <c r="H448" t="str">
        <v>9fed28b3-82cf-4afa-8e8d-952adf7a54a5</v>
      </c>
      <c r="I448" t="str">
        <v>1 6 30 2053</v>
      </c>
      <c r="L448" t="str">
        <v/>
      </c>
    </row>
    <row r="449" spans="1:12" x14ac:dyDescent="0.25">
      <c r="A449" t="str">
        <v>4786fd1f-1178-455d-8319-f9da57fd8b64</v>
      </c>
      <c r="B449" t="str">
        <v>a95a2d00-27d9-45bb-932b-1fee2c37e12f</v>
      </c>
      <c r="C449" t="str">
        <v>Park Home Vake Galleria Elevator</v>
      </c>
      <c r="D449" t="str">
        <v>B59170EC-16CC-499A-9FF7-0428DCB8F727</v>
      </c>
      <c r="E449" t="str">
        <v>2023-04-21</v>
      </c>
      <c r="F449" s="4">
        <v>33810</v>
      </c>
      <c r="G449" t="str">
        <v>0790fb09-2de6-4ea3-a71c-58a007fc62a8</v>
      </c>
      <c r="H449" t="str">
        <v>9fed28b3-82cf-4afa-8e8d-952adf7a54a5</v>
      </c>
      <c r="I449" t="str">
        <v>1 6 30 2176 1</v>
      </c>
      <c r="L449" t="str">
        <v/>
      </c>
    </row>
    <row r="450" spans="1:12" x14ac:dyDescent="0.25">
      <c r="A450" t="str">
        <v>8f2f7aed-4d82-4397-a4ea-323e61adbb46</v>
      </c>
      <c r="B450" t="str">
        <v>c70fd842-c346-4a84-bd1e-4722b5d1a274</v>
      </c>
      <c r="C450" t="str">
        <v>Surmanidzeebi</v>
      </c>
      <c r="D450" t="str">
        <v>B59170EC-16CC-499A-9FF7-0428DCB8F727</v>
      </c>
      <c r="E450" t="str">
        <v>2023-03-28</v>
      </c>
      <c r="F450" s="4">
        <v>305000</v>
      </c>
      <c r="G450" t="str">
        <v>0790fb09-2de6-4ea3-a71c-58a007fc62a8</v>
      </c>
      <c r="H450" t="str">
        <v>9fed28b3-82cf-4afa-8e8d-952adf7a54a5</v>
      </c>
      <c r="I450" t="str">
        <v>1 6 30 2136</v>
      </c>
      <c r="L450" t="str">
        <v/>
      </c>
    </row>
    <row r="451" spans="1:12" x14ac:dyDescent="0.25">
      <c r="A451" t="str">
        <v>941e1441-95a1-4cee-b83b-2c61c507985c</v>
      </c>
      <c r="B451" t="str">
        <v>0fcd4c13-f8a0-4818-af10-86eaa3835e9a</v>
      </c>
      <c r="C451" t="str">
        <v>Honda Civic</v>
      </c>
      <c r="D451" t="str">
        <v>68627C8C-95F9-4383-9A95-1923038BB695</v>
      </c>
      <c r="E451" t="str">
        <v>2023-02-08</v>
      </c>
      <c r="F451" s="4">
        <v>5300</v>
      </c>
      <c r="G451" t="str">
        <v>5a2d799d-22a1-4e0a-b029-8031a1df6d56</v>
      </c>
      <c r="H451" t="str">
        <v>9fed28b3-82cf-4afa-8e8d-952adf7a54a5</v>
      </c>
      <c r="I451" t="str">
        <v/>
      </c>
      <c r="L451" t="str">
        <v/>
      </c>
    </row>
    <row r="452" spans="1:12" x14ac:dyDescent="0.25">
      <c r="A452" t="str">
        <v>5b5344f4-07bf-4d7c-917c-b1b40647365c</v>
      </c>
      <c r="B452" t="str">
        <v>7BF4A039-29BC-44AC-A87D-E8832394B94E</v>
      </c>
      <c r="C452" t="str">
        <v>Dar Building Additional floors</v>
      </c>
      <c r="D452" t="str">
        <v>B59170EC-16CC-499A-9FF7-0428DCB8F727</v>
      </c>
      <c r="E452" t="str">
        <v>2022-11-21</v>
      </c>
      <c r="F452" s="4">
        <v>12340</v>
      </c>
      <c r="G452" t="str">
        <v>0790fb09-2de6-4ea3-a71c-58a007fc62a8</v>
      </c>
      <c r="H452" t="str">
        <v>9fed28b3-82cf-4afa-8e8d-952adf7a54a5</v>
      </c>
      <c r="I452" t="str">
        <v/>
      </c>
      <c r="L452" t="str">
        <v/>
      </c>
    </row>
    <row r="453" spans="1:12" x14ac:dyDescent="0.25">
      <c r="A453" t="str">
        <v>5c4ac886-3367-47a8-8a0f-c90fcbf09056</v>
      </c>
      <c r="B453" t="str">
        <v>272FF8D3-4909-409A-99B0-E2C8CA3BB9AF</v>
      </c>
      <c r="C453" t="str">
        <v>Multisplits PHS</v>
      </c>
      <c r="D453" t="str">
        <v>FEA4B88F-633F-4422-B3D6-250792A2DA80</v>
      </c>
      <c r="E453" t="str">
        <v>2023-05-01</v>
      </c>
      <c r="F453" s="4">
        <v>387000</v>
      </c>
      <c r="G453" t="str">
        <v>0790fb09-2de6-4ea3-a71c-58a007fc62a8</v>
      </c>
      <c r="H453" t="str">
        <v>9fed28b3-82cf-4afa-8e8d-952adf7a54a5</v>
      </c>
      <c r="I453" t="str">
        <v>1 6 30 1911 2</v>
      </c>
      <c r="L453" t="str">
        <v/>
      </c>
    </row>
    <row r="454" spans="1:12" x14ac:dyDescent="0.25">
      <c r="A454" t="str">
        <v>a0dc3a44-ff44-406c-9a35-625b0c375406</v>
      </c>
      <c r="B454" t="str">
        <v>ba94ed59-522c-4852-994c-130ef7e8cd30</v>
      </c>
      <c r="C454" t="str">
        <v>Vake Sewage</v>
      </c>
      <c r="D454" t="str">
        <v>B5CAA716-CA9B-47D4-85D4-9954ED4DBAD2</v>
      </c>
      <c r="E454" t="str">
        <v>2023-05-11</v>
      </c>
      <c r="F454" s="4">
        <v>81108</v>
      </c>
      <c r="G454" t="str">
        <v>5a2d799d-22a1-4e0a-b029-8031a1df6d56</v>
      </c>
      <c r="H454" t="str">
        <v>9fed28b3-82cf-4afa-8e8d-952adf7a54a5</v>
      </c>
      <c r="I454" t="str">
        <v>1 6 30 2011 5</v>
      </c>
      <c r="L454" t="str">
        <v/>
      </c>
    </row>
    <row r="455" spans="1:12" x14ac:dyDescent="0.25">
      <c r="A455" t="str">
        <v>07e39a1b-b47b-4ba4-aedb-422b32920f28</v>
      </c>
      <c r="B455" t="str">
        <v>9aae924c-d530-4bd0-9c1d-c0555fe1bdd8</v>
      </c>
      <c r="C455" t="str">
        <v>Multisplit</v>
      </c>
      <c r="D455" t="str">
        <v>FEA4B88F-633F-4422-B3D6-250792A2DA80</v>
      </c>
      <c r="E455" t="str">
        <v>2023-05-01</v>
      </c>
      <c r="F455" s="4">
        <v>5565</v>
      </c>
      <c r="G455" t="str">
        <v>0790fb09-2de6-4ea3-a71c-58a007fc62a8</v>
      </c>
      <c r="H455" t="str">
        <v>9fed28b3-82cf-4afa-8e8d-952adf7a54a5</v>
      </c>
      <c r="I455" t="str">
        <v/>
      </c>
      <c r="L455" t="str">
        <v/>
      </c>
    </row>
    <row r="456" spans="1:12" x14ac:dyDescent="0.25">
      <c r="A456" t="str">
        <v>3fb97ee9-631f-42c6-bdca-dbfd70394b1e</v>
      </c>
      <c r="B456" t="str">
        <v>96e814a7-0ea0-4456-822e-aace5104bb21</v>
      </c>
      <c r="C456" t="str">
        <v>Multisplit</v>
      </c>
      <c r="D456" t="str">
        <v>FEA4B88F-633F-4422-B3D6-250792A2DA80</v>
      </c>
      <c r="E456" t="str">
        <v>2023-05-19</v>
      </c>
      <c r="F456" s="4">
        <v>7675</v>
      </c>
      <c r="G456" t="str">
        <v>0790fb09-2de6-4ea3-a71c-58a007fc62a8</v>
      </c>
      <c r="H456" t="str">
        <v>9fed28b3-82cf-4afa-8e8d-952adf7a54a5</v>
      </c>
      <c r="I456" t="str">
        <v/>
      </c>
      <c r="L456" t="str">
        <v>83F0C711-34F6-45B3-A1ED-F85548418822</v>
      </c>
    </row>
    <row r="457" spans="1:12" x14ac:dyDescent="0.25">
      <c r="A457" t="str">
        <v>62e37f16-7154-4a43-8ffe-0e513bd9a0b3</v>
      </c>
      <c r="B457" t="str">
        <v>726D9023-53A2-435E-8A5B-8BCEA9625E08</v>
      </c>
      <c r="C457" t="str">
        <v>Radius Hotel</v>
      </c>
      <c r="D457" t="str">
        <v>B5CAA716-CA9B-47D4-85D4-9954ED4DBAD2</v>
      </c>
      <c r="E457" t="str">
        <v>2023-05-18</v>
      </c>
      <c r="F457" s="4">
        <v>800</v>
      </c>
      <c r="G457" t="str">
        <v>5a2d799d-22a1-4e0a-b029-8031a1df6d56</v>
      </c>
      <c r="H457" t="str">
        <v>9fed28b3-82cf-4afa-8e8d-952adf7a54a5</v>
      </c>
      <c r="I457" t="str">
        <v/>
      </c>
      <c r="L457" t="str">
        <v>401318CA-BF39-49C3-9BDC-73836A8F9774</v>
      </c>
    </row>
    <row r="458" spans="1:12" x14ac:dyDescent="0.25">
      <c r="A458" t="str">
        <v>ca9deb3d-d5ee-4c04-895a-eb76a052daa7</v>
      </c>
      <c r="B458" t="str">
        <v>29819612-a8bd-4077-9dca-f8fa83efd344</v>
      </c>
      <c r="C458" t="str">
        <v>IBIS Airport</v>
      </c>
      <c r="D458" t="str">
        <v>B59170EC-16CC-499A-9FF7-0428DCB8F727</v>
      </c>
      <c r="E458" t="str">
        <v>2023-05-17</v>
      </c>
      <c r="F458" s="4">
        <v>102560</v>
      </c>
      <c r="G458" t="str">
        <v>0790fb09-2de6-4ea3-a71c-58a007fc62a8</v>
      </c>
      <c r="H458" t="str">
        <v>9fed28b3-82cf-4afa-8e8d-952adf7a54a5</v>
      </c>
      <c r="I458" t="str">
        <v>1 6 30 2227</v>
      </c>
      <c r="L458" t="str">
        <v>A26DCE96-C08F-453E-9E26-10AAF72D142A</v>
      </c>
    </row>
    <row r="459" spans="1:12" x14ac:dyDescent="0.25">
      <c r="A459" t="str">
        <v>4246f582-09d7-4be3-b051-3545dd92b417</v>
      </c>
      <c r="B459" t="str">
        <v>43EABC78-AF64-4C14-9FEF-C7E6A1B6F07E</v>
      </c>
      <c r="C459" t="str">
        <v>MHI Control Module</v>
      </c>
      <c r="D459" t="str">
        <v>FEA4B88F-633F-4422-B3D6-250792A2DA80</v>
      </c>
      <c r="E459" t="str">
        <v>2023-05-22</v>
      </c>
      <c r="F459" s="4">
        <v>2260</v>
      </c>
      <c r="G459" t="str">
        <v>0790fb09-2de6-4ea3-a71c-58a007fc62a8</v>
      </c>
      <c r="H459" t="str">
        <v>9fed28b3-82cf-4afa-8e8d-952adf7a54a5</v>
      </c>
      <c r="I459" t="str">
        <v/>
      </c>
      <c r="L459" t="str">
        <v/>
      </c>
    </row>
    <row r="460" spans="1:12" x14ac:dyDescent="0.25">
      <c r="A460" t="str">
        <v>d2bbf476-3a4e-41dc-8ab6-f79660138b81</v>
      </c>
      <c r="B460" t="str">
        <v>cff9dc1e-06da-4399-84fd-f1b90087db9d</v>
      </c>
      <c r="C460" t="str">
        <v>Paco</v>
      </c>
      <c r="D460" t="str">
        <v>FEA4B88F-633F-4422-B3D6-250792A2DA80</v>
      </c>
      <c r="E460" t="str">
        <v>2023-06-06</v>
      </c>
      <c r="F460" s="4">
        <v>51640</v>
      </c>
      <c r="G460" t="str">
        <v>0790fb09-2de6-4ea3-a71c-58a007fc62a8</v>
      </c>
      <c r="H460" t="str">
        <v>9fed28b3-82cf-4afa-8e8d-952adf7a54a5</v>
      </c>
      <c r="I460" t="str">
        <v/>
      </c>
      <c r="L460" t="str">
        <v>83F0C711-34F6-45B3-A1ED-F85548418822</v>
      </c>
    </row>
    <row r="461" spans="1:12" x14ac:dyDescent="0.25">
      <c r="A461" t="str">
        <v>08936dc9-0304-4142-beba-61315bee23b5</v>
      </c>
      <c r="B461" t="str">
        <v>b54b4a98-20a8-4003-b7a9-7ff81336509a</v>
      </c>
      <c r="C461" t="str">
        <v>Summit</v>
      </c>
      <c r="D461" t="str">
        <v>B59170EC-16CC-499A-9FF7-0428DCB8F727</v>
      </c>
      <c r="E461" t="str">
        <v>2023-06-14</v>
      </c>
      <c r="F461" s="4">
        <v>48750</v>
      </c>
      <c r="G461" t="str">
        <v>0790fb09-2de6-4ea3-a71c-58a007fc62a8</v>
      </c>
      <c r="H461" t="str">
        <v>9fed28b3-82cf-4afa-8e8d-952adf7a54a5</v>
      </c>
      <c r="I461" t="str">
        <v>1 6 30 2211</v>
      </c>
      <c r="L461" t="str">
        <v/>
      </c>
    </row>
    <row r="462" spans="1:12" x14ac:dyDescent="0.25">
      <c r="A462" t="str">
        <v>e6fe1cf0-a4b8-4e34-9a39-525f707c342c</v>
      </c>
      <c r="B462" t="str">
        <v>3D0B2E19-A7F7-45A1-A329-05C7D5F99C8A</v>
      </c>
      <c r="C462" t="str">
        <v>Kontakt Home</v>
      </c>
      <c r="D462" t="str">
        <v>FEA4B88F-633F-4422-B3D6-250792A2DA80</v>
      </c>
      <c r="E462" t="str">
        <v>2023-06-22</v>
      </c>
      <c r="F462" s="4">
        <v>25952.639999999999</v>
      </c>
      <c r="G462" t="str">
        <v>5a2d799d-22a1-4e0a-b029-8031a1df6d56</v>
      </c>
      <c r="H462" t="str">
        <v>9fed28b3-82cf-4afa-8e8d-952adf7a54a5</v>
      </c>
      <c r="I462" t="str">
        <v>1 6 30 1371</v>
      </c>
      <c r="L462" t="str">
        <v/>
      </c>
    </row>
    <row r="463" spans="1:12" x14ac:dyDescent="0.25">
      <c r="A463" t="str">
        <v>5e8c28b6-119f-4764-bd50-805b7118009e</v>
      </c>
      <c r="B463" t="str">
        <v>a95a2d00-27d9-45bb-932b-1fee2c37e12f</v>
      </c>
      <c r="C463" t="str">
        <v>Vake Fire Fighting</v>
      </c>
      <c r="D463" t="str">
        <v>FEA4B88F-633F-4422-B3D6-250792A2DA80</v>
      </c>
      <c r="E463" t="str">
        <v>2023-06-01</v>
      </c>
      <c r="F463" s="4">
        <v>240000</v>
      </c>
      <c r="G463" t="str">
        <v>0790fb09-2de6-4ea3-a71c-58a007fc62a8</v>
      </c>
      <c r="H463" t="str">
        <v>9fed28b3-82cf-4afa-8e8d-952adf7a54a5</v>
      </c>
      <c r="I463" t="str">
        <v>1 6 30 2176 2</v>
      </c>
      <c r="L463" t="str">
        <v/>
      </c>
    </row>
    <row r="464" spans="1:12" x14ac:dyDescent="0.25">
      <c r="A464" t="str">
        <v>55787cc8-c7dd-4a23-9669-c83c2863fb2e</v>
      </c>
      <c r="B464" t="str">
        <v>ba94ed59-522c-4852-994c-130ef7e8cd30</v>
      </c>
      <c r="C464" t="str">
        <v>Vake VRV</v>
      </c>
      <c r="D464" t="str">
        <v>FEA4B88F-633F-4422-B3D6-250792A2DA80</v>
      </c>
      <c r="E464" t="str">
        <v>2023-06-01</v>
      </c>
      <c r="F464" s="4">
        <v>188915.32</v>
      </c>
      <c r="G464" t="str">
        <v>0790fb09-2de6-4ea3-a71c-58a007fc62a8</v>
      </c>
      <c r="H464" t="str">
        <v>9fed28b3-82cf-4afa-8e8d-952adf7a54a5</v>
      </c>
      <c r="I464" t="str">
        <v>1 6 30 2011 4</v>
      </c>
      <c r="L464" t="str">
        <v/>
      </c>
    </row>
    <row r="465" spans="1:12" x14ac:dyDescent="0.25">
      <c r="A465" t="str">
        <v>cc20c9d4-7dd6-4aca-8fee-67c931041e9b</v>
      </c>
      <c r="B465" t="str">
        <v>8BE1F54B-9D87-48F2-8C0A-2F20A5C303E9</v>
      </c>
      <c r="C465" t="str">
        <v>Founder Home</v>
      </c>
      <c r="D465" t="str">
        <v>FEA4B88F-633F-4422-B3D6-250792A2DA80</v>
      </c>
      <c r="E465" t="str">
        <v>2023-05-16</v>
      </c>
      <c r="F465" s="4">
        <v>7000</v>
      </c>
      <c r="G465" t="str">
        <v>0790fb09-2de6-4ea3-a71c-58a007fc62a8</v>
      </c>
      <c r="H465" t="str">
        <v>9fed28b3-82cf-4afa-8e8d-952adf7a54a5</v>
      </c>
      <c r="I465" t="str">
        <v/>
      </c>
      <c r="L465" t="str">
        <v/>
      </c>
    </row>
    <row r="466" spans="1:12" x14ac:dyDescent="0.25">
      <c r="A466" t="str">
        <v>2ae6b16b-be5c-48a1-a8d9-51e053f4f122</v>
      </c>
      <c r="B466" t="str">
        <v>9d479107-f451-448d-8205-8209116e776d</v>
      </c>
      <c r="C466" t="str">
        <v>Havana Club Mziuri</v>
      </c>
      <c r="D466" t="str">
        <v>FEA4B88F-633F-4422-B3D6-250792A2DA80</v>
      </c>
      <c r="E466" t="str">
        <v>2023-06-01</v>
      </c>
      <c r="F466" s="4">
        <v>18884</v>
      </c>
      <c r="G466" t="str">
        <v>0790fb09-2de6-4ea3-a71c-58a007fc62a8</v>
      </c>
      <c r="H466" t="str">
        <v>9fed28b3-82cf-4afa-8e8d-952adf7a54a5</v>
      </c>
      <c r="I466" t="str">
        <v>1 6 30 2185</v>
      </c>
      <c r="L466" t="str">
        <v/>
      </c>
    </row>
    <row r="467" spans="1:12" x14ac:dyDescent="0.25">
      <c r="A467" t="str">
        <v>a97997c1-bee4-4370-b013-a11ccec9cc2f</v>
      </c>
      <c r="B467" t="str">
        <v>659DF8DF-26D9-41A4-81E1-287946E368FA</v>
      </c>
      <c r="C467" t="str">
        <v>BLC Service</v>
      </c>
      <c r="D467" t="str">
        <v>B5CAA716-CA9B-47D4-85D4-9954ED4DBAD2</v>
      </c>
      <c r="E467" t="str">
        <v>2023-06-27</v>
      </c>
      <c r="F467" s="4">
        <v>500</v>
      </c>
      <c r="G467" t="str">
        <v>5a2d799d-22a1-4e0a-b029-8031a1df6d56</v>
      </c>
      <c r="H467" t="str">
        <v>9fed28b3-82cf-4afa-8e8d-952adf7a54a5</v>
      </c>
      <c r="I467" t="str">
        <v/>
      </c>
      <c r="L467" t="str">
        <v/>
      </c>
    </row>
    <row r="468" spans="1:12" x14ac:dyDescent="0.25">
      <c r="A468" t="str">
        <v>9f39081e-da54-4b36-8e76-a61025d8a505</v>
      </c>
      <c r="B468" t="str">
        <v>43EABC78-AF64-4C14-9FEF-C7E6A1B6F07E</v>
      </c>
      <c r="C468" t="str">
        <v>Shartava</v>
      </c>
      <c r="D468" t="str">
        <v>B59170EC-16CC-499A-9FF7-0428DCB8F727</v>
      </c>
      <c r="E468" t="str">
        <v>2023-07-01</v>
      </c>
      <c r="F468" s="4">
        <v>50000</v>
      </c>
      <c r="G468" t="str">
        <v>0790fb09-2de6-4ea3-a71c-58a007fc62a8</v>
      </c>
      <c r="H468" t="str">
        <v>9fed28b3-82cf-4afa-8e8d-952adf7a54a5</v>
      </c>
      <c r="I468" t="str">
        <v>1 6 30 1148</v>
      </c>
      <c r="L468" t="str">
        <v/>
      </c>
    </row>
    <row r="469" spans="1:12" x14ac:dyDescent="0.25">
      <c r="A469" t="str">
        <v>edcc23a1-daf5-47c1-b7f2-46b6b93c967c</v>
      </c>
      <c r="B469" t="str">
        <v>729fab4f-5211-4133-9178-b60f971d318f</v>
      </c>
      <c r="C469" t="str">
        <v>Barnovi</v>
      </c>
      <c r="D469" t="str">
        <v>B59170EC-16CC-499A-9FF7-0428DCB8F727</v>
      </c>
      <c r="E469" t="str">
        <v>2023-07-03</v>
      </c>
      <c r="F469" s="4">
        <v>43500</v>
      </c>
      <c r="G469" t="str">
        <v>0790fb09-2de6-4ea3-a71c-58a007fc62a8</v>
      </c>
      <c r="H469" t="str">
        <v>9fed28b3-82cf-4afa-8e8d-952adf7a54a5</v>
      </c>
      <c r="I469" t="str">
        <v/>
      </c>
      <c r="L469" t="str">
        <v/>
      </c>
    </row>
    <row r="470" spans="1:12" x14ac:dyDescent="0.25">
      <c r="A470" t="str">
        <v>0c670545-0080-494a-9715-866f00f3f6d6</v>
      </c>
      <c r="B470" t="str">
        <v>3996dec0-72d8-4e84-aa05-ef12be35540f</v>
      </c>
      <c r="C470" t="str">
        <v>Digomi trade center</v>
      </c>
      <c r="D470" t="str">
        <v>B59170EC-16CC-499A-9FF7-0428DCB8F727</v>
      </c>
      <c r="E470" t="str">
        <v>2023-07-17</v>
      </c>
      <c r="F470" s="4">
        <v>34270</v>
      </c>
      <c r="G470" t="str">
        <v>0790fb09-2de6-4ea3-a71c-58a007fc62a8</v>
      </c>
      <c r="H470" t="str">
        <v>9fed28b3-82cf-4afa-8e8d-952adf7a54a5</v>
      </c>
      <c r="I470" t="str">
        <v>1 6 30 2241</v>
      </c>
      <c r="L470" t="str">
        <v>fd6be193-fd0d-47e3-96b1-e5a6e1948c27</v>
      </c>
    </row>
    <row r="471" spans="1:12" x14ac:dyDescent="0.25">
      <c r="A471" t="str">
        <v>ec15a6bf-2cbf-422c-bdc7-02fd532342a3</v>
      </c>
      <c r="B471" t="str">
        <v>26DD56C7-5751-4761-A491-772703E8B7AC</v>
      </c>
      <c r="C471" t="str">
        <v>Hilton Batumi VTF System Parts</v>
      </c>
      <c r="D471" t="str">
        <v>FEA4B88F-633F-4422-B3D6-250792A2DA80</v>
      </c>
      <c r="E471" t="str">
        <v>2023-07-14</v>
      </c>
      <c r="F471" s="4">
        <v>7890</v>
      </c>
      <c r="G471" t="str">
        <v>0790fb09-2de6-4ea3-a71c-58a007fc62a8</v>
      </c>
      <c r="H471" t="str">
        <v>9fed28b3-82cf-4afa-8e8d-952adf7a54a5</v>
      </c>
      <c r="I471" t="str">
        <v/>
      </c>
      <c r="L471" t="str">
        <v/>
      </c>
    </row>
    <row r="472" spans="1:12" x14ac:dyDescent="0.25">
      <c r="A472" t="str">
        <v>22059889-dd7b-4edd-b729-9115c05b7e37</v>
      </c>
      <c r="B472" t="str">
        <v>ba94ed59-522c-4852-994c-130ef7e8cd30</v>
      </c>
      <c r="C472" t="str">
        <v>Kvareli Pool AHU</v>
      </c>
      <c r="D472" t="str">
        <v>FEA4B88F-633F-4422-B3D6-250792A2DA80</v>
      </c>
      <c r="E472" t="str">
        <v>2023-08-03</v>
      </c>
      <c r="F472" s="4">
        <v>33755</v>
      </c>
      <c r="G472" t="str">
        <v>4cfda3f2-535e-4b77-a467-eac9dc64feca</v>
      </c>
      <c r="H472" t="str">
        <v>9fed28b3-82cf-4afa-8e8d-952adf7a54a5</v>
      </c>
      <c r="I472" t="str">
        <v/>
      </c>
      <c r="L472" t="str">
        <v>83F0C711-34F6-45B3-A1ED-F85548418822</v>
      </c>
    </row>
    <row r="473" spans="1:12" x14ac:dyDescent="0.25">
      <c r="A473" t="str">
        <v>b0be5274-ae97-423e-8f09-7f2271128fc0</v>
      </c>
      <c r="B473" t="str">
        <v>056243e1-d8ba-4179-92bf-3e7184f1a861</v>
      </c>
      <c r="C473" t="str">
        <v>Batumi Restaurant Promech</v>
      </c>
      <c r="D473" t="str">
        <v>FEA4B88F-633F-4422-B3D6-250792A2DA80</v>
      </c>
      <c r="E473" t="str">
        <v>2023-07-20</v>
      </c>
      <c r="F473" s="4">
        <v>13035</v>
      </c>
      <c r="G473" t="str">
        <v>0790fb09-2de6-4ea3-a71c-58a007fc62a8</v>
      </c>
      <c r="H473" t="str">
        <v>9fed28b3-82cf-4afa-8e8d-952adf7a54a5</v>
      </c>
      <c r="I473" t="str">
        <v/>
      </c>
      <c r="L473" t="str">
        <v>83F0C711-34F6-45B3-A1ED-F85548418822</v>
      </c>
    </row>
    <row r="474" spans="1:12" x14ac:dyDescent="0.25">
      <c r="A474" t="str">
        <v>6a96f913-7fc9-420f-9a28-f08c0966d903</v>
      </c>
      <c r="B474" t="str">
        <v>3D0B2E19-A7F7-45A1-A329-05C7D5F99C8A</v>
      </c>
      <c r="C474" t="str">
        <v>Central Compressors 2023</v>
      </c>
      <c r="D474" t="str">
        <v>FEA4B88F-633F-4422-B3D6-250792A2DA80</v>
      </c>
      <c r="E474" t="str">
        <v>2023-08-07</v>
      </c>
      <c r="F474" s="4">
        <v>51447</v>
      </c>
      <c r="G474" t="str">
        <v>0790fb09-2de6-4ea3-a71c-58a007fc62a8</v>
      </c>
      <c r="H474" t="str">
        <v>9fed28b3-82cf-4afa-8e8d-952adf7a54a5</v>
      </c>
      <c r="I474" t="str">
        <v/>
      </c>
      <c r="L474" t="str">
        <v/>
      </c>
    </row>
    <row r="475" spans="1:12" x14ac:dyDescent="0.25">
      <c r="A475" t="str">
        <v>1201270d-7b5c-49b7-b018-4a907af6c80a</v>
      </c>
      <c r="B475" t="str">
        <v>1D6C190E-3037-4435-BF28-B1D43DC3432D</v>
      </c>
      <c r="C475" t="str">
        <v>Escalator PCB</v>
      </c>
      <c r="D475" t="str">
        <v>C491BFF3-6F7B-4412-9DF0-EAED6F3EE238</v>
      </c>
      <c r="E475" t="str">
        <v>2023-03-22</v>
      </c>
      <c r="F475" s="4">
        <v>540</v>
      </c>
      <c r="G475" t="str">
        <v>0790fb09-2de6-4ea3-a71c-58a007fc62a8</v>
      </c>
      <c r="H475" t="str">
        <v>9fed28b3-82cf-4afa-8e8d-952adf7a54a5</v>
      </c>
      <c r="I475" t="str">
        <v/>
      </c>
      <c r="L475" t="str">
        <v/>
      </c>
    </row>
    <row r="476" spans="1:12" x14ac:dyDescent="0.25">
      <c r="A476" t="str">
        <v>d43b879c-f195-4d3e-9993-6904d02fe92e</v>
      </c>
      <c r="B476" t="str">
        <v>726D9023-53A2-435E-8A5B-8BCEA9625E08</v>
      </c>
      <c r="C476" t="str">
        <v>Park Home Mziuri Rooftop</v>
      </c>
      <c r="D476" t="str">
        <v>FEA4B88F-633F-4422-B3D6-250792A2DA80</v>
      </c>
      <c r="E476" t="str">
        <v>2023-08-14</v>
      </c>
      <c r="F476" s="4">
        <v>25200</v>
      </c>
      <c r="G476" t="str">
        <v>4cfda3f2-535e-4b77-a467-eac9dc64feca</v>
      </c>
      <c r="H476" t="str">
        <v>9fed28b3-82cf-4afa-8e8d-952adf7a54a5</v>
      </c>
      <c r="I476" t="str">
        <v/>
      </c>
      <c r="L476" t="str">
        <v>401318CA-BF39-49C3-9BDC-73836A8F9774</v>
      </c>
    </row>
    <row r="477" spans="1:12" x14ac:dyDescent="0.25">
      <c r="A477" t="str">
        <v>40cbbbc9-6d45-44b5-b444-aad5b7898901</v>
      </c>
      <c r="B477" t="str">
        <v>ba94ed59-522c-4852-994c-130ef7e8cd30</v>
      </c>
      <c r="C477" t="str">
        <v>Ramishvili VRF Instalation</v>
      </c>
      <c r="D477" t="str">
        <v>FEA4B88F-633F-4422-B3D6-250792A2DA80</v>
      </c>
      <c r="E477" t="str">
        <v>2023-08-16</v>
      </c>
      <c r="F477" s="4">
        <v>57722.9</v>
      </c>
      <c r="G477" t="str">
        <v>0790fb09-2de6-4ea3-a71c-58a007fc62a8</v>
      </c>
      <c r="H477" t="str">
        <v>9fed28b3-82cf-4afa-8e8d-952adf7a54a5</v>
      </c>
      <c r="I477" t="str">
        <v>1 6 30 2011 8</v>
      </c>
      <c r="L477" t="str">
        <v/>
      </c>
    </row>
    <row r="478" spans="1:12" x14ac:dyDescent="0.25">
      <c r="A478" t="str">
        <v>8633f9a0-0740-4210-ad2c-2c07d58023c9</v>
      </c>
      <c r="B478" t="str">
        <v>9b9261d9-c555-41c5-b2ed-e426d38a4046</v>
      </c>
      <c r="C478" t="str">
        <v>Amera Bank 3</v>
      </c>
      <c r="D478" t="str">
        <v>FEA4B88F-633F-4422-B3D6-250792A2DA80</v>
      </c>
      <c r="E478" t="str">
        <v>2023-08-09</v>
      </c>
      <c r="F478" s="4">
        <v>3630</v>
      </c>
      <c r="G478" t="str">
        <v>0790fb09-2de6-4ea3-a71c-58a007fc62a8</v>
      </c>
      <c r="H478" t="str">
        <v>9fed28b3-82cf-4afa-8e8d-952adf7a54a5</v>
      </c>
      <c r="I478" t="str">
        <v/>
      </c>
      <c r="L478" t="str">
        <v>B2931E48-3277-49C0-B41B-D5F9C4CA15EE</v>
      </c>
    </row>
    <row r="479" spans="1:12" x14ac:dyDescent="0.25">
      <c r="A479" t="str">
        <v>baf8c1ad-ba54-4470-8429-9ea13b05d403</v>
      </c>
      <c r="B479" t="str">
        <v>B71DB46F-9742-4111-9C3C-118F6E6DB370</v>
      </c>
      <c r="C479" t="str">
        <v>Nutsubidze</v>
      </c>
      <c r="D479" t="str">
        <v>B59170EC-16CC-499A-9FF7-0428DCB8F727</v>
      </c>
      <c r="E479" t="str">
        <v>2023-08-11</v>
      </c>
      <c r="F479" s="4">
        <v>549980</v>
      </c>
      <c r="G479" t="str">
        <v>0790fb09-2de6-4ea3-a71c-58a007fc62a8</v>
      </c>
      <c r="H479" t="str">
        <v>9fed28b3-82cf-4afa-8e8d-952adf7a54a5</v>
      </c>
      <c r="I479" t="str">
        <v>1 6 30 1559</v>
      </c>
      <c r="L479" t="str">
        <v/>
      </c>
    </row>
    <row r="480" spans="1:12" x14ac:dyDescent="0.25">
      <c r="A480" t="str">
        <v>487d50cd-4c0b-492a-a348-7ffb8cc84fa6</v>
      </c>
      <c r="B480" t="str">
        <v>90293CD0-6262-4F6E-9B52-E8D909232966</v>
      </c>
      <c r="C480" t="str">
        <v>Orbi C block reprograming</v>
      </c>
      <c r="D480" t="str">
        <v>B59170EC-16CC-499A-9FF7-0428DCB8F727</v>
      </c>
      <c r="E480" t="str">
        <v>2023-04-20</v>
      </c>
      <c r="F480" s="4">
        <v>10500</v>
      </c>
      <c r="G480" t="str">
        <v>0790fb09-2de6-4ea3-a71c-58a007fc62a8</v>
      </c>
      <c r="H480" t="str">
        <v>9fed28b3-82cf-4afa-8e8d-952adf7a54a5</v>
      </c>
      <c r="I480" t="str">
        <v/>
      </c>
      <c r="L480" t="str">
        <v/>
      </c>
    </row>
    <row r="481" spans="1:12" x14ac:dyDescent="0.25">
      <c r="A481" t="str">
        <v>01fd2a41-941d-4242-aead-a59939c0a310</v>
      </c>
      <c r="B481" t="str">
        <v>E284E0FD-A2B7-4D93-8E91-006FF0A8A4CE</v>
      </c>
      <c r="C481" t="str">
        <v>Orbi D1 block reprograming</v>
      </c>
      <c r="D481" t="str">
        <v>B59170EC-16CC-499A-9FF7-0428DCB8F727</v>
      </c>
      <c r="E481" t="str">
        <v>2023-05-11</v>
      </c>
      <c r="F481" s="4">
        <v>15750</v>
      </c>
      <c r="G481" t="str">
        <v>0790fb09-2de6-4ea3-a71c-58a007fc62a8</v>
      </c>
      <c r="H481" t="str">
        <v>9fed28b3-82cf-4afa-8e8d-952adf7a54a5</v>
      </c>
      <c r="I481" t="str">
        <v/>
      </c>
      <c r="L481" t="str">
        <v/>
      </c>
    </row>
    <row r="482" spans="1:12" x14ac:dyDescent="0.25">
      <c r="A482" t="str">
        <v>c805db3b-b5a0-423a-a595-2f8747197154</v>
      </c>
      <c r="B482" t="str">
        <v>c0b77bb7-83ab-4024-9056-742018da5474</v>
      </c>
      <c r="C482" t="str">
        <v>Rehab VRF</v>
      </c>
      <c r="D482" t="str">
        <v>FEA4B88F-633F-4422-B3D6-250792A2DA80</v>
      </c>
      <c r="E482" t="str">
        <v>2023-07-11</v>
      </c>
      <c r="F482" s="4">
        <v>48825</v>
      </c>
      <c r="G482" t="str">
        <v>0790fb09-2de6-4ea3-a71c-58a007fc62a8</v>
      </c>
      <c r="H482" t="str">
        <v>9fed28b3-82cf-4afa-8e8d-952adf7a54a5</v>
      </c>
      <c r="I482" t="str">
        <v>1 6 30 2223 2</v>
      </c>
      <c r="L482" t="str">
        <v/>
      </c>
    </row>
    <row r="483" spans="1:12" x14ac:dyDescent="0.25">
      <c r="A483" t="str">
        <v>36ae3a96-77d4-4b3e-af11-1190de1c9e62</v>
      </c>
      <c r="B483" t="str">
        <v>c0b77bb7-83ab-4024-9056-742018da5474</v>
      </c>
      <c r="C483" t="str">
        <v>Rehab VRF Installation</v>
      </c>
      <c r="D483" t="str">
        <v>FEA4B88F-633F-4422-B3D6-250792A2DA80</v>
      </c>
      <c r="E483" t="str">
        <v>2023-07-12</v>
      </c>
      <c r="F483" s="4">
        <v>23580</v>
      </c>
      <c r="G483" t="str">
        <v>0790fb09-2de6-4ea3-a71c-58a007fc62a8</v>
      </c>
      <c r="H483" t="str">
        <v>9fed28b3-82cf-4afa-8e8d-952adf7a54a5</v>
      </c>
      <c r="I483" t="str">
        <v>1 6 30 2223 2</v>
      </c>
      <c r="L483" t="str">
        <v/>
      </c>
    </row>
    <row r="484" spans="1:12" x14ac:dyDescent="0.25">
      <c r="A484" t="str">
        <v>1968d0be-3775-4213-a43c-a1eb2b4463c5</v>
      </c>
      <c r="B484" t="str">
        <v>b6998308-186a-4cda-b4b0-91d4643e7caa</v>
      </c>
      <c r="C484" t="str">
        <v>Kalamian - Mitsubishi Conditioner</v>
      </c>
      <c r="D484" t="str">
        <v>FEA4B88F-633F-4422-B3D6-250792A2DA80</v>
      </c>
      <c r="E484" t="str">
        <v>2023-08-17</v>
      </c>
      <c r="F484" s="4">
        <v>2870</v>
      </c>
      <c r="G484" t="str">
        <v>5a2d799d-22a1-4e0a-b029-8031a1df6d56</v>
      </c>
      <c r="H484" t="str">
        <v>9fed28b3-82cf-4afa-8e8d-952adf7a54a5</v>
      </c>
      <c r="I484" t="str">
        <v/>
      </c>
      <c r="L484" t="str">
        <v>C309CB7C-404D-431A-A8FB-29671DCA0C49</v>
      </c>
    </row>
    <row r="485" spans="1:12" x14ac:dyDescent="0.25">
      <c r="A485" t="str">
        <v>09f3b0fe-b189-4d75-a0ce-6bbab4a07918</v>
      </c>
      <c r="B485" t="str">
        <v>c0b77bb7-83ab-4024-9056-742018da5474</v>
      </c>
      <c r="C485" t="str">
        <v>Rehab Elevators</v>
      </c>
      <c r="D485" t="str">
        <v>B59170EC-16CC-499A-9FF7-0428DCB8F727</v>
      </c>
      <c r="E485" t="str">
        <v>2023-07-12</v>
      </c>
      <c r="F485" s="4">
        <v>22490</v>
      </c>
      <c r="G485" t="str">
        <v>0790fb09-2de6-4ea3-a71c-58a007fc62a8</v>
      </c>
      <c r="H485" t="str">
        <v>9fed28b3-82cf-4afa-8e8d-952adf7a54a5</v>
      </c>
      <c r="I485" t="str">
        <v>1 6 30 2223 1</v>
      </c>
      <c r="L485" t="str">
        <v/>
      </c>
    </row>
    <row r="486" spans="1:12" x14ac:dyDescent="0.25">
      <c r="A486" t="str">
        <v>a389eb6f-dbb0-48a5-a16c-463ff453a49e</v>
      </c>
      <c r="B486" t="str">
        <v>BF286322-BCFC-403B-B707-B476132F6DD3</v>
      </c>
      <c r="C486" t="str">
        <v>MHI Products</v>
      </c>
      <c r="D486" t="str">
        <v>FEA4B88F-633F-4422-B3D6-250792A2DA80</v>
      </c>
      <c r="E486" t="str">
        <v>2023-08-25</v>
      </c>
      <c r="F486" s="4">
        <v>12436</v>
      </c>
      <c r="G486" t="str">
        <v>0790fb09-2de6-4ea3-a71c-58a007fc62a8</v>
      </c>
      <c r="H486" t="str">
        <v>9fed28b3-82cf-4afa-8e8d-952adf7a54a5</v>
      </c>
      <c r="I486" t="str">
        <v/>
      </c>
      <c r="L486" t="str">
        <v>C309CB7C-404D-431A-A8FB-29671DCA0C49</v>
      </c>
    </row>
    <row r="487" spans="1:12" x14ac:dyDescent="0.25">
      <c r="A487" t="str">
        <v>bb5aa003-4709-4b84-b34a-e5972a2aeba6</v>
      </c>
      <c r="B487" t="str">
        <v>933470D5-D1F0-4CB0-8738-317256F1B307</v>
      </c>
      <c r="C487" t="str">
        <v>Doors change</v>
      </c>
      <c r="D487" t="str">
        <v>C491BFF3-6F7B-4412-9DF0-EAED6F3EE238</v>
      </c>
      <c r="E487" t="str">
        <v>2023-08-29</v>
      </c>
      <c r="F487" s="4">
        <v>480</v>
      </c>
      <c r="G487" t="str">
        <v>0790fb09-2de6-4ea3-a71c-58a007fc62a8</v>
      </c>
      <c r="H487" t="str">
        <v>9fed28b3-82cf-4afa-8e8d-952adf7a54a5</v>
      </c>
      <c r="I487" t="str">
        <v>1 6 30 1703 2</v>
      </c>
      <c r="L487" t="str">
        <v>f226abbb-d682-476f-9fea-3665c62bccb6</v>
      </c>
    </row>
    <row r="488" spans="1:12" x14ac:dyDescent="0.25">
      <c r="A488" t="str">
        <v>38a77239-0fb4-46cc-8d7d-24b496b6edb3</v>
      </c>
      <c r="B488" t="str">
        <v>c0b77bb7-83ab-4024-9056-742018da5474</v>
      </c>
      <c r="C488" t="str">
        <v>Rehab Sewage</v>
      </c>
      <c r="D488" t="str">
        <v>B5CAA716-CA9B-47D4-85D4-9954ED4DBAD2</v>
      </c>
      <c r="E488" t="str">
        <v>2023-07-01</v>
      </c>
      <c r="F488" s="4">
        <v>158713</v>
      </c>
      <c r="G488" t="str">
        <v>5a2d799d-22a1-4e0a-b029-8031a1df6d56</v>
      </c>
      <c r="H488" t="str">
        <v>9fed28b3-82cf-4afa-8e8d-952adf7a54a5</v>
      </c>
      <c r="I488" t="str">
        <v>1 6 30 2223 2</v>
      </c>
      <c r="L488" t="str">
        <v>C309CB7C-404D-431A-A8FB-29671DCA0C49</v>
      </c>
    </row>
    <row r="489" spans="1:12" x14ac:dyDescent="0.25">
      <c r="A489" t="str">
        <v>f212a910-48b7-498f-aaf6-f4db782fabd0</v>
      </c>
      <c r="B489" t="str">
        <v>a0033d80-db06-4e8b-8076-16df0eed7a22</v>
      </c>
      <c r="C489" t="str">
        <v>2 Units Mitsubishi Conditioner</v>
      </c>
      <c r="D489" t="str">
        <v>FEA4B88F-633F-4422-B3D6-250792A2DA80</v>
      </c>
      <c r="E489" t="str">
        <v>2023-09-05</v>
      </c>
      <c r="F489" s="4">
        <v>5470</v>
      </c>
      <c r="G489" t="str">
        <v>5a2d799d-22a1-4e0a-b029-8031a1df6d56</v>
      </c>
      <c r="H489" t="str">
        <v>9fed28b3-82cf-4afa-8e8d-952adf7a54a5</v>
      </c>
      <c r="I489" t="str">
        <v/>
      </c>
      <c r="L489" t="str">
        <v>401318CA-BF39-49C3-9BDC-73836A8F9774</v>
      </c>
    </row>
    <row r="490" spans="1:12" x14ac:dyDescent="0.25">
      <c r="A490" t="str">
        <v>6437eb9d-d258-4248-aea1-ce4eaaa7aa9b</v>
      </c>
      <c r="B490" t="str">
        <v>726D9023-53A2-435E-8A5B-8BCEA9625E08</v>
      </c>
      <c r="C490" t="str">
        <v>Ford Center Compressor Control Board</v>
      </c>
      <c r="D490" t="str">
        <v>FEA4B88F-633F-4422-B3D6-250792A2DA80</v>
      </c>
      <c r="E490" t="str">
        <v>2023-08-30</v>
      </c>
      <c r="F490" s="4">
        <v>1350</v>
      </c>
      <c r="G490" t="str">
        <v>0790fb09-2de6-4ea3-a71c-58a007fc62a8</v>
      </c>
      <c r="H490" t="str">
        <v>9fed28b3-82cf-4afa-8e8d-952adf7a54a5</v>
      </c>
      <c r="I490" t="str">
        <v/>
      </c>
      <c r="L490" t="str">
        <v>401318CA-BF39-49C3-9BDC-73836A8F9774</v>
      </c>
    </row>
    <row r="491" spans="1:12" x14ac:dyDescent="0.25">
      <c r="A491" t="str">
        <v>3b997bb5-00c5-4577-87b9-e8f1edd0138a</v>
      </c>
      <c r="B491" t="str">
        <v>bb626e89-30fe-4cee-a96c-2bd575e6fdcd</v>
      </c>
      <c r="C491" t="str">
        <v>Palm Apartments</v>
      </c>
      <c r="D491" t="str">
        <v>B59170EC-16CC-499A-9FF7-0428DCB8F727</v>
      </c>
      <c r="E491" t="str">
        <v>2023-07-11</v>
      </c>
      <c r="F491" s="4">
        <v>51000</v>
      </c>
      <c r="G491" t="str">
        <v>0790fb09-2de6-4ea3-a71c-58a007fc62a8</v>
      </c>
      <c r="H491" t="str">
        <v>9fed28b3-82cf-4afa-8e8d-952adf7a54a5</v>
      </c>
      <c r="I491" t="str">
        <v>1 6 30 2228</v>
      </c>
      <c r="L491" t="str">
        <v/>
      </c>
    </row>
    <row r="492" spans="1:12" x14ac:dyDescent="0.25">
      <c r="A492" t="str">
        <v>aac70fb5-413e-4415-a4c2-43209ede6023</v>
      </c>
      <c r="B492" t="str">
        <v>57c12b0b-0ce9-4985-b5a2-5b3ffb02ee7d</v>
      </c>
      <c r="C492" t="str">
        <v>Gumbati Apart Kvariati</v>
      </c>
      <c r="D492" t="str">
        <v>B59170EC-16CC-499A-9FF7-0428DCB8F727</v>
      </c>
      <c r="E492" t="str">
        <v>2023-08-04</v>
      </c>
      <c r="F492" s="4">
        <v>126000</v>
      </c>
      <c r="G492" t="str">
        <v>0790fb09-2de6-4ea3-a71c-58a007fc62a8</v>
      </c>
      <c r="H492" t="str">
        <v>9fed28b3-82cf-4afa-8e8d-952adf7a54a5</v>
      </c>
      <c r="I492" t="str">
        <v>1 6 30 2260</v>
      </c>
      <c r="L492" t="str">
        <v/>
      </c>
    </row>
    <row r="493" spans="1:12" x14ac:dyDescent="0.25">
      <c r="A493" t="str">
        <v>bb2e558a-fce9-44a5-b1a9-f99f461a92ef</v>
      </c>
      <c r="B493" t="str">
        <v>7BF4A039-29BC-44AC-A87D-E8832394B94E</v>
      </c>
      <c r="C493" t="str">
        <v>P4 P5 Elevator Sensor</v>
      </c>
      <c r="D493" t="str">
        <v>C491BFF3-6F7B-4412-9DF0-EAED6F3EE238</v>
      </c>
      <c r="E493" t="str">
        <v>2023-09-13</v>
      </c>
      <c r="F493" s="4">
        <v>240</v>
      </c>
      <c r="G493" t="str">
        <v>0790fb09-2de6-4ea3-a71c-58a007fc62a8</v>
      </c>
      <c r="H493" t="str">
        <v>9fed28b3-82cf-4afa-8e8d-952adf7a54a5</v>
      </c>
      <c r="I493" t="str">
        <v/>
      </c>
      <c r="L493" t="str">
        <v/>
      </c>
    </row>
    <row r="494" spans="1:12" x14ac:dyDescent="0.25">
      <c r="A494" t="str">
        <v>1aa67a2e-97fc-4acc-a9f4-34c63f8f808a</v>
      </c>
      <c r="B494" t="str">
        <v>272FF8D3-4909-409A-99B0-E2C8CA3BB9AF</v>
      </c>
      <c r="C494" t="str">
        <v>Building elevator spareparts</v>
      </c>
      <c r="D494" t="str">
        <v>C491BFF3-6F7B-4412-9DF0-EAED6F3EE238</v>
      </c>
      <c r="E494" t="str">
        <v>2023-09-01</v>
      </c>
      <c r="F494" s="4">
        <v>4882.8999999999996</v>
      </c>
      <c r="G494" t="str">
        <v>0790fb09-2de6-4ea3-a71c-58a007fc62a8</v>
      </c>
      <c r="H494" t="str">
        <v>9fed28b3-82cf-4afa-8e8d-952adf7a54a5</v>
      </c>
      <c r="I494" t="str">
        <v/>
      </c>
      <c r="L494" t="str">
        <v>B2931E48-3277-49C0-B41B-D5F9C4CA15EE</v>
      </c>
    </row>
    <row r="495" spans="1:12" x14ac:dyDescent="0.25">
      <c r="A495" t="str">
        <v>4564c27e-98e4-48cb-bfd4-6fce8ab3be17</v>
      </c>
      <c r="B495" t="str">
        <v>726D9023-53A2-435E-8A5B-8BCEA9625E08</v>
      </c>
      <c r="C495" t="str">
        <v>Batumi McDonald's Rooftop</v>
      </c>
      <c r="D495" t="str">
        <v>C491BFF3-6F7B-4412-9DF0-EAED6F3EE238</v>
      </c>
      <c r="E495" t="str">
        <v>2023-09-18</v>
      </c>
      <c r="F495" s="4">
        <v>980</v>
      </c>
      <c r="G495" t="str">
        <v>5a2d799d-22a1-4e0a-b029-8031a1df6d56</v>
      </c>
      <c r="H495" t="str">
        <v>9fed28b3-82cf-4afa-8e8d-952adf7a54a5</v>
      </c>
      <c r="I495" t="str">
        <v/>
      </c>
      <c r="L495" t="str">
        <v>C309CB7C-404D-431A-A8FB-29671DCA0C49</v>
      </c>
    </row>
    <row r="496" spans="1:12" x14ac:dyDescent="0.25">
      <c r="A496" t="str">
        <v>8f037e09-90e9-4c9b-a993-afd83ccc0168</v>
      </c>
      <c r="B496" t="str">
        <v>ba94ed59-522c-4852-994c-130ef7e8cd30</v>
      </c>
      <c r="C496" t="str">
        <v>Kvareli Mockup</v>
      </c>
      <c r="D496" t="str">
        <v>FEA4B88F-633F-4422-B3D6-250792A2DA80</v>
      </c>
      <c r="E496" t="str">
        <v>2022-12-13</v>
      </c>
      <c r="F496" s="4">
        <v>2755</v>
      </c>
      <c r="G496" t="str">
        <v>0790fb09-2de6-4ea3-a71c-58a007fc62a8</v>
      </c>
      <c r="H496" t="str">
        <v>9fed28b3-82cf-4afa-8e8d-952adf7a54a5</v>
      </c>
      <c r="I496" t="str">
        <v/>
      </c>
      <c r="L496" t="str">
        <v>83F0C711-34F6-45B3-A1ED-F85548418822</v>
      </c>
    </row>
    <row r="497" spans="1:12" x14ac:dyDescent="0.25">
      <c r="A497" t="str">
        <v>6f2e0f98-f2a0-4f33-b359-d639c5918972</v>
      </c>
      <c r="B497" t="str">
        <v>ba94ed59-522c-4852-994c-130ef7e8cd30</v>
      </c>
      <c r="C497" t="str">
        <v>Kvareli VRF FILTER Installation</v>
      </c>
      <c r="D497" t="str">
        <v>FEA4B88F-633F-4422-B3D6-250792A2DA80</v>
      </c>
      <c r="E497" t="str">
        <v>2023-05-18</v>
      </c>
      <c r="F497" s="4">
        <v>2877</v>
      </c>
      <c r="G497" t="str">
        <v>5a2d799d-22a1-4e0a-b029-8031a1df6d56</v>
      </c>
      <c r="H497" t="str">
        <v>9fed28b3-82cf-4afa-8e8d-952adf7a54a5</v>
      </c>
      <c r="I497" t="str">
        <v/>
      </c>
      <c r="L497" t="str">
        <v>C309CB7C-404D-431A-A8FB-29671DCA0C49</v>
      </c>
    </row>
    <row r="498" spans="1:12" x14ac:dyDescent="0.25">
      <c r="A498" t="str">
        <v>2189eac4-47d5-4cb9-aa64-9e984ff0a0db</v>
      </c>
      <c r="B498" t="str">
        <v>8FB0EC97-AA52-41D1-8516-B3C255D651F7</v>
      </c>
      <c r="C498" t="str">
        <v>Batumi Multisplits Instalation</v>
      </c>
      <c r="D498" t="str">
        <v>B5CAA716-CA9B-47D4-85D4-9954ED4DBAD2</v>
      </c>
      <c r="E498" t="str">
        <v>2023-09-27</v>
      </c>
      <c r="F498" s="4">
        <v>5000</v>
      </c>
      <c r="G498" t="str">
        <v>5a2d799d-22a1-4e0a-b029-8031a1df6d56</v>
      </c>
      <c r="H498" t="str">
        <v>9fed28b3-82cf-4afa-8e8d-952adf7a54a5</v>
      </c>
      <c r="I498" t="str">
        <v>1 6 30 1614</v>
      </c>
      <c r="L498" t="str">
        <v>C309CB7C-404D-431A-A8FB-29671DCA0C49</v>
      </c>
    </row>
    <row r="499" spans="1:12" x14ac:dyDescent="0.25">
      <c r="A499" t="str">
        <v>89e63c65-0c75-4997-9a1b-929d9804c011</v>
      </c>
      <c r="B499" t="str">
        <v>3C2A6CD6-D08E-4286-A3DF-9EB685C45CBF</v>
      </c>
      <c r="C499" t="str">
        <v>Rooftop Parts</v>
      </c>
      <c r="D499" t="str">
        <v>FEA4B88F-633F-4422-B3D6-250792A2DA80</v>
      </c>
      <c r="E499" t="str">
        <v>2022-11-17</v>
      </c>
      <c r="F499" s="4">
        <v>5285</v>
      </c>
      <c r="G499" t="str">
        <v>4cfda3f2-535e-4b77-a467-eac9dc64feca</v>
      </c>
      <c r="H499" t="str">
        <v>9fed28b3-82cf-4afa-8e8d-952adf7a54a5</v>
      </c>
      <c r="I499" t="str">
        <v/>
      </c>
      <c r="L499" t="str">
        <v>83F0C711-34F6-45B3-A1ED-F85548418822</v>
      </c>
    </row>
    <row r="500" spans="1:12" x14ac:dyDescent="0.25">
      <c r="A500" t="str">
        <v>95e2ef5c-9438-42f4-824b-80841e2868f7</v>
      </c>
      <c r="B500" t="str">
        <v>c0b77bb7-83ab-4024-9056-742018da5474</v>
      </c>
      <c r="C500" t="str">
        <v>VRF Materials</v>
      </c>
      <c r="D500" t="str">
        <v>FEA4B88F-633F-4422-B3D6-250792A2DA80</v>
      </c>
      <c r="E500" t="str">
        <v>2023-09-01</v>
      </c>
      <c r="F500" s="4">
        <v>56076.6</v>
      </c>
      <c r="G500" t="str">
        <v>5a2d799d-22a1-4e0a-b029-8031a1df6d56</v>
      </c>
      <c r="H500" t="str">
        <v>9fed28b3-82cf-4afa-8e8d-952adf7a54a5</v>
      </c>
      <c r="I500" t="str">
        <v>1 6 30 2223 3</v>
      </c>
      <c r="L500" t="str">
        <v>C309CB7C-404D-431A-A8FB-29671DCA0C49</v>
      </c>
    </row>
    <row r="501" spans="1:12" x14ac:dyDescent="0.25">
      <c r="A501" t="str">
        <v>f1fdd175-3a75-4da2-8bfd-8ab11ac03bd4</v>
      </c>
      <c r="B501" t="str">
        <v>3ae947be-c7e8-4c9b-a3f7-202f90d8534c</v>
      </c>
      <c r="C501" t="str">
        <v>Dighomi 2B</v>
      </c>
      <c r="D501" t="str">
        <v>12238130-9D12-4099-A48B-9EB5A085E0F8</v>
      </c>
      <c r="E501" t="str">
        <v>2023-08-01</v>
      </c>
      <c r="F501" s="4">
        <v>300</v>
      </c>
      <c r="G501" t="str">
        <v>0790fb09-2de6-4ea3-a71c-58a007fc62a8</v>
      </c>
      <c r="H501" t="str">
        <v>9fed28b3-82cf-4afa-8e8d-952adf7a54a5</v>
      </c>
      <c r="I501" t="str">
        <v>1 6 31 2266</v>
      </c>
      <c r="L501" t="str">
        <v>fd6be193-fd0d-47e3-96b1-e5a6e1948c27</v>
      </c>
    </row>
    <row r="502" spans="1:12" x14ac:dyDescent="0.25">
      <c r="A502" t="str">
        <v>7ddad25f-27c2-44d5-9764-7a8dcd599a6f</v>
      </c>
      <c r="B502" t="str">
        <v>3ae947be-c7e8-4c9b-a3f7-202f90d8534c</v>
      </c>
      <c r="C502" t="str">
        <v>Dighomi 2B Push Button</v>
      </c>
      <c r="D502" t="str">
        <v>C491BFF3-6F7B-4412-9DF0-EAED6F3EE238</v>
      </c>
      <c r="E502" t="str">
        <v>2023-09-12</v>
      </c>
      <c r="F502" s="4">
        <v>130</v>
      </c>
      <c r="G502" t="str">
        <v>0790fb09-2de6-4ea3-a71c-58a007fc62a8</v>
      </c>
      <c r="H502" t="str">
        <v>9fed28b3-82cf-4afa-8e8d-952adf7a54a5</v>
      </c>
      <c r="I502" t="str">
        <v/>
      </c>
      <c r="L502" t="str">
        <v>fd6be193-fd0d-47e3-96b1-e5a6e1948c27</v>
      </c>
    </row>
    <row r="503" spans="1:12" x14ac:dyDescent="0.25">
      <c r="A503" t="str">
        <v>46ced0cf-f8e8-40db-8161-4be66840d7fb</v>
      </c>
      <c r="B503" t="str">
        <v>19521391-5237-486E-B9F6-C4529F6D8E1D</v>
      </c>
      <c r="C503" t="str">
        <v>Vehicle TOYOTA 2014</v>
      </c>
      <c r="D503" t="str">
        <v>68627C8C-95F9-4383-9A95-1923038BB695</v>
      </c>
      <c r="E503" t="str">
        <v>2022-11-01</v>
      </c>
      <c r="F503" s="4">
        <v>69385</v>
      </c>
      <c r="G503" t="str">
        <v>5a2d799d-22a1-4e0a-b029-8031a1df6d56</v>
      </c>
      <c r="H503" t="str">
        <v>9fed28b3-82cf-4afa-8e8d-952adf7a54a5</v>
      </c>
      <c r="I503" t="str">
        <v/>
      </c>
      <c r="L503" t="str">
        <v/>
      </c>
    </row>
    <row r="504" spans="1:12" x14ac:dyDescent="0.25">
      <c r="A504" t="str">
        <v>58e66a51-4df4-45a2-8ce1-b070b0fadf53</v>
      </c>
      <c r="B504" t="str">
        <v>726D9023-53A2-435E-8A5B-8BCEA9625E08</v>
      </c>
      <c r="C504" t="str">
        <v>McDonalds Marjanishvili Rooftop</v>
      </c>
      <c r="D504" t="str">
        <v>FEA4B88F-633F-4422-B3D6-250792A2DA80</v>
      </c>
      <c r="E504" t="str">
        <v>2023-06-08</v>
      </c>
      <c r="F504" s="4">
        <v>82990</v>
      </c>
      <c r="G504" t="str">
        <v>4cfda3f2-535e-4b77-a467-eac9dc64feca</v>
      </c>
      <c r="H504" t="str">
        <v>9fed28b3-82cf-4afa-8e8d-952adf7a54a5</v>
      </c>
      <c r="I504" t="str">
        <v/>
      </c>
      <c r="L504" t="str">
        <v>401318CA-BF39-49C3-9BDC-73836A8F9774</v>
      </c>
    </row>
    <row r="505" spans="1:12" x14ac:dyDescent="0.25">
      <c r="A505" t="str">
        <v>44ee63f2-ba08-4974-a1bb-5e7685edc6bc</v>
      </c>
      <c r="B505" t="str">
        <v>ba94ed59-522c-4852-994c-130ef7e8cd30</v>
      </c>
      <c r="C505" t="str">
        <v>Kvareli VRV Installation</v>
      </c>
      <c r="D505" t="str">
        <v>FEA4B88F-633F-4422-B3D6-250792A2DA80</v>
      </c>
      <c r="E505" t="str">
        <v>2023-03-01</v>
      </c>
      <c r="F505" s="4">
        <v>100000</v>
      </c>
      <c r="G505" t="str">
        <v>0790fb09-2de6-4ea3-a71c-58a007fc62a8</v>
      </c>
      <c r="H505" t="str">
        <v>9fed28b3-82cf-4afa-8e8d-952adf7a54a5</v>
      </c>
      <c r="I505" t="str">
        <v>1 6 30 2011 3</v>
      </c>
      <c r="L505" t="str">
        <v>C309CB7C-404D-431A-A8FB-29671DCA0C49</v>
      </c>
    </row>
    <row r="506" spans="1:12" x14ac:dyDescent="0.25">
      <c r="A506" t="str">
        <v>34b8252a-b352-4b53-8829-831191f45f9d</v>
      </c>
      <c r="B506" t="str">
        <v>ba94ed59-522c-4852-994c-130ef7e8cd30</v>
      </c>
      <c r="C506" t="str">
        <v>Kvareli Additional VRF Installation</v>
      </c>
      <c r="D506" t="str">
        <v>FEA4B88F-633F-4422-B3D6-250792A2DA80</v>
      </c>
      <c r="E506" t="str">
        <v>2023-10-11</v>
      </c>
      <c r="F506" s="4">
        <v>8591</v>
      </c>
      <c r="G506" t="str">
        <v>0790fb09-2de6-4ea3-a71c-58a007fc62a8</v>
      </c>
      <c r="H506" t="str">
        <v>9fed28b3-82cf-4afa-8e8d-952adf7a54a5</v>
      </c>
      <c r="I506" t="str">
        <v>1 6 30 2011 3</v>
      </c>
      <c r="L506" t="str">
        <v>C309CB7C-404D-431A-A8FB-29671DCA0C49</v>
      </c>
    </row>
    <row r="507" spans="1:12" x14ac:dyDescent="0.25">
      <c r="A507" t="str">
        <v>382737af-5914-449b-afca-4ffcd5b1eff8</v>
      </c>
      <c r="B507" t="str">
        <v>84fbebbf-ffe3-4de2-b726-6c20f7de3e5e</v>
      </c>
      <c r="C507" t="str">
        <v>ვრფ სისტემის დიაგნოსტიკა ინვ#-03/10</v>
      </c>
      <c r="D507" t="str">
        <v>B5CAA716-CA9B-47D4-85D4-9954ED4DBAD2</v>
      </c>
      <c r="E507" t="str">
        <v>2023-10-01</v>
      </c>
      <c r="F507" s="4">
        <v>800</v>
      </c>
      <c r="G507" t="str">
        <v>5a2d799d-22a1-4e0a-b029-8031a1df6d56</v>
      </c>
      <c r="H507" t="str">
        <v>9fed28b3-82cf-4afa-8e8d-952adf7a54a5</v>
      </c>
      <c r="I507" t="str">
        <v/>
      </c>
      <c r="L507" t="str">
        <v>C309CB7C-404D-431A-A8FB-29671DCA0C49</v>
      </c>
    </row>
    <row r="508" spans="1:12" x14ac:dyDescent="0.25">
      <c r="A508" t="str">
        <v>1c74e4d0-0cbe-4773-80d1-3a4d5f1ae5df</v>
      </c>
      <c r="B508" t="str">
        <v>2A55DEBB-261B-4CE9-BAE4-296DDEA037AB</v>
      </c>
      <c r="C508" t="str">
        <v>Batumi Stock</v>
      </c>
      <c r="D508" t="str">
        <v>B59170EC-16CC-499A-9FF7-0428DCB8F727</v>
      </c>
      <c r="E508" t="str">
        <v>2023-10-01</v>
      </c>
      <c r="F508" s="4">
        <v>1</v>
      </c>
      <c r="G508" t="str">
        <v>5a2d799d-22a1-4e0a-b029-8031a1df6d56</v>
      </c>
      <c r="H508" t="str">
        <v>9fed28b3-82cf-4afa-8e8d-952adf7a54a5</v>
      </c>
      <c r="I508" t="str">
        <v/>
      </c>
      <c r="L508" t="str">
        <v/>
      </c>
    </row>
    <row r="509" spans="1:12" x14ac:dyDescent="0.25">
      <c r="A509" t="str">
        <v>aa0b9453-b8ba-4dbc-8979-c1022c5aeac2</v>
      </c>
      <c r="B509" t="str">
        <v>43EABC78-AF64-4C14-9FEF-C7E6A1B6F07E</v>
      </c>
      <c r="C509" t="str">
        <v>Lisi Development 1 UNIT</v>
      </c>
      <c r="D509" t="str">
        <v>B59170EC-16CC-499A-9FF7-0428DCB8F727</v>
      </c>
      <c r="E509" t="str">
        <v>2023-10-26</v>
      </c>
      <c r="F509" s="4">
        <v>1500</v>
      </c>
      <c r="G509" t="str">
        <v>0790fb09-2de6-4ea3-a71c-58a007fc62a8</v>
      </c>
      <c r="H509" t="str">
        <v>9fed28b3-82cf-4afa-8e8d-952adf7a54a5</v>
      </c>
      <c r="I509" t="str">
        <v>1 6 30 1148</v>
      </c>
      <c r="L509" t="str">
        <v/>
      </c>
    </row>
    <row r="510" spans="1:12" x14ac:dyDescent="0.25">
      <c r="A510" t="str">
        <v>b92c6fb2-c824-4dd4-b4f8-0ba598efd62d</v>
      </c>
      <c r="B510" t="str">
        <v>10949402-30d0-47ee-aa9d-276f36d955dd</v>
      </c>
      <c r="C510" t="str">
        <v>Deka Digomi</v>
      </c>
      <c r="D510" t="str">
        <v>B59170EC-16CC-499A-9FF7-0428DCB8F727</v>
      </c>
      <c r="E510" t="str">
        <v>2023-10-11</v>
      </c>
      <c r="F510" s="4">
        <v>58400</v>
      </c>
      <c r="G510" t="str">
        <v>0790fb09-2de6-4ea3-a71c-58a007fc62a8</v>
      </c>
      <c r="H510" t="str">
        <v>9fed28b3-82cf-4afa-8e8d-952adf7a54a5</v>
      </c>
      <c r="I510" t="str">
        <v>1 6 30 2303</v>
      </c>
      <c r="L510" t="str">
        <v>86332895-C3C3-4313-AA1C-0D1B06C2386C</v>
      </c>
    </row>
    <row r="511" spans="1:12" x14ac:dyDescent="0.25">
      <c r="A511" t="str">
        <v>a0f00f4d-4bb0-4b09-9f9c-ed7cbb850265</v>
      </c>
      <c r="B511" t="str">
        <v>a95a2d00-27d9-45bb-932b-1fee2c37e12f</v>
      </c>
      <c r="C511" t="str">
        <v>Car Platform</v>
      </c>
      <c r="D511" t="str">
        <v>B59170EC-16CC-499A-9FF7-0428DCB8F727</v>
      </c>
      <c r="E511" t="str">
        <v>2023-07-01</v>
      </c>
      <c r="F511" s="4">
        <v>14350</v>
      </c>
      <c r="G511" t="str">
        <v>4cfda3f2-535e-4b77-a467-eac9dc64feca</v>
      </c>
      <c r="H511" t="str">
        <v>9fed28b3-82cf-4afa-8e8d-952adf7a54a5</v>
      </c>
      <c r="I511" t="str">
        <v/>
      </c>
      <c r="L511" t="str">
        <v>A26DCE96-C08F-453E-9E26-10AAF72D142A</v>
      </c>
    </row>
    <row r="512" spans="1:12" x14ac:dyDescent="0.25">
      <c r="A512" t="str">
        <v>26da9e97-399d-469c-aa11-e061edd24207</v>
      </c>
      <c r="B512" t="str">
        <v>f51b97a2-8a30-484a-86fd-afe8641e24ed</v>
      </c>
      <c r="C512" t="str">
        <v>Areali</v>
      </c>
      <c r="D512" t="str">
        <v>B59170EC-16CC-499A-9FF7-0428DCB8F727</v>
      </c>
      <c r="E512" t="str">
        <v>2023-09-01</v>
      </c>
      <c r="F512" s="4">
        <v>84400</v>
      </c>
      <c r="G512" t="str">
        <v>0790fb09-2de6-4ea3-a71c-58a007fc62a8</v>
      </c>
      <c r="H512" t="str">
        <v>9fed28b3-82cf-4afa-8e8d-952adf7a54a5</v>
      </c>
      <c r="I512" t="str">
        <v>1 6 30 2299</v>
      </c>
      <c r="L512" t="str">
        <v>A26DCE96-C08F-453E-9E26-10AAF72D142A</v>
      </c>
    </row>
    <row r="513" spans="1:12" x14ac:dyDescent="0.25">
      <c r="A513" t="str">
        <v>51c4f399-7516-49f6-8866-15dfa81b0dfa</v>
      </c>
      <c r="B513" t="str">
        <v>ba94ed59-522c-4852-994c-130ef7e8cd30</v>
      </c>
      <c r="C513" t="str">
        <v>Kvareli FF Pump</v>
      </c>
      <c r="D513" t="str">
        <v>FEA4B88F-633F-4422-B3D6-250792A2DA80</v>
      </c>
      <c r="E513" t="str">
        <v>2023-11-13</v>
      </c>
      <c r="F513" s="4">
        <v>51668</v>
      </c>
      <c r="G513" t="str">
        <v>0790fb09-2de6-4ea3-a71c-58a007fc62a8</v>
      </c>
      <c r="H513" t="str">
        <v>9fed28b3-82cf-4afa-8e8d-952adf7a54a5</v>
      </c>
      <c r="I513" t="str">
        <v/>
      </c>
      <c r="L513" t="str">
        <v>C309CB7C-404D-431A-A8FB-29671DCA0C49</v>
      </c>
    </row>
    <row r="514" spans="1:12" x14ac:dyDescent="0.25">
      <c r="A514" t="str">
        <v>42a33c36-9ecc-4af0-9c4d-51b064a5f4be</v>
      </c>
      <c r="B514" t="str">
        <v>ba94ed59-522c-4852-994c-130ef7e8cd30</v>
      </c>
      <c r="C514" t="str">
        <v>Ramishvili Toshiba Installation</v>
      </c>
      <c r="D514" t="str">
        <v>B5CAA716-CA9B-47D4-85D4-9954ED4DBAD2</v>
      </c>
      <c r="E514" t="str">
        <v>2024-01-01</v>
      </c>
      <c r="F514" s="4">
        <v>45000</v>
      </c>
      <c r="G514" t="str">
        <v>5a2d799d-22a1-4e0a-b029-8031a1df6d56</v>
      </c>
      <c r="H514" t="str">
        <v>9fed28b3-82cf-4afa-8e8d-952adf7a54a5</v>
      </c>
      <c r="I514" t="str">
        <v/>
      </c>
      <c r="L514" t="str">
        <v>C309CB7C-404D-431A-A8FB-29671DCA0C49</v>
      </c>
    </row>
    <row r="515" spans="1:12" x14ac:dyDescent="0.25">
      <c r="A515" t="str">
        <v>7a8b7cb9-8b2a-4f36-8266-3229fc6cdc10</v>
      </c>
      <c r="B515" t="str">
        <v>ba94ed59-522c-4852-994c-130ef7e8cd30</v>
      </c>
      <c r="C515" t="str">
        <v>Ramishvili Toshiba Ventilation Equipment</v>
      </c>
      <c r="D515" t="str">
        <v>FEA4B88F-633F-4422-B3D6-250792A2DA80</v>
      </c>
      <c r="E515" t="str">
        <v>2023-11-01</v>
      </c>
      <c r="F515" s="4">
        <v>45968</v>
      </c>
      <c r="G515" t="str">
        <v>0790fb09-2de6-4ea3-a71c-58a007fc62a8</v>
      </c>
      <c r="H515" t="str">
        <v>9fed28b3-82cf-4afa-8e8d-952adf7a54a5</v>
      </c>
      <c r="I515" t="str">
        <v>1 6 30 2011 13</v>
      </c>
      <c r="L515" t="str">
        <v>C309CB7C-404D-431A-A8FB-29671DCA0C49</v>
      </c>
    </row>
    <row r="516" spans="1:12" x14ac:dyDescent="0.25">
      <c r="A516" t="str">
        <v>85619090-cfc9-414d-b63c-31f431322e8b</v>
      </c>
      <c r="B516" t="str">
        <v>ba94ed59-522c-4852-994c-130ef7e8cd30</v>
      </c>
      <c r="C516" t="str">
        <v>Kvareli Additional VRV Controllers</v>
      </c>
      <c r="D516" t="str">
        <v>FEA4B88F-633F-4422-B3D6-250792A2DA80</v>
      </c>
      <c r="E516" t="str">
        <v>2023-10-04</v>
      </c>
      <c r="F516" s="4">
        <v>15120</v>
      </c>
      <c r="G516" t="str">
        <v>0790fb09-2de6-4ea3-a71c-58a007fc62a8</v>
      </c>
      <c r="H516" t="str">
        <v>9fed28b3-82cf-4afa-8e8d-952adf7a54a5</v>
      </c>
      <c r="I516" t="str">
        <v/>
      </c>
      <c r="L516" t="str">
        <v>C309CB7C-404D-431A-A8FB-29671DCA0C49</v>
      </c>
    </row>
    <row r="517" spans="1:12" x14ac:dyDescent="0.25">
      <c r="A517" t="str">
        <v>c7bf5a1d-f3dc-4d45-a4b3-ae3a08abb27e</v>
      </c>
      <c r="B517" t="str">
        <v>ba94ed59-522c-4852-994c-130ef7e8cd30</v>
      </c>
      <c r="C517" t="str">
        <v>Kvareli Dammaged Indoor 2 Units</v>
      </c>
      <c r="D517" t="str">
        <v>FEA4B88F-633F-4422-B3D6-250792A2DA80</v>
      </c>
      <c r="E517" t="str">
        <v>2023-10-04</v>
      </c>
      <c r="F517" s="4">
        <v>1320</v>
      </c>
      <c r="G517" t="str">
        <v>0790fb09-2de6-4ea3-a71c-58a007fc62a8</v>
      </c>
      <c r="H517" t="str">
        <v>9fed28b3-82cf-4afa-8e8d-952adf7a54a5</v>
      </c>
      <c r="I517" t="str">
        <v/>
      </c>
      <c r="L517" t="str">
        <v>C309CB7C-404D-431A-A8FB-29671DCA0C49</v>
      </c>
    </row>
    <row r="518" spans="1:12" x14ac:dyDescent="0.25">
      <c r="A518" t="str">
        <v>93834e5b-2fd1-4660-a4ca-d1f781b03d90</v>
      </c>
      <c r="B518" t="str">
        <v>BF286322-BCFC-403B-B707-B476132F6DD3</v>
      </c>
      <c r="C518" t="str">
        <v>VRF Service</v>
      </c>
      <c r="D518" t="str">
        <v>B5CAA716-CA9B-47D4-85D4-9954ED4DBAD2</v>
      </c>
      <c r="E518" t="str">
        <v>2023-11-01</v>
      </c>
      <c r="F518" s="4">
        <v>1500</v>
      </c>
      <c r="G518" t="str">
        <v>5a2d799d-22a1-4e0a-b029-8031a1df6d56</v>
      </c>
      <c r="H518" t="str">
        <v>9fed28b3-82cf-4afa-8e8d-952adf7a54a5</v>
      </c>
      <c r="I518" t="str">
        <v>1630 634</v>
      </c>
      <c r="L518" t="str">
        <v>C309CB7C-404D-431A-A8FB-29671DCA0C49</v>
      </c>
    </row>
    <row r="519" spans="1:12" x14ac:dyDescent="0.25">
      <c r="A519" t="str">
        <v>1db66f5a-cd02-4227-8346-8d530e7ddd6b</v>
      </c>
      <c r="B519" t="str">
        <v>79dd9f3e-f8fc-44d0-991d-84b033122a43</v>
      </c>
      <c r="C519" t="str">
        <v>Bagrationi Avenue</v>
      </c>
      <c r="D519" t="str">
        <v>B59170EC-16CC-499A-9FF7-0428DCB8F727</v>
      </c>
      <c r="E519" t="str">
        <v>2023-11-01</v>
      </c>
      <c r="F519" s="4">
        <v>2230000</v>
      </c>
      <c r="G519" t="str">
        <v>0790fb09-2de6-4ea3-a71c-58a007fc62a8</v>
      </c>
      <c r="H519" t="str">
        <v>9fed28b3-82cf-4afa-8e8d-952adf7a54a5</v>
      </c>
      <c r="I519" t="str">
        <v/>
      </c>
      <c r="L519" t="str">
        <v>D239BCA7-C0E0-431B-8055-6778FA312A38</v>
      </c>
    </row>
    <row r="520" spans="1:12" x14ac:dyDescent="0.25">
      <c r="A520" t="str">
        <v>480e736d-51e2-4a6d-86f4-8a71c80dd24d</v>
      </c>
      <c r="B520" t="str">
        <v>4122dbf7-d9ab-4887-8878-b24f2e384d89</v>
      </c>
      <c r="C520" t="str">
        <v>Radisson Batumi Reabilitation</v>
      </c>
      <c r="D520" t="str">
        <v>C491BFF3-6F7B-4412-9DF0-EAED6F3EE238</v>
      </c>
      <c r="E520" t="str">
        <v>2023-10-01</v>
      </c>
      <c r="F520" s="4">
        <v>50000</v>
      </c>
      <c r="G520" t="str">
        <v>0790fb09-2de6-4ea3-a71c-58a007fc62a8</v>
      </c>
      <c r="H520" t="str">
        <v>9fed28b3-82cf-4afa-8e8d-952adf7a54a5</v>
      </c>
      <c r="I520" t="str">
        <v>1 6 30 2307</v>
      </c>
      <c r="L520" t="str">
        <v>4c25a3b7-d112-4c46-aa9a-b2513a44f1b7</v>
      </c>
    </row>
    <row r="521" spans="1:12" x14ac:dyDescent="0.25">
      <c r="A521" t="str">
        <v>cc9b4fb4-2fc0-446f-b08e-95be3e015a3a</v>
      </c>
      <c r="B521" t="str">
        <v>FD75B701-F0B0-4EFD-934E-9BC3480483AE</v>
      </c>
      <c r="C521" t="str">
        <v>B Block Divider Materials</v>
      </c>
      <c r="D521" t="str">
        <v>954A7962-CBD4-4685-8632-CAED15DD0A33</v>
      </c>
      <c r="E521" t="str">
        <v>2023-10-04</v>
      </c>
      <c r="F521" s="4">
        <v>24320</v>
      </c>
      <c r="G521" t="str">
        <v>5a2d799d-22a1-4e0a-b029-8031a1df6d56</v>
      </c>
      <c r="H521" t="str">
        <v>9fed28b3-82cf-4afa-8e8d-952adf7a54a5</v>
      </c>
      <c r="I521" t="str">
        <v/>
      </c>
      <c r="L521" t="str">
        <v>01DFE71D-5350-4A02-ABCD-C6A3C15B94EE</v>
      </c>
    </row>
    <row r="522" spans="1:12" x14ac:dyDescent="0.25">
      <c r="A522" t="str">
        <v>296398f5-32da-48d7-8649-3400d7102186</v>
      </c>
      <c r="B522" t="str">
        <v>28c83760-9609-45b5-ba2b-10af914dc649</v>
      </c>
      <c r="C522" t="str">
        <v>Reinstallation</v>
      </c>
      <c r="D522" t="str">
        <v>B5CAA716-CA9B-47D4-85D4-9954ED4DBAD2</v>
      </c>
      <c r="E522" t="str">
        <v>2023-10-01</v>
      </c>
      <c r="F522" s="4">
        <v>2970</v>
      </c>
      <c r="G522" t="str">
        <v>5a2d799d-22a1-4e0a-b029-8031a1df6d56</v>
      </c>
      <c r="H522" t="str">
        <v>9fed28b3-82cf-4afa-8e8d-952adf7a54a5</v>
      </c>
      <c r="I522" t="str">
        <v/>
      </c>
      <c r="L522" t="str">
        <v/>
      </c>
    </row>
    <row r="523" spans="1:12" x14ac:dyDescent="0.25">
      <c r="A523" t="str">
        <v>2f9e7948-8da7-4630-8e1f-2164cb9dc44f</v>
      </c>
      <c r="B523" t="str">
        <v>726D9023-53A2-435E-8A5B-8BCEA9625E08</v>
      </c>
      <c r="C523" t="str">
        <v>Zurab Margvelashvili</v>
      </c>
      <c r="D523" t="str">
        <v>FEA4B88F-633F-4422-B3D6-250792A2DA80</v>
      </c>
      <c r="E523" t="str">
        <v>2023-11-01</v>
      </c>
      <c r="F523" s="4">
        <v>13310</v>
      </c>
      <c r="G523" t="str">
        <v>0790fb09-2de6-4ea3-a71c-58a007fc62a8</v>
      </c>
      <c r="H523" t="str">
        <v>9fed28b3-82cf-4afa-8e8d-952adf7a54a5</v>
      </c>
      <c r="I523" t="str">
        <v/>
      </c>
      <c r="L523" t="str">
        <v>401318CA-BF39-49C3-9BDC-73836A8F9774</v>
      </c>
    </row>
    <row r="524" spans="1:12" x14ac:dyDescent="0.25">
      <c r="A524" t="str">
        <v>0fd47e4e-273e-460f-8104-df710082a6e3</v>
      </c>
      <c r="B524" t="str">
        <v>7da2982f-8cef-4eb7-ab5d-1b22651ade10</v>
      </c>
      <c r="C524" t="str">
        <v>Khabazi Kobuleti</v>
      </c>
      <c r="D524" t="str">
        <v>B59170EC-16CC-499A-9FF7-0428DCB8F727</v>
      </c>
      <c r="E524" t="str">
        <v>2023-12-04</v>
      </c>
      <c r="F524" s="4">
        <v>29700</v>
      </c>
      <c r="G524" t="str">
        <v>0790fb09-2de6-4ea3-a71c-58a007fc62a8</v>
      </c>
      <c r="H524" t="str">
        <v>9fed28b3-82cf-4afa-8e8d-952adf7a54a5</v>
      </c>
      <c r="I524" t="str">
        <v>1 6 30 2347</v>
      </c>
      <c r="L524" t="str">
        <v>AD901E05-ADD9-42DE-89BA-4D9A21C89BCF</v>
      </c>
    </row>
    <row r="525" spans="1:12" x14ac:dyDescent="0.25">
      <c r="A525" t="str">
        <v>84775209-02e2-47b7-ab93-434105e43323</v>
      </c>
      <c r="B525" t="str">
        <v>ba94ed59-522c-4852-994c-130ef7e8cd30</v>
      </c>
      <c r="C525" t="str">
        <v>Kvareli Sprinklers</v>
      </c>
      <c r="D525" t="str">
        <v>FEA4B88F-633F-4422-B3D6-250792A2DA80</v>
      </c>
      <c r="E525" t="str">
        <v>2023-10-04</v>
      </c>
      <c r="F525" s="4">
        <v>10339</v>
      </c>
      <c r="G525" t="str">
        <v>4cfda3f2-535e-4b77-a467-eac9dc64feca</v>
      </c>
      <c r="H525" t="str">
        <v>9fed28b3-82cf-4afa-8e8d-952adf7a54a5</v>
      </c>
      <c r="I525" t="str">
        <v/>
      </c>
      <c r="L525" t="str">
        <v>C309CB7C-404D-431A-A8FB-29671DCA0C49</v>
      </c>
    </row>
    <row r="526" spans="1:12" x14ac:dyDescent="0.25">
      <c r="A526" t="str">
        <v>39868c8f-40b2-4d1a-9d7b-5c9aa3a74a08</v>
      </c>
      <c r="B526" t="str">
        <v>ba94ed59-522c-4852-994c-130ef7e8cd30</v>
      </c>
      <c r="C526" t="str">
        <v>Kvareli Fire Valve</v>
      </c>
      <c r="D526" t="str">
        <v>FEA4B88F-633F-4422-B3D6-250792A2DA80</v>
      </c>
      <c r="E526" t="str">
        <v>2023-10-04</v>
      </c>
      <c r="F526" s="4">
        <v>1</v>
      </c>
      <c r="G526" t="str">
        <v>4cfda3f2-535e-4b77-a467-eac9dc64feca</v>
      </c>
      <c r="H526" t="str">
        <v>9fed28b3-82cf-4afa-8e8d-952adf7a54a5</v>
      </c>
      <c r="I526" t="str">
        <v/>
      </c>
      <c r="L526" t="str">
        <v>C309CB7C-404D-431A-A8FB-29671DCA0C49</v>
      </c>
    </row>
    <row r="527" spans="1:12" x14ac:dyDescent="0.25">
      <c r="A527" t="str">
        <v>7b52b8fb-689a-4d49-8d34-bc72a92f96e7</v>
      </c>
      <c r="B527" t="str">
        <v>ba94ed59-522c-4852-994c-130ef7e8cd30</v>
      </c>
      <c r="C527" t="str">
        <v>Ramishvili Firefighting</v>
      </c>
      <c r="D527" t="str">
        <v>FEA4B88F-633F-4422-B3D6-250792A2DA80</v>
      </c>
      <c r="E527" t="str">
        <v>2023-12-01</v>
      </c>
      <c r="F527" s="4">
        <v>219593</v>
      </c>
      <c r="G527" t="str">
        <v>0790fb09-2de6-4ea3-a71c-58a007fc62a8</v>
      </c>
      <c r="H527" t="str">
        <v>9fed28b3-82cf-4afa-8e8d-952adf7a54a5</v>
      </c>
      <c r="I527" t="str">
        <v>1 6 30 2011 6</v>
      </c>
      <c r="L527" t="str">
        <v>C309CB7C-404D-431A-A8FB-29671DCA0C49</v>
      </c>
    </row>
    <row r="528" spans="1:12" x14ac:dyDescent="0.25">
      <c r="A528" t="str">
        <v>983d4226-1568-4120-9a00-7ada71216d53</v>
      </c>
      <c r="B528" t="str">
        <v>ba94ed59-522c-4852-994c-130ef7e8cd30</v>
      </c>
      <c r="C528" t="str">
        <v>Ramishvili Ventilation</v>
      </c>
      <c r="D528" t="str">
        <v>FEA4B88F-633F-4422-B3D6-250792A2DA80</v>
      </c>
      <c r="E528" t="str">
        <v>2023-12-01</v>
      </c>
      <c r="F528" s="4">
        <v>183367.5</v>
      </c>
      <c r="G528" t="str">
        <v>0790fb09-2de6-4ea3-a71c-58a007fc62a8</v>
      </c>
      <c r="H528" t="str">
        <v>9fed28b3-82cf-4afa-8e8d-952adf7a54a5</v>
      </c>
      <c r="I528" t="str">
        <v>1 6 30 2011 4</v>
      </c>
      <c r="L528" t="str">
        <v>C309CB7C-404D-431A-A8FB-29671DCA0C49</v>
      </c>
    </row>
    <row r="529" spans="1:12" x14ac:dyDescent="0.25">
      <c r="A529" t="str">
        <v>cbb5c2d7-c64b-42c9-af69-16b45493c0dd</v>
      </c>
      <c r="B529" t="str">
        <v>84fbebbf-ffe3-4de2-b726-6c20f7de3e5e</v>
      </c>
      <c r="C529" t="str">
        <v>VRF Repair</v>
      </c>
      <c r="D529" t="str">
        <v>B5CAA716-CA9B-47D4-85D4-9954ED4DBAD2</v>
      </c>
      <c r="E529" t="str">
        <v>2023-12-07</v>
      </c>
      <c r="F529" s="4">
        <v>1700</v>
      </c>
      <c r="G529" t="str">
        <v>5a2d799d-22a1-4e0a-b029-8031a1df6d56</v>
      </c>
      <c r="H529" t="str">
        <v>9fed28b3-82cf-4afa-8e8d-952adf7a54a5</v>
      </c>
      <c r="I529" t="str">
        <v/>
      </c>
      <c r="L529" t="str">
        <v>C309CB7C-404D-431A-A8FB-29671DCA0C49</v>
      </c>
    </row>
    <row r="530" spans="1:12" x14ac:dyDescent="0.25">
      <c r="A530" t="str">
        <v>9caa02e5-e5ab-4d2d-8e44-d3cafa253c14</v>
      </c>
      <c r="B530" t="str">
        <v>726D9023-53A2-435E-8A5B-8BCEA9625E08</v>
      </c>
      <c r="C530" t="str">
        <v>Saakadze McDonalds Rooftops lounching</v>
      </c>
      <c r="D530" t="str">
        <v>31562B13-85C8-472E-8D02-01D802D635C1</v>
      </c>
      <c r="E530" t="str">
        <v>2023-12-01</v>
      </c>
      <c r="F530" s="4">
        <v>2500</v>
      </c>
      <c r="G530" t="str">
        <v>5a2d799d-22a1-4e0a-b029-8031a1df6d56</v>
      </c>
      <c r="H530" t="str">
        <v>9fed28b3-82cf-4afa-8e8d-952adf7a54a5</v>
      </c>
      <c r="I530" t="str">
        <v/>
      </c>
      <c r="L530" t="str">
        <v>C309CB7C-404D-431A-A8FB-29671DCA0C49</v>
      </c>
    </row>
    <row r="531" spans="1:12" x14ac:dyDescent="0.25">
      <c r="A531" t="str">
        <v>79ec2226-b764-414f-a89b-8b373172eccd</v>
      </c>
      <c r="B531" t="str">
        <v>e2fdc997-fb84-4392-a1c5-6f31e02526f7</v>
      </c>
      <c r="C531" t="str">
        <v>Kuwait Villa</v>
      </c>
      <c r="D531" t="str">
        <v>B59170EC-16CC-499A-9FF7-0428DCB8F727</v>
      </c>
      <c r="E531" t="str">
        <v>2023-10-01</v>
      </c>
      <c r="F531" s="4">
        <v>25990</v>
      </c>
      <c r="G531" t="str">
        <v>0790fb09-2de6-4ea3-a71c-58a007fc62a8</v>
      </c>
      <c r="H531" t="str">
        <v>9fed28b3-82cf-4afa-8e8d-952adf7a54a5</v>
      </c>
      <c r="I531" t="str">
        <v>1 6 30 2322</v>
      </c>
      <c r="L531" t="str">
        <v>A26DCE96-C08F-453E-9E26-10AAF72D142A</v>
      </c>
    </row>
    <row r="532" spans="1:12" x14ac:dyDescent="0.25">
      <c r="A532" t="str">
        <v>f438b982-9914-413c-b500-5c67e2c42ff2</v>
      </c>
      <c r="B532" t="str">
        <v>aa934aac-5710-48b1-9f92-8758072e74af</v>
      </c>
      <c r="C532" t="str">
        <v>Laboratoria</v>
      </c>
      <c r="D532" t="str">
        <v>FEA4B88F-633F-4422-B3D6-250792A2DA80</v>
      </c>
      <c r="E532" t="str">
        <v>2023-06-27</v>
      </c>
      <c r="F532" s="4">
        <v>102052</v>
      </c>
      <c r="G532" t="str">
        <v>0790fb09-2de6-4ea3-a71c-58a007fc62a8</v>
      </c>
      <c r="H532" t="str">
        <v>9fed28b3-82cf-4afa-8e8d-952adf7a54a5</v>
      </c>
      <c r="I532" t="str">
        <v/>
      </c>
      <c r="L532" t="str">
        <v>C309CB7C-404D-431A-A8FB-29671DCA0C49</v>
      </c>
    </row>
    <row r="533" spans="1:12" x14ac:dyDescent="0.25">
      <c r="A533" t="str">
        <v>e2eee0d4-7f27-4681-b208-ed6998ade489</v>
      </c>
      <c r="B533" t="str">
        <v>ada4b871-9f07-4e9c-9745-637ba83cab2f</v>
      </c>
      <c r="C533" t="str">
        <v>Laboratoria2</v>
      </c>
      <c r="D533" t="str">
        <v>FEA4B88F-633F-4422-B3D6-250792A2DA80</v>
      </c>
      <c r="E533" t="str">
        <v>2023-04-12</v>
      </c>
      <c r="F533" s="4">
        <v>79428</v>
      </c>
      <c r="G533" t="str">
        <v>0790fb09-2de6-4ea3-a71c-58a007fc62a8</v>
      </c>
      <c r="H533" t="str">
        <v>9fed28b3-82cf-4afa-8e8d-952adf7a54a5</v>
      </c>
      <c r="I533" t="str">
        <v/>
      </c>
      <c r="L533" t="str">
        <v>C309CB7C-404D-431A-A8FB-29671DCA0C49</v>
      </c>
    </row>
    <row r="534" spans="1:12" x14ac:dyDescent="0.25">
      <c r="A534" t="str">
        <v>b56a9f5c-9602-4b8f-81a8-9d7a45cfd0bc</v>
      </c>
      <c r="B534" t="str">
        <v>4437EBC3-984C-475E-84DF-3153C2A50708</v>
      </c>
      <c r="C534" t="str">
        <v>Kaklebi</v>
      </c>
      <c r="D534" t="str">
        <v>B59170EC-16CC-499A-9FF7-0428DCB8F727</v>
      </c>
      <c r="E534" t="str">
        <v>2023-04-03</v>
      </c>
      <c r="F534" s="4">
        <v>27000</v>
      </c>
      <c r="G534" t="str">
        <v>0790fb09-2de6-4ea3-a71c-58a007fc62a8</v>
      </c>
      <c r="H534" t="str">
        <v>9fed28b3-82cf-4afa-8e8d-952adf7a54a5</v>
      </c>
      <c r="I534" t="str">
        <v>1 6 30 1522</v>
      </c>
      <c r="L534" t="str">
        <v/>
      </c>
    </row>
    <row r="535" spans="1:12" x14ac:dyDescent="0.25">
      <c r="A535" t="str">
        <v>e8a6e825-a7af-4503-ab81-fa285d3ac8d3</v>
      </c>
      <c r="B535" t="str">
        <v>4437EBC3-984C-475E-84DF-3153C2A50708</v>
      </c>
      <c r="C535" t="str">
        <v>Kaklebi</v>
      </c>
      <c r="D535" t="str">
        <v>12238130-9D12-4099-A48B-9EB5A085E0F8</v>
      </c>
      <c r="E535" t="str">
        <v>2023-11-29</v>
      </c>
      <c r="F535" s="4">
        <v>100</v>
      </c>
      <c r="G535" t="str">
        <v>0790fb09-2de6-4ea3-a71c-58a007fc62a8</v>
      </c>
      <c r="H535" t="str">
        <v>9fed28b3-82cf-4afa-8e8d-952adf7a54a5</v>
      </c>
      <c r="I535" t="str">
        <v/>
      </c>
      <c r="L535" t="str">
        <v/>
      </c>
    </row>
    <row r="536" spans="1:12" x14ac:dyDescent="0.25">
      <c r="A536" t="str">
        <v>40514d95-7eb9-485c-8d7b-66063e9fa051</v>
      </c>
      <c r="B536" t="str">
        <v>6db1636b-2fd7-4d19-886e-7f4fdecc76fd</v>
      </c>
      <c r="C536" t="str">
        <v>Pirosmani King Solomon</v>
      </c>
      <c r="D536" t="str">
        <v>12238130-9D12-4099-A48B-9EB5A085E0F8</v>
      </c>
      <c r="E536" t="str">
        <v>2023-06-16</v>
      </c>
      <c r="F536" s="4">
        <v>300</v>
      </c>
      <c r="G536" t="str">
        <v>0790fb09-2de6-4ea3-a71c-58a007fc62a8</v>
      </c>
      <c r="H536" t="str">
        <v>9fed28b3-82cf-4afa-8e8d-952adf7a54a5</v>
      </c>
      <c r="I536" t="str">
        <v/>
      </c>
      <c r="L536" t="str">
        <v/>
      </c>
    </row>
    <row r="537" spans="1:12" x14ac:dyDescent="0.25">
      <c r="A537" t="str">
        <v>96ea85b6-ed1c-4a7f-9207-0f2adca47803</v>
      </c>
      <c r="B537" t="str">
        <v>7F4998D7-42F1-45ED-9C10-DE5599AB161A</v>
      </c>
      <c r="C537" t="str">
        <v>Sunrise Shartava</v>
      </c>
      <c r="D537" t="str">
        <v>12238130-9D12-4099-A48B-9EB5A085E0F8</v>
      </c>
      <c r="E537" t="str">
        <v>2023-10-01</v>
      </c>
      <c r="F537" s="4">
        <v>600</v>
      </c>
      <c r="G537" t="str">
        <v>0790fb09-2de6-4ea3-a71c-58a007fc62a8</v>
      </c>
      <c r="H537" t="str">
        <v>9fed28b3-82cf-4afa-8e8d-952adf7a54a5</v>
      </c>
      <c r="I537" t="str">
        <v>1 6 30 1514</v>
      </c>
      <c r="L537" t="str">
        <v/>
      </c>
    </row>
    <row r="538" spans="1:12" x14ac:dyDescent="0.25">
      <c r="A538" t="str">
        <v>dbacb19b-c9f3-43d5-b317-3aacc1ccaeac</v>
      </c>
      <c r="B538" t="str">
        <v>3ae947be-c7e8-4c9b-a3f7-202f90d8534c</v>
      </c>
      <c r="C538" t="str">
        <v>Parnavaz Mepis 26</v>
      </c>
      <c r="D538" t="str">
        <v>12238130-9D12-4099-A48B-9EB5A085E0F8</v>
      </c>
      <c r="E538" t="str">
        <v>2023-08-01</v>
      </c>
      <c r="F538" s="4">
        <v>300</v>
      </c>
      <c r="G538" t="str">
        <v>0790fb09-2de6-4ea3-a71c-58a007fc62a8</v>
      </c>
      <c r="H538" t="str">
        <v>9fed28b3-82cf-4afa-8e8d-952adf7a54a5</v>
      </c>
      <c r="I538" t="str">
        <v/>
      </c>
      <c r="L538" t="str">
        <v/>
      </c>
    </row>
    <row r="539" spans="1:12" x14ac:dyDescent="0.25">
      <c r="A539" t="str">
        <v>a9f12776-d4df-490f-9568-76a563f60b71</v>
      </c>
      <c r="B539" t="str">
        <v>14F0723B-2DFE-490E-80A0-15A1B4545C49</v>
      </c>
      <c r="C539" t="str">
        <v>Aleqseevka</v>
      </c>
      <c r="D539" t="str">
        <v>12238130-9D12-4099-A48B-9EB5A085E0F8</v>
      </c>
      <c r="E539" t="str">
        <v>2023-09-01</v>
      </c>
      <c r="F539" s="4">
        <v>300</v>
      </c>
      <c r="G539" t="str">
        <v>5a2d799d-22a1-4e0a-b029-8031a1df6d56</v>
      </c>
      <c r="H539" t="str">
        <v>9fed28b3-82cf-4afa-8e8d-952adf7a54a5</v>
      </c>
      <c r="I539" t="str">
        <v/>
      </c>
      <c r="L539" t="str">
        <v/>
      </c>
    </row>
    <row r="540" spans="1:12" x14ac:dyDescent="0.25">
      <c r="A540" t="str">
        <v>2421757e-72bb-4e3c-91e5-45543eb1955e</v>
      </c>
      <c r="B540" t="str">
        <v>25CECFAB-615A-4A1E-AC57-B18B8A92799B</v>
      </c>
      <c r="C540" t="str">
        <v>Arqi mindeli</v>
      </c>
      <c r="D540" t="str">
        <v>12238130-9D12-4099-A48B-9EB5A085E0F8</v>
      </c>
      <c r="E540" t="str">
        <v>2021-12-01</v>
      </c>
      <c r="F540" s="4">
        <v>100</v>
      </c>
      <c r="G540" t="str">
        <v>0790fb09-2de6-4ea3-a71c-58a007fc62a8</v>
      </c>
      <c r="H540" t="str">
        <v>9fed28b3-82cf-4afa-8e8d-952adf7a54a5</v>
      </c>
      <c r="I540" t="str">
        <v/>
      </c>
      <c r="L540" t="str">
        <v/>
      </c>
    </row>
    <row r="541" spans="1:12" x14ac:dyDescent="0.25">
      <c r="A541" t="str">
        <v>0381a5c5-6a6d-4390-ab1e-6cebc3fa3a63</v>
      </c>
      <c r="B541" t="str">
        <v>f0e74704-bbe8-4b66-ab47-e463d9818101</v>
      </c>
      <c r="C541" t="str">
        <v>Marriots</v>
      </c>
      <c r="D541" t="str">
        <v>12238130-9D12-4099-A48B-9EB5A085E0F8</v>
      </c>
      <c r="E541" t="str">
        <v>2024-01-01</v>
      </c>
      <c r="F541" s="4">
        <v>300</v>
      </c>
      <c r="G541" t="str">
        <v>0790fb09-2de6-4ea3-a71c-58a007fc62a8</v>
      </c>
      <c r="H541" t="str">
        <v>9fed28b3-82cf-4afa-8e8d-952adf7a54a5</v>
      </c>
      <c r="I541" t="str">
        <v/>
      </c>
      <c r="L541" t="str">
        <v/>
      </c>
    </row>
    <row r="542" spans="1:12" x14ac:dyDescent="0.25">
      <c r="A542" t="str">
        <v>66f718a2-359b-4815-a3ab-19c0ca474a03</v>
      </c>
      <c r="B542" t="str">
        <v>67db0446-9f2c-4963-99f1-7b3593938048</v>
      </c>
      <c r="C542" t="str">
        <v>Akhvlediani 22</v>
      </c>
      <c r="D542" t="str">
        <v>12238130-9D12-4099-A48B-9EB5A085E0F8</v>
      </c>
      <c r="E542" t="str">
        <v>2022-10-01</v>
      </c>
      <c r="F542" s="4">
        <v>400</v>
      </c>
      <c r="G542" t="str">
        <v>0790fb09-2de6-4ea3-a71c-58a007fc62a8</v>
      </c>
      <c r="H542" t="str">
        <v>9fed28b3-82cf-4afa-8e8d-952adf7a54a5</v>
      </c>
      <c r="I542" t="str">
        <v/>
      </c>
      <c r="L542" t="str">
        <v/>
      </c>
    </row>
    <row r="543" spans="1:12" x14ac:dyDescent="0.25">
      <c r="A543" t="str">
        <v>43511dc2-5ae3-4d82-8fd5-5e36b2761788</v>
      </c>
      <c r="B543" t="str">
        <v>a1a33d48-00a5-47eb-b6d2-e2a4ba886b04</v>
      </c>
      <c r="C543" t="str">
        <v>Varazis 42</v>
      </c>
      <c r="D543" t="str">
        <v>12238130-9D12-4099-A48B-9EB5A085E0F8</v>
      </c>
      <c r="E543" t="str">
        <v>2023-12-06</v>
      </c>
      <c r="F543" s="4">
        <v>100</v>
      </c>
      <c r="G543" t="str">
        <v>0790fb09-2de6-4ea3-a71c-58a007fc62a8</v>
      </c>
      <c r="H543" t="str">
        <v>9fed28b3-82cf-4afa-8e8d-952adf7a54a5</v>
      </c>
      <c r="I543" t="str">
        <v/>
      </c>
      <c r="L543" t="str">
        <v/>
      </c>
    </row>
    <row r="544" spans="1:12" x14ac:dyDescent="0.25">
      <c r="A544" t="str">
        <v>5c0ef5f8-b269-4f4d-a28a-7b7ffe944582</v>
      </c>
      <c r="B544" t="str">
        <v>c6fd871b-6503-4016-a944-8d66e0c0b2b9</v>
      </c>
      <c r="C544" t="str">
        <v>Tskneti 51</v>
      </c>
      <c r="D544" t="str">
        <v>12238130-9D12-4099-A48B-9EB5A085E0F8</v>
      </c>
      <c r="E544" t="str">
        <v>2023-05-01</v>
      </c>
      <c r="F544" s="4">
        <v>600</v>
      </c>
      <c r="G544" t="str">
        <v>5a2d799d-22a1-4e0a-b029-8031a1df6d56</v>
      </c>
      <c r="H544" t="str">
        <v>9fed28b3-82cf-4afa-8e8d-952adf7a54a5</v>
      </c>
      <c r="I544" t="str">
        <v>1631 2200</v>
      </c>
      <c r="L544" t="str">
        <v/>
      </c>
    </row>
    <row r="545" spans="1:12" x14ac:dyDescent="0.25">
      <c r="A545" t="str">
        <v>164ed54b-7598-4abe-879d-57ca8606f224</v>
      </c>
      <c r="B545" t="str">
        <v>2359c3bf-5b5c-47e8-af26-6afb7fcfdcc4</v>
      </c>
      <c r="C545" t="str">
        <v>Okroyana</v>
      </c>
      <c r="D545" t="str">
        <v>12238130-9D12-4099-A48B-9EB5A085E0F8</v>
      </c>
      <c r="E545" t="str">
        <v>2023-09-01</v>
      </c>
      <c r="F545" s="4">
        <v>200</v>
      </c>
      <c r="G545" t="str">
        <v>5a2d799d-22a1-4e0a-b029-8031a1df6d56</v>
      </c>
      <c r="H545" t="str">
        <v>9fed28b3-82cf-4afa-8e8d-952adf7a54a5</v>
      </c>
      <c r="I545" t="str">
        <v/>
      </c>
      <c r="L545" t="str">
        <v/>
      </c>
    </row>
    <row r="546" spans="1:12" x14ac:dyDescent="0.25">
      <c r="A546" t="str">
        <v>3b17cc5c-76ef-4e87-af6f-ea83aed78933</v>
      </c>
      <c r="B546" t="str">
        <v>D3053038-D0EF-4A29-A967-019DA8E78E0E</v>
      </c>
      <c r="C546" t="str">
        <v>mms group poti</v>
      </c>
      <c r="D546" t="str">
        <v>B59170EC-16CC-499A-9FF7-0428DCB8F727</v>
      </c>
      <c r="E546" t="str">
        <v>2023-08-02</v>
      </c>
      <c r="F546" s="4">
        <v>22830</v>
      </c>
      <c r="G546" t="str">
        <v>0790fb09-2de6-4ea3-a71c-58a007fc62a8</v>
      </c>
      <c r="H546" t="str">
        <v>9fed28b3-82cf-4afa-8e8d-952adf7a54a5</v>
      </c>
      <c r="I546" t="str">
        <v>1 6 30 959</v>
      </c>
      <c r="L546" t="str">
        <v/>
      </c>
    </row>
    <row r="547" spans="1:12" x14ac:dyDescent="0.25">
      <c r="A547" t="str">
        <v>d0612a34-384f-4c73-92eb-c87f1c9ec412</v>
      </c>
      <c r="B547" t="str">
        <v>43EABC78-AF64-4C14-9FEF-C7E6A1B6F07E</v>
      </c>
      <c r="C547" t="str">
        <v>Kvareli Residence</v>
      </c>
      <c r="D547" t="str">
        <v>B59170EC-16CC-499A-9FF7-0428DCB8F727</v>
      </c>
      <c r="E547" t="str">
        <v>2023-12-01</v>
      </c>
      <c r="F547" s="4">
        <v>2000</v>
      </c>
      <c r="G547" t="str">
        <v>0790fb09-2de6-4ea3-a71c-58a007fc62a8</v>
      </c>
      <c r="H547" t="str">
        <v>9fed28b3-82cf-4afa-8e8d-952adf7a54a5</v>
      </c>
      <c r="I547" t="str">
        <v>1 6 30 1148</v>
      </c>
      <c r="L547" t="str">
        <v/>
      </c>
    </row>
    <row r="548" spans="1:12" x14ac:dyDescent="0.25">
      <c r="A548" t="str">
        <v>f38187c6-ded0-4c0b-a01c-7b024ab809fb</v>
      </c>
      <c r="B548" t="str">
        <v>7DDF7E55-92EE-4E47-9E16-F1D4D3FABF60</v>
      </c>
      <c r="C548" t="str">
        <v>Refugee Tbilisi</v>
      </c>
      <c r="D548" t="str">
        <v>B59170EC-16CC-499A-9FF7-0428DCB8F727</v>
      </c>
      <c r="E548" t="str">
        <v>2023-12-01</v>
      </c>
      <c r="F548" s="4">
        <v>616940</v>
      </c>
      <c r="G548" t="str">
        <v>0790fb09-2de6-4ea3-a71c-58a007fc62a8</v>
      </c>
      <c r="H548" t="str">
        <v>9fed28b3-82cf-4afa-8e8d-952adf7a54a5</v>
      </c>
      <c r="I548" t="str">
        <v>1 6 30 1132 7</v>
      </c>
      <c r="L548" t="str">
        <v/>
      </c>
    </row>
    <row r="549" spans="1:12" x14ac:dyDescent="0.25">
      <c r="A549" t="str">
        <v>a959679b-542c-4b5b-abc6-9363ae3ca772</v>
      </c>
      <c r="B549" t="str">
        <v>726D9023-53A2-435E-8A5B-8BCEA9625E08</v>
      </c>
      <c r="C549" t="str">
        <v>GRG VRF Lounching abashidze</v>
      </c>
      <c r="D549" t="str">
        <v>B5CAA716-CA9B-47D4-85D4-9954ED4DBAD2</v>
      </c>
      <c r="E549" t="str">
        <v>2023-12-26</v>
      </c>
      <c r="F549" s="4">
        <v>1600</v>
      </c>
      <c r="G549" t="str">
        <v>5a2d799d-22a1-4e0a-b029-8031a1df6d56</v>
      </c>
      <c r="H549" t="str">
        <v>9fed28b3-82cf-4afa-8e8d-952adf7a54a5</v>
      </c>
      <c r="I549" t="str">
        <v/>
      </c>
      <c r="L549" t="str">
        <v>C309CB7C-404D-431A-A8FB-29671DCA0C49</v>
      </c>
    </row>
    <row r="550" spans="1:12" x14ac:dyDescent="0.25">
      <c r="A550" t="str">
        <v>fa5c2cb3-0a40-41c0-b49f-1d53a4e467f8</v>
      </c>
      <c r="B550" t="str">
        <v>F7F095B6-FE57-40F1-97A5-BDD67B1849A7</v>
      </c>
      <c r="C550" t="str">
        <v>VRV Service</v>
      </c>
      <c r="D550" t="str">
        <v>31562B13-85C8-472E-8D02-01D802D635C1</v>
      </c>
      <c r="E550" t="str">
        <v>2023-12-26</v>
      </c>
      <c r="F550" s="4">
        <v>2800</v>
      </c>
      <c r="G550" t="str">
        <v>0790fb09-2de6-4ea3-a71c-58a007fc62a8</v>
      </c>
      <c r="H550" t="str">
        <v>9fed28b3-82cf-4afa-8e8d-952adf7a54a5</v>
      </c>
      <c r="I550" t="str">
        <v/>
      </c>
      <c r="L550" t="str">
        <v>C309CB7C-404D-431A-A8FB-29671DCA0C49</v>
      </c>
    </row>
    <row r="551" spans="1:12" x14ac:dyDescent="0.25">
      <c r="A551" t="str">
        <v>8ef98bb4-46de-465f-8e8d-0451b1364872</v>
      </c>
      <c r="B551" t="str">
        <v>30D1E20E-3889-4EAC-883A-6509ABFFA5D7</v>
      </c>
      <c r="C551" t="str">
        <v>PCB</v>
      </c>
      <c r="D551" t="str">
        <v>C491BFF3-6F7B-4412-9DF0-EAED6F3EE238</v>
      </c>
      <c r="E551" t="str">
        <v>2023-12-01</v>
      </c>
      <c r="F551" s="4">
        <v>675</v>
      </c>
      <c r="G551" t="str">
        <v>0790fb09-2de6-4ea3-a71c-58a007fc62a8</v>
      </c>
      <c r="H551" t="str">
        <v>9fed28b3-82cf-4afa-8e8d-952adf7a54a5</v>
      </c>
      <c r="I551" t="str">
        <v/>
      </c>
      <c r="L551" t="str">
        <v>fd6be193-fd0d-47e3-96b1-e5a6e1948c27</v>
      </c>
    </row>
    <row r="552" spans="1:12" x14ac:dyDescent="0.25">
      <c r="A552" t="str">
        <v>6b931bff-bc20-4d76-967e-e24a2efc8d28</v>
      </c>
      <c r="B552" t="str">
        <v>5569F396-B588-4816-B115-348127388797</v>
      </c>
      <c r="C552" t="str">
        <v>PCB</v>
      </c>
      <c r="D552" t="str">
        <v>C491BFF3-6F7B-4412-9DF0-EAED6F3EE238</v>
      </c>
      <c r="E552" t="str">
        <v>2023-12-01</v>
      </c>
      <c r="F552" s="4">
        <v>1000</v>
      </c>
      <c r="G552" t="str">
        <v>0790fb09-2de6-4ea3-a71c-58a007fc62a8</v>
      </c>
      <c r="H552" t="str">
        <v>9fed28b3-82cf-4afa-8e8d-952adf7a54a5</v>
      </c>
      <c r="I552" t="str">
        <v/>
      </c>
      <c r="L552" t="str">
        <v>fd6be193-fd0d-47e3-96b1-e5a6e1948c27</v>
      </c>
    </row>
    <row r="553" spans="1:12" x14ac:dyDescent="0.25">
      <c r="A553" t="str">
        <v>604444b8-4c21-428f-944a-402d544fee8c</v>
      </c>
      <c r="B553" t="str">
        <v>3D0B2E19-A7F7-45A1-A329-05C7D5F99C8A</v>
      </c>
      <c r="C553" t="str">
        <v>Central Thermal Curtains</v>
      </c>
      <c r="D553" t="str">
        <v>FEA4B88F-633F-4422-B3D6-250792A2DA80</v>
      </c>
      <c r="E553" t="str">
        <v>2023-12-26</v>
      </c>
      <c r="F553" s="4">
        <v>9332.6</v>
      </c>
      <c r="G553" t="str">
        <v>5a2d799d-22a1-4e0a-b029-8031a1df6d56</v>
      </c>
      <c r="H553" t="str">
        <v>9fed28b3-82cf-4afa-8e8d-952adf7a54a5</v>
      </c>
      <c r="I553" t="str">
        <v/>
      </c>
      <c r="L553" t="str">
        <v>C309CB7C-404D-431A-A8FB-29671DCA0C49</v>
      </c>
    </row>
    <row r="554" spans="1:12" x14ac:dyDescent="0.25">
      <c r="A554" t="str">
        <v>07066b48-2e48-40b9-954f-8c7b665da5bd</v>
      </c>
      <c r="B554" t="str">
        <v>ba94ed59-522c-4852-994c-130ef7e8cd30</v>
      </c>
      <c r="C554" t="str">
        <v>Kvareli 3 units PFD Box</v>
      </c>
      <c r="D554" t="str">
        <v>FEA4B88F-633F-4422-B3D6-250792A2DA80</v>
      </c>
      <c r="E554" t="str">
        <v>2024-01-18</v>
      </c>
      <c r="F554" s="4">
        <v>1875</v>
      </c>
      <c r="G554" t="str">
        <v>0790fb09-2de6-4ea3-a71c-58a007fc62a8</v>
      </c>
      <c r="H554" t="str">
        <v>9fed28b3-82cf-4afa-8e8d-952adf7a54a5</v>
      </c>
      <c r="I554" t="str">
        <v/>
      </c>
      <c r="L554" t="str">
        <v>C309CB7C-404D-431A-A8FB-29671DCA0C49</v>
      </c>
    </row>
    <row r="555" spans="1:12" x14ac:dyDescent="0.25">
      <c r="A555" t="str">
        <v>bb30cf11-f2b7-4538-b4ae-4e6b2d3e152f</v>
      </c>
      <c r="B555" t="str">
        <v>ba94ed59-522c-4852-994c-130ef7e8cd30</v>
      </c>
      <c r="C555" t="str">
        <v>Ramishvili Toshiba Installation Materials</v>
      </c>
      <c r="D555" t="str">
        <v>FEA4B88F-633F-4422-B3D6-250792A2DA80</v>
      </c>
      <c r="E555" t="str">
        <v>2024-01-18</v>
      </c>
      <c r="F555" s="4">
        <v>26817</v>
      </c>
      <c r="G555" t="str">
        <v>5a2d799d-22a1-4e0a-b029-8031a1df6d56</v>
      </c>
      <c r="H555" t="str">
        <v>9fed28b3-82cf-4afa-8e8d-952adf7a54a5</v>
      </c>
      <c r="I555" t="str">
        <v/>
      </c>
      <c r="L555" t="str">
        <v>C309CB7C-404D-431A-A8FB-29671DCA0C49</v>
      </c>
    </row>
    <row r="556" spans="1:12" x14ac:dyDescent="0.25">
      <c r="A556" t="str">
        <v>49abdf1f-68e9-42f1-ab2d-8bc5c3a6fd07</v>
      </c>
      <c r="B556" t="str">
        <v>ccabf454-5bc9-4a0f-a645-c4107db2dd65</v>
      </c>
      <c r="C556" t="str">
        <v>MTZ</v>
      </c>
      <c r="D556" t="str">
        <v>B59170EC-16CC-499A-9FF7-0428DCB8F727</v>
      </c>
      <c r="E556" t="str">
        <v>2023-10-01</v>
      </c>
      <c r="F556" s="4">
        <v>323200</v>
      </c>
      <c r="G556" t="str">
        <v>0790fb09-2de6-4ea3-a71c-58a007fc62a8</v>
      </c>
      <c r="H556" t="str">
        <v>9fed28b3-82cf-4afa-8e8d-952adf7a54a5</v>
      </c>
      <c r="I556" t="str">
        <v>1 6 30 2487</v>
      </c>
      <c r="L556" t="str">
        <v/>
      </c>
    </row>
    <row r="557" spans="1:12" x14ac:dyDescent="0.25">
      <c r="A557" t="str">
        <v>a7380446-a51d-44c2-abf1-0d3a9899d3a2</v>
      </c>
      <c r="B557" t="str">
        <v>70db2095-a71a-4737-90f8-20712f6b22fe</v>
      </c>
      <c r="C557" t="str">
        <v>Roomix Tsintsadze</v>
      </c>
      <c r="D557" t="str">
        <v>B59170EC-16CC-499A-9FF7-0428DCB8F727</v>
      </c>
      <c r="E557" t="str">
        <v>2024-02-05</v>
      </c>
      <c r="F557" s="4">
        <v>200000</v>
      </c>
      <c r="G557" t="str">
        <v>0790fb09-2de6-4ea3-a71c-58a007fc62a8</v>
      </c>
      <c r="H557" t="str">
        <v>9fed28b3-82cf-4afa-8e8d-952adf7a54a5</v>
      </c>
      <c r="I557" t="str">
        <v/>
      </c>
      <c r="L557" t="str">
        <v>4c25a3b7-d112-4c46-aa9a-b2513a44f1b7</v>
      </c>
    </row>
    <row r="558" spans="1:12" x14ac:dyDescent="0.25">
      <c r="A558" t="str">
        <v>28f6d5e5-fb67-45f8-b809-5cfd36f97a16</v>
      </c>
      <c r="B558" t="str">
        <v>a69d3dd6-7d2b-487f-89bd-41cd390d4f92</v>
      </c>
      <c r="C558" t="str">
        <v>MHI KZ 1</v>
      </c>
      <c r="D558" t="str">
        <v>FEA4B88F-633F-4422-B3D6-250792A2DA80</v>
      </c>
      <c r="E558" t="str">
        <v>2024-02-12</v>
      </c>
      <c r="F558" s="4">
        <v>118273.05</v>
      </c>
      <c r="G558" t="str">
        <v>0790fb09-2de6-4ea3-a71c-58a007fc62a8</v>
      </c>
      <c r="H558" t="str">
        <v>9fed28b3-82cf-4afa-8e8d-952adf7a54a5</v>
      </c>
      <c r="I558" t="str">
        <v/>
      </c>
      <c r="L558" t="str">
        <v/>
      </c>
    </row>
    <row r="559" spans="1:12" x14ac:dyDescent="0.25">
      <c r="A559" t="str">
        <v>e8770a08-9484-4394-9de3-e3935258b642</v>
      </c>
      <c r="B559" t="str">
        <v>43EABC78-AF64-4C14-9FEF-C7E6A1B6F07E</v>
      </c>
      <c r="C559" t="str">
        <v>Basis Bank</v>
      </c>
      <c r="D559" t="str">
        <v>B59170EC-16CC-499A-9FF7-0428DCB8F727</v>
      </c>
      <c r="E559" t="str">
        <v>2024-02-01</v>
      </c>
      <c r="F559" s="4">
        <v>5000</v>
      </c>
      <c r="G559" t="str">
        <v>0790fb09-2de6-4ea3-a71c-58a007fc62a8</v>
      </c>
      <c r="H559" t="str">
        <v>9fed28b3-82cf-4afa-8e8d-952adf7a54a5</v>
      </c>
      <c r="I559" t="str">
        <v>1 6 30 1148</v>
      </c>
      <c r="L559" t="str">
        <v/>
      </c>
    </row>
    <row r="560" spans="1:12" x14ac:dyDescent="0.25">
      <c r="A560" t="str">
        <v>6e5808e2-a29e-4464-81e9-2e3d666a15d3</v>
      </c>
      <c r="B560" t="str">
        <v>726D9023-53A2-435E-8A5B-8BCEA9625E08</v>
      </c>
      <c r="C560" t="str">
        <v>European School</v>
      </c>
      <c r="D560" t="str">
        <v>B59170EC-16CC-499A-9FF7-0428DCB8F727</v>
      </c>
      <c r="E560" t="str">
        <v>2024-02-01</v>
      </c>
      <c r="F560" s="4">
        <v>200000</v>
      </c>
      <c r="G560" t="str">
        <v>0790fb09-2de6-4ea3-a71c-58a007fc62a8</v>
      </c>
      <c r="H560" t="str">
        <v>9fed28b3-82cf-4afa-8e8d-952adf7a54a5</v>
      </c>
      <c r="I560" t="str">
        <v/>
      </c>
      <c r="L560" t="str">
        <v/>
      </c>
    </row>
    <row r="561" spans="1:12" x14ac:dyDescent="0.25">
      <c r="A561" t="str">
        <v>4df01905-84ef-4091-8953-a22ae03f9ce6</v>
      </c>
      <c r="B561" t="str">
        <v>E284E0FD-A2B7-4D93-8E91-006FF0A8A4CE</v>
      </c>
      <c r="C561" t="str">
        <v>Tbilisi Office</v>
      </c>
      <c r="D561" t="str">
        <v>B59170EC-16CC-499A-9FF7-0428DCB8F727</v>
      </c>
      <c r="E561" t="str">
        <v>2024-11-29</v>
      </c>
      <c r="F561" s="4">
        <v>25910</v>
      </c>
      <c r="G561" t="str">
        <v>0790fb09-2de6-4ea3-a71c-58a007fc62a8</v>
      </c>
      <c r="H561" t="str">
        <v>9fed28b3-82cf-4afa-8e8d-952adf7a54a5</v>
      </c>
      <c r="I561" t="str">
        <v/>
      </c>
      <c r="L561" t="str">
        <v/>
      </c>
    </row>
    <row r="562" spans="1:12" x14ac:dyDescent="0.25">
      <c r="A562" t="str">
        <v>7887aca3-740d-4e53-9411-ba8242f5967c</v>
      </c>
      <c r="B562" t="str">
        <v>c0b77bb7-83ab-4024-9056-742018da5474</v>
      </c>
      <c r="C562" t="str">
        <v>Rehab Sewage Materials</v>
      </c>
      <c r="D562" t="str">
        <v>FEA4B88F-633F-4422-B3D6-250792A2DA80</v>
      </c>
      <c r="E562" t="str">
        <v>2023-10-01</v>
      </c>
      <c r="F562" s="4">
        <v>122329.89</v>
      </c>
      <c r="G562" t="str">
        <v>5a2d799d-22a1-4e0a-b029-8031a1df6d56</v>
      </c>
      <c r="H562" t="str">
        <v>9fed28b3-82cf-4afa-8e8d-952adf7a54a5</v>
      </c>
      <c r="I562" t="str">
        <v>1 6 30 2223 3</v>
      </c>
      <c r="L562" t="str">
        <v>C309CB7C-404D-431A-A8FB-29671DCA0C49</v>
      </c>
    </row>
    <row r="563" spans="1:12" x14ac:dyDescent="0.25">
      <c r="A563" t="str">
        <v>f177879d-9632-4101-a3b1-c6803f0916ca</v>
      </c>
      <c r="B563" t="str">
        <v>726D9023-53A2-435E-8A5B-8BCEA9625E08</v>
      </c>
      <c r="C563" t="str">
        <v>Marjanishvili McDonalds rooftop lounch</v>
      </c>
      <c r="D563" t="str">
        <v>B5CAA716-CA9B-47D4-85D4-9954ED4DBAD2</v>
      </c>
      <c r="E563" t="str">
        <v>2024-02-01</v>
      </c>
      <c r="F563" s="4">
        <v>1250</v>
      </c>
      <c r="G563" t="str">
        <v>5a2d799d-22a1-4e0a-b029-8031a1df6d56</v>
      </c>
      <c r="H563" t="str">
        <v>9fed28b3-82cf-4afa-8e8d-952adf7a54a5</v>
      </c>
      <c r="I563" t="str">
        <v/>
      </c>
      <c r="L563" t="str">
        <v/>
      </c>
    </row>
    <row r="564" spans="1:12" x14ac:dyDescent="0.25">
      <c r="A564" t="str">
        <v>ded3025d-334a-4727-976f-86da84c255b3</v>
      </c>
      <c r="B564" t="str">
        <v>c0b77bb7-83ab-4024-9056-742018da5474</v>
      </c>
      <c r="C564" t="str">
        <v>Rehab Elevator Service</v>
      </c>
      <c r="D564" t="str">
        <v>12238130-9D12-4099-A48B-9EB5A085E0F8</v>
      </c>
      <c r="E564" t="str">
        <v>2024-02-05</v>
      </c>
      <c r="F564" s="4">
        <v>300</v>
      </c>
      <c r="G564" t="str">
        <v>5a2d799d-22a1-4e0a-b029-8031a1df6d56</v>
      </c>
      <c r="H564" t="str">
        <v>9fed28b3-82cf-4afa-8e8d-952adf7a54a5</v>
      </c>
      <c r="I564" t="str">
        <v>1 6 31 2223</v>
      </c>
      <c r="L564" t="str">
        <v>fd6be193-fd0d-47e3-96b1-e5a6e1948c27</v>
      </c>
    </row>
    <row r="565" spans="1:12" x14ac:dyDescent="0.25">
      <c r="A565" t="str">
        <v>718513f9-2755-4018-830d-913ed00cc4ed</v>
      </c>
      <c r="B565" t="str">
        <v>4ff0f14c-18c2-4c6e-bbd4-433567fb5d13</v>
      </c>
      <c r="C565" t="str">
        <v>Mardi Hills</v>
      </c>
      <c r="D565" t="str">
        <v>B59170EC-16CC-499A-9FF7-0428DCB8F727</v>
      </c>
      <c r="E565" t="str">
        <v>2024-02-21</v>
      </c>
      <c r="F565" s="4">
        <v>130000</v>
      </c>
      <c r="G565" t="str">
        <v>0790fb09-2de6-4ea3-a71c-58a007fc62a8</v>
      </c>
      <c r="H565" t="str">
        <v>9fed28b3-82cf-4afa-8e8d-952adf7a54a5</v>
      </c>
      <c r="I565" t="str">
        <v>1 6 30 2433</v>
      </c>
      <c r="L565" t="str">
        <v>4c25a3b7-d112-4c46-aa9a-b2513a44f1b7</v>
      </c>
    </row>
    <row r="566" spans="1:12" x14ac:dyDescent="0.25">
      <c r="A566" t="str">
        <v>dface0a5-db2c-4fc9-93e6-ba7fc760d878</v>
      </c>
      <c r="B566" t="str">
        <v>47fc6b08-c195-42a2-a278-4bb92c38215a</v>
      </c>
      <c r="C566" t="str">
        <v>Arsenal</v>
      </c>
      <c r="D566" t="str">
        <v>B59170EC-16CC-499A-9FF7-0428DCB8F727</v>
      </c>
      <c r="E566" t="str">
        <v>2024-03-07</v>
      </c>
      <c r="F566" s="4">
        <v>195270</v>
      </c>
      <c r="G566" t="str">
        <v>0790fb09-2de6-4ea3-a71c-58a007fc62a8</v>
      </c>
      <c r="H566" t="str">
        <v>9fed28b3-82cf-4afa-8e8d-952adf7a54a5</v>
      </c>
      <c r="I566" t="str">
        <v>1 6 30 2478</v>
      </c>
      <c r="L566" t="str">
        <v>4c25a3b7-d112-4c46-aa9a-b2513a44f1b7</v>
      </c>
    </row>
    <row r="567" spans="1:12" x14ac:dyDescent="0.25">
      <c r="A567" t="str">
        <v>3cdf2630-031f-4a44-b14e-796215b8ab47</v>
      </c>
      <c r="B567" t="str">
        <v>43EABC78-AF64-4C14-9FEF-C7E6A1B6F07E</v>
      </c>
      <c r="C567" t="str">
        <v>GAS CO Additional</v>
      </c>
      <c r="D567" t="str">
        <v>B59170EC-16CC-499A-9FF7-0428DCB8F727</v>
      </c>
      <c r="E567" t="str">
        <v>2024-03-01</v>
      </c>
      <c r="F567" s="4">
        <v>2000</v>
      </c>
      <c r="G567" t="str">
        <v>5a2d799d-22a1-4e0a-b029-8031a1df6d56</v>
      </c>
      <c r="H567" t="str">
        <v>9fed28b3-82cf-4afa-8e8d-952adf7a54a5</v>
      </c>
      <c r="I567" t="str">
        <v/>
      </c>
      <c r="L567" t="str">
        <v/>
      </c>
    </row>
    <row r="568" spans="1:12" x14ac:dyDescent="0.25">
      <c r="A568" t="str">
        <v>76cae4ca-14f9-4f0a-86e3-a9df2e66b7d2</v>
      </c>
      <c r="B568" t="str">
        <v>33242781-7ede-4229-9843-adff806e25f4</v>
      </c>
      <c r="C568" t="str">
        <v>Porta Tower</v>
      </c>
      <c r="D568" t="str">
        <v>FEA4B88F-633F-4422-B3D6-250792A2DA80</v>
      </c>
      <c r="E568" t="str">
        <v>2024-03-05</v>
      </c>
      <c r="F568" s="4">
        <v>110000</v>
      </c>
      <c r="G568" t="str">
        <v>0790fb09-2de6-4ea3-a71c-58a007fc62a8</v>
      </c>
      <c r="H568" t="str">
        <v>9fed28b3-82cf-4afa-8e8d-952adf7a54a5</v>
      </c>
      <c r="I568" t="str">
        <v>1 6 30 2440</v>
      </c>
      <c r="L568" t="str">
        <v>C309CB7C-404D-431A-A8FB-29671DCA0C49</v>
      </c>
    </row>
    <row r="569" spans="1:12" x14ac:dyDescent="0.25">
      <c r="A569" t="str">
        <v>943421a8-3197-42e0-8e9e-c06fcef579af</v>
      </c>
      <c r="B569" t="str">
        <v>cddd77f0-2302-4d80-a93c-c148cd4b4b40</v>
      </c>
      <c r="C569" t="str">
        <v>Shalva Nutsubidze</v>
      </c>
      <c r="D569" t="str">
        <v>B59170EC-16CC-499A-9FF7-0428DCB8F727</v>
      </c>
      <c r="E569" t="str">
        <v>2024-03-01</v>
      </c>
      <c r="F569" s="4">
        <v>100000</v>
      </c>
      <c r="G569" t="str">
        <v>0790fb09-2de6-4ea3-a71c-58a007fc62a8</v>
      </c>
      <c r="H569" t="str">
        <v>9fed28b3-82cf-4afa-8e8d-952adf7a54a5</v>
      </c>
      <c r="I569" t="str">
        <v/>
      </c>
      <c r="L569" t="str">
        <v>19521391-5237-486E-B9F6-C4529F6D8E1D</v>
      </c>
    </row>
    <row r="570" spans="1:12" x14ac:dyDescent="0.25">
      <c r="A570" t="str">
        <v>7c5fe502-ef1c-4e5a-a31e-4f338243d134</v>
      </c>
      <c r="B570" t="str">
        <v>afcf1e96-482e-4089-8c1f-ba702ce22a77</v>
      </c>
      <c r="C570" t="str">
        <v>Grande Krtsanisi</v>
      </c>
      <c r="D570" t="str">
        <v>B59170EC-16CC-499A-9FF7-0428DCB8F727</v>
      </c>
      <c r="E570" t="str">
        <v>2024-01-01</v>
      </c>
      <c r="F570" s="4">
        <v>97800</v>
      </c>
      <c r="G570" t="str">
        <v>5a2d799d-22a1-4e0a-b029-8031a1df6d56</v>
      </c>
      <c r="H570" t="str">
        <v>9fed28b3-82cf-4afa-8e8d-952adf7a54a5</v>
      </c>
      <c r="I570" t="str">
        <v>1 6 30 2479</v>
      </c>
      <c r="L570" t="str">
        <v>19521391-5237-486E-B9F6-C4529F6D8E1D</v>
      </c>
    </row>
    <row r="571" spans="1:12" x14ac:dyDescent="0.25">
      <c r="A571" t="str">
        <v>21bca106-f31b-4dea-a174-984a6618d488</v>
      </c>
      <c r="B571" t="str">
        <v>51116bcd-7d52-4a9b-8943-d90e557988b0</v>
      </c>
      <c r="C571" t="str">
        <v>Gumbati Port Line</v>
      </c>
      <c r="D571" t="str">
        <v>B59170EC-16CC-499A-9FF7-0428DCB8F727</v>
      </c>
      <c r="E571" t="str">
        <v>2023-08-04</v>
      </c>
      <c r="F571" s="4">
        <v>191360</v>
      </c>
      <c r="G571" t="str">
        <v>0790fb09-2de6-4ea3-a71c-58a007fc62a8</v>
      </c>
      <c r="H571" t="str">
        <v>9fed28b3-82cf-4afa-8e8d-952adf7a54a5</v>
      </c>
      <c r="I571" t="str">
        <v>1 6 30 2290</v>
      </c>
      <c r="L571" t="str">
        <v/>
      </c>
    </row>
    <row r="572" spans="1:12" x14ac:dyDescent="0.25">
      <c r="A572" t="str">
        <v>9c11b7e9-5437-430b-a09a-41333f4f4f63</v>
      </c>
      <c r="B572" t="str">
        <v>be223411-77aa-4717-a468-70bac3cee5ba</v>
      </c>
      <c r="C572" t="str">
        <v>Alliance Highline FCU</v>
      </c>
      <c r="D572" t="str">
        <v>FEA4B88F-633F-4422-B3D6-250792A2DA80</v>
      </c>
      <c r="E572" t="str">
        <v>2023-10-11</v>
      </c>
      <c r="F572" s="4">
        <v>83274</v>
      </c>
      <c r="G572" t="str">
        <v>4cfda3f2-535e-4b77-a467-eac9dc64feca</v>
      </c>
      <c r="H572" t="str">
        <v>9fed28b3-82cf-4afa-8e8d-952adf7a54a5</v>
      </c>
      <c r="I572" t="str">
        <v/>
      </c>
      <c r="L572" t="str">
        <v>C309CB7C-404D-431A-A8FB-29671DCA0C49</v>
      </c>
    </row>
    <row r="573" spans="1:12" x14ac:dyDescent="0.25">
      <c r="A573" t="str">
        <v>2cfbda54-f6d4-45b4-8be3-493e6826cd37</v>
      </c>
      <c r="B573" t="str">
        <v>be223411-77aa-4717-a468-70bac3cee5ba</v>
      </c>
      <c r="C573" t="str">
        <v>Alliance Highline Thermostat</v>
      </c>
      <c r="D573" t="str">
        <v>FEA4B88F-633F-4422-B3D6-250792A2DA80</v>
      </c>
      <c r="E573" t="str">
        <v>2024-03-01</v>
      </c>
      <c r="F573" s="4">
        <v>22000</v>
      </c>
      <c r="G573" t="str">
        <v>0790fb09-2de6-4ea3-a71c-58a007fc62a8</v>
      </c>
      <c r="H573" t="str">
        <v>9fed28b3-82cf-4afa-8e8d-952adf7a54a5</v>
      </c>
      <c r="I573" t="str">
        <v/>
      </c>
      <c r="L573" t="str">
        <v>C309CB7C-404D-431A-A8FB-29671DCA0C49</v>
      </c>
    </row>
    <row r="574" spans="1:12" x14ac:dyDescent="0.25">
      <c r="A574" t="str">
        <v>2eb3c870-011f-4e35-a69e-8e33a5606cac</v>
      </c>
      <c r="B574" t="str">
        <v>a5835c0d-1e9d-4163-a328-16338bac23a5</v>
      </c>
      <c r="C574" t="str">
        <v>MHI Products</v>
      </c>
      <c r="D574" t="str">
        <v>FEA4B88F-633F-4422-B3D6-250792A2DA80</v>
      </c>
      <c r="E574" t="str">
        <v>2023-11-06</v>
      </c>
      <c r="F574" s="4">
        <v>7370</v>
      </c>
      <c r="G574" t="str">
        <v>0790fb09-2de6-4ea3-a71c-58a007fc62a8</v>
      </c>
      <c r="H574" t="str">
        <v>9fed28b3-82cf-4afa-8e8d-952adf7a54a5</v>
      </c>
      <c r="I574" t="str">
        <v>1 6 30 2323</v>
      </c>
      <c r="L574" t="str">
        <v>83F0C711-34F6-45B3-A1ED-F85548418822</v>
      </c>
    </row>
    <row r="575" spans="1:12" x14ac:dyDescent="0.25">
      <c r="A575" t="str">
        <v>d5d18a0f-96b4-4fd2-b0f3-8711fd2250fb</v>
      </c>
      <c r="B575" t="str">
        <v>5eab0795-4aa0-4463-ab1d-c1479107adeb</v>
      </c>
      <c r="C575" t="str">
        <v>Shatberashvili 45</v>
      </c>
      <c r="D575" t="str">
        <v>B59170EC-16CC-499A-9FF7-0428DCB8F727</v>
      </c>
      <c r="E575" t="str">
        <v>2024-03-29</v>
      </c>
      <c r="F575" s="4">
        <v>45150</v>
      </c>
      <c r="G575" t="str">
        <v>0790fb09-2de6-4ea3-a71c-58a007fc62a8</v>
      </c>
      <c r="H575" t="str">
        <v>9fed28b3-82cf-4afa-8e8d-952adf7a54a5</v>
      </c>
      <c r="I575" t="str">
        <v>1 6 30 2515</v>
      </c>
      <c r="L575" t="str">
        <v>4c25a3b7-d112-4c46-aa9a-b2513a44f1b7</v>
      </c>
    </row>
    <row r="576" spans="1:12" x14ac:dyDescent="0.25">
      <c r="A576" t="str">
        <v>77940a07-673c-4724-a4aa-c946113a576a</v>
      </c>
      <c r="B576" t="str">
        <v>a95a2d00-27d9-45bb-932b-1fee2c37e12f</v>
      </c>
      <c r="C576" t="str">
        <v>Bochorma</v>
      </c>
      <c r="D576" t="str">
        <v>B59170EC-16CC-499A-9FF7-0428DCB8F727</v>
      </c>
      <c r="E576" t="str">
        <v>2024-02-01</v>
      </c>
      <c r="F576" s="4">
        <v>120000</v>
      </c>
      <c r="G576" t="str">
        <v>0790fb09-2de6-4ea3-a71c-58a007fc62a8</v>
      </c>
      <c r="H576" t="str">
        <v>9fed28b3-82cf-4afa-8e8d-952adf7a54a5</v>
      </c>
      <c r="I576" t="str">
        <v/>
      </c>
      <c r="L576" t="str">
        <v/>
      </c>
    </row>
    <row r="577" spans="1:12" x14ac:dyDescent="0.25">
      <c r="A577" t="str">
        <v>8af91e8f-51c5-44e9-a98b-f8c3caddeab6</v>
      </c>
      <c r="B577" t="str">
        <v>3836cba6-ae69-41ef-a315-575084a0e5a5</v>
      </c>
      <c r="C577" t="str">
        <v>Archi Jikia</v>
      </c>
      <c r="D577" t="str">
        <v>12238130-9D12-4099-A48B-9EB5A085E0F8</v>
      </c>
      <c r="E577" t="str">
        <v>2023-10-01</v>
      </c>
      <c r="F577" s="4">
        <v>200</v>
      </c>
      <c r="G577" t="str">
        <v>0790fb09-2de6-4ea3-a71c-58a007fc62a8</v>
      </c>
      <c r="H577" t="str">
        <v>9fed28b3-82cf-4afa-8e8d-952adf7a54a5</v>
      </c>
      <c r="I577" t="str">
        <v/>
      </c>
      <c r="L577" t="str">
        <v>fd6be193-fd0d-47e3-96b1-e5a6e1948c27</v>
      </c>
    </row>
    <row r="578" spans="1:12" x14ac:dyDescent="0.25">
      <c r="A578" t="str">
        <v>2e8821cd-745d-4085-ac69-4491b771d14e</v>
      </c>
      <c r="B578" t="str">
        <v>7b6d9729-fd51-434e-b843-35b5747c8aad</v>
      </c>
      <c r="C578" t="str">
        <v>Archi Isani C1</v>
      </c>
      <c r="D578" t="str">
        <v>12238130-9D12-4099-A48B-9EB5A085E0F8</v>
      </c>
      <c r="E578" t="str">
        <v>2024-01-01</v>
      </c>
      <c r="F578" s="4">
        <v>300</v>
      </c>
      <c r="G578" t="str">
        <v>0790fb09-2de6-4ea3-a71c-58a007fc62a8</v>
      </c>
      <c r="H578" t="str">
        <v>9fed28b3-82cf-4afa-8e8d-952adf7a54a5</v>
      </c>
      <c r="I578" t="str">
        <v/>
      </c>
      <c r="L578" t="str">
        <v>fd6be193-fd0d-47e3-96b1-e5a6e1948c27</v>
      </c>
    </row>
    <row r="579" spans="1:12" x14ac:dyDescent="0.25">
      <c r="A579" t="str">
        <v>6fbbd2ad-a245-4720-aac7-c133066457c4</v>
      </c>
      <c r="B579" t="str">
        <v>fa4c2d9d-30ee-44b2-895b-def767ca720e</v>
      </c>
      <c r="C579" t="str">
        <v>Archi Isani C2</v>
      </c>
      <c r="D579" t="str">
        <v>12238130-9D12-4099-A48B-9EB5A085E0F8</v>
      </c>
      <c r="E579" t="str">
        <v>2024-01-01</v>
      </c>
      <c r="F579" s="4">
        <v>300</v>
      </c>
      <c r="G579" t="str">
        <v>0790fb09-2de6-4ea3-a71c-58a007fc62a8</v>
      </c>
      <c r="H579" t="str">
        <v>9fed28b3-82cf-4afa-8e8d-952adf7a54a5</v>
      </c>
      <c r="I579" t="str">
        <v/>
      </c>
      <c r="L579" t="str">
        <v>fd6be193-fd0d-47e3-96b1-e5a6e1948c27</v>
      </c>
    </row>
    <row r="580" spans="1:12" x14ac:dyDescent="0.25">
      <c r="A580" t="str">
        <v>ccf174ba-f7e4-4f35-9e32-47b8abfb9ecc</v>
      </c>
      <c r="B580" t="str">
        <v>d0e05e01-2b77-4814-9357-1afa4e6840fb</v>
      </c>
      <c r="C580" t="str">
        <v>Archi Isani C3</v>
      </c>
      <c r="D580" t="str">
        <v>12238130-9D12-4099-A48B-9EB5A085E0F8</v>
      </c>
      <c r="E580" t="str">
        <v>2024-01-01</v>
      </c>
      <c r="F580" s="4">
        <v>300</v>
      </c>
      <c r="G580" t="str">
        <v>0790fb09-2de6-4ea3-a71c-58a007fc62a8</v>
      </c>
      <c r="H580" t="str">
        <v>9fed28b3-82cf-4afa-8e8d-952adf7a54a5</v>
      </c>
      <c r="I580" t="str">
        <v/>
      </c>
      <c r="L580" t="str">
        <v>fd6be193-fd0d-47e3-96b1-e5a6e1948c27</v>
      </c>
    </row>
    <row r="581" spans="1:12" x14ac:dyDescent="0.25">
      <c r="A581" t="str">
        <v>84e94800-fd73-4bf0-839c-0c8608bd5361</v>
      </c>
      <c r="B581" t="str">
        <v>d8ccd6eb-8968-4dde-9d27-f749fe868f0e</v>
      </c>
      <c r="C581" t="str">
        <v>Archi Isani D1</v>
      </c>
      <c r="D581" t="str">
        <v>12238130-9D12-4099-A48B-9EB5A085E0F8</v>
      </c>
      <c r="E581" t="str">
        <v>2024-01-01</v>
      </c>
      <c r="F581" s="4">
        <v>200</v>
      </c>
      <c r="G581" t="str">
        <v>0790fb09-2de6-4ea3-a71c-58a007fc62a8</v>
      </c>
      <c r="H581" t="str">
        <v>9fed28b3-82cf-4afa-8e8d-952adf7a54a5</v>
      </c>
      <c r="I581" t="str">
        <v/>
      </c>
      <c r="L581" t="str">
        <v>fd6be193-fd0d-47e3-96b1-e5a6e1948c27</v>
      </c>
    </row>
    <row r="582" spans="1:12" x14ac:dyDescent="0.25">
      <c r="A582" t="str">
        <v>0de8f5a3-d87b-4649-a3cf-5e44f733f284</v>
      </c>
      <c r="B582" t="str">
        <v>1d881f9c-7485-48af-a623-355b4fec316b</v>
      </c>
      <c r="C582" t="str">
        <v>Archi Isani D2</v>
      </c>
      <c r="D582" t="str">
        <v>12238130-9D12-4099-A48B-9EB5A085E0F8</v>
      </c>
      <c r="E582" t="str">
        <v>2024-01-01</v>
      </c>
      <c r="F582" s="4">
        <v>200</v>
      </c>
      <c r="G582" t="str">
        <v>0790fb09-2de6-4ea3-a71c-58a007fc62a8</v>
      </c>
      <c r="H582" t="str">
        <v>9fed28b3-82cf-4afa-8e8d-952adf7a54a5</v>
      </c>
      <c r="I582" t="str">
        <v>1 6 31 2395</v>
      </c>
      <c r="L582" t="str">
        <v>fd6be193-fd0d-47e3-96b1-e5a6e1948c27</v>
      </c>
    </row>
    <row r="583" spans="1:12" x14ac:dyDescent="0.25">
      <c r="A583" t="str">
        <v>b79db27b-4270-4cc8-ac5b-9114377d676b</v>
      </c>
      <c r="B583" t="str">
        <v>67db0446-9f2c-4963-99f1-7b3593938048</v>
      </c>
      <c r="C583" t="str">
        <v>IBIS Perov</v>
      </c>
      <c r="D583" t="str">
        <v>12238130-9D12-4099-A48B-9EB5A085E0F8</v>
      </c>
      <c r="E583" t="str">
        <v>2022-10-01</v>
      </c>
      <c r="F583" s="4">
        <v>400</v>
      </c>
      <c r="G583" t="str">
        <v>0790fb09-2de6-4ea3-a71c-58a007fc62a8</v>
      </c>
      <c r="H583" t="str">
        <v>9fed28b3-82cf-4afa-8e8d-952adf7a54a5</v>
      </c>
      <c r="I583" t="str">
        <v/>
      </c>
      <c r="L583" t="str">
        <v>fd6be193-fd0d-47e3-96b1-e5a6e1948c27</v>
      </c>
    </row>
    <row r="584" spans="1:12" x14ac:dyDescent="0.25">
      <c r="A584" t="str">
        <v>e5aa83c7-7336-42b3-adbe-bcd77589b951</v>
      </c>
      <c r="B584" t="str">
        <v>c06aa3be-bac2-459a-b58d-6b775f79f978</v>
      </c>
      <c r="C584" t="str">
        <v>Baratashvili 24 DAR Building</v>
      </c>
      <c r="D584" t="str">
        <v>12238130-9D12-4099-A48B-9EB5A085E0F8</v>
      </c>
      <c r="E584" t="str">
        <v>2022-08-01</v>
      </c>
      <c r="F584" s="4">
        <v>500</v>
      </c>
      <c r="G584" t="str">
        <v>5a2d799d-22a1-4e0a-b029-8031a1df6d56</v>
      </c>
      <c r="H584" t="str">
        <v>9fed28b3-82cf-4afa-8e8d-952adf7a54a5</v>
      </c>
      <c r="I584" t="str">
        <v>1 6 31 1961</v>
      </c>
      <c r="L584" t="str">
        <v>fd6be193-fd0d-47e3-96b1-e5a6e1948c27</v>
      </c>
    </row>
    <row r="585" spans="1:12" x14ac:dyDescent="0.25">
      <c r="A585" t="str">
        <v>1a4f7950-3ff2-4c27-a0f7-031f5d295a00</v>
      </c>
      <c r="B585" t="str">
        <v>de0ca828-ece8-4317-85d2-b5ce4076311c</v>
      </c>
      <c r="C585" t="str">
        <v>Epic Mziuri</v>
      </c>
      <c r="D585" t="str">
        <v>12238130-9D12-4099-A48B-9EB5A085E0F8</v>
      </c>
      <c r="E585" t="str">
        <v>2022-09-01</v>
      </c>
      <c r="F585" s="4">
        <v>250</v>
      </c>
      <c r="G585" t="str">
        <v>5a2d799d-22a1-4e0a-b029-8031a1df6d56</v>
      </c>
      <c r="H585" t="str">
        <v>9fed28b3-82cf-4afa-8e8d-952adf7a54a5</v>
      </c>
      <c r="I585" t="str">
        <v/>
      </c>
      <c r="L585" t="str">
        <v>fd6be193-fd0d-47e3-96b1-e5a6e1948c27</v>
      </c>
    </row>
    <row r="586" spans="1:12" x14ac:dyDescent="0.25">
      <c r="A586" t="str">
        <v>1aa74853-22c6-45d3-bcb4-8a6ad960c25d</v>
      </c>
      <c r="B586" t="str">
        <v>7B714BC6-6914-42A2-8E42-3565165F1489</v>
      </c>
      <c r="C586" t="str">
        <v>CASA DI BATUMI</v>
      </c>
      <c r="D586" t="str">
        <v>B59170EC-16CC-499A-9FF7-0428DCB8F727</v>
      </c>
      <c r="E586" t="str">
        <v>2023-06-28</v>
      </c>
      <c r="F586" s="4">
        <v>179560</v>
      </c>
      <c r="G586" t="str">
        <v>0790fb09-2de6-4ea3-a71c-58a007fc62a8</v>
      </c>
      <c r="H586" t="str">
        <v>9fed28b3-82cf-4afa-8e8d-952adf7a54a5</v>
      </c>
      <c r="I586" t="str">
        <v>1 6 30 1486</v>
      </c>
      <c r="L586" t="str">
        <v/>
      </c>
    </row>
    <row r="587" spans="1:12" x14ac:dyDescent="0.25">
      <c r="A587" t="str">
        <v>8fb1444a-6705-42af-a10e-b74ac62e4876</v>
      </c>
      <c r="B587" t="str">
        <v>fb5cb65c-f87e-4ad2-a3ed-fa346097ef17</v>
      </c>
      <c r="C587" t="str">
        <v>Grand Mall Batumi</v>
      </c>
      <c r="D587" t="str">
        <v>12238130-9D12-4099-A48B-9EB5A085E0F8</v>
      </c>
      <c r="E587" t="str">
        <v>2023-10-01</v>
      </c>
      <c r="F587" s="4">
        <v>3955</v>
      </c>
      <c r="G587" t="str">
        <v>0790fb09-2de6-4ea3-a71c-58a007fc62a8</v>
      </c>
      <c r="H587" t="str">
        <v>9fed28b3-82cf-4afa-8e8d-952adf7a54a5</v>
      </c>
      <c r="I587" t="str">
        <v>1 6 31 1959</v>
      </c>
      <c r="L587" t="str">
        <v>fd6be193-fd0d-47e3-96b1-e5a6e1948c27</v>
      </c>
    </row>
    <row r="588" spans="1:12" x14ac:dyDescent="0.25">
      <c r="A588" t="str">
        <v>b4545c67-a31a-4b01-b60e-895432bb9ece</v>
      </c>
      <c r="B588" t="str">
        <v>c8fdb161-d4e2-4c71-9458-6ae2614d6229</v>
      </c>
      <c r="C588" t="str">
        <v>Afisha Service</v>
      </c>
      <c r="D588" t="str">
        <v>12238130-9D12-4099-A48B-9EB5A085E0F8</v>
      </c>
      <c r="E588" t="str">
        <v>2024-01-01</v>
      </c>
      <c r="F588" s="4">
        <v>500</v>
      </c>
      <c r="G588" t="str">
        <v>0790fb09-2de6-4ea3-a71c-58a007fc62a8</v>
      </c>
      <c r="H588" t="str">
        <v>9fed28b3-82cf-4afa-8e8d-952adf7a54a5</v>
      </c>
      <c r="I588" t="str">
        <v>1 6 31 2172</v>
      </c>
      <c r="L588" t="str">
        <v>fd6be193-fd0d-47e3-96b1-e5a6e1948c27</v>
      </c>
    </row>
    <row r="589" spans="1:12" x14ac:dyDescent="0.25">
      <c r="A589" t="str">
        <v>9ca3527c-2e17-4d5e-b95f-f4f9af9c8f45</v>
      </c>
      <c r="B589" t="str">
        <v>726D9023-53A2-435E-8A5B-8BCEA9625E08</v>
      </c>
      <c r="C589" t="str">
        <v>1 TV Service</v>
      </c>
      <c r="D589" t="str">
        <v>12238130-9D12-4099-A48B-9EB5A085E0F8</v>
      </c>
      <c r="E589" t="str">
        <v>2024-01-01</v>
      </c>
      <c r="F589" s="4">
        <v>960</v>
      </c>
      <c r="G589" t="str">
        <v>0790fb09-2de6-4ea3-a71c-58a007fc62a8</v>
      </c>
      <c r="H589" t="str">
        <v>9fed28b3-82cf-4afa-8e8d-952adf7a54a5</v>
      </c>
      <c r="I589" t="str">
        <v/>
      </c>
      <c r="L589" t="str">
        <v>fd6be193-fd0d-47e3-96b1-e5a6e1948c27</v>
      </c>
    </row>
    <row r="590" spans="1:12" x14ac:dyDescent="0.25">
      <c r="A590" t="str">
        <v>be52609c-9f8d-4a8f-9386-2ef0e7538f65</v>
      </c>
      <c r="B590" t="str">
        <v>FD75B701-F0B0-4EFD-934E-9BC3480483AE</v>
      </c>
      <c r="C590" t="str">
        <v>7th Sky Service</v>
      </c>
      <c r="D590" t="str">
        <v>12238130-9D12-4099-A48B-9EB5A085E0F8</v>
      </c>
      <c r="E590" t="str">
        <v>2024-01-01</v>
      </c>
      <c r="F590" s="4">
        <v>480</v>
      </c>
      <c r="G590" t="str">
        <v>0790fb09-2de6-4ea3-a71c-58a007fc62a8</v>
      </c>
      <c r="H590" t="str">
        <v>9fed28b3-82cf-4afa-8e8d-952adf7a54a5</v>
      </c>
      <c r="I590" t="str">
        <v/>
      </c>
      <c r="L590" t="str">
        <v>fd6be193-fd0d-47e3-96b1-e5a6e1948c27</v>
      </c>
    </row>
    <row r="591" spans="1:12" x14ac:dyDescent="0.25">
      <c r="A591" t="str">
        <v>68eaa004-8e63-435c-99f5-01c79d60e3c6</v>
      </c>
      <c r="B591" t="str">
        <v>73F7A185-024C-4137-BCF6-0AF1157D6600</v>
      </c>
      <c r="C591" t="str">
        <v>Alliance Highline Service</v>
      </c>
      <c r="D591" t="str">
        <v>12238130-9D12-4099-A48B-9EB5A085E0F8</v>
      </c>
      <c r="E591" t="str">
        <v>2024-01-01</v>
      </c>
      <c r="F591" s="4">
        <v>1560</v>
      </c>
      <c r="G591" t="str">
        <v>0790fb09-2de6-4ea3-a71c-58a007fc62a8</v>
      </c>
      <c r="H591" t="str">
        <v>9fed28b3-82cf-4afa-8e8d-952adf7a54a5</v>
      </c>
      <c r="I591" t="str">
        <v/>
      </c>
      <c r="L591" t="str">
        <v>fd6be193-fd0d-47e3-96b1-e5a6e1948c27</v>
      </c>
    </row>
    <row r="592" spans="1:12" x14ac:dyDescent="0.25">
      <c r="A592" t="str">
        <v>6f68e719-7e41-4de7-9bd6-8f1f83113386</v>
      </c>
      <c r="B592" t="str">
        <v>e9c2c691-a5fa-47fe-b9ff-74f2fce6a33d</v>
      </c>
      <c r="C592" t="str">
        <v>Installation</v>
      </c>
      <c r="D592" t="str">
        <v>B5CAA716-CA9B-47D4-85D4-9954ED4DBAD2</v>
      </c>
      <c r="E592" t="str">
        <v>2024-03-24</v>
      </c>
      <c r="F592" s="4">
        <v>2990</v>
      </c>
      <c r="G592" t="str">
        <v>5a2d799d-22a1-4e0a-b029-8031a1df6d56</v>
      </c>
      <c r="H592" t="str">
        <v>9fed28b3-82cf-4afa-8e8d-952adf7a54a5</v>
      </c>
      <c r="I592" t="str">
        <v/>
      </c>
      <c r="L592" t="str">
        <v>C309CB7C-404D-431A-A8FB-29671DCA0C49</v>
      </c>
    </row>
    <row r="593" spans="1:12" x14ac:dyDescent="0.25">
      <c r="A593" t="str">
        <v>d22fc7c9-f775-46e7-8a80-5f8e01959689</v>
      </c>
      <c r="B593" t="str">
        <v>dbbb87c7-d197-4838-8a24-faf3e22917cc</v>
      </c>
      <c r="C593" t="str">
        <v>Alliance Previlige</v>
      </c>
      <c r="D593" t="str">
        <v>12238130-9D12-4099-A48B-9EB5A085E0F8</v>
      </c>
      <c r="E593" t="str">
        <v>2024-01-01</v>
      </c>
      <c r="F593" s="4">
        <v>1770</v>
      </c>
      <c r="G593" t="str">
        <v>0790fb09-2de6-4ea3-a71c-58a007fc62a8</v>
      </c>
      <c r="H593" t="str">
        <v>9fed28b3-82cf-4afa-8e8d-952adf7a54a5</v>
      </c>
      <c r="I593" t="str">
        <v/>
      </c>
      <c r="L593" t="str">
        <v>fd6be193-fd0d-47e3-96b1-e5a6e1948c27</v>
      </c>
    </row>
    <row r="594" spans="1:12" x14ac:dyDescent="0.25">
      <c r="A594" t="str">
        <v>076c347a-79b7-406c-a032-20726a4cdb01</v>
      </c>
      <c r="B594" t="str">
        <v>dbbb87c7-d197-4838-8a24-faf3e22917cc</v>
      </c>
      <c r="C594" t="str">
        <v>Alliance Pevilige Service</v>
      </c>
      <c r="D594" t="str">
        <v>12238130-9D12-4099-A48B-9EB5A085E0F8</v>
      </c>
      <c r="E594" t="str">
        <v>2024-01-01</v>
      </c>
      <c r="F594" s="4">
        <v>1770</v>
      </c>
      <c r="G594" t="str">
        <v>0790fb09-2de6-4ea3-a71c-58a007fc62a8</v>
      </c>
      <c r="H594" t="str">
        <v>9fed28b3-82cf-4afa-8e8d-952adf7a54a5</v>
      </c>
      <c r="I594" t="str">
        <v/>
      </c>
      <c r="L594" t="str">
        <v>fd6be193-fd0d-47e3-96b1-e5a6e1948c27</v>
      </c>
    </row>
    <row r="595" spans="1:12" x14ac:dyDescent="0.25">
      <c r="A595" t="str">
        <v>f62f27ae-6686-47b4-87fc-e4f7c93382f4</v>
      </c>
      <c r="B595" t="str">
        <v>0ea1ff2e-cd21-42e6-8652-3079bf1d48b2</v>
      </c>
      <c r="C595" t="str">
        <v>Askaneli Kvareli Service</v>
      </c>
      <c r="D595" t="str">
        <v>12238130-9D12-4099-A48B-9EB5A085E0F8</v>
      </c>
      <c r="E595" t="str">
        <v>2024-01-01</v>
      </c>
      <c r="F595" s="4">
        <v>531</v>
      </c>
      <c r="G595" t="str">
        <v>0790fb09-2de6-4ea3-a71c-58a007fc62a8</v>
      </c>
      <c r="H595" t="str">
        <v>9fed28b3-82cf-4afa-8e8d-952adf7a54a5</v>
      </c>
      <c r="I595" t="str">
        <v/>
      </c>
      <c r="L595" t="str">
        <v>fd6be193-fd0d-47e3-96b1-e5a6e1948c27</v>
      </c>
    </row>
    <row r="596" spans="1:12" x14ac:dyDescent="0.25">
      <c r="A596" t="str">
        <v>c5b8c8ea-aab0-4b6f-9c81-cd5592911991</v>
      </c>
      <c r="B596" t="str">
        <v>58fa8342-2181-4246-af05-590de2ef9e8d</v>
      </c>
      <c r="C596" t="str">
        <v>Bagrationi Residence Service</v>
      </c>
      <c r="D596" t="str">
        <v>12238130-9D12-4099-A48B-9EB5A085E0F8</v>
      </c>
      <c r="E596" t="str">
        <v>2024-01-01</v>
      </c>
      <c r="F596" s="4">
        <v>531</v>
      </c>
      <c r="G596" t="str">
        <v>0790fb09-2de6-4ea3-a71c-58a007fc62a8</v>
      </c>
      <c r="H596" t="str">
        <v>9fed28b3-82cf-4afa-8e8d-952adf7a54a5</v>
      </c>
      <c r="I596" t="str">
        <v/>
      </c>
      <c r="L596" t="str">
        <v>fd6be193-fd0d-47e3-96b1-e5a6e1948c27</v>
      </c>
    </row>
    <row r="597" spans="1:12" x14ac:dyDescent="0.25">
      <c r="A597" t="str">
        <v>3adecafc-fdae-4cf5-9baa-2fa52abe03b2</v>
      </c>
      <c r="B597" t="str">
        <v>729fab4f-5211-4133-9178-b60f971d318f</v>
      </c>
      <c r="C597" t="str">
        <v>Barnovi Service</v>
      </c>
      <c r="D597" t="str">
        <v>12238130-9D12-4099-A48B-9EB5A085E0F8</v>
      </c>
      <c r="E597" t="str">
        <v>2024-01-01</v>
      </c>
      <c r="F597" s="4">
        <v>118</v>
      </c>
      <c r="G597" t="str">
        <v>0790fb09-2de6-4ea3-a71c-58a007fc62a8</v>
      </c>
      <c r="H597" t="str">
        <v>9fed28b3-82cf-4afa-8e8d-952adf7a54a5</v>
      </c>
      <c r="I597" t="str">
        <v/>
      </c>
      <c r="L597" t="str">
        <v>fd6be193-fd0d-47e3-96b1-e5a6e1948c27</v>
      </c>
    </row>
    <row r="598" spans="1:12" x14ac:dyDescent="0.25">
      <c r="A598" t="str">
        <v>1595d88e-76a9-441d-b45e-efda718c7eff</v>
      </c>
      <c r="B598" t="str">
        <v>4c3a3cd9-98c7-4a67-9efe-b03541fe6177</v>
      </c>
      <c r="C598" t="str">
        <v>Caligraph Hilton Service</v>
      </c>
      <c r="D598" t="str">
        <v>12238130-9D12-4099-A48B-9EB5A085E0F8</v>
      </c>
      <c r="E598" t="str">
        <v>2024-01-01</v>
      </c>
      <c r="F598" s="4">
        <v>1203.5999999999999</v>
      </c>
      <c r="G598" t="str">
        <v>0790fb09-2de6-4ea3-a71c-58a007fc62a8</v>
      </c>
      <c r="H598" t="str">
        <v>9fed28b3-82cf-4afa-8e8d-952adf7a54a5</v>
      </c>
      <c r="I598" t="str">
        <v/>
      </c>
      <c r="L598" t="str">
        <v>fd6be193-fd0d-47e3-96b1-e5a6e1948c27</v>
      </c>
    </row>
    <row r="599" spans="1:12" x14ac:dyDescent="0.25">
      <c r="A599" t="str">
        <v>11686e76-5a10-4cc5-bf69-3c417086442b</v>
      </c>
      <c r="B599" t="str">
        <v>80df9929-4edd-411e-b6a3-b5e9f30e5fa0</v>
      </c>
      <c r="C599" t="str">
        <v>Chateau Di Vere</v>
      </c>
      <c r="D599" t="str">
        <v>12238130-9D12-4099-A48B-9EB5A085E0F8</v>
      </c>
      <c r="E599" t="str">
        <v>2024-01-01</v>
      </c>
      <c r="F599" s="4">
        <v>100</v>
      </c>
      <c r="G599" t="str">
        <v>0790fb09-2de6-4ea3-a71c-58a007fc62a8</v>
      </c>
      <c r="H599" t="str">
        <v>9fed28b3-82cf-4afa-8e8d-952adf7a54a5</v>
      </c>
      <c r="I599" t="str">
        <v/>
      </c>
      <c r="L599" t="str">
        <v>fd6be193-fd0d-47e3-96b1-e5a6e1948c27</v>
      </c>
    </row>
    <row r="600" spans="1:12" x14ac:dyDescent="0.25">
      <c r="A600" t="str">
        <v>ab3e19ec-199a-4403-835f-0f9d6640a135</v>
      </c>
      <c r="B600" t="str">
        <v>4919eb9d-4646-43e8-92f6-429e479dfb02</v>
      </c>
      <c r="C600" t="str">
        <v>ELT Building Service</v>
      </c>
      <c r="D600" t="str">
        <v>12238130-9D12-4099-A48B-9EB5A085E0F8</v>
      </c>
      <c r="E600" t="str">
        <v>2024-01-01</v>
      </c>
      <c r="F600" s="4">
        <v>500</v>
      </c>
      <c r="G600" t="str">
        <v>0790fb09-2de6-4ea3-a71c-58a007fc62a8</v>
      </c>
      <c r="H600" t="str">
        <v>9fed28b3-82cf-4afa-8e8d-952adf7a54a5</v>
      </c>
      <c r="I600" t="str">
        <v/>
      </c>
      <c r="L600" t="str">
        <v>fd6be193-fd0d-47e3-96b1-e5a6e1948c27</v>
      </c>
    </row>
    <row r="601" spans="1:12" x14ac:dyDescent="0.25">
      <c r="A601" t="str">
        <v>ab6e18e5-59fb-4578-b3de-c59bff7b844c</v>
      </c>
      <c r="B601" t="str">
        <v>d5d3619e-0a2b-48b6-bce0-50adcfb8378e</v>
      </c>
      <c r="C601" t="str">
        <v>Mziuri Office Service</v>
      </c>
      <c r="D601" t="str">
        <v>12238130-9D12-4099-A48B-9EB5A085E0F8</v>
      </c>
      <c r="E601" t="str">
        <v>2024-01-01</v>
      </c>
      <c r="F601" s="4">
        <v>120</v>
      </c>
      <c r="G601" t="str">
        <v>0790fb09-2de6-4ea3-a71c-58a007fc62a8</v>
      </c>
      <c r="H601" t="str">
        <v>9fed28b3-82cf-4afa-8e8d-952adf7a54a5</v>
      </c>
      <c r="I601" t="str">
        <v/>
      </c>
      <c r="L601" t="str">
        <v>fd6be193-fd0d-47e3-96b1-e5a6e1948c27</v>
      </c>
    </row>
    <row r="602" spans="1:12" x14ac:dyDescent="0.25">
      <c r="A602" t="str">
        <v>fd27b728-cd75-4020-b91c-5b647e0711bb</v>
      </c>
      <c r="B602" t="str">
        <v>2BAD18DC-6E49-4AD3-9FDC-1B422FF3B90D</v>
      </c>
      <c r="C602" t="str">
        <v>Gori Mall Service</v>
      </c>
      <c r="D602" t="str">
        <v>12238130-9D12-4099-A48B-9EB5A085E0F8</v>
      </c>
      <c r="E602" t="str">
        <v>2024-01-01</v>
      </c>
      <c r="F602" s="4">
        <v>600</v>
      </c>
      <c r="G602" t="str">
        <v>0790fb09-2de6-4ea3-a71c-58a007fc62a8</v>
      </c>
      <c r="H602" t="str">
        <v>9fed28b3-82cf-4afa-8e8d-952adf7a54a5</v>
      </c>
      <c r="I602" t="str">
        <v>1 6 31 810</v>
      </c>
      <c r="L602" t="str">
        <v>fd6be193-fd0d-47e3-96b1-e5a6e1948c27</v>
      </c>
    </row>
    <row r="603" spans="1:12" x14ac:dyDescent="0.25">
      <c r="A603" t="str">
        <v>1ac1335c-bb19-420b-8959-0b9b6d02d4df</v>
      </c>
      <c r="B603" t="str">
        <v>d0b71cce-b077-400a-9722-963ef3d1f7a0</v>
      </c>
      <c r="C603" t="str">
        <v>Gumbati Boulevard Point</v>
      </c>
      <c r="D603" t="str">
        <v>12238130-9D12-4099-A48B-9EB5A085E0F8</v>
      </c>
      <c r="E603" t="str">
        <v>2024-01-01</v>
      </c>
      <c r="F603" s="4">
        <v>675</v>
      </c>
      <c r="G603" t="str">
        <v>0790fb09-2de6-4ea3-a71c-58a007fc62a8</v>
      </c>
      <c r="H603" t="str">
        <v>9fed28b3-82cf-4afa-8e8d-952adf7a54a5</v>
      </c>
      <c r="I603" t="str">
        <v/>
      </c>
      <c r="L603" t="str">
        <v>fd6be193-fd0d-47e3-96b1-e5a6e1948c27</v>
      </c>
    </row>
    <row r="604" spans="1:12" x14ac:dyDescent="0.25">
      <c r="A604" t="str">
        <v>71ffa1eb-3625-42a3-9385-070268670c56</v>
      </c>
      <c r="B604" t="str">
        <v>57c12b0b-0ce9-4985-b5a2-5b3ffb02ee7d</v>
      </c>
      <c r="C604" t="str">
        <v>Gumbati Apart Kvariati</v>
      </c>
      <c r="D604" t="str">
        <v>12238130-9D12-4099-A48B-9EB5A085E0F8</v>
      </c>
      <c r="E604" t="str">
        <v>2024-01-01</v>
      </c>
      <c r="F604" s="4">
        <v>450</v>
      </c>
      <c r="G604" t="str">
        <v>0790fb09-2de6-4ea3-a71c-58a007fc62a8</v>
      </c>
      <c r="H604" t="str">
        <v>9fed28b3-82cf-4afa-8e8d-952adf7a54a5</v>
      </c>
      <c r="I604" t="str">
        <v/>
      </c>
      <c r="L604" t="str">
        <v>fd6be193-fd0d-47e3-96b1-e5a6e1948c27</v>
      </c>
    </row>
    <row r="605" spans="1:12" x14ac:dyDescent="0.25">
      <c r="A605" t="str">
        <v>6fc6ec1c-7fe8-4c59-b5b0-0099ea2e5ab8</v>
      </c>
      <c r="B605" t="str">
        <v>51116bcd-7d52-4a9b-8943-d90e557988b0</v>
      </c>
      <c r="C605" t="str">
        <v>Gumbati Port Line</v>
      </c>
      <c r="D605" t="str">
        <v>12238130-9D12-4099-A48B-9EB5A085E0F8</v>
      </c>
      <c r="E605" t="str">
        <v>2024-01-01</v>
      </c>
      <c r="F605" s="4">
        <v>450</v>
      </c>
      <c r="G605" t="str">
        <v>0790fb09-2de6-4ea3-a71c-58a007fc62a8</v>
      </c>
      <c r="H605" t="str">
        <v>9fed28b3-82cf-4afa-8e8d-952adf7a54a5</v>
      </c>
      <c r="I605" t="str">
        <v/>
      </c>
      <c r="L605" t="str">
        <v>fd6be193-fd0d-47e3-96b1-e5a6e1948c27</v>
      </c>
    </row>
    <row r="606" spans="1:12" x14ac:dyDescent="0.25">
      <c r="A606" t="str">
        <v>037e51f5-47ea-48c4-9697-a202656500c5</v>
      </c>
      <c r="B606" t="str">
        <v>29819612-a8bd-4077-9dca-f8fa83efd344</v>
      </c>
      <c r="C606" t="str">
        <v>IBIS Airport Service</v>
      </c>
      <c r="D606" t="str">
        <v>12238130-9D12-4099-A48B-9EB5A085E0F8</v>
      </c>
      <c r="E606" t="str">
        <v>2024-01-01</v>
      </c>
      <c r="F606" s="4">
        <v>360</v>
      </c>
      <c r="G606" t="str">
        <v>0790fb09-2de6-4ea3-a71c-58a007fc62a8</v>
      </c>
      <c r="H606" t="str">
        <v>9fed28b3-82cf-4afa-8e8d-952adf7a54a5</v>
      </c>
      <c r="I606" t="str">
        <v/>
      </c>
      <c r="L606" t="str">
        <v>fd6be193-fd0d-47e3-96b1-e5a6e1948c27</v>
      </c>
    </row>
    <row r="607" spans="1:12" x14ac:dyDescent="0.25">
      <c r="A607" t="str">
        <v>055323fb-ac01-425f-ab71-fcd601f49e1c</v>
      </c>
      <c r="B607" t="str">
        <v>1436a7f5-9177-4e1d-85e3-61dfd225db33</v>
      </c>
      <c r="C607" t="str">
        <v>Kvareli Elevators Service</v>
      </c>
      <c r="D607" t="str">
        <v>12238130-9D12-4099-A48B-9EB5A085E0F8</v>
      </c>
      <c r="E607" t="str">
        <v>2024-01-01</v>
      </c>
      <c r="F607" s="4">
        <v>1350</v>
      </c>
      <c r="G607" t="str">
        <v>0790fb09-2de6-4ea3-a71c-58a007fc62a8</v>
      </c>
      <c r="H607" t="str">
        <v>9fed28b3-82cf-4afa-8e8d-952adf7a54a5</v>
      </c>
      <c r="I607" t="str">
        <v/>
      </c>
      <c r="L607" t="str">
        <v>fd6be193-fd0d-47e3-96b1-e5a6e1948c27</v>
      </c>
    </row>
    <row r="608" spans="1:12" x14ac:dyDescent="0.25">
      <c r="A608" t="str">
        <v>0625089c-8b72-4209-8c39-8f3491579a80</v>
      </c>
      <c r="B608" t="str">
        <v>9912deb2-2ed7-4d7e-b552-3371e32546a3</v>
      </c>
      <c r="C608" t="str">
        <v>Medlog Poti</v>
      </c>
      <c r="D608" t="str">
        <v>12238130-9D12-4099-A48B-9EB5A085E0F8</v>
      </c>
      <c r="E608" t="str">
        <v>2024-01-01</v>
      </c>
      <c r="F608" s="4">
        <v>118</v>
      </c>
      <c r="G608" t="str">
        <v>0790fb09-2de6-4ea3-a71c-58a007fc62a8</v>
      </c>
      <c r="H608" t="str">
        <v>9fed28b3-82cf-4afa-8e8d-952adf7a54a5</v>
      </c>
      <c r="I608" t="str">
        <v>1 6 31 2497</v>
      </c>
      <c r="L608" t="str">
        <v>fd6be193-fd0d-47e3-96b1-e5a6e1948c27</v>
      </c>
    </row>
    <row r="609" spans="1:12" x14ac:dyDescent="0.25">
      <c r="A609" t="str">
        <v>11fca413-dadc-4a4c-89c0-b7b52150dba2</v>
      </c>
      <c r="B609" t="str">
        <v>933470D5-D1F0-4CB0-8738-317256F1B307</v>
      </c>
      <c r="C609" t="str">
        <v>Mziuri Gardens Service</v>
      </c>
      <c r="D609" t="str">
        <v>12238130-9D12-4099-A48B-9EB5A085E0F8</v>
      </c>
      <c r="E609" t="str">
        <v>2024-01-01</v>
      </c>
      <c r="F609" s="4">
        <v>1440</v>
      </c>
      <c r="G609" t="str">
        <v>0790fb09-2de6-4ea3-a71c-58a007fc62a8</v>
      </c>
      <c r="H609" t="str">
        <v>9fed28b3-82cf-4afa-8e8d-952adf7a54a5</v>
      </c>
      <c r="I609" t="str">
        <v>1 6 31 1703</v>
      </c>
      <c r="L609" t="str">
        <v>fd6be193-fd0d-47e3-96b1-e5a6e1948c27</v>
      </c>
    </row>
    <row r="610" spans="1:12" x14ac:dyDescent="0.25">
      <c r="A610" t="str">
        <v>7835377d-23cd-4ca1-9a56-8610de5a7094</v>
      </c>
      <c r="B610" t="str">
        <v>E284E0FD-A2B7-4D93-8E91-006FF0A8A4CE</v>
      </c>
      <c r="C610" t="str">
        <v>D1 Block Service</v>
      </c>
      <c r="D610" t="str">
        <v>12238130-9D12-4099-A48B-9EB5A085E0F8</v>
      </c>
      <c r="E610" t="str">
        <v>2024-01-01</v>
      </c>
      <c r="F610" s="4">
        <v>1858.5</v>
      </c>
      <c r="G610" t="str">
        <v>0790fb09-2de6-4ea3-a71c-58a007fc62a8</v>
      </c>
      <c r="H610" t="str">
        <v>9fed28b3-82cf-4afa-8e8d-952adf7a54a5</v>
      </c>
      <c r="I610" t="str">
        <v>1 6 31 773</v>
      </c>
      <c r="L610" t="str">
        <v>fd6be193-fd0d-47e3-96b1-e5a6e1948c27</v>
      </c>
    </row>
    <row r="611" spans="1:12" x14ac:dyDescent="0.25">
      <c r="A611" t="str">
        <v>cae2d340-0823-4570-8401-f80babf5af47</v>
      </c>
      <c r="B611" t="str">
        <v>E284E0FD-A2B7-4D93-8E91-006FF0A8A4CE</v>
      </c>
      <c r="C611" t="str">
        <v>D2 Block Service</v>
      </c>
      <c r="D611" t="str">
        <v>12238130-9D12-4099-A48B-9EB5A085E0F8</v>
      </c>
      <c r="E611" t="str">
        <v>2024-01-01</v>
      </c>
      <c r="F611" s="4">
        <v>1858.5</v>
      </c>
      <c r="G611" t="str">
        <v>0790fb09-2de6-4ea3-a71c-58a007fc62a8</v>
      </c>
      <c r="H611" t="str">
        <v>9fed28b3-82cf-4afa-8e8d-952adf7a54a5</v>
      </c>
      <c r="I611" t="str">
        <v/>
      </c>
      <c r="L611" t="str">
        <v>fd6be193-fd0d-47e3-96b1-e5a6e1948c27</v>
      </c>
    </row>
    <row r="612" spans="1:12" x14ac:dyDescent="0.25">
      <c r="A612" t="str">
        <v>9d7cf72e-7356-45a1-86b9-e96b3738f600</v>
      </c>
      <c r="B612" t="str">
        <v>272FF8D3-4909-409A-99B0-E2C8CA3BB9AF</v>
      </c>
      <c r="C612" t="str">
        <v>Park Home Saburtalo Service</v>
      </c>
      <c r="D612" t="str">
        <v>12238130-9D12-4099-A48B-9EB5A085E0F8</v>
      </c>
      <c r="E612" t="str">
        <v>2024-01-01</v>
      </c>
      <c r="F612" s="4">
        <v>885</v>
      </c>
      <c r="G612" t="str">
        <v>0790fb09-2de6-4ea3-a71c-58a007fc62a8</v>
      </c>
      <c r="H612" t="str">
        <v>9fed28b3-82cf-4afa-8e8d-952adf7a54a5</v>
      </c>
      <c r="I612" t="str">
        <v/>
      </c>
      <c r="L612" t="str">
        <v>fd6be193-fd0d-47e3-96b1-e5a6e1948c27</v>
      </c>
    </row>
    <row r="613" spans="1:12" x14ac:dyDescent="0.25">
      <c r="A613" t="str">
        <v>9bcd48ab-d336-44bf-a18f-40a488d486dc</v>
      </c>
      <c r="B613" t="str">
        <v>61ff53f7-d5c4-429e-9c3c-1e621fd2f21a</v>
      </c>
      <c r="C613" t="str">
        <v>Shartava Meppers</v>
      </c>
      <c r="D613" t="str">
        <v>12238130-9D12-4099-A48B-9EB5A085E0F8</v>
      </c>
      <c r="E613" t="str">
        <v>2024-01-01</v>
      </c>
      <c r="F613" s="4">
        <v>1000</v>
      </c>
      <c r="G613" t="str">
        <v>0790fb09-2de6-4ea3-a71c-58a007fc62a8</v>
      </c>
      <c r="H613" t="str">
        <v>9fed28b3-82cf-4afa-8e8d-952adf7a54a5</v>
      </c>
      <c r="I613" t="str">
        <v/>
      </c>
      <c r="L613" t="str">
        <v>fd6be193-fd0d-47e3-96b1-e5a6e1948c27</v>
      </c>
    </row>
    <row r="614" spans="1:12" x14ac:dyDescent="0.25">
      <c r="A614" t="str">
        <v>26b0b776-c82e-4bf8-b851-6125c7d5a28f</v>
      </c>
      <c r="B614" t="str">
        <v>b54b4a98-20a8-4003-b7a9-7ff81336509a</v>
      </c>
      <c r="C614" t="str">
        <v>Summit</v>
      </c>
      <c r="D614" t="str">
        <v>12238130-9D12-4099-A48B-9EB5A085E0F8</v>
      </c>
      <c r="E614" t="str">
        <v>2024-01-01</v>
      </c>
      <c r="F614" s="4">
        <v>200</v>
      </c>
      <c r="G614" t="str">
        <v>0790fb09-2de6-4ea3-a71c-58a007fc62a8</v>
      </c>
      <c r="H614" t="str">
        <v>9fed28b3-82cf-4afa-8e8d-952adf7a54a5</v>
      </c>
      <c r="I614" t="str">
        <v/>
      </c>
      <c r="L614" t="str">
        <v>fd6be193-fd0d-47e3-96b1-e5a6e1948c27</v>
      </c>
    </row>
    <row r="615" spans="1:12" x14ac:dyDescent="0.25">
      <c r="A615" t="str">
        <v>546c5d60-9463-422a-a7cc-b2c425b16a6b</v>
      </c>
      <c r="B615" t="str">
        <v>c70fd842-c346-4a84-bd1e-4722b5d1a274</v>
      </c>
      <c r="C615" t="str">
        <v>Surmanidzeebi</v>
      </c>
      <c r="D615" t="str">
        <v>12238130-9D12-4099-A48B-9EB5A085E0F8</v>
      </c>
      <c r="E615" t="str">
        <v>2024-01-01</v>
      </c>
      <c r="F615" s="4">
        <v>708</v>
      </c>
      <c r="G615" t="str">
        <v>0790fb09-2de6-4ea3-a71c-58a007fc62a8</v>
      </c>
      <c r="H615" t="str">
        <v>9fed28b3-82cf-4afa-8e8d-952adf7a54a5</v>
      </c>
      <c r="I615" t="str">
        <v/>
      </c>
      <c r="L615" t="str">
        <v>fd6be193-fd0d-47e3-96b1-e5a6e1948c27</v>
      </c>
    </row>
    <row r="616" spans="1:12" x14ac:dyDescent="0.25">
      <c r="A616" t="str">
        <v>e8cfb672-add5-4faa-ad22-a302a1962bb4</v>
      </c>
      <c r="B616" t="str">
        <v>bb626e89-30fe-4cee-a96c-2bd575e6fdcd</v>
      </c>
      <c r="C616" t="str">
        <v>Palm Apartments Service</v>
      </c>
      <c r="D616" t="str">
        <v>12238130-9D12-4099-A48B-9EB5A085E0F8</v>
      </c>
      <c r="E616" t="str">
        <v>2024-01-01</v>
      </c>
      <c r="F616" s="4">
        <v>177</v>
      </c>
      <c r="G616" t="str">
        <v>0790fb09-2de6-4ea3-a71c-58a007fc62a8</v>
      </c>
      <c r="H616" t="str">
        <v>9fed28b3-82cf-4afa-8e8d-952adf7a54a5</v>
      </c>
      <c r="I616" t="str">
        <v/>
      </c>
      <c r="L616" t="str">
        <v>fd6be193-fd0d-47e3-96b1-e5a6e1948c27</v>
      </c>
    </row>
    <row r="617" spans="1:12" x14ac:dyDescent="0.25">
      <c r="A617" t="str">
        <v>ed40166c-65af-49d0-a0dd-a0491bb63a64</v>
      </c>
      <c r="B617" t="str">
        <v>4122dbf7-d9ab-4887-8878-b24f2e384d89</v>
      </c>
      <c r="C617" t="str">
        <v>Radisson Batumi Services</v>
      </c>
      <c r="D617" t="str">
        <v>12238130-9D12-4099-A48B-9EB5A085E0F8</v>
      </c>
      <c r="E617" t="str">
        <v>2024-01-01</v>
      </c>
      <c r="F617" s="4">
        <v>2478</v>
      </c>
      <c r="G617" t="str">
        <v>0790fb09-2de6-4ea3-a71c-58a007fc62a8</v>
      </c>
      <c r="H617" t="str">
        <v>9fed28b3-82cf-4afa-8e8d-952adf7a54a5</v>
      </c>
      <c r="I617" t="str">
        <v/>
      </c>
      <c r="L617" t="str">
        <v>fd6be193-fd0d-47e3-96b1-e5a6e1948c27</v>
      </c>
    </row>
    <row r="618" spans="1:12" x14ac:dyDescent="0.25">
      <c r="A618" t="str">
        <v>5b0e6f5e-7523-4d16-829d-a37fa54804c4</v>
      </c>
      <c r="B618" t="str">
        <v>8E8E99BE-75FC-49EC-9D89-960E30E7CB06</v>
      </c>
      <c r="C618" t="str">
        <v>Admiral Batumi Service</v>
      </c>
      <c r="D618" t="str">
        <v>12238130-9D12-4099-A48B-9EB5A085E0F8</v>
      </c>
      <c r="E618" t="str">
        <v>2024-01-01</v>
      </c>
      <c r="F618" s="4">
        <v>120</v>
      </c>
      <c r="G618" t="str">
        <v>0790fb09-2de6-4ea3-a71c-58a007fc62a8</v>
      </c>
      <c r="H618" t="str">
        <v>9fed28b3-82cf-4afa-8e8d-952adf7a54a5</v>
      </c>
      <c r="I618" t="str">
        <v/>
      </c>
      <c r="L618" t="str">
        <v>fd6be193-fd0d-47e3-96b1-e5a6e1948c27</v>
      </c>
    </row>
    <row r="619" spans="1:12" x14ac:dyDescent="0.25">
      <c r="A619" t="str">
        <v>f8e71221-a379-4784-a3e3-e58c59b72586</v>
      </c>
      <c r="B619" t="str">
        <v>9d675342-5e2c-4104-bf20-db2fb5454ebf</v>
      </c>
      <c r="C619" t="str">
        <v>Epic Bagebi</v>
      </c>
      <c r="D619" t="str">
        <v>12238130-9D12-4099-A48B-9EB5A085E0F8</v>
      </c>
      <c r="E619" t="str">
        <v>2024-01-01</v>
      </c>
      <c r="F619" s="4">
        <v>250</v>
      </c>
      <c r="G619" t="str">
        <v>5a2d799d-22a1-4e0a-b029-8031a1df6d56</v>
      </c>
      <c r="H619" t="str">
        <v>9fed28b3-82cf-4afa-8e8d-952adf7a54a5</v>
      </c>
      <c r="I619" t="str">
        <v/>
      </c>
      <c r="L619" t="str">
        <v>fd6be193-fd0d-47e3-96b1-e5a6e1948c27</v>
      </c>
    </row>
    <row r="620" spans="1:12" x14ac:dyDescent="0.25">
      <c r="A620" t="str">
        <v>ff70400c-3a99-4cc8-be63-f6bb24e0ec02</v>
      </c>
      <c r="B620" t="str">
        <v>3996dec0-72d8-4e84-aa05-ef12be35540f</v>
      </c>
      <c r="C620" t="str">
        <v>Digomi Trade Center</v>
      </c>
      <c r="D620" t="str">
        <v>12238130-9D12-4099-A48B-9EB5A085E0F8</v>
      </c>
      <c r="E620" t="str">
        <v>2024-01-01</v>
      </c>
      <c r="F620" s="4">
        <v>300</v>
      </c>
      <c r="G620" t="str">
        <v>0790fb09-2de6-4ea3-a71c-58a007fc62a8</v>
      </c>
      <c r="H620" t="str">
        <v>9fed28b3-82cf-4afa-8e8d-952adf7a54a5</v>
      </c>
      <c r="I620" t="str">
        <v/>
      </c>
      <c r="L620" t="str">
        <v>fd6be193-fd0d-47e3-96b1-e5a6e1948c27</v>
      </c>
    </row>
    <row r="621" spans="1:12" x14ac:dyDescent="0.25">
      <c r="A621" t="str">
        <v>fb450f01-100d-42ab-8f6f-8cf875718dcd</v>
      </c>
      <c r="B621" t="str">
        <v>43EABC78-AF64-4C14-9FEF-C7E6A1B6F07E</v>
      </c>
      <c r="C621" t="str">
        <v>Krtsanisi Villa Residence Meppers</v>
      </c>
      <c r="D621" t="str">
        <v>B59170EC-16CC-499A-9FF7-0428DCB8F727</v>
      </c>
      <c r="E621" t="str">
        <v>2024-01-01</v>
      </c>
      <c r="F621" s="4">
        <v>40000</v>
      </c>
      <c r="G621" t="str">
        <v>0790fb09-2de6-4ea3-a71c-58a007fc62a8</v>
      </c>
      <c r="H621" t="str">
        <v>9fed28b3-82cf-4afa-8e8d-952adf7a54a5</v>
      </c>
      <c r="I621" t="str">
        <v>1 6 30 1148</v>
      </c>
      <c r="L621" t="str">
        <v/>
      </c>
    </row>
    <row r="622" spans="1:12" x14ac:dyDescent="0.25">
      <c r="A622" t="str">
        <v>44e3bc1e-c684-42ce-b79f-aee33b9b16fe</v>
      </c>
      <c r="B622" t="str">
        <v>43EABC78-AF64-4C14-9FEF-C7E6A1B6F07E</v>
      </c>
      <c r="C622" t="str">
        <v>Krtsanisi Villa Residence Meppers</v>
      </c>
      <c r="D622" t="str">
        <v>12238130-9D12-4099-A48B-9EB5A085E0F8</v>
      </c>
      <c r="E622" t="str">
        <v>2024-01-01</v>
      </c>
      <c r="F622" s="4">
        <v>1200</v>
      </c>
      <c r="G622" t="str">
        <v>0790fb09-2de6-4ea3-a71c-58a007fc62a8</v>
      </c>
      <c r="H622" t="str">
        <v>9fed28b3-82cf-4afa-8e8d-952adf7a54a5</v>
      </c>
      <c r="I622" t="str">
        <v/>
      </c>
      <c r="L622" t="str">
        <v>fd6be193-fd0d-47e3-96b1-e5a6e1948c27</v>
      </c>
    </row>
    <row r="623" spans="1:12" x14ac:dyDescent="0.25">
      <c r="A623" t="str">
        <v>04882c6c-dd6b-4874-9e9a-ebe0e6e4391e</v>
      </c>
      <c r="B623" t="str">
        <v>ba94ed59-522c-4852-994c-130ef7e8cd30</v>
      </c>
      <c r="C623" t="str">
        <v>Admiral design</v>
      </c>
      <c r="D623" t="str">
        <v>B5CAA716-CA9B-47D4-85D4-9954ED4DBAD2</v>
      </c>
      <c r="E623" t="str">
        <v>2024-05-01</v>
      </c>
      <c r="F623" s="4">
        <v>9300</v>
      </c>
      <c r="G623" t="str">
        <v>0790fb09-2de6-4ea3-a71c-58a007fc62a8</v>
      </c>
      <c r="H623" t="str">
        <v>9fed28b3-82cf-4afa-8e8d-952adf7a54a5</v>
      </c>
      <c r="I623" t="str">
        <v>1 6 30 2011 15</v>
      </c>
      <c r="L623" t="str">
        <v>C309CB7C-404D-431A-A8FB-29671DCA0C49</v>
      </c>
    </row>
    <row r="624" spans="1:12" x14ac:dyDescent="0.25">
      <c r="A624" t="str">
        <v>ae140623-8850-41b6-b1d8-976155c57113</v>
      </c>
      <c r="B624" t="str">
        <v>ba94ed59-522c-4852-994c-130ef7e8cd30</v>
      </c>
      <c r="C624" t="str">
        <v>Admiral Generator Transport</v>
      </c>
      <c r="D624" t="str">
        <v>B5CAA716-CA9B-47D4-85D4-9954ED4DBAD2</v>
      </c>
      <c r="E624" t="str">
        <v>2024-05-01</v>
      </c>
      <c r="F624" s="4">
        <v>2200</v>
      </c>
      <c r="G624" t="str">
        <v>5a2d799d-22a1-4e0a-b029-8031a1df6d56</v>
      </c>
      <c r="H624" t="str">
        <v>9fed28b3-82cf-4afa-8e8d-952adf7a54a5</v>
      </c>
      <c r="I624" t="str">
        <v/>
      </c>
      <c r="L624" t="str">
        <v/>
      </c>
    </row>
    <row r="625" spans="1:12" x14ac:dyDescent="0.25">
      <c r="A625" t="str">
        <v>fce7faf4-86f5-43ea-b502-9904fe8f81e6</v>
      </c>
      <c r="B625" t="str">
        <v>6f986c6a-0419-4e51-b724-a6cb819550b1</v>
      </c>
      <c r="C625" t="str">
        <v>Compressor Repair</v>
      </c>
      <c r="D625" t="str">
        <v>B5CAA716-CA9B-47D4-85D4-9954ED4DBAD2</v>
      </c>
      <c r="E625" t="str">
        <v>2024-05-01</v>
      </c>
      <c r="F625" s="4">
        <v>1600</v>
      </c>
      <c r="G625" t="str">
        <v>5a2d799d-22a1-4e0a-b029-8031a1df6d56</v>
      </c>
      <c r="H625" t="str">
        <v>9fed28b3-82cf-4afa-8e8d-952adf7a54a5</v>
      </c>
      <c r="I625" t="str">
        <v>1630 2064</v>
      </c>
      <c r="L625" t="str">
        <v>C309CB7C-404D-431A-A8FB-29671DCA0C49</v>
      </c>
    </row>
    <row r="626" spans="1:12" x14ac:dyDescent="0.25">
      <c r="A626" t="str">
        <v>dedde9b8-c981-4d49-9a64-321230018684</v>
      </c>
      <c r="B626" t="str">
        <v>ba94ed59-522c-4852-994c-130ef7e8cd30</v>
      </c>
      <c r="C626" t="str">
        <v>Admiral</v>
      </c>
      <c r="D626" t="str">
        <v>B5CAA716-CA9B-47D4-85D4-9954ED4DBAD2</v>
      </c>
      <c r="E626" t="str">
        <v>2024-05-01</v>
      </c>
      <c r="F626" s="4">
        <v>444536.2</v>
      </c>
      <c r="G626" t="str">
        <v>0790fb09-2de6-4ea3-a71c-58a007fc62a8</v>
      </c>
      <c r="H626" t="str">
        <v>9fed28b3-82cf-4afa-8e8d-952adf7a54a5</v>
      </c>
      <c r="I626" t="str">
        <v>1 6 30 2011 15</v>
      </c>
      <c r="L626" t="str">
        <v/>
      </c>
    </row>
    <row r="627" spans="1:12" x14ac:dyDescent="0.25">
      <c r="A627" t="str">
        <v>821ac8e7-29ff-417a-a4dd-2ec0b8afbd91</v>
      </c>
      <c r="B627" t="str">
        <v>ba94ed59-522c-4852-994c-130ef7e8cd30</v>
      </c>
      <c r="C627" t="str">
        <v>Ramishvili VRV Outdoor Units Transport</v>
      </c>
      <c r="D627" t="str">
        <v>B5CAA716-CA9B-47D4-85D4-9954ED4DBAD2</v>
      </c>
      <c r="E627" t="str">
        <v>2024-05-14</v>
      </c>
      <c r="F627" s="4">
        <v>20344.29</v>
      </c>
      <c r="G627" t="str">
        <v>5a2d799d-22a1-4e0a-b029-8031a1df6d56</v>
      </c>
      <c r="H627" t="str">
        <v>9fed28b3-82cf-4afa-8e8d-952adf7a54a5</v>
      </c>
      <c r="I627" t="str">
        <v/>
      </c>
      <c r="L627" t="str">
        <v>C309CB7C-404D-431A-A8FB-29671DCA0C49</v>
      </c>
    </row>
    <row r="628" spans="1:12" x14ac:dyDescent="0.25">
      <c r="A628" t="str">
        <v>78c09c67-22dc-4729-b7b9-983dc8d1d2ea</v>
      </c>
      <c r="B628" t="str">
        <v>423132b9-3a82-4b97-b534-1ecce73e257d</v>
      </c>
      <c r="C628" t="str">
        <v>Porta Apartments 4003</v>
      </c>
      <c r="D628" t="str">
        <v>FEA4B88F-633F-4422-B3D6-250792A2DA80</v>
      </c>
      <c r="E628" t="str">
        <v>2024-05-20</v>
      </c>
      <c r="F628" s="4">
        <v>14591</v>
      </c>
      <c r="G628" t="str">
        <v>0790fb09-2de6-4ea3-a71c-58a007fc62a8</v>
      </c>
      <c r="H628" t="str">
        <v>9fed28b3-82cf-4afa-8e8d-952adf7a54a5</v>
      </c>
      <c r="I628" t="str">
        <v>1 6 30 2504</v>
      </c>
      <c r="L628" t="str">
        <v>C309CB7C-404D-431A-A8FB-29671DCA0C49</v>
      </c>
    </row>
    <row r="629" spans="1:12" x14ac:dyDescent="0.25">
      <c r="A629" t="str">
        <v>c5eea265-199c-42af-afa3-007ddd6ee158</v>
      </c>
      <c r="B629" t="str">
        <v>423132b9-3a82-4b97-b534-1ecce73e257d</v>
      </c>
      <c r="C629" t="str">
        <v>Porta Apartments 2906</v>
      </c>
      <c r="D629" t="str">
        <v>FEA4B88F-633F-4422-B3D6-250792A2DA80</v>
      </c>
      <c r="E629" t="str">
        <v>2024-05-20</v>
      </c>
      <c r="F629" s="4">
        <v>9407</v>
      </c>
      <c r="G629" t="str">
        <v>0790fb09-2de6-4ea3-a71c-58a007fc62a8</v>
      </c>
      <c r="H629" t="str">
        <v>9fed28b3-82cf-4afa-8e8d-952adf7a54a5</v>
      </c>
      <c r="I629" t="str">
        <v>1 6 30 2504</v>
      </c>
      <c r="L629" t="str">
        <v>C309CB7C-404D-431A-A8FB-29671DCA0C49</v>
      </c>
    </row>
    <row r="630" spans="1:12" x14ac:dyDescent="0.25">
      <c r="A630" t="str">
        <v>43e76f38-d974-496b-9f40-2786957b1a4a</v>
      </c>
      <c r="B630" t="str">
        <v>70db2095-a71a-4737-90f8-20712f6b22fe</v>
      </c>
      <c r="C630" t="str">
        <v>Roomix Unloading</v>
      </c>
      <c r="D630" t="str">
        <v>C491BFF3-6F7B-4412-9DF0-EAED6F3EE238</v>
      </c>
      <c r="E630" t="str">
        <v>2024-06-05</v>
      </c>
      <c r="F630" s="4">
        <v>1800</v>
      </c>
      <c r="G630" t="str">
        <v>5a2d799d-22a1-4e0a-b029-8031a1df6d56</v>
      </c>
      <c r="H630" t="str">
        <v>9fed28b3-82cf-4afa-8e8d-952adf7a54a5</v>
      </c>
      <c r="I630" t="str">
        <v/>
      </c>
      <c r="L630" t="str">
        <v/>
      </c>
    </row>
    <row r="631" spans="1:12" x14ac:dyDescent="0.25">
      <c r="A631" t="str">
        <v>11ec48ff-6b2e-4450-836e-09ce55085254</v>
      </c>
      <c r="B631" t="str">
        <v>9B2B30F8-1FC4-427E-8478-DB1B57B48DDA</v>
      </c>
      <c r="C631" t="str">
        <v>Rope Change</v>
      </c>
      <c r="D631" t="str">
        <v>C491BFF3-6F7B-4412-9DF0-EAED6F3EE238</v>
      </c>
      <c r="E631" t="str">
        <v>2024-04-01</v>
      </c>
      <c r="F631" s="4">
        <v>2000</v>
      </c>
      <c r="G631" t="str">
        <v>5a2d799d-22a1-4e0a-b029-8031a1df6d56</v>
      </c>
      <c r="H631" t="str">
        <v>9fed28b3-82cf-4afa-8e8d-952adf7a54a5</v>
      </c>
      <c r="I631" t="str">
        <v/>
      </c>
      <c r="L631" t="str">
        <v/>
      </c>
    </row>
    <row r="632" spans="1:12" x14ac:dyDescent="0.25">
      <c r="A632" t="str">
        <v>6cba4fac-3b4a-43e1-9b30-24ca5e490f83</v>
      </c>
      <c r="B632" t="str">
        <v>70b1a8bd-11a4-4da0-b024-9f9e48b4b055</v>
      </c>
      <c r="C632" t="str">
        <v>MHI Conditioners</v>
      </c>
      <c r="D632" t="str">
        <v>FEA4B88F-633F-4422-B3D6-250792A2DA80</v>
      </c>
      <c r="E632" t="str">
        <v>2024-06-13</v>
      </c>
      <c r="F632" s="4">
        <v>3990</v>
      </c>
      <c r="G632" t="str">
        <v>0790fb09-2de6-4ea3-a71c-58a007fc62a8</v>
      </c>
      <c r="H632" t="str">
        <v>9fed28b3-82cf-4afa-8e8d-952adf7a54a5</v>
      </c>
      <c r="I632" t="str">
        <v/>
      </c>
      <c r="L632" t="str">
        <v>83F0C711-34F6-45B3-A1ED-F85548418822</v>
      </c>
    </row>
    <row r="633" spans="1:12" x14ac:dyDescent="0.25">
      <c r="A633" t="str">
        <v>be3b2e15-69c7-4585-8ba0-b2a9becf2a62</v>
      </c>
      <c r="B633" t="str">
        <v>7ae5b6db-73b8-444e-bdea-71062d3bda50</v>
      </c>
      <c r="C633" t="str">
        <v>Dry Port Elevator</v>
      </c>
      <c r="D633" t="str">
        <v>B59170EC-16CC-499A-9FF7-0428DCB8F727</v>
      </c>
      <c r="E633" t="str">
        <v>2024-04-01</v>
      </c>
      <c r="F633" s="4">
        <v>25100</v>
      </c>
      <c r="G633" t="str">
        <v>0790fb09-2de6-4ea3-a71c-58a007fc62a8</v>
      </c>
      <c r="H633" t="str">
        <v>9fed28b3-82cf-4afa-8e8d-952adf7a54a5</v>
      </c>
      <c r="I633" t="str">
        <v/>
      </c>
      <c r="L633" t="str">
        <v>A26DCE96-C08F-453E-9E26-10AAF72D142A</v>
      </c>
    </row>
    <row r="634" spans="1:12" x14ac:dyDescent="0.25">
      <c r="A634" t="str">
        <v>77a6b2c5-5cdf-471f-b550-be776a162e6b</v>
      </c>
      <c r="B634" t="str">
        <v>7ae5b6db-73b8-444e-bdea-71062d3bda50</v>
      </c>
      <c r="C634" t="str">
        <v>Dry Port HVAC</v>
      </c>
      <c r="D634" t="str">
        <v>FEA4B88F-633F-4422-B3D6-250792A2DA80</v>
      </c>
      <c r="E634" t="str">
        <v>2024-04-01</v>
      </c>
      <c r="F634" s="4">
        <v>491903.93</v>
      </c>
      <c r="G634" t="str">
        <v>0790fb09-2de6-4ea3-a71c-58a007fc62a8</v>
      </c>
      <c r="H634" t="str">
        <v>9fed28b3-82cf-4afa-8e8d-952adf7a54a5</v>
      </c>
      <c r="I634" t="str">
        <v>1 6 30 2492</v>
      </c>
      <c r="L634" t="str">
        <v>C309CB7C-404D-431A-A8FB-29671DCA0C49</v>
      </c>
    </row>
    <row r="635" spans="1:12" x14ac:dyDescent="0.25">
      <c r="A635" t="str">
        <v>656089ad-59f3-4aa8-85bd-4c98cb08ccfe</v>
      </c>
      <c r="B635" t="str">
        <v>5e1b5cc8-90da-4a55-a108-54f9e5fdad65</v>
      </c>
      <c r="C635" t="str">
        <v>New Time</v>
      </c>
      <c r="D635" t="str">
        <v>12238130-9D12-4099-A48B-9EB5A085E0F8</v>
      </c>
      <c r="E635" t="str">
        <v>2024-01-01</v>
      </c>
      <c r="F635" s="4">
        <v>1000</v>
      </c>
      <c r="G635" t="str">
        <v>5a2d799d-22a1-4e0a-b029-8031a1df6d56</v>
      </c>
      <c r="H635" t="str">
        <v>9fed28b3-82cf-4afa-8e8d-952adf7a54a5</v>
      </c>
      <c r="I635" t="str">
        <v>1 6 31 1975</v>
      </c>
      <c r="L635" t="str">
        <v>fd6be193-fd0d-47e3-96b1-e5a6e1948c27</v>
      </c>
    </row>
    <row r="636" spans="1:12" x14ac:dyDescent="0.25">
      <c r="A636" t="str">
        <v>0f3d70dc-38b6-492f-8399-6ef5ea0c155a</v>
      </c>
      <c r="B636" t="str">
        <v>f242e8d0-3197-4b35-90dd-54859cce4bca</v>
      </c>
      <c r="C636" t="str">
        <v>Deka Verona</v>
      </c>
      <c r="D636" t="str">
        <v>B59170EC-16CC-499A-9FF7-0428DCB8F727</v>
      </c>
      <c r="E636" t="str">
        <v>2024-06-01</v>
      </c>
      <c r="F636" s="4">
        <v>103910</v>
      </c>
      <c r="G636" t="str">
        <v>0790fb09-2de6-4ea3-a71c-58a007fc62a8</v>
      </c>
      <c r="H636" t="str">
        <v>9fed28b3-82cf-4afa-8e8d-952adf7a54a5</v>
      </c>
      <c r="I636" t="str">
        <v>1 6 30 2556</v>
      </c>
      <c r="L636" t="str">
        <v>86332895-C3C3-4313-AA1C-0D1B06C2386C</v>
      </c>
    </row>
    <row r="637" spans="1:12" x14ac:dyDescent="0.25">
      <c r="A637" t="str">
        <v>4e488bc2-3912-46f1-991c-d248c6def61d</v>
      </c>
      <c r="B637" t="str">
        <v>43EABC78-AF64-4C14-9FEF-C7E6A1B6F07E</v>
      </c>
      <c r="C637" t="str">
        <v>Simetria Lisi 1 Unit</v>
      </c>
      <c r="D637" t="str">
        <v>B59170EC-16CC-499A-9FF7-0428DCB8F727</v>
      </c>
      <c r="E637" t="str">
        <v>2024-06-01</v>
      </c>
      <c r="F637" s="4">
        <v>2000</v>
      </c>
      <c r="G637" t="str">
        <v>0790fb09-2de6-4ea3-a71c-58a007fc62a8</v>
      </c>
      <c r="H637" t="str">
        <v>9fed28b3-82cf-4afa-8e8d-952adf7a54a5</v>
      </c>
      <c r="I637" t="str">
        <v>1 6 30 1148</v>
      </c>
      <c r="L637" t="str">
        <v>86332895-C3C3-4313-AA1C-0D1B06C2386C</v>
      </c>
    </row>
    <row r="638" spans="1:12" x14ac:dyDescent="0.25">
      <c r="A638" t="str">
        <v>ad47b706-0eb9-46ee-964b-edf7002ac8a6</v>
      </c>
      <c r="B638" t="str">
        <v>faa2b90d-c93e-48df-b336-59e76f241404</v>
      </c>
      <c r="C638" t="str">
        <v>KINGS GARDEN 1 UNIT</v>
      </c>
      <c r="D638" t="str">
        <v>FEA4B88F-633F-4422-B3D6-250792A2DA80</v>
      </c>
      <c r="E638" t="str">
        <v>2024-07-02</v>
      </c>
      <c r="F638" s="4">
        <v>7715</v>
      </c>
      <c r="G638" t="str">
        <v>0790fb09-2de6-4ea3-a71c-58a007fc62a8</v>
      </c>
      <c r="H638" t="str">
        <v>9fed28b3-82cf-4afa-8e8d-952adf7a54a5</v>
      </c>
      <c r="I638" t="str">
        <v/>
      </c>
      <c r="L638" t="str">
        <v>C309CB7C-404D-431A-A8FB-29671DCA0C49</v>
      </c>
    </row>
    <row r="639" spans="1:12" x14ac:dyDescent="0.25">
      <c r="A639" t="str">
        <v>a18d5f90-5889-4d5a-b4f9-4d14f634d385</v>
      </c>
      <c r="B639" t="str">
        <v>1436a7f5-9177-4e1d-85e3-61dfd225db33</v>
      </c>
      <c r="C639" t="str">
        <v>Chakhrukhadze Compressor</v>
      </c>
      <c r="D639" t="str">
        <v>FEA4B88F-633F-4422-B3D6-250792A2DA80</v>
      </c>
      <c r="E639" t="str">
        <v>2024-08-01</v>
      </c>
      <c r="F639" s="4">
        <v>3500</v>
      </c>
      <c r="G639" t="str">
        <v>0790fb09-2de6-4ea3-a71c-58a007fc62a8</v>
      </c>
      <c r="H639" t="str">
        <v>9fed28b3-82cf-4afa-8e8d-952adf7a54a5</v>
      </c>
      <c r="I639" t="str">
        <v>1630 1960</v>
      </c>
      <c r="L639" t="str">
        <v>C309CB7C-404D-431A-A8FB-29671DCA0C49</v>
      </c>
    </row>
    <row r="640" spans="1:12" x14ac:dyDescent="0.25">
      <c r="A640" t="str">
        <v>1e6586c3-730a-4da0-87b6-442e59ac3426</v>
      </c>
      <c r="B640" t="str">
        <v>b94d66cd-3ee4-438e-9691-8b9de0f595ce</v>
      </c>
      <c r="C640" t="str">
        <v>Goderdzi EP</v>
      </c>
      <c r="D640" t="str">
        <v>B59170EC-16CC-499A-9FF7-0428DCB8F727</v>
      </c>
      <c r="E640" t="str">
        <v>2024-08-07</v>
      </c>
      <c r="F640" s="4">
        <v>23860</v>
      </c>
      <c r="G640" t="str">
        <v>0790fb09-2de6-4ea3-a71c-58a007fc62a8</v>
      </c>
      <c r="H640" t="str">
        <v>9fed28b3-82cf-4afa-8e8d-952adf7a54a5</v>
      </c>
      <c r="I640" t="str">
        <v>1 6 30 2571</v>
      </c>
      <c r="L640" t="str">
        <v>AD901E05-ADD9-42DE-89BA-4D9A21C89BCF</v>
      </c>
    </row>
    <row r="641" spans="1:12" x14ac:dyDescent="0.25">
      <c r="A641" t="str">
        <v>f67cc96b-365f-4a30-9819-a3ee7ad41b1f</v>
      </c>
      <c r="B641" t="str">
        <v>261f89e4-5f76-409f-99a1-14d417daf8cb</v>
      </c>
      <c r="C641" t="str">
        <v>Figures</v>
      </c>
      <c r="D641" t="str">
        <v>B59170EC-16CC-499A-9FF7-0428DCB8F727</v>
      </c>
      <c r="E641" t="str">
        <v>2024-08-01</v>
      </c>
      <c r="F641" s="4">
        <v>307060</v>
      </c>
      <c r="G641" t="str">
        <v>0790fb09-2de6-4ea3-a71c-58a007fc62a8</v>
      </c>
      <c r="H641" t="str">
        <v>9fed28b3-82cf-4afa-8e8d-952adf7a54a5</v>
      </c>
      <c r="I641" t="str">
        <v/>
      </c>
      <c r="L641" t="str">
        <v>4c25a3b7-d112-4c46-aa9a-b2513a44f1b7</v>
      </c>
    </row>
    <row r="642" spans="1:12" x14ac:dyDescent="0.25">
      <c r="A642" t="str">
        <v>20ccabde-8dfd-4f1c-9a8d-b33609cbd197</v>
      </c>
      <c r="B642" t="str">
        <v>726D9023-53A2-435E-8A5B-8BCEA9625E08</v>
      </c>
      <c r="C642" t="str">
        <v>McDonalds Didi Digomi Rooftop Lounch</v>
      </c>
      <c r="D642" t="str">
        <v>B59170EC-16CC-499A-9FF7-0428DCB8F727</v>
      </c>
      <c r="E642" t="str">
        <v>2024-08-01</v>
      </c>
      <c r="F642" s="4">
        <v>1500</v>
      </c>
      <c r="G642" t="str">
        <v>5a2d799d-22a1-4e0a-b029-8031a1df6d56</v>
      </c>
      <c r="H642" t="str">
        <v>9fed28b3-82cf-4afa-8e8d-952adf7a54a5</v>
      </c>
      <c r="I642" t="str">
        <v/>
      </c>
      <c r="L642" t="str">
        <v>C309CB7C-404D-431A-A8FB-29671DCA0C49</v>
      </c>
    </row>
    <row r="643" spans="1:12" x14ac:dyDescent="0.25">
      <c r="A643" t="str">
        <v>4efb8f89-6cef-4fa6-bab2-0d06a3924154</v>
      </c>
      <c r="B643" t="str">
        <v>d4b3ff47-1d44-4a70-9d35-770289d93de1</v>
      </c>
      <c r="C643" t="str">
        <v>Lisi Veranda 8</v>
      </c>
      <c r="D643" t="str">
        <v>B59170EC-16CC-499A-9FF7-0428DCB8F727</v>
      </c>
      <c r="E643" t="str">
        <v>2024-08-01</v>
      </c>
      <c r="F643" s="4">
        <v>125180</v>
      </c>
      <c r="G643" t="str">
        <v>0790fb09-2de6-4ea3-a71c-58a007fc62a8</v>
      </c>
      <c r="H643" t="str">
        <v>9fed28b3-82cf-4afa-8e8d-952adf7a54a5</v>
      </c>
      <c r="I643" t="str">
        <v/>
      </c>
      <c r="L643" t="str">
        <v>4c25a3b7-d112-4c46-aa9a-b2513a44f1b7</v>
      </c>
    </row>
    <row r="644" spans="1:12" x14ac:dyDescent="0.25">
      <c r="A644" t="str">
        <v>6c41ba45-8b1f-47a6-847a-88a0357f8a87</v>
      </c>
      <c r="B644" t="str">
        <v>58bc2f80-d8e3-451f-a47d-a7bd05ff94be</v>
      </c>
      <c r="C644" t="str">
        <v>Ambassador Batumi</v>
      </c>
      <c r="D644" t="str">
        <v>FEA4B88F-633F-4422-B3D6-250792A2DA80</v>
      </c>
      <c r="E644" t="str">
        <v>2024-09-03</v>
      </c>
      <c r="F644" s="4">
        <v>1155220</v>
      </c>
      <c r="G644" t="str">
        <v>0790fb09-2de6-4ea3-a71c-58a007fc62a8</v>
      </c>
      <c r="H644" t="str">
        <v>9fed28b3-82cf-4afa-8e8d-952adf7a54a5</v>
      </c>
      <c r="I644" t="str">
        <v/>
      </c>
      <c r="L644" t="str">
        <v>C309CB7C-404D-431A-A8FB-29671DCA0C49</v>
      </c>
    </row>
    <row r="645" spans="1:12" x14ac:dyDescent="0.25">
      <c r="A645" t="str">
        <v>81188a2b-4db5-4878-8744-5a74e7daa243</v>
      </c>
      <c r="B645" t="str">
        <v>726D9023-53A2-435E-8A5B-8BCEA9625E08</v>
      </c>
      <c r="C645" t="str">
        <v>Multiple Rooftops</v>
      </c>
      <c r="D645" t="str">
        <v>FEA4B88F-633F-4422-B3D6-250792A2DA80</v>
      </c>
      <c r="E645" t="str">
        <v>2024-04-30</v>
      </c>
      <c r="F645" s="4">
        <v>250757</v>
      </c>
      <c r="G645" t="str">
        <v>4cfda3f2-535e-4b77-a467-eac9dc64feca</v>
      </c>
      <c r="H645" t="str">
        <v>9fed28b3-82cf-4afa-8e8d-952adf7a54a5</v>
      </c>
      <c r="I645" t="str">
        <v/>
      </c>
      <c r="L645" t="str">
        <v>401318CA-BF39-49C3-9BDC-73836A8F9774</v>
      </c>
    </row>
    <row r="646" spans="1:12" x14ac:dyDescent="0.25">
      <c r="A646" t="str">
        <v>eec3d256-1657-4bbd-b4f6-e7b43062d791</v>
      </c>
      <c r="B646" t="str">
        <v>43EABC78-AF64-4C14-9FEF-C7E6A1B6F07E</v>
      </c>
      <c r="C646" t="str">
        <v>LUX</v>
      </c>
      <c r="D646" t="str">
        <v>B59170EC-16CC-499A-9FF7-0428DCB8F727</v>
      </c>
      <c r="E646" t="str">
        <v>2024-09-01</v>
      </c>
      <c r="F646" s="4">
        <v>19160</v>
      </c>
      <c r="G646" t="str">
        <v>0790fb09-2de6-4ea3-a71c-58a007fc62a8</v>
      </c>
      <c r="H646" t="str">
        <v>9fed28b3-82cf-4afa-8e8d-952adf7a54a5</v>
      </c>
      <c r="I646" t="str">
        <v>1 6 30 1148</v>
      </c>
      <c r="L646" t="str">
        <v>c16820cb-b0fb-42f4-837e-8657b575f62a</v>
      </c>
    </row>
    <row r="647" spans="1:12" x14ac:dyDescent="0.25">
      <c r="A647" t="str">
        <v>93c267f9-fe22-46ba-8ada-aa222b56264d</v>
      </c>
      <c r="B647" t="str">
        <v>779e6a2e-7b52-4c0d-9e5f-eb92c63e767b</v>
      </c>
      <c r="C647" t="str">
        <v>New Group University</v>
      </c>
      <c r="D647" t="str">
        <v>B59170EC-16CC-499A-9FF7-0428DCB8F727</v>
      </c>
      <c r="E647" t="str">
        <v>2024-09-01</v>
      </c>
      <c r="F647" s="4">
        <v>213160</v>
      </c>
      <c r="G647" t="str">
        <v>0790fb09-2de6-4ea3-a71c-58a007fc62a8</v>
      </c>
      <c r="H647" t="str">
        <v>9fed28b3-82cf-4afa-8e8d-952adf7a54a5</v>
      </c>
      <c r="I647" t="str">
        <v/>
      </c>
      <c r="L647" t="str">
        <v>4c25a3b7-d112-4c46-aa9a-b2513a44f1b7</v>
      </c>
    </row>
    <row r="648" spans="1:12" x14ac:dyDescent="0.25">
      <c r="A648" t="str">
        <v>5bf9dba3-9371-4768-941c-56f076a346c8</v>
      </c>
      <c r="B648" t="str">
        <v>ba94ed59-522c-4852-994c-130ef7e8cd30</v>
      </c>
      <c r="C648" t="str">
        <v>Kvareli FF Pump Installation</v>
      </c>
      <c r="D648" t="str">
        <v>FEA4B88F-633F-4422-B3D6-250792A2DA80</v>
      </c>
      <c r="E648" t="str">
        <v>2024-09-20</v>
      </c>
      <c r="F648" s="4">
        <v>35000</v>
      </c>
      <c r="G648" t="str">
        <v>5a2d799d-22a1-4e0a-b029-8031a1df6d56</v>
      </c>
      <c r="H648" t="str">
        <v>9fed28b3-82cf-4afa-8e8d-952adf7a54a5</v>
      </c>
      <c r="I648" t="str">
        <v/>
      </c>
      <c r="L648" t="str">
        <v>C309CB7C-404D-431A-A8FB-29671DCA0C49</v>
      </c>
    </row>
    <row r="649" spans="1:12" x14ac:dyDescent="0.25">
      <c r="A649" t="str">
        <v>56e9b94c-2722-40e9-ad02-c6b794e7bdc2</v>
      </c>
      <c r="B649" t="str">
        <v>726D9023-53A2-435E-8A5B-8BCEA9625E08</v>
      </c>
      <c r="C649" t="str">
        <v>All Mcdonalds</v>
      </c>
      <c r="D649" t="str">
        <v>C491BFF3-6F7B-4412-9DF0-EAED6F3EE238</v>
      </c>
      <c r="E649" t="str">
        <v>2024-09-01</v>
      </c>
      <c r="F649" s="4">
        <v>50000</v>
      </c>
      <c r="G649" t="str">
        <v>5a2d799d-22a1-4e0a-b029-8031a1df6d56</v>
      </c>
      <c r="H649" t="str">
        <v>9fed28b3-82cf-4afa-8e8d-952adf7a54a5</v>
      </c>
      <c r="I649" t="str">
        <v/>
      </c>
      <c r="L649" t="str">
        <v>C309CB7C-404D-431A-A8FB-29671DCA0C49</v>
      </c>
    </row>
    <row r="650" spans="1:12" x14ac:dyDescent="0.25">
      <c r="A650" t="str">
        <v>e0a48cf2-3e46-4fe0-b378-7068851486f0</v>
      </c>
      <c r="B650" t="str">
        <v>7889d1fa-15ab-4efe-af5b-f3c03fbef8b6</v>
      </c>
      <c r="C650" t="str">
        <v>Fan Repair</v>
      </c>
      <c r="D650" t="str">
        <v>B5CAA716-CA9B-47D4-85D4-9954ED4DBAD2</v>
      </c>
      <c r="E650" t="str">
        <v>2024-09-18</v>
      </c>
      <c r="F650" s="4">
        <v>2100</v>
      </c>
      <c r="G650" t="str">
        <v>5a2d799d-22a1-4e0a-b029-8031a1df6d56</v>
      </c>
      <c r="H650" t="str">
        <v>9fed28b3-82cf-4afa-8e8d-952adf7a54a5</v>
      </c>
      <c r="I650" t="str">
        <v/>
      </c>
      <c r="L650" t="str">
        <v>4c25a3b7-d112-4c46-aa9a-b2513a44f1b7</v>
      </c>
    </row>
    <row r="651" spans="1:12" x14ac:dyDescent="0.25">
      <c r="A651" t="str">
        <v>336a8fdd-12e9-4666-b3e9-11bc693b4bee</v>
      </c>
      <c r="B651" t="str">
        <v>9569d532-c9b8-45dd-9719-457fbef53d9a</v>
      </c>
      <c r="C651" t="str">
        <v>Modern Residence</v>
      </c>
      <c r="D651" t="str">
        <v>B59170EC-16CC-499A-9FF7-0428DCB8F727</v>
      </c>
      <c r="E651" t="str">
        <v>2024-09-01</v>
      </c>
      <c r="F651" s="4">
        <v>181950</v>
      </c>
      <c r="G651" t="str">
        <v>0790fb09-2de6-4ea3-a71c-58a007fc62a8</v>
      </c>
      <c r="H651" t="str">
        <v>9fed28b3-82cf-4afa-8e8d-952adf7a54a5</v>
      </c>
      <c r="I651" t="str">
        <v/>
      </c>
      <c r="L651" t="str">
        <v/>
      </c>
    </row>
    <row r="652" spans="1:12" x14ac:dyDescent="0.25">
      <c r="A652" t="str">
        <v>589dbdba-b269-413c-aece-5d2c616c2e8a</v>
      </c>
      <c r="B652" t="str">
        <v>faa2b90d-c93e-48df-b336-59e76f241404</v>
      </c>
      <c r="C652" t="str">
        <v>Kings Garden</v>
      </c>
      <c r="D652" t="str">
        <v>FEA4B88F-633F-4422-B3D6-250792A2DA80</v>
      </c>
      <c r="E652" t="str">
        <v>2024-08-01</v>
      </c>
      <c r="F652" s="4">
        <v>187859.8</v>
      </c>
      <c r="G652" t="str">
        <v>0790fb09-2de6-4ea3-a71c-58a007fc62a8</v>
      </c>
      <c r="H652" t="str">
        <v>9fed28b3-82cf-4afa-8e8d-952adf7a54a5</v>
      </c>
      <c r="I652" t="str">
        <v>1 6 30 2558</v>
      </c>
      <c r="L652" t="str">
        <v>C309CB7C-404D-431A-A8FB-29671DCA0C49</v>
      </c>
    </row>
    <row r="653" spans="1:12" x14ac:dyDescent="0.25">
      <c r="A653" t="str">
        <v>684e42f3-7912-48db-b577-9d9d2834f4de</v>
      </c>
      <c r="B653" t="str">
        <v>8E8E99BE-75FC-49EC-9D89-960E30E7CB06</v>
      </c>
      <c r="C653" t="str">
        <v>Kvareli Repair</v>
      </c>
      <c r="D653" t="str">
        <v>FEA4B88F-633F-4422-B3D6-250792A2DA80</v>
      </c>
      <c r="E653" t="str">
        <v>2024-07-01</v>
      </c>
      <c r="F653" s="4">
        <v>1800000</v>
      </c>
      <c r="G653" t="str">
        <v>5a2d799d-22a1-4e0a-b029-8031a1df6d56</v>
      </c>
      <c r="H653" t="str">
        <v>9fed28b3-82cf-4afa-8e8d-952adf7a54a5</v>
      </c>
      <c r="I653" t="str">
        <v>1 6 30 541 7</v>
      </c>
      <c r="L653" t="str">
        <v>C309CB7C-404D-431A-A8FB-29671DCA0C49</v>
      </c>
    </row>
    <row r="654" spans="1:12" x14ac:dyDescent="0.25">
      <c r="A654" t="str">
        <v>4edfbc43-de9a-40c4-a175-3a5160b26129</v>
      </c>
      <c r="B654" t="str">
        <v>7ae5b6db-73b8-444e-bdea-71062d3bda50</v>
      </c>
      <c r="C654" t="str">
        <v>DRY PORT GENSET</v>
      </c>
      <c r="D654" t="str">
        <v>FEA4B88F-633F-4422-B3D6-250792A2DA80</v>
      </c>
      <c r="E654" t="str">
        <v>2024-04-01</v>
      </c>
      <c r="F654" s="4">
        <v>63680</v>
      </c>
      <c r="G654" t="str">
        <v>4cfda3f2-535e-4b77-a467-eac9dc64feca</v>
      </c>
      <c r="H654" t="str">
        <v>9fed28b3-82cf-4afa-8e8d-952adf7a54a5</v>
      </c>
      <c r="I654" t="str">
        <v/>
      </c>
      <c r="L654" t="str">
        <v>C309CB7C-404D-431A-A8FB-29671DCA0C49</v>
      </c>
    </row>
    <row r="655" spans="1:12" x14ac:dyDescent="0.25">
      <c r="A655" t="str">
        <v>5d10339c-2bf9-4ed7-bb5d-af271377e5da</v>
      </c>
      <c r="B655" t="str">
        <v>1D6C190E-3037-4435-BF28-B1D43DC3432D</v>
      </c>
      <c r="C655" t="str">
        <v>2025 Spareparts</v>
      </c>
      <c r="D655" t="str">
        <v>B59170EC-16CC-499A-9FF7-0428DCB8F727</v>
      </c>
      <c r="E655" t="str">
        <v>2024-09-25</v>
      </c>
      <c r="F655" s="4">
        <v>41250</v>
      </c>
      <c r="G655" t="str">
        <v>0790fb09-2de6-4ea3-a71c-58a007fc62a8</v>
      </c>
      <c r="H655" t="str">
        <v>9fed28b3-82cf-4afa-8e8d-952adf7a54a5</v>
      </c>
      <c r="I655" t="str">
        <v/>
      </c>
      <c r="L655" t="str">
        <v>fd6be193-fd0d-47e3-96b1-e5a6e1948c27</v>
      </c>
    </row>
    <row r="656" spans="1:12" x14ac:dyDescent="0.25">
      <c r="A656" t="str">
        <v>897118e9-0e13-4b0f-9ece-1019e4706477</v>
      </c>
      <c r="B656" t="str">
        <v>9c7a8162-ce80-43e1-9033-ed354b64357d</v>
      </c>
      <c r="C656" t="str">
        <v>Ginger Gane</v>
      </c>
      <c r="D656" t="str">
        <v>B59170EC-16CC-499A-9FF7-0428DCB8F727</v>
      </c>
      <c r="E656" t="str">
        <v>2024-05-17</v>
      </c>
      <c r="F656" s="4">
        <v>8640</v>
      </c>
      <c r="G656" t="str">
        <v>0790fb09-2de6-4ea3-a71c-58a007fc62a8</v>
      </c>
      <c r="H656" t="str">
        <v>9fed28b3-82cf-4afa-8e8d-952adf7a54a5</v>
      </c>
      <c r="I656" t="str">
        <v/>
      </c>
      <c r="L656" t="str">
        <v/>
      </c>
    </row>
    <row r="657" spans="1:12" x14ac:dyDescent="0.25">
      <c r="A657" t="str">
        <v>49874021-2275-4952-b2ab-173fe2385788</v>
      </c>
      <c r="B657" t="str">
        <v>f7630583-8d8d-482e-800e-f264fb53a791</v>
      </c>
      <c r="C657" t="str">
        <v>Crown Plaza HVAC</v>
      </c>
      <c r="D657" t="str">
        <v>FEA4B88F-633F-4422-B3D6-250792A2DA80</v>
      </c>
      <c r="E657" t="str">
        <v>2024-11-05</v>
      </c>
      <c r="F657" s="4">
        <v>693840</v>
      </c>
      <c r="G657" t="str">
        <v>0790fb09-2de6-4ea3-a71c-58a007fc62a8</v>
      </c>
      <c r="H657" t="str">
        <v>9fed28b3-82cf-4afa-8e8d-952adf7a54a5</v>
      </c>
      <c r="I657" t="str">
        <v/>
      </c>
      <c r="L657" t="str">
        <v/>
      </c>
    </row>
    <row r="658" spans="1:12" x14ac:dyDescent="0.25">
      <c r="A658" t="str">
        <v>93d2092b-4021-4df4-a3eb-3dba0b157eae</v>
      </c>
      <c r="B658" t="str">
        <v>95213753-94b8-4d29-86ed-72b36302e472</v>
      </c>
      <c r="C658" t="str">
        <v>Kobuleti Garden Key</v>
      </c>
      <c r="D658" t="str">
        <v>B59170EC-16CC-499A-9FF7-0428DCB8F727</v>
      </c>
      <c r="E658" t="str">
        <v>2024-10-17</v>
      </c>
      <c r="F658" s="4">
        <v>52000</v>
      </c>
      <c r="G658" t="str">
        <v>0790fb09-2de6-4ea3-a71c-58a007fc62a8</v>
      </c>
      <c r="H658" t="str">
        <v>9fed28b3-82cf-4afa-8e8d-952adf7a54a5</v>
      </c>
      <c r="I658" t="str">
        <v/>
      </c>
      <c r="L658" t="str">
        <v>AD901E05-ADD9-42DE-89BA-4D9A21C89BCF</v>
      </c>
    </row>
    <row r="659" spans="1:12" x14ac:dyDescent="0.25">
      <c r="A659" t="str">
        <v>9ef4122a-07e1-41a6-9b9e-b496ab6bc865</v>
      </c>
      <c r="B659" t="str">
        <v>34369527-d51a-41ce-91af-eb81de271892</v>
      </c>
      <c r="C659" t="str">
        <v>Archi Digomi Installation</v>
      </c>
      <c r="D659" t="str">
        <v>B59170EC-16CC-499A-9FF7-0428DCB8F727</v>
      </c>
      <c r="E659" t="str">
        <v>2024-11-01</v>
      </c>
      <c r="F659" s="4">
        <v>131040</v>
      </c>
      <c r="G659" t="str">
        <v>0790fb09-2de6-4ea3-a71c-58a007fc62a8</v>
      </c>
      <c r="H659" t="str">
        <v>9fed28b3-82cf-4afa-8e8d-952adf7a54a5</v>
      </c>
      <c r="I659" t="str">
        <v>1 6 30 2732</v>
      </c>
      <c r="L659" t="str">
        <v/>
      </c>
    </row>
    <row r="660" spans="1:12" x14ac:dyDescent="0.25">
      <c r="A660" t="str">
        <v>a9639004-c58b-4243-bd5c-f81f8061e740</v>
      </c>
      <c r="B660" t="str">
        <v>5A21C207-4868-4EA6-9B48-5D0F743D5535</v>
      </c>
      <c r="C660" t="str">
        <v>Tegeta Chiller</v>
      </c>
      <c r="D660" t="str">
        <v>FEA4B88F-633F-4422-B3D6-250792A2DA80</v>
      </c>
      <c r="E660" t="str">
        <v>2024-06-26</v>
      </c>
      <c r="F660" s="4">
        <v>257240</v>
      </c>
      <c r="G660" t="str">
        <v>4cfda3f2-535e-4b77-a467-eac9dc64feca</v>
      </c>
      <c r="H660" t="str">
        <v>9fed28b3-82cf-4afa-8e8d-952adf7a54a5</v>
      </c>
      <c r="I660" t="str">
        <v>1 6 30 93</v>
      </c>
      <c r="L660" t="str">
        <v/>
      </c>
    </row>
    <row r="661" spans="1:12" x14ac:dyDescent="0.25">
      <c r="A661" t="str">
        <v>9caba3be-0508-4edb-bfbf-6ec2a5f33389</v>
      </c>
      <c r="B661" t="str">
        <v>a3d0a2c3-99a3-49c1-bfa4-351bf50bc2ca</v>
      </c>
      <c r="C661" t="str">
        <v>Tagi</v>
      </c>
      <c r="D661" t="str">
        <v>B59170EC-16CC-499A-9FF7-0428DCB8F727</v>
      </c>
      <c r="E661" t="str">
        <v>2024-11-11</v>
      </c>
      <c r="F661" s="4">
        <v>26750</v>
      </c>
      <c r="G661" t="str">
        <v>0790fb09-2de6-4ea3-a71c-58a007fc62a8</v>
      </c>
      <c r="H661" t="str">
        <v>9fed28b3-82cf-4afa-8e8d-952adf7a54a5</v>
      </c>
      <c r="I661" t="str">
        <v/>
      </c>
      <c r="L661" t="str">
        <v/>
      </c>
    </row>
    <row r="662" spans="1:12" x14ac:dyDescent="0.25">
      <c r="A662" t="str">
        <v>612db50b-afe9-4897-a0ee-10488cb1f6ee</v>
      </c>
      <c r="B662" t="str">
        <v>58bc2f80-d8e3-451f-a47d-a7bd05ff94be</v>
      </c>
      <c r="C662" t="str">
        <v>Ambassador Goderdzi</v>
      </c>
      <c r="D662" t="str">
        <v>FEA4B88F-633F-4422-B3D6-250792A2DA80</v>
      </c>
      <c r="E662" t="str">
        <v>2024-12-02</v>
      </c>
      <c r="F662" s="4">
        <v>43449.1</v>
      </c>
      <c r="G662" t="str">
        <v>0790fb09-2de6-4ea3-a71c-58a007fc62a8</v>
      </c>
      <c r="H662" t="str">
        <v>9fed28b3-82cf-4afa-8e8d-952adf7a54a5</v>
      </c>
      <c r="I662" t="str">
        <v>1 6 30 2589 2</v>
      </c>
      <c r="L662" t="str">
        <v>C309CB7C-404D-431A-A8FB-29671DCA0C49</v>
      </c>
    </row>
    <row r="663" spans="1:12" x14ac:dyDescent="0.25">
      <c r="A663" t="str">
        <v>b763ac1f-21a6-4815-ab20-f52e62b7c55c</v>
      </c>
      <c r="B663" t="str">
        <v>3fa873fb-3998-4756-b45f-2f6c3f9c48d7</v>
      </c>
      <c r="C663" t="str">
        <v>New Group Kavtaradze</v>
      </c>
      <c r="D663" t="str">
        <v>B59170EC-16CC-499A-9FF7-0428DCB8F727</v>
      </c>
      <c r="E663" t="str">
        <v>2024-12-01</v>
      </c>
      <c r="F663" s="4">
        <v>32000</v>
      </c>
      <c r="G663" t="str">
        <v>0790fb09-2de6-4ea3-a71c-58a007fc62a8</v>
      </c>
      <c r="H663" t="str">
        <v>9fed28b3-82cf-4afa-8e8d-952adf7a54a5</v>
      </c>
      <c r="I663" t="str">
        <v/>
      </c>
      <c r="L663" t="str">
        <v>4c25a3b7-d112-4c46-aa9a-b2513a44f1b7</v>
      </c>
    </row>
    <row r="664" spans="1:12" x14ac:dyDescent="0.25">
      <c r="A664" t="str">
        <v>adac254c-8de8-4cf6-aa2a-51205dfa9d4a</v>
      </c>
      <c r="B664" t="str">
        <v>28c83760-9609-45b5-ba2b-10af914dc649</v>
      </c>
      <c r="C664" t="str">
        <v>Compressors 2024</v>
      </c>
      <c r="D664" t="str">
        <v>FEA4B88F-633F-4422-B3D6-250792A2DA80</v>
      </c>
      <c r="E664" t="str">
        <v>2025-11-22</v>
      </c>
      <c r="F664" s="4">
        <v>6040</v>
      </c>
      <c r="G664" t="str">
        <v>0790fb09-2de6-4ea3-a71c-58a007fc62a8</v>
      </c>
      <c r="H664" t="str">
        <v>9fed28b3-82cf-4afa-8e8d-952adf7a54a5</v>
      </c>
      <c r="I664" t="str">
        <v/>
      </c>
      <c r="L664" t="str">
        <v>C309CB7C-404D-431A-A8FB-29671DCA0C49</v>
      </c>
    </row>
    <row r="665" spans="1:12" x14ac:dyDescent="0.25">
      <c r="A665" t="str">
        <v>fa663957-1afd-4a7d-bf1e-18f0811873fc</v>
      </c>
      <c r="B665" t="str">
        <v>ba94ed59-522c-4852-994c-130ef7e8cd30</v>
      </c>
      <c r="C665" t="str">
        <v>Kvareli Staff House</v>
      </c>
      <c r="D665" t="str">
        <v>FEA4B88F-633F-4422-B3D6-250792A2DA80</v>
      </c>
      <c r="E665" t="str">
        <v>2025-01-01</v>
      </c>
      <c r="F665" s="4">
        <v>169060</v>
      </c>
      <c r="G665" t="str">
        <v>0790fb09-2de6-4ea3-a71c-58a007fc62a8</v>
      </c>
      <c r="H665" t="str">
        <v>9fed28b3-82cf-4afa-8e8d-952adf7a54a5</v>
      </c>
      <c r="I665" t="str">
        <v/>
      </c>
      <c r="L665" t="str">
        <v/>
      </c>
    </row>
    <row r="666" spans="1:12" x14ac:dyDescent="0.25">
      <c r="A666" t="str">
        <v>bf8b7613-3fc4-44a9-80cf-70be3150709e</v>
      </c>
      <c r="B666" t="str">
        <v>3bfecaf0-3360-4369-b862-dba8e8888c72</v>
      </c>
      <c r="C666" t="str">
        <v>Kazbegi</v>
      </c>
      <c r="D666" t="str">
        <v>B59170EC-16CC-499A-9FF7-0428DCB8F727</v>
      </c>
      <c r="E666" t="str">
        <v>2025-01-01</v>
      </c>
      <c r="F666" s="4">
        <v>50000</v>
      </c>
      <c r="G666" t="str">
        <v>0790fb09-2de6-4ea3-a71c-58a007fc62a8</v>
      </c>
      <c r="H666" t="str">
        <v>9fed28b3-82cf-4afa-8e8d-952adf7a54a5</v>
      </c>
      <c r="I666" t="str">
        <v/>
      </c>
      <c r="L666" t="str">
        <v>4c25a3b7-d112-4c46-aa9a-b2513a44f1b7</v>
      </c>
    </row>
    <row r="667" spans="1:12" x14ac:dyDescent="0.25">
      <c r="A667" t="str">
        <v>a156beb2-3cfe-4186-b196-18f13dbc52fb</v>
      </c>
      <c r="B667" t="str">
        <v>43EABC78-AF64-4C14-9FEF-C7E6A1B6F07E</v>
      </c>
      <c r="C667" t="str">
        <v>Batumi Office Rent MEPPERS</v>
      </c>
      <c r="D667" t="str">
        <v>DB8A7407-60A7-468B-97C8-72D31D12D117</v>
      </c>
      <c r="E667" t="str">
        <v>2024-08-15</v>
      </c>
      <c r="F667" s="4">
        <v>2700</v>
      </c>
      <c r="G667" t="str">
        <v>0790fb09-2de6-4ea3-a71c-58a007fc62a8</v>
      </c>
      <c r="H667" t="str">
        <v>9fed28b3-82cf-4afa-8e8d-952adf7a54a5</v>
      </c>
      <c r="I667" t="str">
        <v/>
      </c>
      <c r="L667" t="str">
        <v/>
      </c>
    </row>
    <row r="668" spans="1:12" x14ac:dyDescent="0.25">
      <c r="A668" t="str">
        <v>55e48fbc-93f2-4b8e-819b-0e6675283ee0</v>
      </c>
      <c r="B668" t="str">
        <v>7B714BC6-6914-42A2-8E42-3565165F1489</v>
      </c>
      <c r="C668" t="str">
        <v>Batumi Office Rent CASA</v>
      </c>
      <c r="D668" t="str">
        <v>DB8A7407-60A7-468B-97C8-72D31D12D117</v>
      </c>
      <c r="E668" t="str">
        <v>2024-08-15</v>
      </c>
      <c r="F668" s="4">
        <v>500</v>
      </c>
      <c r="G668" t="str">
        <v>0790fb09-2de6-4ea3-a71c-58a007fc62a8</v>
      </c>
      <c r="H668" t="str">
        <v>9fed28b3-82cf-4afa-8e8d-952adf7a54a5</v>
      </c>
      <c r="I668" t="str">
        <v/>
      </c>
      <c r="L668" t="str">
        <v/>
      </c>
    </row>
    <row r="669" spans="1:12" x14ac:dyDescent="0.25">
      <c r="A669" t="str">
        <v>06a814a3-da5b-4022-b934-2030a6344726</v>
      </c>
      <c r="B669" t="str">
        <v>4ae41a6d-ac3e-44e2-bd81-442223e3d5e8</v>
      </c>
      <c r="C669" t="str">
        <v>Compact Mukhiani</v>
      </c>
      <c r="D669" t="str">
        <v>B59170EC-16CC-499A-9FF7-0428DCB8F727</v>
      </c>
      <c r="E669" t="str">
        <v>2025-01-17</v>
      </c>
      <c r="F669" s="4">
        <v>30510</v>
      </c>
      <c r="G669" t="str">
        <v>0790fb09-2de6-4ea3-a71c-58a007fc62a8</v>
      </c>
      <c r="H669" t="str">
        <v>9fed28b3-82cf-4afa-8e8d-952adf7a54a5</v>
      </c>
      <c r="I669" t="str">
        <v>1 6 30 2667</v>
      </c>
      <c r="L669" t="str">
        <v/>
      </c>
    </row>
    <row r="670" spans="1:12" x14ac:dyDescent="0.25">
      <c r="A670" t="str">
        <v>1f331018-ef65-4dbf-8121-94414670b98f</v>
      </c>
      <c r="B670" t="str">
        <v>2aa423e9-6a2d-4193-b467-03bdf7da3a0c</v>
      </c>
      <c r="C670" t="str">
        <v>Buttons</v>
      </c>
      <c r="D670" t="str">
        <v>C491BFF3-6F7B-4412-9DF0-EAED6F3EE238</v>
      </c>
      <c r="E670" t="str">
        <v>2025-01-01</v>
      </c>
      <c r="F670" s="4">
        <v>115</v>
      </c>
      <c r="G670" t="str">
        <v>0790fb09-2de6-4ea3-a71c-58a007fc62a8</v>
      </c>
      <c r="H670" t="str">
        <v>9fed28b3-82cf-4afa-8e8d-952adf7a54a5</v>
      </c>
      <c r="I670" t="str">
        <v/>
      </c>
      <c r="L670" t="str">
        <v>fd6be193-fd0d-47e3-96b1-e5a6e1948c27</v>
      </c>
    </row>
    <row r="671" spans="1:12" x14ac:dyDescent="0.25">
      <c r="A671" t="str">
        <v>442d6392-f8f0-4503-b007-fc28df392923</v>
      </c>
      <c r="B671" t="str">
        <v>953399c4-7628-4f67-a268-fd36c0a59459</v>
      </c>
      <c r="C671" t="str">
        <v>Kvareli Marani</v>
      </c>
      <c r="D671" t="str">
        <v>12238130-9D12-4099-A48B-9EB5A085E0F8</v>
      </c>
      <c r="E671" t="str">
        <v>2024-12-01</v>
      </c>
      <c r="F671" s="4">
        <v>200</v>
      </c>
      <c r="G671" t="str">
        <v>0790fb09-2de6-4ea3-a71c-58a007fc62a8</v>
      </c>
      <c r="H671" t="str">
        <v>9fed28b3-82cf-4afa-8e8d-952adf7a54a5</v>
      </c>
      <c r="I671" t="str">
        <v/>
      </c>
      <c r="L671" t="str">
        <v>fd6be193-fd0d-47e3-96b1-e5a6e1948c27</v>
      </c>
    </row>
    <row r="672" spans="1:12" x14ac:dyDescent="0.25">
      <c r="A672" t="str">
        <v>c6134fba-9c49-4b8e-98f1-17ed5de5456b</v>
      </c>
      <c r="B672" t="str">
        <v>43EABC78-AF64-4C14-9FEF-C7E6A1B6F07E</v>
      </c>
      <c r="C672" t="str">
        <v>Hampton Unloading</v>
      </c>
      <c r="D672" t="str">
        <v>C491BFF3-6F7B-4412-9DF0-EAED6F3EE238</v>
      </c>
      <c r="E672" t="str">
        <v>2025-01-01</v>
      </c>
      <c r="F672" s="4">
        <v>1700</v>
      </c>
      <c r="G672" t="str">
        <v>5a2d799d-22a1-4e0a-b029-8031a1df6d56</v>
      </c>
      <c r="H672" t="str">
        <v>9fed28b3-82cf-4afa-8e8d-952adf7a54a5</v>
      </c>
      <c r="I672" t="str">
        <v/>
      </c>
      <c r="L672" t="str">
        <v/>
      </c>
    </row>
    <row r="673" spans="1:12" x14ac:dyDescent="0.25">
      <c r="A673" t="str">
        <v>a7180120-519b-4c0c-9eed-bf3eb90a8f85</v>
      </c>
      <c r="B673" t="str">
        <v>43EABC78-AF64-4C14-9FEF-C7E6A1B6F07E</v>
      </c>
      <c r="C673" t="str">
        <v>Hampton</v>
      </c>
      <c r="D673" t="str">
        <v>B59170EC-16CC-499A-9FF7-0428DCB8F727</v>
      </c>
      <c r="E673" t="str">
        <v>2025-01-01</v>
      </c>
      <c r="F673" s="4">
        <v>15000</v>
      </c>
      <c r="G673" t="str">
        <v>0790fb09-2de6-4ea3-a71c-58a007fc62a8</v>
      </c>
      <c r="H673" t="str">
        <v>9fed28b3-82cf-4afa-8e8d-952adf7a54a5</v>
      </c>
      <c r="I673" t="str">
        <v>1 6 30 1148</v>
      </c>
      <c r="L673" t="str">
        <v/>
      </c>
    </row>
    <row r="674" spans="1:12" x14ac:dyDescent="0.25">
      <c r="A674" t="str">
        <v>2a95e52d-a73e-43c7-af46-577e4425d9b9</v>
      </c>
      <c r="B674" t="str">
        <v>d4b3ff47-1d44-4a70-9d35-770289d93de1</v>
      </c>
      <c r="C674" t="str">
        <v>Lisi Veranda 8 Unloading</v>
      </c>
      <c r="D674" t="str">
        <v>B59170EC-16CC-499A-9FF7-0428DCB8F727</v>
      </c>
      <c r="E674" t="str">
        <v>2025-01-01</v>
      </c>
      <c r="F674" s="4">
        <v>3500</v>
      </c>
      <c r="G674" t="str">
        <v>5a2d799d-22a1-4e0a-b029-8031a1df6d56</v>
      </c>
      <c r="H674" t="str">
        <v>9fed28b3-82cf-4afa-8e8d-952adf7a54a5</v>
      </c>
      <c r="I674" t="str">
        <v/>
      </c>
      <c r="L674" t="str">
        <v/>
      </c>
    </row>
    <row r="675" spans="1:12" x14ac:dyDescent="0.25">
      <c r="A675" t="str">
        <v>ff4b548c-b47c-423b-96fc-755c9e0df9c1</v>
      </c>
      <c r="B675" t="str">
        <v>ced534c2-b8b9-43c9-9746-b763c50283d2</v>
      </c>
      <c r="C675" t="str">
        <v>EastPoint Chiller</v>
      </c>
      <c r="D675" t="str">
        <v>FEA4B88F-633F-4422-B3D6-250792A2DA80</v>
      </c>
      <c r="E675" t="str">
        <v>2024-12-12</v>
      </c>
      <c r="F675" s="4">
        <v>596100.6</v>
      </c>
      <c r="G675" t="str">
        <v>4cfda3f2-535e-4b77-a467-eac9dc64feca</v>
      </c>
      <c r="H675" t="str">
        <v>9fed28b3-82cf-4afa-8e8d-952adf7a54a5</v>
      </c>
      <c r="I675" t="str">
        <v/>
      </c>
      <c r="L675" t="str">
        <v>C309CB7C-404D-431A-A8FB-29671DCA0C49</v>
      </c>
    </row>
    <row r="676" spans="1:12" x14ac:dyDescent="0.25">
      <c r="A676" t="str">
        <v>5bbb243b-d772-41d9-ac5b-400c1e7b2673</v>
      </c>
      <c r="B676" t="str">
        <v>3a545140-2831-4b72-ac09-50b44ee6c21d</v>
      </c>
      <c r="C676" t="str">
        <v>Sunrise Palace</v>
      </c>
      <c r="D676" t="str">
        <v>B59170EC-16CC-499A-9FF7-0428DCB8F727</v>
      </c>
      <c r="E676" t="str">
        <v>2024-11-06</v>
      </c>
      <c r="F676" s="4">
        <v>664000</v>
      </c>
      <c r="G676" t="str">
        <v>0790fb09-2de6-4ea3-a71c-58a007fc62a8</v>
      </c>
      <c r="H676" t="str">
        <v>9fed28b3-82cf-4afa-8e8d-952adf7a54a5</v>
      </c>
      <c r="I676" t="str">
        <v/>
      </c>
      <c r="L676" t="str">
        <v/>
      </c>
    </row>
    <row r="677" spans="1:12" x14ac:dyDescent="0.25">
      <c r="A677" t="str">
        <v>4e3be3fc-fc98-490b-bb3a-cf4d1eb35df5</v>
      </c>
      <c r="B677" t="str">
        <v>4038f9e4-505c-4f44-8ad5-e23fbb2e1cc8</v>
      </c>
      <c r="C677" t="str">
        <v>Sandro Euli</v>
      </c>
      <c r="D677" t="str">
        <v>B59170EC-16CC-499A-9FF7-0428DCB8F727</v>
      </c>
      <c r="E677" t="str">
        <v>2024-09-10</v>
      </c>
      <c r="F677" s="4">
        <v>65640</v>
      </c>
      <c r="G677" t="str">
        <v>0790fb09-2de6-4ea3-a71c-58a007fc62a8</v>
      </c>
      <c r="H677" t="str">
        <v>9fed28b3-82cf-4afa-8e8d-952adf7a54a5</v>
      </c>
      <c r="I677" t="str">
        <v/>
      </c>
      <c r="L677" t="str">
        <v/>
      </c>
    </row>
    <row r="678" spans="1:12" x14ac:dyDescent="0.25">
      <c r="A678" t="str">
        <v>fd52dbce-dc49-4d84-94c3-3dcf9801ff1b</v>
      </c>
      <c r="B678" t="str">
        <v>d913e4c2-ee1a-4516-9da9-24ab80e6bae7</v>
      </c>
      <c r="C678" t="str">
        <v>Crown Plaza</v>
      </c>
      <c r="D678" t="str">
        <v>FEA4B88F-633F-4422-B3D6-250792A2DA80</v>
      </c>
      <c r="E678" t="str">
        <v>2024-11-05</v>
      </c>
      <c r="F678" s="4">
        <v>693840</v>
      </c>
      <c r="G678" t="str">
        <v>4cfda3f2-535e-4b77-a467-eac9dc64feca</v>
      </c>
      <c r="H678" t="str">
        <v>9fed28b3-82cf-4afa-8e8d-952adf7a54a5</v>
      </c>
      <c r="I678" t="str">
        <v>1 6 30 2625</v>
      </c>
      <c r="L678" t="str">
        <v/>
      </c>
    </row>
    <row r="679" spans="1:12" x14ac:dyDescent="0.25">
      <c r="A679" t="str">
        <v>72df828f-338b-4a61-857e-41d75526cba4</v>
      </c>
      <c r="B679" t="str">
        <v>fc76d846-a1a8-4d93-8907-16b776e3004b</v>
      </c>
      <c r="C679" t="str">
        <v>Golden Beach Kvariati</v>
      </c>
      <c r="D679" t="str">
        <v>B59170EC-16CC-499A-9FF7-0428DCB8F727</v>
      </c>
      <c r="E679" t="str">
        <v>2024-06-20</v>
      </c>
      <c r="F679" s="4">
        <v>104000</v>
      </c>
      <c r="G679" t="str">
        <v>0790fb09-2de6-4ea3-a71c-58a007fc62a8</v>
      </c>
      <c r="H679" t="str">
        <v>9fed28b3-82cf-4afa-8e8d-952adf7a54a5</v>
      </c>
      <c r="I679" t="str">
        <v/>
      </c>
      <c r="L679" t="str">
        <v/>
      </c>
    </row>
    <row r="680" spans="1:12" x14ac:dyDescent="0.25">
      <c r="A680" t="str">
        <v>d5fe337b-7c64-4cd2-b394-3fd25464e5e2</v>
      </c>
      <c r="B680" t="str">
        <v>5A21C207-4868-4EA6-9B48-5D0F743D5535</v>
      </c>
      <c r="C680" t="str">
        <v>Tegeta AHU</v>
      </c>
      <c r="D680" t="str">
        <v>FEA4B88F-633F-4422-B3D6-250792A2DA80</v>
      </c>
      <c r="E680" t="str">
        <v>2024-07-16</v>
      </c>
      <c r="F680" s="4">
        <v>164800</v>
      </c>
      <c r="G680" t="str">
        <v>4cfda3f2-535e-4b77-a467-eac9dc64feca</v>
      </c>
      <c r="H680" t="str">
        <v>9fed28b3-82cf-4afa-8e8d-952adf7a54a5</v>
      </c>
      <c r="I680" t="str">
        <v>1 6 30 93</v>
      </c>
      <c r="L680" t="str">
        <v/>
      </c>
    </row>
    <row r="681" spans="1:12" x14ac:dyDescent="0.25">
      <c r="A681" t="str">
        <v>9f2640f3-ae0c-49f8-9061-1ced93783d1b</v>
      </c>
      <c r="B681" t="str">
        <v>36746e69-7093-4ed4-ab56-8af69b3f9839</v>
      </c>
      <c r="C681" t="str">
        <v>Ibis Tbilisi Airport</v>
      </c>
      <c r="D681" t="str">
        <v>12238130-9D12-4099-A48B-9EB5A085E0F8</v>
      </c>
      <c r="E681" t="str">
        <v>2024-11-01</v>
      </c>
      <c r="F681" s="4">
        <v>450</v>
      </c>
      <c r="G681" t="str">
        <v>0790fb09-2de6-4ea3-a71c-58a007fc62a8</v>
      </c>
      <c r="H681" t="str">
        <v>9fed28b3-82cf-4afa-8e8d-952adf7a54a5</v>
      </c>
      <c r="I681" t="str">
        <v/>
      </c>
      <c r="L681" t="str">
        <v/>
      </c>
    </row>
    <row r="682" spans="1:12" x14ac:dyDescent="0.25">
      <c r="A682" t="str">
        <v>600f100b-fe10-471e-90a9-5bc7931d086f</v>
      </c>
      <c r="B682" t="str">
        <v>2A9CB749-334E-4076-9125-B73DD63C7D94</v>
      </c>
      <c r="C682" t="str">
        <v>Aparthotel Service</v>
      </c>
      <c r="D682" t="str">
        <v>C491BFF3-6F7B-4412-9DF0-EAED6F3EE238</v>
      </c>
      <c r="E682" t="str">
        <v>2024-10-25</v>
      </c>
      <c r="F682" s="4">
        <v>760</v>
      </c>
      <c r="G682" t="str">
        <v>0790fb09-2de6-4ea3-a71c-58a007fc62a8</v>
      </c>
      <c r="H682" t="str">
        <v>2adb3689-90cd-4ae8-832d-be7cc1a11029</v>
      </c>
      <c r="I682" t="str">
        <v/>
      </c>
      <c r="L682" t="str">
        <v/>
      </c>
    </row>
    <row r="683" spans="1:12" x14ac:dyDescent="0.25">
      <c r="A683" t="str">
        <v>25a7bb25-b2f6-4465-93ed-f0906f277c70</v>
      </c>
      <c r="B683" t="str">
        <v>4c5156a1-1518-4887-a947-d3dd8dde5f77</v>
      </c>
      <c r="C683" t="str">
        <v>Batumi Cafe Central</v>
      </c>
      <c r="D683" t="str">
        <v>12238130-9D12-4099-A48B-9EB5A085E0F8</v>
      </c>
      <c r="E683" t="str">
        <v>2024-07-01</v>
      </c>
      <c r="F683" s="4">
        <v>300</v>
      </c>
      <c r="G683" t="str">
        <v>5a2d799d-22a1-4e0a-b029-8031a1df6d56</v>
      </c>
      <c r="H683" t="str">
        <v>9fed28b3-82cf-4afa-8e8d-952adf7a54a5</v>
      </c>
      <c r="I683" t="str">
        <v>1 6 31 2559</v>
      </c>
      <c r="L683" t="str">
        <v/>
      </c>
    </row>
    <row r="684" spans="1:12" x14ac:dyDescent="0.25">
      <c r="A684" t="str">
        <v>5ba10e73-ad9a-41dc-99a7-2d0d2442a590</v>
      </c>
      <c r="B684" t="str">
        <v>25ed3d2c-1cba-476c-8eae-fd1f2a53c252</v>
      </c>
      <c r="C684" t="str">
        <v>Mitsubisi Vasilieva</v>
      </c>
      <c r="D684" t="str">
        <v>C491BFF3-6F7B-4412-9DF0-EAED6F3EE238</v>
      </c>
      <c r="E684" t="str">
        <v>2024-11-29</v>
      </c>
      <c r="F684" s="4">
        <v>1900</v>
      </c>
      <c r="G684" t="str">
        <v>5a2d799d-22a1-4e0a-b029-8031a1df6d56</v>
      </c>
      <c r="H684" t="str">
        <v>2adb3689-90cd-4ae8-832d-be7cc1a11029</v>
      </c>
      <c r="I684" t="str">
        <v/>
      </c>
      <c r="L684" t="str">
        <v/>
      </c>
    </row>
    <row r="685" spans="1:12" x14ac:dyDescent="0.25">
      <c r="A685" t="str">
        <v>a2e3f215-3821-413c-986a-762d210a2b0c</v>
      </c>
      <c r="B685" t="str">
        <v>ec6f69d6-60bd-4f09-920e-1d59a669cda0</v>
      </c>
      <c r="C685" t="str">
        <v>Multisplit</v>
      </c>
      <c r="D685" t="str">
        <v>FEA4B88F-633F-4422-B3D6-250792A2DA80</v>
      </c>
      <c r="E685" t="str">
        <v>2024-11-25</v>
      </c>
      <c r="F685" s="4">
        <v>2850</v>
      </c>
      <c r="G685" t="str">
        <v>5a2d799d-22a1-4e0a-b029-8031a1df6d56</v>
      </c>
      <c r="H685" t="str">
        <v>2adb3689-90cd-4ae8-832d-be7cc1a11029</v>
      </c>
      <c r="I685" t="str">
        <v/>
      </c>
      <c r="L685" t="str">
        <v/>
      </c>
    </row>
    <row r="686" spans="1:12" x14ac:dyDescent="0.25">
      <c r="A686" t="str">
        <v>92925da9-ca4e-467c-996d-6feda3590026</v>
      </c>
      <c r="B686" t="str">
        <v>A5C53B51-103C-4B24-B833-6653108CDE4E</v>
      </c>
      <c r="C686" t="str">
        <v>Service Irakli Kirtshkhalia</v>
      </c>
      <c r="D686" t="str">
        <v>12238130-9D12-4099-A48B-9EB5A085E0F8</v>
      </c>
      <c r="E686" t="str">
        <v>2023-05-01</v>
      </c>
      <c r="F686" s="4">
        <v>250</v>
      </c>
      <c r="G686" t="str">
        <v>5a2d799d-22a1-4e0a-b029-8031a1df6d56</v>
      </c>
      <c r="H686" t="str">
        <v>9fed28b3-82cf-4afa-8e8d-952adf7a54a5</v>
      </c>
      <c r="I686" t="str">
        <v/>
      </c>
      <c r="L686" t="str">
        <v/>
      </c>
    </row>
    <row r="687" spans="1:12" x14ac:dyDescent="0.25">
      <c r="A687" t="str">
        <v>667cb813-7b0b-44fb-b185-d5b8ae40dab8</v>
      </c>
      <c r="B687" t="str">
        <v>c53753f4-3fee-4509-82e2-dfcb32ff825f</v>
      </c>
      <c r="C687" t="str">
        <v>Air Conditioner</v>
      </c>
      <c r="D687" t="str">
        <v>FEA4B88F-633F-4422-B3D6-250792A2DA80</v>
      </c>
      <c r="E687" t="str">
        <v>2024-10-16</v>
      </c>
      <c r="F687" s="4">
        <v>4716</v>
      </c>
      <c r="G687" t="str">
        <v>5a2d799d-22a1-4e0a-b029-8031a1df6d56</v>
      </c>
      <c r="H687" t="str">
        <v>2adb3689-90cd-4ae8-832d-be7cc1a11029</v>
      </c>
      <c r="I687" t="str">
        <v/>
      </c>
      <c r="L687" t="str">
        <v/>
      </c>
    </row>
    <row r="688" spans="1:12" x14ac:dyDescent="0.25">
      <c r="A688" t="str">
        <v>4b812a0f-4a6a-4130-875a-66dedb91ad2a</v>
      </c>
      <c r="B688" t="str">
        <v>916786e4-622b-4979-9435-ffc68150e8f4</v>
      </c>
      <c r="C688" t="str">
        <v>Conditioner blocks</v>
      </c>
      <c r="D688" t="str">
        <v>FEA4B88F-633F-4422-B3D6-250792A2DA80</v>
      </c>
      <c r="E688" t="str">
        <v>2024-09-24</v>
      </c>
      <c r="F688" s="4">
        <v>1900</v>
      </c>
      <c r="G688" t="str">
        <v>5a2d799d-22a1-4e0a-b029-8031a1df6d56</v>
      </c>
      <c r="H688" t="str">
        <v>2adb3689-90cd-4ae8-832d-be7cc1a11029</v>
      </c>
      <c r="I688" t="str">
        <v/>
      </c>
      <c r="L688" t="str">
        <v/>
      </c>
    </row>
    <row r="689" spans="1:12" x14ac:dyDescent="0.25">
      <c r="A689" t="str">
        <v>3d1a5e81-49a0-4a46-a477-a230ab0cc121</v>
      </c>
      <c r="B689" t="str">
        <v>8c40516d-0520-49f4-95b0-284c72b0f0b5</v>
      </c>
      <c r="C689" t="str">
        <v>Qurcadze Parts</v>
      </c>
      <c r="D689" t="str">
        <v>FEA4B88F-633F-4422-B3D6-250792A2DA80</v>
      </c>
      <c r="E689" t="str">
        <v>2024-07-16</v>
      </c>
      <c r="F689" s="4">
        <v>950</v>
      </c>
      <c r="G689" t="str">
        <v>5a2d799d-22a1-4e0a-b029-8031a1df6d56</v>
      </c>
      <c r="H689" t="str">
        <v>2adb3689-90cd-4ae8-832d-be7cc1a11029</v>
      </c>
      <c r="I689" t="str">
        <v/>
      </c>
      <c r="L689" t="str">
        <v/>
      </c>
    </row>
    <row r="690" spans="1:12" x14ac:dyDescent="0.25">
      <c r="A690" t="str">
        <v>81c84c3c-2de9-4ebb-b541-575d248507ae</v>
      </c>
      <c r="B690" t="str">
        <v>dc3cae98-45f9-4145-a8f4-a64c90b8f55c</v>
      </c>
      <c r="C690" t="str">
        <v>Kontridze Split</v>
      </c>
      <c r="D690" t="str">
        <v>FEA4B88F-633F-4422-B3D6-250792A2DA80</v>
      </c>
      <c r="E690" t="str">
        <v>2024-07-12</v>
      </c>
      <c r="F690" s="4">
        <v>500</v>
      </c>
      <c r="G690" t="str">
        <v>5a2d799d-22a1-4e0a-b029-8031a1df6d56</v>
      </c>
      <c r="H690" t="str">
        <v>2adb3689-90cd-4ae8-832d-be7cc1a11029</v>
      </c>
      <c r="I690" t="str">
        <v/>
      </c>
      <c r="L690" t="str">
        <v/>
      </c>
    </row>
    <row r="691" spans="1:12" x14ac:dyDescent="0.25">
      <c r="A691" t="str">
        <v>d6364fde-a9a4-4772-bdbd-d788e5769c30</v>
      </c>
      <c r="B691" t="str">
        <v>63601b77-5c6b-4658-93d6-f7a4c3f631f5</v>
      </c>
      <c r="C691" t="str">
        <v xml:space="preserve">Lomidze Conditioner </v>
      </c>
      <c r="D691" t="str">
        <v>FEA4B88F-633F-4422-B3D6-250792A2DA80</v>
      </c>
      <c r="E691" t="str">
        <v>2024-06-01</v>
      </c>
      <c r="F691" s="4">
        <v>1300</v>
      </c>
      <c r="G691" t="str">
        <v>5a2d799d-22a1-4e0a-b029-8031a1df6d56</v>
      </c>
      <c r="H691" t="str">
        <v>2adb3689-90cd-4ae8-832d-be7cc1a11029</v>
      </c>
      <c r="I691" t="str">
        <v/>
      </c>
      <c r="L691" t="str">
        <v/>
      </c>
    </row>
    <row r="692" spans="1:12" x14ac:dyDescent="0.25">
      <c r="A692" t="str">
        <v>c9abade1-3a48-479d-b73f-dd6be570c0a0</v>
      </c>
      <c r="B692" t="str">
        <v>c91361e4-ec0c-4725-80c8-1e254f632013</v>
      </c>
      <c r="C692" t="str">
        <v>Chavchavadze Oth</v>
      </c>
      <c r="D692" t="str">
        <v>FEA4B88F-633F-4422-B3D6-250792A2DA80</v>
      </c>
      <c r="E692" t="str">
        <v>2024-06-17</v>
      </c>
      <c r="F692" s="4">
        <v>1850</v>
      </c>
      <c r="G692" t="str">
        <v>5a2d799d-22a1-4e0a-b029-8031a1df6d56</v>
      </c>
      <c r="H692" t="str">
        <v>2adb3689-90cd-4ae8-832d-be7cc1a11029</v>
      </c>
      <c r="I692" t="str">
        <v/>
      </c>
      <c r="L692" t="str">
        <v/>
      </c>
    </row>
    <row r="693" spans="1:12" x14ac:dyDescent="0.25">
      <c r="A693" t="str">
        <v>e7fd2ddd-f62d-4635-9468-df10b5448af4</v>
      </c>
      <c r="B693" t="str">
        <v>275718ac-94f6-47c6-a5da-540dbf2eeb2c</v>
      </c>
      <c r="C693" t="str">
        <v>Gogotishvili Oth</v>
      </c>
      <c r="D693" t="str">
        <v>FEA4B88F-633F-4422-B3D6-250792A2DA80</v>
      </c>
      <c r="E693" t="str">
        <v>2024-06-13</v>
      </c>
      <c r="F693" s="4">
        <v>1900</v>
      </c>
      <c r="G693" t="str">
        <v>5a2d799d-22a1-4e0a-b029-8031a1df6d56</v>
      </c>
      <c r="H693" t="str">
        <v>2adb3689-90cd-4ae8-832d-be7cc1a11029</v>
      </c>
      <c r="I693" t="str">
        <v/>
      </c>
      <c r="L693" t="str">
        <v/>
      </c>
    </row>
    <row r="694" spans="1:12" x14ac:dyDescent="0.25">
      <c r="A694" t="str">
        <v>79500bdf-aec6-4255-8105-31d05c0ca9a4</v>
      </c>
      <c r="B694" t="str">
        <v>f3499ead-c0cd-4154-a2c6-5b9c9d204474</v>
      </c>
      <c r="C694" t="str">
        <v>Gagua Oth</v>
      </c>
      <c r="D694" t="str">
        <v>FEA4B88F-633F-4422-B3D6-250792A2DA80</v>
      </c>
      <c r="E694" t="str">
        <v>2024-05-24</v>
      </c>
      <c r="F694" s="4">
        <v>8500</v>
      </c>
      <c r="G694" t="str">
        <v>5a2d799d-22a1-4e0a-b029-8031a1df6d56</v>
      </c>
      <c r="H694" t="str">
        <v>2adb3689-90cd-4ae8-832d-be7cc1a11029</v>
      </c>
      <c r="I694" t="str">
        <v/>
      </c>
      <c r="L694" t="str">
        <v/>
      </c>
    </row>
    <row r="695" spans="1:12" x14ac:dyDescent="0.25">
      <c r="A695" t="str">
        <v>f26f4e6a-f817-4b50-93e7-0f8c69aabd74</v>
      </c>
      <c r="B695" t="str">
        <v>cfff9008-ad7c-4c3a-b342-795a737c1c84</v>
      </c>
      <c r="C695" t="str">
        <v>Vekua Oth</v>
      </c>
      <c r="D695" t="str">
        <v>FEA4B88F-633F-4422-B3D6-250792A2DA80</v>
      </c>
      <c r="E695" t="str">
        <v>2024-05-15</v>
      </c>
      <c r="F695" s="4">
        <v>2450</v>
      </c>
      <c r="G695" t="str">
        <v>5a2d799d-22a1-4e0a-b029-8031a1df6d56</v>
      </c>
      <c r="H695" t="str">
        <v>2adb3689-90cd-4ae8-832d-be7cc1a11029</v>
      </c>
      <c r="I695" t="str">
        <v/>
      </c>
      <c r="L695" t="str">
        <v/>
      </c>
    </row>
    <row r="696" spans="1:12" x14ac:dyDescent="0.25">
      <c r="A696" t="str">
        <v>c7c47b8c-a05b-4f2f-89f5-5fcc2dca9f16</v>
      </c>
      <c r="B696" t="str">
        <v>1a8d434a-1520-44e9-8b1d-c20c8449a0a8</v>
      </c>
      <c r="C696" t="str">
        <v>Nasidze 20</v>
      </c>
      <c r="D696" t="str">
        <v>12238130-9D12-4099-A48B-9EB5A085E0F8</v>
      </c>
      <c r="E696" t="str">
        <v>2024-01-01</v>
      </c>
      <c r="F696" s="4">
        <v>200</v>
      </c>
      <c r="G696" t="str">
        <v>5a2d799d-22a1-4e0a-b029-8031a1df6d56</v>
      </c>
      <c r="H696" t="str">
        <v>9fed28b3-82cf-4afa-8e8d-952adf7a54a5</v>
      </c>
      <c r="I696" t="str">
        <v/>
      </c>
      <c r="L696" t="str">
        <v/>
      </c>
    </row>
    <row r="697" spans="1:12" x14ac:dyDescent="0.25">
      <c r="A697" t="str">
        <v>2658b30e-b80e-4dec-aeee-e91877237b23</v>
      </c>
      <c r="B697" t="str">
        <v>ed6e30dd-59f8-433f-88b0-69d6dd5dea41</v>
      </c>
      <c r="C697" t="str">
        <v>Gagnidze Oth</v>
      </c>
      <c r="D697" t="str">
        <v>FEA4B88F-633F-4422-B3D6-250792A2DA80</v>
      </c>
      <c r="E697" t="str">
        <v>2024-11-01</v>
      </c>
      <c r="F697" s="4">
        <v>2850</v>
      </c>
      <c r="G697" t="str">
        <v>5a2d799d-22a1-4e0a-b029-8031a1df6d56</v>
      </c>
      <c r="H697" t="str">
        <v>2adb3689-90cd-4ae8-832d-be7cc1a11029</v>
      </c>
      <c r="I697" t="str">
        <v/>
      </c>
      <c r="L697" t="str">
        <v/>
      </c>
    </row>
    <row r="698" spans="1:12" x14ac:dyDescent="0.25">
      <c r="A698" t="str">
        <v>a2c64723-d22e-4f0c-8840-a93aa06d97f3</v>
      </c>
      <c r="B698" t="str">
        <v>9aae924c-d530-4bd0-9c1d-c0555fe1bdd8</v>
      </c>
      <c r="C698" t="str">
        <v>Mammadova Oth</v>
      </c>
      <c r="D698" t="str">
        <v>FEA4B88F-633F-4422-B3D6-250792A2DA80</v>
      </c>
      <c r="E698" t="str">
        <v>2023-12-12</v>
      </c>
      <c r="F698" s="4">
        <v>4948</v>
      </c>
      <c r="G698" t="str">
        <v>0790fb09-2de6-4ea3-a71c-58a007fc62a8</v>
      </c>
      <c r="H698" t="str">
        <v>2adb3689-90cd-4ae8-832d-be7cc1a11029</v>
      </c>
      <c r="I698" t="str">
        <v/>
      </c>
      <c r="L698" t="str">
        <v/>
      </c>
    </row>
    <row r="699" spans="1:12" x14ac:dyDescent="0.25">
      <c r="A699" t="str">
        <v>65a40d34-cef1-44cd-a2af-fc14354579ea</v>
      </c>
      <c r="B699" t="str">
        <v>d5f876ea-2681-46c7-a28a-16055c6346cf</v>
      </c>
      <c r="C699" t="str">
        <v>Beridze Multisplit</v>
      </c>
      <c r="D699" t="str">
        <v>FEA4B88F-633F-4422-B3D6-250792A2DA80</v>
      </c>
      <c r="E699" t="str">
        <v>2023-06-07</v>
      </c>
      <c r="F699" s="4">
        <v>4919</v>
      </c>
      <c r="G699" t="str">
        <v>0790fb09-2de6-4ea3-a71c-58a007fc62a8</v>
      </c>
      <c r="H699" t="str">
        <v>2adb3689-90cd-4ae8-832d-be7cc1a11029</v>
      </c>
      <c r="I699" t="str">
        <v/>
      </c>
      <c r="L699" t="str">
        <v/>
      </c>
    </row>
    <row r="700" spans="1:12" x14ac:dyDescent="0.25">
      <c r="A700" t="str">
        <v>d813cda0-13c5-499b-9e42-9b0f68330eb9</v>
      </c>
      <c r="B700" t="str">
        <v>b95f7c20-be12-4f5e-866c-2f3c5afe26f4</v>
      </c>
      <c r="C700" t="str">
        <v>Kikutadze Conditioner</v>
      </c>
      <c r="D700" t="str">
        <v>FEA4B88F-633F-4422-B3D6-250792A2DA80</v>
      </c>
      <c r="E700" t="str">
        <v>2023-08-21</v>
      </c>
      <c r="F700" s="4">
        <v>2230</v>
      </c>
      <c r="G700" t="str">
        <v>5a2d799d-22a1-4e0a-b029-8031a1df6d56</v>
      </c>
      <c r="H700" t="str">
        <v>2adb3689-90cd-4ae8-832d-be7cc1a11029</v>
      </c>
      <c r="I700" t="str">
        <v/>
      </c>
      <c r="L700" t="str">
        <v/>
      </c>
    </row>
    <row r="701" spans="1:12" x14ac:dyDescent="0.25">
      <c r="A701" t="str">
        <v>ae760261-16e0-44ad-b507-8d2f4e6f036a</v>
      </c>
      <c r="B701" t="str">
        <v>902aa9a4-2ddb-4c1d-8d3c-e96c84377e9c</v>
      </c>
      <c r="C701" t="str">
        <v>Gogatishvili Oth</v>
      </c>
      <c r="D701" t="str">
        <v>FEA4B88F-633F-4422-B3D6-250792A2DA80</v>
      </c>
      <c r="E701" t="str">
        <v>2023-05-02</v>
      </c>
      <c r="F701" s="4">
        <v>775</v>
      </c>
      <c r="G701" t="str">
        <v>0790fb09-2de6-4ea3-a71c-58a007fc62a8</v>
      </c>
      <c r="H701" t="str">
        <v>2adb3689-90cd-4ae8-832d-be7cc1a11029</v>
      </c>
      <c r="I701" t="str">
        <v/>
      </c>
      <c r="L701" t="str">
        <v/>
      </c>
    </row>
    <row r="702" spans="1:12" x14ac:dyDescent="0.25">
      <c r="A702" t="str">
        <v>fa5ac42a-39b7-43c8-ad78-3b4862ec91b4</v>
      </c>
      <c r="B702" t="str">
        <v>79525eb7-50b0-4243-a184-1cae6ac6f127</v>
      </c>
      <c r="C702" t="str">
        <v>Tavadze Oth</v>
      </c>
      <c r="D702" t="str">
        <v>FEA4B88F-633F-4422-B3D6-250792A2DA80</v>
      </c>
      <c r="E702" t="str">
        <v>2024-09-02</v>
      </c>
      <c r="F702" s="4">
        <v>2200</v>
      </c>
      <c r="G702" t="str">
        <v>5a2d799d-22a1-4e0a-b029-8031a1df6d56</v>
      </c>
      <c r="H702" t="str">
        <v>2adb3689-90cd-4ae8-832d-be7cc1a11029</v>
      </c>
      <c r="I702" t="str">
        <v/>
      </c>
      <c r="L702" t="str">
        <v/>
      </c>
    </row>
    <row r="703" spans="1:12" x14ac:dyDescent="0.25">
      <c r="A703" t="str">
        <v>898f9815-9aec-455c-8778-12cd91a6e27e</v>
      </c>
      <c r="B703" t="str">
        <v>27f35c75-48c9-4949-a685-69ba8ba972c0</v>
      </c>
      <c r="C703" t="str">
        <v>Lekveishvili Oth</v>
      </c>
      <c r="D703" t="str">
        <v>FEA4B88F-633F-4422-B3D6-250792A2DA80</v>
      </c>
      <c r="E703" t="str">
        <v>2024-07-22</v>
      </c>
      <c r="F703" s="4">
        <v>7964</v>
      </c>
      <c r="G703" t="str">
        <v>5a2d799d-22a1-4e0a-b029-8031a1df6d56</v>
      </c>
      <c r="H703" t="str">
        <v>2adb3689-90cd-4ae8-832d-be7cc1a11029</v>
      </c>
      <c r="I703" t="str">
        <v/>
      </c>
      <c r="L703" t="str">
        <v/>
      </c>
    </row>
    <row r="704" spans="1:12" x14ac:dyDescent="0.25">
      <c r="A704" t="str">
        <v>cf7634e5-aa91-43b9-bc60-046ca6e64b12</v>
      </c>
      <c r="B704" t="str">
        <v>B0233419-0052-4A91-AD62-6A8EAC8ED636</v>
      </c>
      <c r="C704" t="str">
        <v>Navtlugi</v>
      </c>
      <c r="D704" t="str">
        <v>12238130-9D12-4099-A48B-9EB5A085E0F8</v>
      </c>
      <c r="E704" t="str">
        <v>2023-01-11</v>
      </c>
      <c r="F704" s="4">
        <v>800</v>
      </c>
      <c r="G704" t="str">
        <v>5a2d799d-22a1-4e0a-b029-8031a1df6d56</v>
      </c>
      <c r="H704" t="str">
        <v>9fed28b3-82cf-4afa-8e8d-952adf7a54a5</v>
      </c>
      <c r="I704" t="str">
        <v/>
      </c>
      <c r="L704" t="str">
        <v/>
      </c>
    </row>
    <row r="705" spans="1:12" x14ac:dyDescent="0.25">
      <c r="A705" t="str">
        <v>492a4428-a288-414a-aeb2-432c7bb64951</v>
      </c>
      <c r="B705" t="str">
        <v>B0233419-0052-4A91-AD62-6A8EAC8ED636</v>
      </c>
      <c r="C705" t="str">
        <v>Eqvtime Kheladze</v>
      </c>
      <c r="D705" t="str">
        <v>12238130-9D12-4099-A48B-9EB5A085E0F8</v>
      </c>
      <c r="E705" t="str">
        <v>2023-01-11</v>
      </c>
      <c r="F705" s="4">
        <v>400</v>
      </c>
      <c r="G705" t="str">
        <v>5a2d799d-22a1-4e0a-b029-8031a1df6d56</v>
      </c>
      <c r="H705" t="str">
        <v>9fed28b3-82cf-4afa-8e8d-952adf7a54a5</v>
      </c>
      <c r="I705" t="str">
        <v/>
      </c>
      <c r="L705" t="str">
        <v/>
      </c>
    </row>
    <row r="706" spans="1:12" x14ac:dyDescent="0.25">
      <c r="A706" t="str">
        <v>0d3a7855-e6e2-4b63-a939-7c06598e9544</v>
      </c>
      <c r="B706" t="str">
        <v>B0233419-0052-4A91-AD62-6A8EAC8ED636</v>
      </c>
      <c r="C706" t="str">
        <v>4000 Meskhtians</v>
      </c>
      <c r="D706" t="str">
        <v>12238130-9D12-4099-A48B-9EB5A085E0F8</v>
      </c>
      <c r="E706" t="str">
        <v>2023-01-11</v>
      </c>
      <c r="F706" s="4">
        <v>400</v>
      </c>
      <c r="G706" t="str">
        <v>5a2d799d-22a1-4e0a-b029-8031a1df6d56</v>
      </c>
      <c r="H706" t="str">
        <v>9fed28b3-82cf-4afa-8e8d-952adf7a54a5</v>
      </c>
      <c r="I706" t="str">
        <v/>
      </c>
      <c r="L706" t="str">
        <v/>
      </c>
    </row>
    <row r="707" spans="1:12" x14ac:dyDescent="0.25">
      <c r="A707" t="str">
        <v>91afec52-e723-43dc-ab36-e7776f8c4384</v>
      </c>
      <c r="B707" t="str">
        <v>B0233419-0052-4A91-AD62-6A8EAC8ED636</v>
      </c>
      <c r="C707" t="str">
        <v>Tskneti H-way</v>
      </c>
      <c r="D707" t="str">
        <v>12238130-9D12-4099-A48B-9EB5A085E0F8</v>
      </c>
      <c r="E707" t="str">
        <v>2023-01-11</v>
      </c>
      <c r="F707" s="4">
        <v>600</v>
      </c>
      <c r="G707" t="str">
        <v>5a2d799d-22a1-4e0a-b029-8031a1df6d56</v>
      </c>
      <c r="H707" t="str">
        <v>9fed28b3-82cf-4afa-8e8d-952adf7a54a5</v>
      </c>
      <c r="I707" t="str">
        <v/>
      </c>
      <c r="L707" t="str">
        <v/>
      </c>
    </row>
    <row r="708" spans="1:12" x14ac:dyDescent="0.25">
      <c r="A708" t="str">
        <v>44307406-1e99-47c1-b822-6d80ebfb18b6</v>
      </c>
      <c r="B708" t="str">
        <v>B0233419-0052-4A91-AD62-6A8EAC8ED636</v>
      </c>
      <c r="C708" t="str">
        <v>Shartava</v>
      </c>
      <c r="D708" t="str">
        <v>12238130-9D12-4099-A48B-9EB5A085E0F8</v>
      </c>
      <c r="E708" t="str">
        <v>2023-01-11</v>
      </c>
      <c r="F708" s="4">
        <v>450</v>
      </c>
      <c r="G708" t="str">
        <v>5a2d799d-22a1-4e0a-b029-8031a1df6d56</v>
      </c>
      <c r="H708" t="str">
        <v>9fed28b3-82cf-4afa-8e8d-952adf7a54a5</v>
      </c>
      <c r="I708" t="str">
        <v/>
      </c>
      <c r="L708" t="str">
        <v/>
      </c>
    </row>
    <row r="709" spans="1:12" x14ac:dyDescent="0.25">
      <c r="A709" t="str">
        <v>58dcec7b-b282-43c1-8c03-b8061dd5f405</v>
      </c>
      <c r="B709" t="str">
        <v>f22517d3-0787-4cd7-bb5d-20546f9e512b</v>
      </c>
      <c r="C709" t="str">
        <v>Oktopus Serv</v>
      </c>
      <c r="D709" t="str">
        <v>12238130-9D12-4099-A48B-9EB5A085E0F8</v>
      </c>
      <c r="E709" t="str">
        <v>2024-09-01</v>
      </c>
      <c r="F709" s="4">
        <v>100</v>
      </c>
      <c r="G709" t="str">
        <v>0790fb09-2de6-4ea3-a71c-58a007fc62a8</v>
      </c>
      <c r="H709" t="str">
        <v>9fed28b3-82cf-4afa-8e8d-952adf7a54a5</v>
      </c>
      <c r="I709" t="str">
        <v/>
      </c>
      <c r="L709" t="str">
        <v/>
      </c>
    </row>
    <row r="710" spans="1:12" x14ac:dyDescent="0.25">
      <c r="A710" t="str">
        <v>9eb94c52-f2b4-4435-b1fd-cea10385a573</v>
      </c>
      <c r="B710" t="str">
        <v>e9c2c691-a5fa-47fe-b9ff-74f2fce6a33d</v>
      </c>
      <c r="C710" t="str">
        <v>Service</v>
      </c>
      <c r="D710" t="str">
        <v>12238130-9D12-4099-A48B-9EB5A085E0F8</v>
      </c>
      <c r="E710" t="str">
        <v>2023-10-02</v>
      </c>
      <c r="F710" s="4">
        <v>2000</v>
      </c>
      <c r="G710" t="str">
        <v>5a2d799d-22a1-4e0a-b029-8031a1df6d56</v>
      </c>
      <c r="H710" t="str">
        <v>9fed28b3-82cf-4afa-8e8d-952adf7a54a5</v>
      </c>
      <c r="I710" t="str">
        <v/>
      </c>
      <c r="L710" t="str">
        <v/>
      </c>
    </row>
    <row r="711" spans="1:12" x14ac:dyDescent="0.25">
      <c r="A711" t="str">
        <v>3b80beb6-c20b-4ecb-81a6-0527b796a706</v>
      </c>
      <c r="B711" t="str">
        <v>E56C25E1-F15A-4390-BB92-B64890A90093</v>
      </c>
      <c r="C711" t="str">
        <v>UNIX MARSEL Oth</v>
      </c>
      <c r="D711" t="str">
        <v>C491BFF3-6F7B-4412-9DF0-EAED6F3EE238</v>
      </c>
      <c r="E711" t="str">
        <v>2024-05-16</v>
      </c>
      <c r="F711" s="4">
        <v>250</v>
      </c>
      <c r="G711" t="str">
        <v>0790fb09-2de6-4ea3-a71c-58a007fc62a8</v>
      </c>
      <c r="H711" t="str">
        <v>2adb3689-90cd-4ae8-832d-be7cc1a11029</v>
      </c>
      <c r="I711" t="str">
        <v/>
      </c>
      <c r="L711" t="str">
        <v/>
      </c>
    </row>
    <row r="712" spans="1:12" x14ac:dyDescent="0.25">
      <c r="A712" t="str">
        <v>9ee462fd-bce8-4e65-b80f-6597aac0a198</v>
      </c>
      <c r="B712" t="str">
        <v>c9019178-1b89-4de7-8451-b06bd01ca77b</v>
      </c>
      <c r="C712" t="str">
        <v>King Parnavaz Service</v>
      </c>
      <c r="D712" t="str">
        <v>C491BFF3-6F7B-4412-9DF0-EAED6F3EE238</v>
      </c>
      <c r="E712" t="str">
        <v>2024-12-24</v>
      </c>
      <c r="F712" s="4">
        <v>1800</v>
      </c>
      <c r="G712" t="str">
        <v>5a2d799d-22a1-4e0a-b029-8031a1df6d56</v>
      </c>
      <c r="H712" t="str">
        <v>2adb3689-90cd-4ae8-832d-be7cc1a11029</v>
      </c>
      <c r="I712" t="str">
        <v/>
      </c>
      <c r="L712" t="str">
        <v/>
      </c>
    </row>
    <row r="713" spans="1:12" x14ac:dyDescent="0.25">
      <c r="A713" t="str">
        <v>263b24b6-e48a-46b4-8419-bb559f37bdb5</v>
      </c>
      <c r="B713" t="str">
        <v>3c8772d6-ed17-4a44-94bd-f19d09baa79d</v>
      </c>
      <c r="C713" t="str">
        <v>Batumi Mall Repair</v>
      </c>
      <c r="D713" t="str">
        <v>C491BFF3-6F7B-4412-9DF0-EAED6F3EE238</v>
      </c>
      <c r="E713" t="str">
        <v>2024-06-03</v>
      </c>
      <c r="F713" s="4">
        <v>310</v>
      </c>
      <c r="G713" t="str">
        <v>0790fb09-2de6-4ea3-a71c-58a007fc62a8</v>
      </c>
      <c r="H713" t="str">
        <v>2adb3689-90cd-4ae8-832d-be7cc1a11029</v>
      </c>
      <c r="I713" t="str">
        <v/>
      </c>
      <c r="L713" t="str">
        <v/>
      </c>
    </row>
    <row r="714" spans="1:12" x14ac:dyDescent="0.25">
      <c r="A714" t="str">
        <v>d68a9652-dc80-4115-b65c-6952cf3030df</v>
      </c>
      <c r="B714" t="str">
        <v>7889d1fa-15ab-4efe-af5b-f3c03fbef8b6</v>
      </c>
      <c r="C714" t="str">
        <v>Server</v>
      </c>
      <c r="D714" t="str">
        <v>B5CAA716-CA9B-47D4-85D4-9954ED4DBAD2</v>
      </c>
      <c r="E714" t="str">
        <v>2024-09-24</v>
      </c>
      <c r="F714" s="4">
        <v>2825</v>
      </c>
      <c r="G714" t="str">
        <v>0790fb09-2de6-4ea3-a71c-58a007fc62a8</v>
      </c>
      <c r="H714" t="str">
        <v>2adb3689-90cd-4ae8-832d-be7cc1a11029</v>
      </c>
      <c r="I714" t="str">
        <v/>
      </c>
      <c r="L714" t="str">
        <v/>
      </c>
    </row>
    <row r="715" spans="1:12" x14ac:dyDescent="0.25">
      <c r="A715" t="str">
        <v>6cdfec35-a686-4791-ad3c-1b5006bf2e17</v>
      </c>
      <c r="B715" t="str">
        <v>3c82c866-e061-4767-bfd0-c4b2ba8aa444</v>
      </c>
      <c r="C715" t="str">
        <v>Magaldadze service</v>
      </c>
      <c r="D715" t="str">
        <v>12238130-9D12-4099-A48B-9EB5A085E0F8</v>
      </c>
      <c r="E715" t="str">
        <v>2024-06-01</v>
      </c>
      <c r="F715" s="4">
        <v>100</v>
      </c>
      <c r="G715" t="str">
        <v>0790fb09-2de6-4ea3-a71c-58a007fc62a8</v>
      </c>
      <c r="H715" t="str">
        <v>9fed28b3-82cf-4afa-8e8d-952adf7a54a5</v>
      </c>
      <c r="I715" t="str">
        <v/>
      </c>
      <c r="L715" t="str">
        <v/>
      </c>
    </row>
    <row r="716" spans="1:12" x14ac:dyDescent="0.25">
      <c r="A716" t="str">
        <v>b215c1b4-e250-405b-ac3b-1d5cd2df1eb7</v>
      </c>
      <c r="B716" t="str">
        <v>51f14bdd-328a-4b13-913b-cb99ce8ac5a9</v>
      </c>
      <c r="C716" t="str">
        <v>JP Service</v>
      </c>
      <c r="D716" t="str">
        <v>12238130-9D12-4099-A48B-9EB5A085E0F8</v>
      </c>
      <c r="E716" t="str">
        <v>2023-09-01</v>
      </c>
      <c r="F716" s="4">
        <v>385</v>
      </c>
      <c r="G716" t="str">
        <v>0790fb09-2de6-4ea3-a71c-58a007fc62a8</v>
      </c>
      <c r="H716" t="str">
        <v>2adb3689-90cd-4ae8-832d-be7cc1a11029</v>
      </c>
      <c r="I716" t="str">
        <v/>
      </c>
      <c r="L716" t="str">
        <v/>
      </c>
    </row>
    <row r="717" spans="1:12" x14ac:dyDescent="0.25">
      <c r="A717" t="str">
        <v>7eb44f77-a800-435f-ab32-702491846076</v>
      </c>
      <c r="B717" t="str">
        <v>2BAD18DC-6E49-4AD3-9FDC-1B422FF3B90D</v>
      </c>
      <c r="C717" t="str">
        <v>Gori Mall Oth</v>
      </c>
      <c r="D717" t="str">
        <v>B5CAA716-CA9B-47D4-85D4-9954ED4DBAD2</v>
      </c>
      <c r="E717" t="str">
        <v>2024-04-01</v>
      </c>
      <c r="F717" s="4">
        <v>1080</v>
      </c>
      <c r="G717" t="str">
        <v>0790fb09-2de6-4ea3-a71c-58a007fc62a8</v>
      </c>
      <c r="H717" t="str">
        <v>2adb3689-90cd-4ae8-832d-be7cc1a11029</v>
      </c>
      <c r="I717" t="str">
        <v/>
      </c>
      <c r="L717" t="str">
        <v/>
      </c>
    </row>
    <row r="718" spans="1:12" x14ac:dyDescent="0.25">
      <c r="A718" t="str">
        <v>18429754-51b7-4e46-a250-cab45c132b7b</v>
      </c>
      <c r="B718" t="str">
        <v>534a0b6e-685a-4bc0-9a5b-8ed62f22fb3f</v>
      </c>
      <c r="C718" t="str">
        <v>Admiral Service</v>
      </c>
      <c r="D718" t="str">
        <v>12238130-9D12-4099-A48B-9EB5A085E0F8</v>
      </c>
      <c r="E718" t="str">
        <v>2024-08-01</v>
      </c>
      <c r="F718" s="4">
        <v>100</v>
      </c>
      <c r="G718" t="str">
        <v>0790fb09-2de6-4ea3-a71c-58a007fc62a8</v>
      </c>
      <c r="H718" t="str">
        <v>9fed28b3-82cf-4afa-8e8d-952adf7a54a5</v>
      </c>
      <c r="I718" t="str">
        <v/>
      </c>
      <c r="L718" t="str">
        <v/>
      </c>
    </row>
    <row r="719" spans="1:12" x14ac:dyDescent="0.25">
      <c r="A719" t="str">
        <v>9c110e19-ca3e-4aa2-876e-13dc3ad8b746</v>
      </c>
      <c r="B719" t="str">
        <v>19c597da-5f1b-4113-a80c-fdba97435783</v>
      </c>
      <c r="C719" t="str">
        <v>Verheij Property</v>
      </c>
      <c r="D719" t="str">
        <v>68627C8C-95F9-4383-9A95-1923038BB695</v>
      </c>
      <c r="E719" t="str">
        <v>2023-10-01</v>
      </c>
      <c r="F719" s="4">
        <v>30000</v>
      </c>
      <c r="G719" t="str">
        <v>0790fb09-2de6-4ea3-a71c-58a007fc62a8</v>
      </c>
      <c r="H719" t="str">
        <v>2adb3689-90cd-4ae8-832d-be7cc1a11029</v>
      </c>
      <c r="I719" t="str">
        <v/>
      </c>
      <c r="L719" t="str">
        <v/>
      </c>
    </row>
    <row r="720" spans="1:12" x14ac:dyDescent="0.25">
      <c r="A720" t="str">
        <v>2a366a59-81bc-43f7-abdb-194c81dcaa00</v>
      </c>
      <c r="B720" t="str">
        <v>16253a43-5364-4c7e-8a23-ba97ec60d20a</v>
      </c>
      <c r="C720" t="str">
        <v>Molashvili Auto</v>
      </c>
      <c r="D720" t="str">
        <v>68627C8C-95F9-4383-9A95-1923038BB695</v>
      </c>
      <c r="E720" t="str">
        <v>2024-07-26</v>
      </c>
      <c r="F720" s="4">
        <v>3000</v>
      </c>
      <c r="G720" t="str">
        <v>5a2d799d-22a1-4e0a-b029-8031a1df6d56</v>
      </c>
      <c r="H720" t="str">
        <v>2adb3689-90cd-4ae8-832d-be7cc1a11029</v>
      </c>
      <c r="I720" t="str">
        <v/>
      </c>
      <c r="L720" t="str">
        <v/>
      </c>
    </row>
    <row r="721" spans="1:12" x14ac:dyDescent="0.25">
      <c r="A721" t="str">
        <v>de73aba7-f006-499e-b8ca-825c89e8bdbe</v>
      </c>
      <c r="B721" t="str">
        <v>4c5156a1-1518-4887-a947-d3dd8dde5f77</v>
      </c>
      <c r="C721" t="str">
        <v>Cafe Central Oth</v>
      </c>
      <c r="D721" t="str">
        <v>C491BFF3-6F7B-4412-9DF0-EAED6F3EE238</v>
      </c>
      <c r="E721" t="str">
        <v>2024-06-09</v>
      </c>
      <c r="F721" s="4">
        <v>170</v>
      </c>
      <c r="G721" t="str">
        <v>5a2d799d-22a1-4e0a-b029-8031a1df6d56</v>
      </c>
      <c r="H721" t="str">
        <v>9fed28b3-82cf-4afa-8e8d-952adf7a54a5</v>
      </c>
      <c r="I721" t="str">
        <v>1 6 31 2559</v>
      </c>
      <c r="L721" t="str">
        <v/>
      </c>
    </row>
    <row r="722" spans="1:12" x14ac:dyDescent="0.25">
      <c r="A722" t="str">
        <v>22726c64-b6f5-4a4f-bfe2-d0dc0ca3d0e5</v>
      </c>
      <c r="B722" t="str">
        <v>a703d7aa-d0ea-48b7-a4c0-34cbdaaf11dd</v>
      </c>
      <c r="C722" t="str">
        <v>Domus Ipodrom via TBC Leasing</v>
      </c>
      <c r="D722" t="str">
        <v>B59170EC-16CC-499A-9FF7-0428DCB8F727</v>
      </c>
      <c r="E722" t="str">
        <v>2024-08-09</v>
      </c>
      <c r="F722" s="4">
        <v>1232000</v>
      </c>
      <c r="G722" t="str">
        <v>0790fb09-2de6-4ea3-a71c-58a007fc62a8</v>
      </c>
      <c r="H722" t="str">
        <v>9fed28b3-82cf-4afa-8e8d-952adf7a54a5</v>
      </c>
      <c r="I722" t="str">
        <v/>
      </c>
      <c r="L722" t="str">
        <v/>
      </c>
    </row>
    <row r="723" spans="1:12" x14ac:dyDescent="0.25">
      <c r="A723" t="str">
        <v>95cf5afa-5f39-4ca1-9ce6-6728e96ccf6a</v>
      </c>
      <c r="B723" t="str">
        <v>F1BAE597-A18D-4A3B-990E-12772132C8B9</v>
      </c>
      <c r="C723" t="str">
        <v>BOG Oth</v>
      </c>
      <c r="D723" t="str">
        <v>68627C8C-95F9-4383-9A95-1923038BB695</v>
      </c>
      <c r="E723" t="str">
        <v>2025-05-13</v>
      </c>
      <c r="F723" s="4">
        <v>465</v>
      </c>
      <c r="G723" t="str">
        <v>0790fb09-2de6-4ea3-a71c-58a007fc62a8</v>
      </c>
      <c r="H723" t="str">
        <v>9fed28b3-82cf-4afa-8e8d-952adf7a54a5</v>
      </c>
      <c r="I723" t="str">
        <v/>
      </c>
      <c r="L723" t="str">
        <v/>
      </c>
    </row>
    <row r="724" spans="1:12" x14ac:dyDescent="0.25">
      <c r="A724" t="str">
        <v>39f85d24-b9fe-4ee2-862a-a1705eb0d659</v>
      </c>
      <c r="B724" t="str">
        <v>a7eacbc7-3827-472e-95bc-f6b39b0ff168</v>
      </c>
      <c r="C724" t="str">
        <v>Gtem Hospitality Oth</v>
      </c>
      <c r="D724" t="str">
        <v>B5CAA716-CA9B-47D4-85D4-9954ED4DBAD2</v>
      </c>
      <c r="E724" t="str">
        <v>2023-12-21</v>
      </c>
      <c r="F724" s="4">
        <v>2100</v>
      </c>
      <c r="G724" t="str">
        <v>5a2d799d-22a1-4e0a-b029-8031a1df6d56</v>
      </c>
      <c r="H724" t="str">
        <v>2adb3689-90cd-4ae8-832d-be7cc1a11029</v>
      </c>
      <c r="I724" t="str">
        <v/>
      </c>
      <c r="L724" t="str">
        <v/>
      </c>
    </row>
    <row r="725" spans="1:12" x14ac:dyDescent="0.25">
      <c r="A725" t="str">
        <v>3655c52a-d5cf-463b-9048-b80f859c6f59</v>
      </c>
      <c r="B725" t="str">
        <v>26d882f1-0e80-4ca4-8c7e-958513fda0ec</v>
      </c>
      <c r="C725" t="str">
        <v>Batumi Central</v>
      </c>
      <c r="D725" t="str">
        <v>B59170EC-16CC-499A-9FF7-0428DCB8F727</v>
      </c>
      <c r="E725" t="str">
        <v>2024-05-11</v>
      </c>
      <c r="F725" s="4">
        <v>69644</v>
      </c>
      <c r="G725" t="str">
        <v>0790fb09-2de6-4ea3-a71c-58a007fc62a8</v>
      </c>
      <c r="H725" t="str">
        <v>9fed28b3-82cf-4afa-8e8d-952adf7a54a5</v>
      </c>
      <c r="I725" t="str">
        <v>1 6 30 2553</v>
      </c>
      <c r="L725" t="str">
        <v/>
      </c>
    </row>
    <row r="726" spans="1:12" x14ac:dyDescent="0.25">
      <c r="A726" t="str">
        <v>8c5a66e1-83c1-4c69-8753-00a868f8278b</v>
      </c>
      <c r="B726" t="str">
        <v>58fa8342-2181-4246-af05-590de2ef9e8d</v>
      </c>
      <c r="C726" t="str">
        <v>Bagrationi VRF</v>
      </c>
      <c r="D726" t="str">
        <v>FEA4B88F-633F-4422-B3D6-250792A2DA80</v>
      </c>
      <c r="E726" t="str">
        <v>2023-10-26</v>
      </c>
      <c r="F726" s="4">
        <v>14985</v>
      </c>
      <c r="G726" t="str">
        <v>0790fb09-2de6-4ea3-a71c-58a007fc62a8</v>
      </c>
      <c r="H726" t="str">
        <v>2adb3689-90cd-4ae8-832d-be7cc1a11029</v>
      </c>
      <c r="I726" t="str">
        <v/>
      </c>
      <c r="L726" t="str">
        <v/>
      </c>
    </row>
    <row r="727" spans="1:12" x14ac:dyDescent="0.25">
      <c r="A727" t="str">
        <v>db0b0f04-8cc8-4554-a3e4-94629f921b7b</v>
      </c>
      <c r="B727" t="str">
        <v>29819612-a8bd-4077-9dca-f8fa83efd344</v>
      </c>
      <c r="C727" t="str">
        <v>Ibis Airport Oth</v>
      </c>
      <c r="D727" t="str">
        <v>C491BFF3-6F7B-4412-9DF0-EAED6F3EE238</v>
      </c>
      <c r="E727" t="str">
        <v>2024-09-13</v>
      </c>
      <c r="F727" s="4">
        <v>500</v>
      </c>
      <c r="G727" t="str">
        <v>5a2d799d-22a1-4e0a-b029-8031a1df6d56</v>
      </c>
      <c r="H727" t="str">
        <v>9fed28b3-82cf-4afa-8e8d-952adf7a54a5</v>
      </c>
      <c r="I727" t="str">
        <v/>
      </c>
      <c r="L727" t="str">
        <v/>
      </c>
    </row>
    <row r="728" spans="1:12" x14ac:dyDescent="0.25">
      <c r="A728" t="str">
        <v>63ddf218-4647-4e1b-969f-6b4f83d1e514</v>
      </c>
      <c r="B728" t="str">
        <v>82e5574c-11e5-41be-b979-d091bd52b7f7</v>
      </c>
      <c r="C728" t="str">
        <v>CPI Geo Oth</v>
      </c>
      <c r="D728" t="str">
        <v>FEA4B88F-633F-4422-B3D6-250792A2DA80</v>
      </c>
      <c r="E728" t="str">
        <v>2024-01-29</v>
      </c>
      <c r="F728" s="4">
        <v>4310</v>
      </c>
      <c r="G728" t="str">
        <v>0790fb09-2de6-4ea3-a71c-58a007fc62a8</v>
      </c>
      <c r="H728" t="str">
        <v>2adb3689-90cd-4ae8-832d-be7cc1a11029</v>
      </c>
      <c r="I728" t="str">
        <v/>
      </c>
      <c r="L728" t="str">
        <v/>
      </c>
    </row>
    <row r="729" spans="1:12" x14ac:dyDescent="0.25">
      <c r="A729" t="str">
        <v>838b4e65-9a61-4673-a9df-1fd36bf906ac</v>
      </c>
      <c r="B729" t="str">
        <v>bc6c756a-a57e-4a37-a604-bdccfecace3b</v>
      </c>
      <c r="C729" t="str">
        <v>Piazza Oth</v>
      </c>
      <c r="D729" t="str">
        <v>FEA4B88F-633F-4422-B3D6-250792A2DA80</v>
      </c>
      <c r="E729" t="str">
        <v>2023-12-15</v>
      </c>
      <c r="F729" s="4">
        <v>1300</v>
      </c>
      <c r="G729" t="str">
        <v>0790fb09-2de6-4ea3-a71c-58a007fc62a8</v>
      </c>
      <c r="H729" t="str">
        <v>2adb3689-90cd-4ae8-832d-be7cc1a11029</v>
      </c>
      <c r="I729" t="str">
        <v/>
      </c>
      <c r="L729" t="str">
        <v/>
      </c>
    </row>
    <row r="730" spans="1:12" x14ac:dyDescent="0.25">
      <c r="A730" t="str">
        <v>2fc0f7a8-ad08-469d-8951-4f1e36984883</v>
      </c>
      <c r="B730" t="str">
        <v>3ef7bb0c-d64a-4a7a-af5a-f4afd334ca47</v>
      </c>
      <c r="C730" t="str">
        <v>Caan Construction Oth</v>
      </c>
      <c r="D730" t="str">
        <v>FEA4B88F-633F-4422-B3D6-250792A2DA80</v>
      </c>
      <c r="E730" t="str">
        <v>2023-11-29</v>
      </c>
      <c r="F730" s="4">
        <v>12080</v>
      </c>
      <c r="G730" t="str">
        <v>0790fb09-2de6-4ea3-a71c-58a007fc62a8</v>
      </c>
      <c r="H730" t="str">
        <v>2adb3689-90cd-4ae8-832d-be7cc1a11029</v>
      </c>
      <c r="I730" t="str">
        <v/>
      </c>
      <c r="L730" t="str">
        <v/>
      </c>
    </row>
    <row r="731" spans="1:12" x14ac:dyDescent="0.25">
      <c r="A731" t="str">
        <v>61bdad7e-951a-49e1-ad20-effc58d831c0</v>
      </c>
      <c r="B731" t="str">
        <v>b178ee69-8398-4d71-9a3b-727043bba954</v>
      </c>
      <c r="C731" t="str">
        <v>V-JEO Restaurant Oth</v>
      </c>
      <c r="D731" t="str">
        <v>FEA4B88F-633F-4422-B3D6-250792A2DA80</v>
      </c>
      <c r="E731" t="str">
        <v>2024-06-18</v>
      </c>
      <c r="F731" s="4">
        <v>4550</v>
      </c>
      <c r="G731" t="str">
        <v>0790fb09-2de6-4ea3-a71c-58a007fc62a8</v>
      </c>
      <c r="H731" t="str">
        <v>2adb3689-90cd-4ae8-832d-be7cc1a11029</v>
      </c>
      <c r="I731" t="str">
        <v/>
      </c>
      <c r="L731" t="str">
        <v/>
      </c>
    </row>
    <row r="732" spans="1:12" x14ac:dyDescent="0.25">
      <c r="A732" t="str">
        <v>3c79a727-6664-46b5-934e-e441dd6e8b15</v>
      </c>
      <c r="B732" t="str">
        <v>b178ee69-8398-4d71-9a3b-727043bba954</v>
      </c>
      <c r="C732" t="str">
        <v>V-JEO Restaurant Service</v>
      </c>
      <c r="D732" t="str">
        <v>12238130-9D12-4099-A48B-9EB5A085E0F8</v>
      </c>
      <c r="E732" t="str">
        <v>2024-04-30</v>
      </c>
      <c r="F732" s="4">
        <v>500</v>
      </c>
      <c r="G732" t="str">
        <v>5a2d799d-22a1-4e0a-b029-8031a1df6d56</v>
      </c>
      <c r="H732" t="str">
        <v>9fed28b3-82cf-4afa-8e8d-952adf7a54a5</v>
      </c>
      <c r="I732" t="str">
        <v/>
      </c>
      <c r="L732" t="str">
        <v/>
      </c>
    </row>
    <row r="733" spans="1:12" x14ac:dyDescent="0.25">
      <c r="A733" t="str">
        <v>8328e43a-5a22-4272-94bf-82dfce48267a</v>
      </c>
      <c r="B733" t="str">
        <v>5E3E7CDB-6C59-424F-BE60-1115A70E3B8E</v>
      </c>
      <c r="C733" t="str">
        <v>Supreme Solutions Var</v>
      </c>
      <c r="D733" t="str">
        <v>FEA4B88F-633F-4422-B3D6-250792A2DA80</v>
      </c>
      <c r="E733" t="str">
        <v>2023-08-22</v>
      </c>
      <c r="F733" s="4">
        <v>3790</v>
      </c>
      <c r="G733" t="str">
        <v>0790fb09-2de6-4ea3-a71c-58a007fc62a8</v>
      </c>
      <c r="H733" t="str">
        <v>9fed28b3-82cf-4afa-8e8d-952adf7a54a5</v>
      </c>
      <c r="I733" t="str">
        <v/>
      </c>
      <c r="L733" t="str">
        <v/>
      </c>
    </row>
    <row r="734" spans="1:12" x14ac:dyDescent="0.25">
      <c r="A734" t="str">
        <v>801d2f71-6bad-4428-8e22-38a2b8dac0e4</v>
      </c>
      <c r="B734" t="str">
        <v>DDFBBDF4-5DA2-4BD2-918A-77AAF121BF72</v>
      </c>
      <c r="C734" t="str">
        <v>City Mall Oth</v>
      </c>
      <c r="D734" t="str">
        <v>C491BFF3-6F7B-4412-9DF0-EAED6F3EE238</v>
      </c>
      <c r="E734" t="str">
        <v>2024-05-31</v>
      </c>
      <c r="F734" s="4">
        <v>1300</v>
      </c>
      <c r="G734" t="str">
        <v>5a2d799d-22a1-4e0a-b029-8031a1df6d56</v>
      </c>
      <c r="H734" t="str">
        <v>9fed28b3-82cf-4afa-8e8d-952adf7a54a5</v>
      </c>
      <c r="I734" t="str">
        <v/>
      </c>
      <c r="L734" t="str">
        <v/>
      </c>
    </row>
    <row r="735" spans="1:12" x14ac:dyDescent="0.25">
      <c r="A735" t="str">
        <v>695ecef4-e21a-4d46-8c6b-39425ab02dea</v>
      </c>
      <c r="B735" t="str">
        <v>7DDF7E55-92EE-4E47-9E16-F1D4D3FABF60</v>
      </c>
      <c r="C735" t="str">
        <v>Police City</v>
      </c>
      <c r="D735" t="str">
        <v>B59170EC-16CC-499A-9FF7-0428DCB8F727</v>
      </c>
      <c r="E735" t="str">
        <v>2024-11-28</v>
      </c>
      <c r="F735" s="4">
        <v>343000</v>
      </c>
      <c r="G735" t="str">
        <v>0790fb09-2de6-4ea3-a71c-58a007fc62a8</v>
      </c>
      <c r="H735" t="str">
        <v>9fed28b3-82cf-4afa-8e8d-952adf7a54a5</v>
      </c>
      <c r="I735" t="str">
        <v/>
      </c>
      <c r="L735" t="str">
        <v/>
      </c>
    </row>
    <row r="736" spans="1:12" x14ac:dyDescent="0.25">
      <c r="A736" t="str">
        <v>1f4cd44c-c42a-419a-8ca7-2659815044c3</v>
      </c>
      <c r="B736" t="str">
        <v>43EABC78-AF64-4C14-9FEF-C7E6A1B6F07E</v>
      </c>
      <c r="C736" t="str">
        <v>Lisi Fo Green Tower</v>
      </c>
      <c r="D736" t="str">
        <v>B59170EC-16CC-499A-9FF7-0428DCB8F727</v>
      </c>
      <c r="E736" t="str">
        <v>2025-01-01</v>
      </c>
      <c r="F736" s="4">
        <v>10000</v>
      </c>
      <c r="G736" t="str">
        <v>0790fb09-2de6-4ea3-a71c-58a007fc62a8</v>
      </c>
      <c r="H736" t="str">
        <v>9fed28b3-82cf-4afa-8e8d-952adf7a54a5</v>
      </c>
      <c r="I736" t="str">
        <v/>
      </c>
      <c r="L736" t="str">
        <v/>
      </c>
    </row>
    <row r="737" spans="1:12" x14ac:dyDescent="0.25">
      <c r="A737" t="str">
        <v>b0baf9a6-7964-4fe8-a3e6-5e2f13aa212a</v>
      </c>
      <c r="B737" t="str">
        <v>43EABC78-AF64-4C14-9FEF-C7E6A1B6F07E</v>
      </c>
      <c r="C737" t="str">
        <v>Gayrimenkul (Turkey)</v>
      </c>
      <c r="D737" t="str">
        <v>B59170EC-16CC-499A-9FF7-0428DCB8F727</v>
      </c>
      <c r="E737" t="str">
        <v>2025-01-01</v>
      </c>
      <c r="F737" s="4">
        <v>10000</v>
      </c>
      <c r="G737" t="str">
        <v>0790fb09-2de6-4ea3-a71c-58a007fc62a8</v>
      </c>
      <c r="H737" t="str">
        <v>9fed28b3-82cf-4afa-8e8d-952adf7a54a5</v>
      </c>
      <c r="I737" t="str">
        <v/>
      </c>
      <c r="L737" t="str">
        <v/>
      </c>
    </row>
    <row r="738" spans="1:12" x14ac:dyDescent="0.25">
      <c r="A738" t="str">
        <v>82d93de8-f0e9-4b9b-a47b-373b2fbe34df</v>
      </c>
      <c r="B738" t="str">
        <v>43EABC78-AF64-4C14-9FEF-C7E6A1B6F07E</v>
      </c>
      <c r="C738" t="str">
        <v>Rid Yerevan</v>
      </c>
      <c r="D738" t="str">
        <v>B59170EC-16CC-499A-9FF7-0428DCB8F727</v>
      </c>
      <c r="E738" t="str">
        <v>2025-01-01</v>
      </c>
      <c r="F738" s="4">
        <v>10000</v>
      </c>
      <c r="G738" t="str">
        <v>0790fb09-2de6-4ea3-a71c-58a007fc62a8</v>
      </c>
      <c r="H738" t="str">
        <v>9fed28b3-82cf-4afa-8e8d-952adf7a54a5</v>
      </c>
      <c r="I738" t="str">
        <v/>
      </c>
      <c r="L738" t="str">
        <v/>
      </c>
    </row>
    <row r="739" spans="1:12" x14ac:dyDescent="0.25">
      <c r="A739" t="str">
        <v>fb76ebea-5aa9-4dc6-9b29-b2601b1e788c</v>
      </c>
      <c r="B739" t="str">
        <v>43EABC78-AF64-4C14-9FEF-C7E6A1B6F07E</v>
      </c>
      <c r="C739" t="str">
        <v>Lisi Fo C4 Block</v>
      </c>
      <c r="D739" t="str">
        <v>B59170EC-16CC-499A-9FF7-0428DCB8F727</v>
      </c>
      <c r="E739" t="str">
        <v>2025-01-01</v>
      </c>
      <c r="F739" s="4">
        <v>10000</v>
      </c>
      <c r="G739" t="str">
        <v>0790fb09-2de6-4ea3-a71c-58a007fc62a8</v>
      </c>
      <c r="H739" t="str">
        <v>9fed28b3-82cf-4afa-8e8d-952adf7a54a5</v>
      </c>
      <c r="I739" t="str">
        <v/>
      </c>
      <c r="L739" t="str">
        <v/>
      </c>
    </row>
    <row r="740" spans="1:12" x14ac:dyDescent="0.25">
      <c r="A740" t="str">
        <v>3d3f5a94-fbd9-4195-be75-90ae934a0684</v>
      </c>
      <c r="B740" t="str">
        <v>43EABC78-AF64-4C14-9FEF-C7E6A1B6F07E</v>
      </c>
      <c r="C740" t="str">
        <v>Lazika</v>
      </c>
      <c r="D740" t="str">
        <v>B59170EC-16CC-499A-9FF7-0428DCB8F727</v>
      </c>
      <c r="E740" t="str">
        <v>2025-01-01</v>
      </c>
      <c r="F740" s="4">
        <v>10000</v>
      </c>
      <c r="G740" t="str">
        <v>0790fb09-2de6-4ea3-a71c-58a007fc62a8</v>
      </c>
      <c r="H740" t="str">
        <v>9fed28b3-82cf-4afa-8e8d-952adf7a54a5</v>
      </c>
      <c r="I740" t="str">
        <v/>
      </c>
      <c r="L740" t="str">
        <v/>
      </c>
    </row>
    <row r="741" spans="1:12" x14ac:dyDescent="0.25">
      <c r="A741" t="str">
        <v>6a74b143-d124-4946-b05b-07d771f1e88f</v>
      </c>
      <c r="B741" t="str">
        <v>43EABC78-AF64-4C14-9FEF-C7E6A1B6F07E</v>
      </c>
      <c r="C741" t="str">
        <v>Tsakhnadzur (Arm)</v>
      </c>
      <c r="D741" t="str">
        <v>B59170EC-16CC-499A-9FF7-0428DCB8F727</v>
      </c>
      <c r="E741" t="str">
        <v>2025-01-01</v>
      </c>
      <c r="F741" s="4">
        <v>10000</v>
      </c>
      <c r="G741" t="str">
        <v>0790fb09-2de6-4ea3-a71c-58a007fc62a8</v>
      </c>
      <c r="H741" t="str">
        <v>9fed28b3-82cf-4afa-8e8d-952adf7a54a5</v>
      </c>
      <c r="I741" t="str">
        <v/>
      </c>
      <c r="L741" t="str">
        <v/>
      </c>
    </row>
    <row r="742" spans="1:12" x14ac:dyDescent="0.25">
      <c r="A742" t="str">
        <v>244e865d-dbf7-40a4-a6c9-e552473f8466</v>
      </c>
      <c r="B742" t="str">
        <v>43EABC78-AF64-4C14-9FEF-C7E6A1B6F07E</v>
      </c>
      <c r="C742" t="str">
        <v>Bk Shartava 43 stage 2</v>
      </c>
      <c r="D742" t="str">
        <v>B59170EC-16CC-499A-9FF7-0428DCB8F727</v>
      </c>
      <c r="E742" t="str">
        <v>2025-01-01</v>
      </c>
      <c r="F742" s="4">
        <v>10000</v>
      </c>
      <c r="G742" t="str">
        <v>0790fb09-2de6-4ea3-a71c-58a007fc62a8</v>
      </c>
      <c r="H742" t="str">
        <v>9fed28b3-82cf-4afa-8e8d-952adf7a54a5</v>
      </c>
      <c r="I742" t="str">
        <v/>
      </c>
      <c r="L742" t="str">
        <v/>
      </c>
    </row>
    <row r="743" spans="1:12" x14ac:dyDescent="0.25">
      <c r="A743" t="str">
        <v>c806568f-753b-4011-877c-d783da192c77</v>
      </c>
      <c r="B743" t="str">
        <v>43EABC78-AF64-4C14-9FEF-C7E6A1B6F07E</v>
      </c>
      <c r="C743" t="str">
        <v>Hampton Tourinvest</v>
      </c>
      <c r="D743" t="str">
        <v>B59170EC-16CC-499A-9FF7-0428DCB8F727</v>
      </c>
      <c r="E743" t="str">
        <v>2025-01-01</v>
      </c>
      <c r="F743" s="4">
        <v>10000</v>
      </c>
      <c r="G743" t="str">
        <v>0790fb09-2de6-4ea3-a71c-58a007fc62a8</v>
      </c>
      <c r="H743" t="str">
        <v>9fed28b3-82cf-4afa-8e8d-952adf7a54a5</v>
      </c>
      <c r="I743" t="str">
        <v/>
      </c>
      <c r="L743" t="str">
        <v/>
      </c>
    </row>
    <row r="744" spans="1:12" x14ac:dyDescent="0.25">
      <c r="A744" t="str">
        <v>73523618-800c-4317-b168-167a0d0fb74e</v>
      </c>
      <c r="B744" t="str">
        <v>43EABC78-AF64-4C14-9FEF-C7E6A1B6F07E</v>
      </c>
      <c r="C744" t="str">
        <v>Energy + Akhaltsikhe</v>
      </c>
      <c r="D744" t="str">
        <v>B59170EC-16CC-499A-9FF7-0428DCB8F727</v>
      </c>
      <c r="E744" t="str">
        <v>2025-01-01</v>
      </c>
      <c r="F744" s="4">
        <v>10000</v>
      </c>
      <c r="G744" t="str">
        <v>0790fb09-2de6-4ea3-a71c-58a007fc62a8</v>
      </c>
      <c r="H744" t="str">
        <v>9fed28b3-82cf-4afa-8e8d-952adf7a54a5</v>
      </c>
      <c r="I744" t="str">
        <v/>
      </c>
      <c r="L744" t="str">
        <v/>
      </c>
    </row>
    <row r="745" spans="1:12" x14ac:dyDescent="0.25">
      <c r="A745" t="str">
        <v>7655eacd-6ce8-4903-b530-42f8f610ebea</v>
      </c>
      <c r="B745" t="str">
        <v>43EABC78-AF64-4C14-9FEF-C7E6A1B6F07E</v>
      </c>
      <c r="C745" t="str">
        <v>Bk Shartava stage 3</v>
      </c>
      <c r="D745" t="str">
        <v>B59170EC-16CC-499A-9FF7-0428DCB8F727</v>
      </c>
      <c r="E745" t="str">
        <v>2025-01-01</v>
      </c>
      <c r="F745" s="4">
        <v>10000</v>
      </c>
      <c r="G745" t="str">
        <v>0790fb09-2de6-4ea3-a71c-58a007fc62a8</v>
      </c>
      <c r="H745" t="str">
        <v>9fed28b3-82cf-4afa-8e8d-952adf7a54a5</v>
      </c>
      <c r="I745" t="str">
        <v/>
      </c>
      <c r="L745" t="str">
        <v/>
      </c>
    </row>
    <row r="746" spans="1:12" x14ac:dyDescent="0.25">
      <c r="A746" t="str">
        <v>5a84a3c0-0237-492b-ab84-dc0272cde639</v>
      </c>
      <c r="B746" t="str">
        <v>43EABC78-AF64-4C14-9FEF-C7E6A1B6F07E</v>
      </c>
      <c r="C746" t="str">
        <v>Marshal Development</v>
      </c>
      <c r="D746" t="str">
        <v>B59170EC-16CC-499A-9FF7-0428DCB8F727</v>
      </c>
      <c r="E746" t="str">
        <v>2025-01-01</v>
      </c>
      <c r="F746" s="4">
        <v>10000</v>
      </c>
      <c r="G746" t="str">
        <v>0790fb09-2de6-4ea3-a71c-58a007fc62a8</v>
      </c>
      <c r="H746" t="str">
        <v>9fed28b3-82cf-4afa-8e8d-952adf7a54a5</v>
      </c>
      <c r="I746" t="str">
        <v/>
      </c>
      <c r="L746" t="str">
        <v/>
      </c>
    </row>
    <row r="747" spans="1:12" x14ac:dyDescent="0.25">
      <c r="A747" t="str">
        <v>31587545-8f9c-4e83-9b84-9143331c1434</v>
      </c>
      <c r="B747" t="str">
        <v>43EABC78-AF64-4C14-9FEF-C7E6A1B6F07E</v>
      </c>
      <c r="C747" t="str">
        <v>Beta Group</v>
      </c>
      <c r="D747" t="str">
        <v>B59170EC-16CC-499A-9FF7-0428DCB8F727</v>
      </c>
      <c r="E747" t="str">
        <v>2025-01-01</v>
      </c>
      <c r="F747" s="4">
        <v>10000</v>
      </c>
      <c r="G747" t="str">
        <v>0790fb09-2de6-4ea3-a71c-58a007fc62a8</v>
      </c>
      <c r="H747" t="str">
        <v>9fed28b3-82cf-4afa-8e8d-952adf7a54a5</v>
      </c>
      <c r="I747" t="str">
        <v/>
      </c>
      <c r="L747" t="str">
        <v/>
      </c>
    </row>
    <row r="748" spans="1:12" x14ac:dyDescent="0.25">
      <c r="A748" t="str">
        <v>bd24921a-385f-44cc-918f-cf52e3cef954</v>
      </c>
      <c r="B748" t="str">
        <v>43EABC78-AF64-4C14-9FEF-C7E6A1B6F07E</v>
      </c>
      <c r="C748" t="str">
        <v>BK Dzotsi St</v>
      </c>
      <c r="D748" t="str">
        <v>B59170EC-16CC-499A-9FF7-0428DCB8F727</v>
      </c>
      <c r="E748" t="str">
        <v>2025-01-01</v>
      </c>
      <c r="F748" s="4">
        <v>10000</v>
      </c>
      <c r="G748" t="str">
        <v>0790fb09-2de6-4ea3-a71c-58a007fc62a8</v>
      </c>
      <c r="H748" t="str">
        <v>9fed28b3-82cf-4afa-8e8d-952adf7a54a5</v>
      </c>
      <c r="I748" t="str">
        <v/>
      </c>
      <c r="L748" t="str">
        <v/>
      </c>
    </row>
    <row r="749" spans="1:12" x14ac:dyDescent="0.25">
      <c r="A749" t="str">
        <v>fb19f05a-c2bc-432c-8aee-cae452bf0bfd</v>
      </c>
      <c r="B749" t="str">
        <v>43EABC78-AF64-4C14-9FEF-C7E6A1B6F07E</v>
      </c>
      <c r="C749" t="str">
        <v>Bili Menegement</v>
      </c>
      <c r="D749" t="str">
        <v>B59170EC-16CC-499A-9FF7-0428DCB8F727</v>
      </c>
      <c r="E749" t="str">
        <v>2025-01-01</v>
      </c>
      <c r="F749" s="4">
        <v>10000</v>
      </c>
      <c r="G749" t="str">
        <v>0790fb09-2de6-4ea3-a71c-58a007fc62a8</v>
      </c>
      <c r="H749" t="str">
        <v>9fed28b3-82cf-4afa-8e8d-952adf7a54a5</v>
      </c>
      <c r="I749" t="str">
        <v/>
      </c>
      <c r="L749" t="str">
        <v/>
      </c>
    </row>
    <row r="750" spans="1:12" x14ac:dyDescent="0.25">
      <c r="A750" t="str">
        <v>a868e0c4-ca3e-4349-adad-a4fdb8f562a9</v>
      </c>
      <c r="B750" t="str">
        <v>43EABC78-AF64-4C14-9FEF-C7E6A1B6F07E</v>
      </c>
      <c r="C750" t="str">
        <v>Krtsanisi Millenio</v>
      </c>
      <c r="D750" t="str">
        <v>B59170EC-16CC-499A-9FF7-0428DCB8F727</v>
      </c>
      <c r="E750" t="str">
        <v>2025-01-01</v>
      </c>
      <c r="F750" s="4">
        <v>10000</v>
      </c>
      <c r="G750" t="str">
        <v>0790fb09-2de6-4ea3-a71c-58a007fc62a8</v>
      </c>
      <c r="H750" t="str">
        <v>9fed28b3-82cf-4afa-8e8d-952adf7a54a5</v>
      </c>
      <c r="I750" t="str">
        <v/>
      </c>
      <c r="L750" t="str">
        <v/>
      </c>
    </row>
    <row r="751" spans="1:12" x14ac:dyDescent="0.25">
      <c r="A751" t="str">
        <v>dc11d4a7-8e3c-4a57-8c03-b9ca0d608766</v>
      </c>
      <c r="B751" t="str">
        <v>4750ca0e-322e-465f-97e4-e09307b050e1</v>
      </c>
      <c r="C751" t="str">
        <v>GM Pharma Compresor</v>
      </c>
      <c r="D751" t="str">
        <v>FEA4B88F-633F-4422-B3D6-250792A2DA80</v>
      </c>
      <c r="E751" t="str">
        <v>2024-07-12</v>
      </c>
      <c r="F751" s="4">
        <v>12000</v>
      </c>
      <c r="G751" t="str">
        <v>0790fb09-2de6-4ea3-a71c-58a007fc62a8</v>
      </c>
      <c r="H751" t="str">
        <v>2adb3689-90cd-4ae8-832d-be7cc1a11029</v>
      </c>
      <c r="I751" t="str">
        <v/>
      </c>
      <c r="L751" t="str">
        <v/>
      </c>
    </row>
    <row r="752" spans="1:12" x14ac:dyDescent="0.25">
      <c r="A752" t="str">
        <v>74dc0120-1830-4231-8474-81150ce99a12</v>
      </c>
      <c r="B752" t="str">
        <v>a7eacbc7-3827-472e-95bc-f6b39b0ff168</v>
      </c>
      <c r="C752" t="str">
        <v>Service 2025</v>
      </c>
      <c r="D752" t="str">
        <v>B5CAA716-CA9B-47D4-85D4-9954ED4DBAD2</v>
      </c>
      <c r="E752" t="str">
        <v>2025-02-03</v>
      </c>
      <c r="F752" s="4">
        <v>6000</v>
      </c>
      <c r="G752" t="str">
        <v>5a2d799d-22a1-4e0a-b029-8031a1df6d56</v>
      </c>
      <c r="H752" t="str">
        <v>9fed28b3-82cf-4afa-8e8d-952adf7a54a5</v>
      </c>
      <c r="I752" t="str">
        <v/>
      </c>
      <c r="L752" t="str">
        <v>A778537A-20BD-4AF4-B7E0-06811F6672A1</v>
      </c>
    </row>
    <row r="753" spans="1:12" x14ac:dyDescent="0.25">
      <c r="A753" t="str">
        <v>57750850-228d-4061-97f3-70fd758f51c7</v>
      </c>
      <c r="B753" t="str">
        <v>6DF25574-2F03-43D0-AEC4-2CD26A4A0C3A</v>
      </c>
      <c r="C753" t="str">
        <v>Zara City Mall Elevator Details</v>
      </c>
      <c r="D753" t="str">
        <v>C491BFF3-6F7B-4412-9DF0-EAED6F3EE238</v>
      </c>
      <c r="E753" t="str">
        <v>2024-02-14</v>
      </c>
      <c r="F753" s="4">
        <v>2100</v>
      </c>
      <c r="G753" t="str">
        <v>5a2d799d-22a1-4e0a-b029-8031a1df6d56</v>
      </c>
      <c r="H753" t="str">
        <v>9fed28b3-82cf-4afa-8e8d-952adf7a54a5</v>
      </c>
      <c r="I753" t="str">
        <v/>
      </c>
      <c r="L753" t="str">
        <v/>
      </c>
    </row>
    <row r="754" spans="1:12" x14ac:dyDescent="0.25">
      <c r="A754" t="str">
        <v>a17d631b-d5a2-41ea-ad41-46dfd5b1d2da</v>
      </c>
      <c r="B754" t="str">
        <v>97275D0F-23EB-47CD-8A0F-C93649EE6164</v>
      </c>
      <c r="C754" t="str">
        <v>Tbilisi Gardens Oth</v>
      </c>
      <c r="D754" t="str">
        <v>C491BFF3-6F7B-4412-9DF0-EAED6F3EE238</v>
      </c>
      <c r="E754" t="str">
        <v>2024-10-18</v>
      </c>
      <c r="F754" s="4">
        <v>1400</v>
      </c>
      <c r="G754" t="str">
        <v>5a2d799d-22a1-4e0a-b029-8031a1df6d56</v>
      </c>
      <c r="H754" t="str">
        <v>9fed28b3-82cf-4afa-8e8d-952adf7a54a5</v>
      </c>
      <c r="I754" t="str">
        <v/>
      </c>
      <c r="L754" t="str">
        <v/>
      </c>
    </row>
    <row r="755" spans="1:12" x14ac:dyDescent="0.25">
      <c r="A755" t="str">
        <v>4e611ac4-a2f9-493d-a69a-2caebb0ee090</v>
      </c>
      <c r="B755" t="str">
        <v>cfd65038-e0c4-4ff2-a12a-b0cc52aec611</v>
      </c>
      <c r="C755" t="str">
        <v>Card System</v>
      </c>
      <c r="D755" t="str">
        <v>C491BFF3-6F7B-4412-9DF0-EAED6F3EE238</v>
      </c>
      <c r="E755" t="str">
        <v>2025-02-10</v>
      </c>
      <c r="F755" s="4">
        <v>3500</v>
      </c>
      <c r="G755" t="str">
        <v>5a2d799d-22a1-4e0a-b029-8031a1df6d56</v>
      </c>
      <c r="H755" t="str">
        <v>9fed28b3-82cf-4afa-8e8d-952adf7a54a5</v>
      </c>
      <c r="I755" t="str">
        <v/>
      </c>
      <c r="L755" t="str">
        <v/>
      </c>
    </row>
    <row r="756" spans="1:12" x14ac:dyDescent="0.25">
      <c r="A756" t="str">
        <v>c7dcea7b-68aa-4429-b33f-d3a7c73a50a7</v>
      </c>
      <c r="B756" t="str">
        <v>7b6d9729-fd51-434e-b843-35b5747c8aad</v>
      </c>
      <c r="C756" t="str">
        <v>Archi Isani C1 Repair</v>
      </c>
      <c r="D756" t="str">
        <v>C491BFF3-6F7B-4412-9DF0-EAED6F3EE238</v>
      </c>
      <c r="E756" t="str">
        <v>2025-01-15</v>
      </c>
      <c r="F756" s="4">
        <v>400</v>
      </c>
      <c r="G756" t="str">
        <v>5a2d799d-22a1-4e0a-b029-8031a1df6d56</v>
      </c>
      <c r="H756" t="str">
        <v>9fed28b3-82cf-4afa-8e8d-952adf7a54a5</v>
      </c>
      <c r="I756" t="str">
        <v/>
      </c>
      <c r="L756" t="str">
        <v/>
      </c>
    </row>
    <row r="757" spans="1:12" x14ac:dyDescent="0.25">
      <c r="A757" t="str">
        <v>fb3a8551-b20d-4a9e-9678-57d0737358ac</v>
      </c>
      <c r="B757" t="str">
        <v>4437EBC3-984C-475E-84DF-3153C2A50708</v>
      </c>
      <c r="C757" t="str">
        <v>Kaklebi Oth</v>
      </c>
      <c r="D757" t="str">
        <v>C491BFF3-6F7B-4412-9DF0-EAED6F3EE238</v>
      </c>
      <c r="E757" t="str">
        <v>2024-02-22</v>
      </c>
      <c r="F757" s="4">
        <v>500</v>
      </c>
      <c r="G757" t="str">
        <v>0790fb09-2de6-4ea3-a71c-58a007fc62a8</v>
      </c>
      <c r="H757" t="str">
        <v>9fed28b3-82cf-4afa-8e8d-952adf7a54a5</v>
      </c>
      <c r="I757" t="str">
        <v/>
      </c>
      <c r="L757" t="str">
        <v/>
      </c>
    </row>
    <row r="758" spans="1:12" x14ac:dyDescent="0.25">
      <c r="A758" t="str">
        <v>8fc96a51-c0e1-4cd2-a65c-9097a4d3a10d</v>
      </c>
      <c r="B758" t="str">
        <v>67db0446-9f2c-4963-99f1-7b3593938048</v>
      </c>
      <c r="C758" t="str">
        <v>IBIS Perov Oth</v>
      </c>
      <c r="D758" t="str">
        <v>C491BFF3-6F7B-4412-9DF0-EAED6F3EE238</v>
      </c>
      <c r="E758" t="str">
        <v>2023-12-30</v>
      </c>
      <c r="F758" s="4">
        <v>3888</v>
      </c>
      <c r="G758" t="str">
        <v>0790fb09-2de6-4ea3-a71c-58a007fc62a8</v>
      </c>
      <c r="H758" t="str">
        <v>9fed28b3-82cf-4afa-8e8d-952adf7a54a5</v>
      </c>
      <c r="I758" t="str">
        <v/>
      </c>
      <c r="L758" t="str">
        <v/>
      </c>
    </row>
    <row r="759" spans="1:12" x14ac:dyDescent="0.25">
      <c r="A759" t="str">
        <v>7bc35f3e-94db-44b7-88fd-d23a90501f4d</v>
      </c>
      <c r="B759" t="str">
        <v>9729C88B-F3C5-441A-8782-0656302A37F2</v>
      </c>
      <c r="C759" t="str">
        <v>Modus Oth</v>
      </c>
      <c r="D759" t="str">
        <v>C491BFF3-6F7B-4412-9DF0-EAED6F3EE238</v>
      </c>
      <c r="E759" t="str">
        <v>2023-09-01</v>
      </c>
      <c r="F759" s="4">
        <v>260</v>
      </c>
      <c r="G759" t="str">
        <v>0790fb09-2de6-4ea3-a71c-58a007fc62a8</v>
      </c>
      <c r="H759" t="str">
        <v>9fed28b3-82cf-4afa-8e8d-952adf7a54a5</v>
      </c>
      <c r="I759" t="str">
        <v/>
      </c>
      <c r="L759" t="str">
        <v/>
      </c>
    </row>
    <row r="760" spans="1:12" x14ac:dyDescent="0.25">
      <c r="A760" t="str">
        <v>37ad22da-f121-422b-a453-f6e17397401c</v>
      </c>
      <c r="B760" t="str">
        <v>10949402-30d0-47ee-aa9d-276f36d955dd</v>
      </c>
      <c r="C760" t="str">
        <v>Deka Digomi Oth</v>
      </c>
      <c r="D760" t="str">
        <v>C491BFF3-6F7B-4412-9DF0-EAED6F3EE238</v>
      </c>
      <c r="E760" t="str">
        <v>2024-04-22</v>
      </c>
      <c r="F760" s="4">
        <v>1300</v>
      </c>
      <c r="G760" t="str">
        <v>5a2d799d-22a1-4e0a-b029-8031a1df6d56</v>
      </c>
      <c r="H760" t="str">
        <v>9fed28b3-82cf-4afa-8e8d-952adf7a54a5</v>
      </c>
      <c r="I760" t="str">
        <v/>
      </c>
      <c r="L760" t="str">
        <v/>
      </c>
    </row>
    <row r="761" spans="1:12" x14ac:dyDescent="0.25">
      <c r="A761" t="str">
        <v>174e78c9-d1af-4a01-9090-699e21e482fa</v>
      </c>
      <c r="B761" t="str">
        <v>7F4998D7-42F1-45ED-9C10-DE5599AB161A</v>
      </c>
      <c r="C761" t="str">
        <v>Sunrise Shartava Oth</v>
      </c>
      <c r="D761" t="str">
        <v>C491BFF3-6F7B-4412-9DF0-EAED6F3EE238</v>
      </c>
      <c r="E761" t="str">
        <v>2024-11-23</v>
      </c>
      <c r="F761" s="4">
        <v>1237</v>
      </c>
      <c r="G761" t="str">
        <v>0790fb09-2de6-4ea3-a71c-58a007fc62a8</v>
      </c>
      <c r="H761" t="str">
        <v>9fed28b3-82cf-4afa-8e8d-952adf7a54a5</v>
      </c>
      <c r="I761" t="str">
        <v/>
      </c>
      <c r="L761" t="str">
        <v/>
      </c>
    </row>
    <row r="762" spans="1:12" x14ac:dyDescent="0.25">
      <c r="A762" t="str">
        <v>e0320f62-e537-44f1-a7ba-4e5e09fd3397</v>
      </c>
      <c r="B762" t="str">
        <v>5eab0795-4aa0-4463-ab1d-c1479107adeb</v>
      </c>
      <c r="C762" t="str">
        <v>Shatberashvili 45 Oth</v>
      </c>
      <c r="D762" t="str">
        <v>C491BFF3-6F7B-4412-9DF0-EAED6F3EE238</v>
      </c>
      <c r="E762" t="str">
        <v>2024-11-27</v>
      </c>
      <c r="F762" s="4">
        <v>750</v>
      </c>
      <c r="G762" t="str">
        <v>5a2d799d-22a1-4e0a-b029-8031a1df6d56</v>
      </c>
      <c r="H762" t="str">
        <v>9fed28b3-82cf-4afa-8e8d-952adf7a54a5</v>
      </c>
      <c r="I762" t="str">
        <v/>
      </c>
      <c r="L762" t="str">
        <v/>
      </c>
    </row>
    <row r="763" spans="1:12" x14ac:dyDescent="0.25">
      <c r="A763" t="str">
        <v>77870b21-c14a-45d4-aa7d-232c06258f78</v>
      </c>
      <c r="B763" t="str">
        <v>6de10689-be38-4cff-a79c-971cf4f69057</v>
      </c>
      <c r="C763" t="str">
        <v>Khimshiashvili Apartment</v>
      </c>
      <c r="D763" t="str">
        <v>B59170EC-16CC-499A-9FF7-0428DCB8F727</v>
      </c>
      <c r="E763" t="str">
        <v>2024-12-06</v>
      </c>
      <c r="F763" s="4">
        <v>36500</v>
      </c>
      <c r="G763" t="str">
        <v>0790fb09-2de6-4ea3-a71c-58a007fc62a8</v>
      </c>
      <c r="H763" t="str">
        <v>9fed28b3-82cf-4afa-8e8d-952adf7a54a5</v>
      </c>
      <c r="I763" t="str">
        <v>1 6 30 2647</v>
      </c>
      <c r="L763" t="str">
        <v/>
      </c>
    </row>
    <row r="764" spans="1:12" x14ac:dyDescent="0.25">
      <c r="A764" t="str">
        <v>ac083c0a-9561-4cd2-88ca-726ff7544bbc</v>
      </c>
      <c r="B764" t="str">
        <v>1cf44d92-bf68-4114-9c6b-a7bf66dcc009</v>
      </c>
      <c r="C764" t="str">
        <v>Arte Kerchi</v>
      </c>
      <c r="D764" t="str">
        <v>B59170EC-16CC-499A-9FF7-0428DCB8F727</v>
      </c>
      <c r="E764" t="str">
        <v>2024-06-25</v>
      </c>
      <c r="F764" s="4">
        <v>66200</v>
      </c>
      <c r="G764" t="str">
        <v>0790fb09-2de6-4ea3-a71c-58a007fc62a8</v>
      </c>
      <c r="H764" t="str">
        <v>9fed28b3-82cf-4afa-8e8d-952adf7a54a5</v>
      </c>
      <c r="I764" t="str">
        <v>1 6 30 2026</v>
      </c>
      <c r="L764" t="str">
        <v/>
      </c>
    </row>
    <row r="765" spans="1:12" x14ac:dyDescent="0.25">
      <c r="A765" t="str">
        <v>2e3e7724-eba0-45cd-a78f-283385eb780c</v>
      </c>
      <c r="B765" t="str">
        <v>d30886ec-44b7-4138-8342-8bab9c65a6ea</v>
      </c>
      <c r="C765" t="str">
        <v>Bloom Bagebi</v>
      </c>
      <c r="D765" t="str">
        <v>B59170EC-16CC-499A-9FF7-0428DCB8F727</v>
      </c>
      <c r="E765" t="str">
        <v>2025-02-11</v>
      </c>
      <c r="F765" s="4">
        <v>90500</v>
      </c>
      <c r="G765" t="str">
        <v>0790fb09-2de6-4ea3-a71c-58a007fc62a8</v>
      </c>
      <c r="H765" t="str">
        <v>9fed28b3-82cf-4afa-8e8d-952adf7a54a5</v>
      </c>
      <c r="I765" t="str">
        <v/>
      </c>
      <c r="L765" t="str">
        <v>4c25a3b7-d112-4c46-aa9a-b2513a44f1b7</v>
      </c>
    </row>
    <row r="766" spans="1:12" x14ac:dyDescent="0.25">
      <c r="A766" t="str">
        <v>d1d7ae1c-04a3-4029-b082-195acb8392cf</v>
      </c>
      <c r="B766" t="str">
        <v>50041f2f-9449-43a8-89b2-db6ca5cd7ebb</v>
      </c>
      <c r="C766" t="str">
        <v>Irigio</v>
      </c>
      <c r="D766" t="str">
        <v>B59170EC-16CC-499A-9FF7-0428DCB8F727</v>
      </c>
      <c r="E766" t="str">
        <v>2024-11-29</v>
      </c>
      <c r="F766" s="4">
        <v>48530</v>
      </c>
      <c r="G766" t="str">
        <v>0790fb09-2de6-4ea3-a71c-58a007fc62a8</v>
      </c>
      <c r="H766" t="str">
        <v>9fed28b3-82cf-4afa-8e8d-952adf7a54a5</v>
      </c>
      <c r="I766" t="str">
        <v>1 6 30 2623</v>
      </c>
      <c r="L766" t="str">
        <v/>
      </c>
    </row>
    <row r="767" spans="1:12" x14ac:dyDescent="0.25">
      <c r="A767" t="str">
        <v>8ee463a9-91d9-4e21-882d-b96d46bc95bb</v>
      </c>
      <c r="B767" t="str">
        <v>073db7e0-0259-4883-af62-99330f143fdf</v>
      </c>
      <c r="C767" t="str">
        <v>Air Conditioner</v>
      </c>
      <c r="D767" t="str">
        <v>FEA4B88F-633F-4422-B3D6-250792A2DA80</v>
      </c>
      <c r="E767" t="str">
        <v>2023-05-29</v>
      </c>
      <c r="F767" s="4">
        <v>109684</v>
      </c>
      <c r="G767" t="str">
        <v>0790fb09-2de6-4ea3-a71c-58a007fc62a8</v>
      </c>
      <c r="H767" t="str">
        <v>2adb3689-90cd-4ae8-832d-be7cc1a11029</v>
      </c>
      <c r="I767" t="str">
        <v/>
      </c>
      <c r="L767" t="str">
        <v/>
      </c>
    </row>
    <row r="768" spans="1:12" x14ac:dyDescent="0.25">
      <c r="A768" t="str">
        <v>837fc472-bab7-4e82-b690-e9d5137b3d92</v>
      </c>
      <c r="B768" t="str">
        <v>1D6C190E-3037-4435-BF28-B1D43DC3432D</v>
      </c>
      <c r="C768" t="str">
        <v>Galleria Service</v>
      </c>
      <c r="D768" t="str">
        <v>12238130-9D12-4099-A48B-9EB5A085E0F8</v>
      </c>
      <c r="E768" t="str">
        <v>2024-11-30</v>
      </c>
      <c r="F768" s="4">
        <v>300</v>
      </c>
      <c r="G768" t="str">
        <v>0790fb09-2de6-4ea3-a71c-58a007fc62a8</v>
      </c>
      <c r="H768" t="str">
        <v>9fed28b3-82cf-4afa-8e8d-952adf7a54a5</v>
      </c>
      <c r="I768" t="str">
        <v>1 6 31 1167</v>
      </c>
      <c r="L768" t="str">
        <v/>
      </c>
    </row>
    <row r="769" spans="1:12" x14ac:dyDescent="0.25">
      <c r="A769" t="str">
        <v>823a0ad3-5d4c-4917-9ece-a1316ec88f7f</v>
      </c>
      <c r="B769" t="str">
        <v>7BF4A039-29BC-44AC-A87D-E8832394B94E</v>
      </c>
      <c r="C769" t="str">
        <v>Dar Tower Oth</v>
      </c>
      <c r="D769" t="str">
        <v>C491BFF3-6F7B-4412-9DF0-EAED6F3EE238</v>
      </c>
      <c r="E769" t="str">
        <v>2024-03-14</v>
      </c>
      <c r="F769" s="4">
        <v>400</v>
      </c>
      <c r="G769" t="str">
        <v>5a2d799d-22a1-4e0a-b029-8031a1df6d56</v>
      </c>
      <c r="H769" t="str">
        <v>9fed28b3-82cf-4afa-8e8d-952adf7a54a5</v>
      </c>
      <c r="I769" t="str">
        <v/>
      </c>
      <c r="L769" t="str">
        <v/>
      </c>
    </row>
    <row r="770" spans="1:12" x14ac:dyDescent="0.25">
      <c r="A770" t="str">
        <v>c762633f-b0e3-47f6-a2e8-5806a4e23810</v>
      </c>
      <c r="B770" t="str">
        <v>51f71b9f-7728-4533-88fa-1bdc301b9d7e</v>
      </c>
      <c r="C770" t="str">
        <v>DAVINCHI</v>
      </c>
      <c r="D770" t="str">
        <v>B59170EC-16CC-499A-9FF7-0428DCB8F727</v>
      </c>
      <c r="E770" t="str">
        <v>2024-09-10</v>
      </c>
      <c r="F770" s="4">
        <v>87050</v>
      </c>
      <c r="G770" t="str">
        <v>0790fb09-2de6-4ea3-a71c-58a007fc62a8</v>
      </c>
      <c r="H770" t="str">
        <v>9fed28b3-82cf-4afa-8e8d-952adf7a54a5</v>
      </c>
      <c r="I770" t="str">
        <v>1 6 30 2626</v>
      </c>
      <c r="L770" t="str">
        <v/>
      </c>
    </row>
    <row r="771" spans="1:12" x14ac:dyDescent="0.25">
      <c r="A771" t="str">
        <v>64b3e7cb-aedc-4b4e-a83d-7722f86b213e</v>
      </c>
      <c r="B771" t="str">
        <v>830b062b-b828-450d-8340-a3eabbf037ce</v>
      </c>
      <c r="C771" t="str">
        <v>Telegraph AHU</v>
      </c>
      <c r="D771" t="str">
        <v>FEA4B88F-633F-4422-B3D6-250792A2DA80</v>
      </c>
      <c r="E771" t="str">
        <v>2024-04-01</v>
      </c>
      <c r="F771" s="4">
        <v>178165</v>
      </c>
      <c r="G771" t="str">
        <v>4cfda3f2-535e-4b77-a467-eac9dc64feca</v>
      </c>
      <c r="H771" t="str">
        <v>9fed28b3-82cf-4afa-8e8d-952adf7a54a5</v>
      </c>
      <c r="I771" t="str">
        <v/>
      </c>
      <c r="L771" t="str">
        <v/>
      </c>
    </row>
    <row r="772" spans="1:12" x14ac:dyDescent="0.25">
      <c r="A772" t="str">
        <v>3a82c4d9-e386-4411-b9dc-1c8586122d01</v>
      </c>
      <c r="B772" t="str">
        <v>004db192-53fc-4e03-959b-dab06f802d36</v>
      </c>
      <c r="C772" t="str">
        <v>Gelift</v>
      </c>
      <c r="D772" t="str">
        <v>B59170EC-16CC-499A-9FF7-0428DCB8F727</v>
      </c>
      <c r="E772" t="str">
        <v>2024-09-23</v>
      </c>
      <c r="F772" s="4">
        <v>34650</v>
      </c>
      <c r="G772" t="str">
        <v>0790fb09-2de6-4ea3-a71c-58a007fc62a8</v>
      </c>
      <c r="H772" t="str">
        <v>9fed28b3-82cf-4afa-8e8d-952adf7a54a5</v>
      </c>
      <c r="I772" t="str">
        <v/>
      </c>
      <c r="L772" t="str">
        <v/>
      </c>
    </row>
    <row r="773" spans="1:12" x14ac:dyDescent="0.25">
      <c r="A773" t="str">
        <v>c5f126a1-627e-4059-8db9-8ef3184c3cdc</v>
      </c>
      <c r="B773" t="str">
        <v>0fa2485d-414a-4f52-ad93-ccd6b7b04c5c</v>
      </c>
      <c r="C773" t="str">
        <v>Office Conditioners</v>
      </c>
      <c r="D773" t="str">
        <v>FEA4B88F-633F-4422-B3D6-250792A2DA80</v>
      </c>
      <c r="E773" t="str">
        <v>2024-05-01</v>
      </c>
      <c r="F773" s="4">
        <v>2300</v>
      </c>
      <c r="G773" t="str">
        <v>0790fb09-2de6-4ea3-a71c-58a007fc62a8</v>
      </c>
      <c r="H773" t="str">
        <v>9fed28b3-82cf-4afa-8e8d-952adf7a54a5</v>
      </c>
      <c r="I773" t="str">
        <v/>
      </c>
      <c r="L773" t="str">
        <v/>
      </c>
    </row>
    <row r="774" spans="1:12" x14ac:dyDescent="0.25">
      <c r="A774" t="str">
        <v>4ac17086-b1e2-4610-b00a-6eba68ecf3dc</v>
      </c>
      <c r="B774" t="str">
        <v>dc93f8a1-3866-44e0-a7ca-68b942c65129</v>
      </c>
      <c r="C774" t="str">
        <v>Ramada Plaza</v>
      </c>
      <c r="D774" t="str">
        <v>12238130-9D12-4099-A48B-9EB5A085E0F8</v>
      </c>
      <c r="E774" t="str">
        <v>2024-10-01</v>
      </c>
      <c r="F774" s="4">
        <v>708</v>
      </c>
      <c r="G774" t="str">
        <v>0790fb09-2de6-4ea3-a71c-58a007fc62a8</v>
      </c>
      <c r="H774" t="str">
        <v>9fed28b3-82cf-4afa-8e8d-952adf7a54a5</v>
      </c>
      <c r="I774" t="str">
        <v/>
      </c>
      <c r="L774" t="str">
        <v/>
      </c>
    </row>
    <row r="775" spans="1:12" x14ac:dyDescent="0.25">
      <c r="A775" t="str">
        <v>01d0c2ca-cf5c-4bfa-a2f5-7db118722143</v>
      </c>
      <c r="B775" t="str">
        <v>f290ce07-8670-453a-96ca-ac959c9ff950</v>
      </c>
      <c r="C775" t="str">
        <v>Air Conditioner</v>
      </c>
      <c r="D775" t="str">
        <v>FEA4B88F-633F-4422-B3D6-250792A2DA80</v>
      </c>
      <c r="E775" t="str">
        <v>2024-10-16</v>
      </c>
      <c r="F775" s="4">
        <v>600</v>
      </c>
      <c r="G775" t="str">
        <v>0790fb09-2de6-4ea3-a71c-58a007fc62a8</v>
      </c>
      <c r="H775" t="str">
        <v>2adb3689-90cd-4ae8-832d-be7cc1a11029</v>
      </c>
      <c r="I775" t="str">
        <v/>
      </c>
      <c r="L775" t="str">
        <v/>
      </c>
    </row>
    <row r="776" spans="1:12" x14ac:dyDescent="0.25">
      <c r="A776" t="str">
        <v>dce0c25d-2328-47eb-b618-e79816e83ab5</v>
      </c>
      <c r="B776" t="str">
        <v>6fe7ae41-cb6f-4056-b817-edb4173650fa</v>
      </c>
      <c r="C776" t="str">
        <v>DG Construction</v>
      </c>
      <c r="D776" t="str">
        <v>B59170EC-16CC-499A-9FF7-0428DCB8F727</v>
      </c>
      <c r="E776" t="str">
        <v>2025-02-10</v>
      </c>
      <c r="F776" s="4">
        <v>20000</v>
      </c>
      <c r="G776" t="str">
        <v>0790fb09-2de6-4ea3-a71c-58a007fc62a8</v>
      </c>
      <c r="H776" t="str">
        <v>9fed28b3-82cf-4afa-8e8d-952adf7a54a5</v>
      </c>
      <c r="I776" t="str">
        <v/>
      </c>
      <c r="L776" t="str">
        <v/>
      </c>
    </row>
    <row r="777" spans="1:12" x14ac:dyDescent="0.25">
      <c r="A777" t="str">
        <v>c1b197a0-15a4-4e4f-8422-ef40466e43c2</v>
      </c>
      <c r="B777" t="str">
        <v>abd711b2-e0d1-4567-812b-dc87217e16bb</v>
      </c>
      <c r="C777" t="str">
        <v>Air Conditioner</v>
      </c>
      <c r="D777" t="str">
        <v>FEA4B88F-633F-4422-B3D6-250792A2DA80</v>
      </c>
      <c r="E777" t="str">
        <v>2024-12-09</v>
      </c>
      <c r="F777" s="4">
        <v>950</v>
      </c>
      <c r="G777" t="str">
        <v>5a2d799d-22a1-4e0a-b029-8031a1df6d56</v>
      </c>
      <c r="H777" t="str">
        <v>2adb3689-90cd-4ae8-832d-be7cc1a11029</v>
      </c>
      <c r="I777" t="str">
        <v/>
      </c>
      <c r="L777" t="str">
        <v/>
      </c>
    </row>
    <row r="778" spans="1:12" x14ac:dyDescent="0.25">
      <c r="A778" t="str">
        <v>26782850-65da-4cc4-ae35-87f207e0be38</v>
      </c>
      <c r="B778" t="str">
        <v>36cbea8f-b205-463a-9100-5417ddc00f52</v>
      </c>
      <c r="C778" t="str">
        <v>Air Conditioner</v>
      </c>
      <c r="D778" t="str">
        <v>FEA4B88F-633F-4422-B3D6-250792A2DA80</v>
      </c>
      <c r="E778" t="str">
        <v>2024-07-18</v>
      </c>
      <c r="F778" s="4">
        <v>950</v>
      </c>
      <c r="G778" t="str">
        <v>5a2d799d-22a1-4e0a-b029-8031a1df6d56</v>
      </c>
      <c r="H778" t="str">
        <v>2adb3689-90cd-4ae8-832d-be7cc1a11029</v>
      </c>
      <c r="I778" t="str">
        <v/>
      </c>
      <c r="L778" t="str">
        <v/>
      </c>
    </row>
    <row r="779" spans="1:12" x14ac:dyDescent="0.25">
      <c r="A779" t="str">
        <v>d9145bd4-38e3-44e6-bff0-c0163b0a77b4</v>
      </c>
      <c r="B779" t="str">
        <v>5db642bc-8439-432e-b313-f48817e99ec6</v>
      </c>
      <c r="C779" t="str">
        <v>Air Conditioner</v>
      </c>
      <c r="D779" t="str">
        <v>FEA4B88F-633F-4422-B3D6-250792A2DA80</v>
      </c>
      <c r="E779" t="str">
        <v>2024-06-14</v>
      </c>
      <c r="F779" s="4">
        <v>5000</v>
      </c>
      <c r="G779" t="str">
        <v>5a2d799d-22a1-4e0a-b029-8031a1df6d56</v>
      </c>
      <c r="H779" t="str">
        <v>2adb3689-90cd-4ae8-832d-be7cc1a11029</v>
      </c>
      <c r="I779" t="str">
        <v/>
      </c>
      <c r="L779" t="str">
        <v/>
      </c>
    </row>
    <row r="780" spans="1:12" x14ac:dyDescent="0.25">
      <c r="A780" t="str">
        <v>66aa2bdf-5ac1-43bb-973e-d219058d2fcf</v>
      </c>
      <c r="B780" t="str">
        <v>ae3af743-8d75-4265-9a01-ccdc82416297</v>
      </c>
      <c r="C780" t="str">
        <v>Air Conditioner</v>
      </c>
      <c r="D780" t="str">
        <v>FEA4B88F-633F-4422-B3D6-250792A2DA80</v>
      </c>
      <c r="E780" t="str">
        <v>2024-06-14</v>
      </c>
      <c r="F780" s="4">
        <v>6450</v>
      </c>
      <c r="G780" t="str">
        <v>5a2d799d-22a1-4e0a-b029-8031a1df6d56</v>
      </c>
      <c r="H780" t="str">
        <v>2adb3689-90cd-4ae8-832d-be7cc1a11029</v>
      </c>
      <c r="I780" t="str">
        <v/>
      </c>
      <c r="L780" t="str">
        <v/>
      </c>
    </row>
    <row r="781" spans="1:12" x14ac:dyDescent="0.25">
      <c r="A781" t="str">
        <v>b56eb55f-d8ca-497f-a212-344799d996bc</v>
      </c>
      <c r="B781" t="str">
        <v>2d5d7056-25da-4145-9708-ca2295b95418</v>
      </c>
      <c r="C781" t="str">
        <v>Air Conditioner</v>
      </c>
      <c r="D781" t="str">
        <v>FEA4B88F-633F-4422-B3D6-250792A2DA80</v>
      </c>
      <c r="E781" t="str">
        <v>2024-02-02</v>
      </c>
      <c r="F781" s="4">
        <v>2855</v>
      </c>
      <c r="G781" t="str">
        <v>0790fb09-2de6-4ea3-a71c-58a007fc62a8</v>
      </c>
      <c r="H781" t="str">
        <v>2adb3689-90cd-4ae8-832d-be7cc1a11029</v>
      </c>
      <c r="I781" t="str">
        <v/>
      </c>
      <c r="L781" t="str">
        <v/>
      </c>
    </row>
    <row r="782" spans="1:12" x14ac:dyDescent="0.25">
      <c r="A782" t="str">
        <v>d6ed50c7-8195-4769-9f15-84c78c314f63</v>
      </c>
      <c r="B782" t="str">
        <v>6da0bfc0-6674-49b5-9286-ed45aea61e75</v>
      </c>
      <c r="C782" t="str">
        <v>Air Conditioner</v>
      </c>
      <c r="D782" t="str">
        <v>FEA4B88F-633F-4422-B3D6-250792A2DA80</v>
      </c>
      <c r="E782" t="str">
        <v>2025-01-22</v>
      </c>
      <c r="F782" s="4">
        <v>950</v>
      </c>
      <c r="G782" t="str">
        <v>5a2d799d-22a1-4e0a-b029-8031a1df6d56</v>
      </c>
      <c r="H782" t="str">
        <v>2adb3689-90cd-4ae8-832d-be7cc1a11029</v>
      </c>
      <c r="I782" t="str">
        <v/>
      </c>
      <c r="L782" t="str">
        <v/>
      </c>
    </row>
    <row r="783" spans="1:12" x14ac:dyDescent="0.25">
      <c r="A783" t="str">
        <v>82cd5401-3c9e-4b0c-b1ce-e28b66d0d465</v>
      </c>
      <c r="B783" t="str">
        <v>59aa6b0b-de50-47f7-aa13-c76e10c376aa</v>
      </c>
      <c r="C783" t="str">
        <v>Air Conditioner</v>
      </c>
      <c r="D783" t="str">
        <v>FEA4B88F-633F-4422-B3D6-250792A2DA80</v>
      </c>
      <c r="E783" t="str">
        <v>2024-11-20</v>
      </c>
      <c r="F783" s="4">
        <v>2850</v>
      </c>
      <c r="G783" t="str">
        <v>5a2d799d-22a1-4e0a-b029-8031a1df6d56</v>
      </c>
      <c r="H783" t="str">
        <v>2adb3689-90cd-4ae8-832d-be7cc1a11029</v>
      </c>
      <c r="I783" t="str">
        <v/>
      </c>
      <c r="L783" t="str">
        <v/>
      </c>
    </row>
    <row r="784" spans="1:12" x14ac:dyDescent="0.25">
      <c r="A784" t="str">
        <v>4896ffcf-11a4-4a58-a48d-2aed650ee58d</v>
      </c>
      <c r="B784" t="str">
        <v>1b9cd40a-c9e0-4008-8de7-a422d2d843fe</v>
      </c>
      <c r="C784" t="str">
        <v>Air Conditioner</v>
      </c>
      <c r="D784" t="str">
        <v>FEA4B88F-633F-4422-B3D6-250792A2DA80</v>
      </c>
      <c r="E784" t="str">
        <v>2024-10-03</v>
      </c>
      <c r="F784" s="4">
        <v>950</v>
      </c>
      <c r="G784" t="str">
        <v>5a2d799d-22a1-4e0a-b029-8031a1df6d56</v>
      </c>
      <c r="H784" t="str">
        <v>2adb3689-90cd-4ae8-832d-be7cc1a11029</v>
      </c>
      <c r="I784" t="str">
        <v/>
      </c>
      <c r="L784" t="str">
        <v/>
      </c>
    </row>
    <row r="785" spans="1:12" x14ac:dyDescent="0.25">
      <c r="A785" t="str">
        <v>40c14abc-bd4d-4bf5-8c03-025945ed5589</v>
      </c>
      <c r="B785" t="str">
        <v>7c1ba2fa-9809-48ba-84d6-b4e9850bfaee</v>
      </c>
      <c r="C785" t="str">
        <v>Air Conditioner</v>
      </c>
      <c r="D785" t="str">
        <v>FEA4B88F-633F-4422-B3D6-250792A2DA80</v>
      </c>
      <c r="E785" t="str">
        <v>2024-05-10</v>
      </c>
      <c r="F785" s="4">
        <v>1800</v>
      </c>
      <c r="G785" t="str">
        <v>5a2d799d-22a1-4e0a-b029-8031a1df6d56</v>
      </c>
      <c r="H785" t="str">
        <v>2adb3689-90cd-4ae8-832d-be7cc1a11029</v>
      </c>
      <c r="I785" t="str">
        <v/>
      </c>
      <c r="L785" t="str">
        <v/>
      </c>
    </row>
    <row r="786" spans="1:12" x14ac:dyDescent="0.25">
      <c r="A786" t="str">
        <v>7123cc09-b640-437a-8798-45251e0da490</v>
      </c>
      <c r="B786" t="str">
        <v>87d80b0a-63a6-42e1-85e9-48e0c4989032</v>
      </c>
      <c r="C786" t="str">
        <v>Panorama</v>
      </c>
      <c r="D786" t="str">
        <v>B59170EC-16CC-499A-9FF7-0428DCB8F727</v>
      </c>
      <c r="E786" t="str">
        <v>2025-02-26</v>
      </c>
      <c r="F786" s="4">
        <v>233110</v>
      </c>
      <c r="G786" t="str">
        <v>0790fb09-2de6-4ea3-a71c-58a007fc62a8</v>
      </c>
      <c r="H786" t="str">
        <v>9fed28b3-82cf-4afa-8e8d-952adf7a54a5</v>
      </c>
      <c r="I786" t="str">
        <v/>
      </c>
      <c r="L786" t="str">
        <v/>
      </c>
    </row>
    <row r="787" spans="1:12" x14ac:dyDescent="0.25">
      <c r="A787" t="str">
        <v>7f82d3e4-bdba-4abe-b584-fbb136b6231f</v>
      </c>
      <c r="B787" t="str">
        <v>95d0f9a5-9cfd-4cba-91eb-74381805ea19</v>
      </c>
      <c r="C787" t="str">
        <v>Air Conditioner</v>
      </c>
      <c r="D787" t="str">
        <v>FEA4B88F-633F-4422-B3D6-250792A2DA80</v>
      </c>
      <c r="E787" t="str">
        <v>2025-02-19</v>
      </c>
      <c r="F787" s="4">
        <v>4545</v>
      </c>
      <c r="G787" t="str">
        <v>0790fb09-2de6-4ea3-a71c-58a007fc62a8</v>
      </c>
      <c r="H787" t="str">
        <v>9fed28b3-82cf-4afa-8e8d-952adf7a54a5</v>
      </c>
      <c r="I787" t="str">
        <v/>
      </c>
      <c r="L787" t="str">
        <v/>
      </c>
    </row>
    <row r="788" spans="1:12" x14ac:dyDescent="0.25">
      <c r="A788" t="str">
        <v>1e97a333-c3be-47e6-a2c4-fb3909837ddc</v>
      </c>
      <c r="B788" t="str">
        <v>a37cedac-025a-4fb9-8fa8-11cf62744e91</v>
      </c>
      <c r="C788" t="str">
        <v>Air Conditioner</v>
      </c>
      <c r="D788" t="str">
        <v>FEA4B88F-633F-4422-B3D6-250792A2DA80</v>
      </c>
      <c r="E788" t="str">
        <v>2025-02-11</v>
      </c>
      <c r="F788" s="4">
        <v>850</v>
      </c>
      <c r="G788" t="str">
        <v>5a2d799d-22a1-4e0a-b029-8031a1df6d56</v>
      </c>
      <c r="H788" t="str">
        <v>9fed28b3-82cf-4afa-8e8d-952adf7a54a5</v>
      </c>
      <c r="I788" t="str">
        <v/>
      </c>
      <c r="L788" t="str">
        <v/>
      </c>
    </row>
    <row r="789" spans="1:12" x14ac:dyDescent="0.25">
      <c r="A789" t="str">
        <v>38fa4d48-0354-4e37-96f4-bbff2528d194</v>
      </c>
      <c r="B789" t="str">
        <v>e4776dbb-f3fc-4669-bb43-a1b7c87b7c59</v>
      </c>
      <c r="C789" t="str">
        <v>Digomi 2B Service</v>
      </c>
      <c r="D789" t="str">
        <v>12238130-9D12-4099-A48B-9EB5A085E0F8</v>
      </c>
      <c r="E789" t="str">
        <v>2025-02-01</v>
      </c>
      <c r="F789" s="4">
        <v>350</v>
      </c>
      <c r="G789" t="str">
        <v>5a2d799d-22a1-4e0a-b029-8031a1df6d56</v>
      </c>
      <c r="H789" t="str">
        <v>9fed28b3-82cf-4afa-8e8d-952adf7a54a5</v>
      </c>
      <c r="I789" t="str">
        <v/>
      </c>
      <c r="L789" t="str">
        <v/>
      </c>
    </row>
    <row r="790" spans="1:12" x14ac:dyDescent="0.25">
      <c r="A790" t="str">
        <v>78711cce-5f5c-43df-bbd5-690b6421863d</v>
      </c>
      <c r="B790" t="str">
        <v>a95a2d00-27d9-45bb-932b-1fee2c37e12f</v>
      </c>
      <c r="C790" t="str">
        <v>Park Home Galleria</v>
      </c>
      <c r="D790" t="str">
        <v>C491BFF3-6F7B-4412-9DF0-EAED6F3EE238</v>
      </c>
      <c r="E790" t="str">
        <v>2025-03-01</v>
      </c>
      <c r="F790" s="4">
        <v>500</v>
      </c>
      <c r="G790" t="str">
        <v>0790fb09-2de6-4ea3-a71c-58a007fc62a8</v>
      </c>
      <c r="H790" t="str">
        <v>9fed28b3-82cf-4afa-8e8d-952adf7a54a5</v>
      </c>
      <c r="I790" t="str">
        <v/>
      </c>
      <c r="L790" t="str">
        <v>86332895-C3C3-4313-AA1C-0D1B06C2386C</v>
      </c>
    </row>
    <row r="791" spans="1:12" x14ac:dyDescent="0.25">
      <c r="A791" t="str">
        <v>64c5e4d7-bba6-4a45-ba66-fa1e66b0e138</v>
      </c>
      <c r="B791" t="str">
        <v>8E8E99BE-75FC-49EC-9D89-960E30E7CB06</v>
      </c>
      <c r="C791" t="str">
        <v>Kvareli Ballrom</v>
      </c>
      <c r="D791" t="str">
        <v>FEA4B88F-633F-4422-B3D6-250792A2DA80</v>
      </c>
      <c r="E791" t="str">
        <v>2025-02-01</v>
      </c>
      <c r="F791" s="4">
        <v>15000</v>
      </c>
      <c r="G791" t="str">
        <v>0790fb09-2de6-4ea3-a71c-58a007fc62a8</v>
      </c>
      <c r="H791" t="str">
        <v>9fed28b3-82cf-4afa-8e8d-952adf7a54a5</v>
      </c>
      <c r="I791" t="str">
        <v/>
      </c>
      <c r="L791" t="str">
        <v>C309CB7C-404D-431A-A8FB-29671DCA0C49</v>
      </c>
    </row>
    <row r="792" spans="1:12" x14ac:dyDescent="0.25">
      <c r="A792" t="str">
        <v>bef3d37a-b2b0-4cd3-962a-656b79692471</v>
      </c>
      <c r="B792" t="str">
        <v>f41e2ac5-0e57-41cb-b8b7-2dd8dc1a8bf4</v>
      </c>
      <c r="C792" t="str">
        <v>Air Conditioner</v>
      </c>
      <c r="D792" t="str">
        <v>FEA4B88F-633F-4422-B3D6-250792A2DA80</v>
      </c>
      <c r="E792" t="str">
        <v>2025-02-28</v>
      </c>
      <c r="F792" s="4">
        <v>850</v>
      </c>
      <c r="G792" t="str">
        <v>5a2d799d-22a1-4e0a-b029-8031a1df6d56</v>
      </c>
      <c r="H792" t="str">
        <v>9fed28b3-82cf-4afa-8e8d-952adf7a54a5</v>
      </c>
      <c r="I792" t="str">
        <v/>
      </c>
      <c r="L792" t="str">
        <v/>
      </c>
    </row>
    <row r="793" spans="1:12" x14ac:dyDescent="0.25">
      <c r="A793" t="str">
        <v>cc102bf8-47ad-42ee-99e1-56f4b79c9244</v>
      </c>
      <c r="B793" t="str">
        <v>e4776dbb-f3fc-4669-bb43-a1b7c87b7c59</v>
      </c>
      <c r="C793" t="str">
        <v>Archi Isani D Block</v>
      </c>
      <c r="D793" t="str">
        <v>12238130-9D12-4099-A48B-9EB5A085E0F8</v>
      </c>
      <c r="E793" t="str">
        <v>2025-02-01</v>
      </c>
      <c r="F793" s="4">
        <v>400</v>
      </c>
      <c r="G793" t="str">
        <v>0790fb09-2de6-4ea3-a71c-58a007fc62a8</v>
      </c>
      <c r="H793" t="str">
        <v>9fed28b3-82cf-4afa-8e8d-952adf7a54a5</v>
      </c>
      <c r="I793" t="str">
        <v/>
      </c>
      <c r="L793" t="str">
        <v/>
      </c>
    </row>
    <row r="794" spans="1:12" x14ac:dyDescent="0.25">
      <c r="A794" t="str">
        <v>ce7eb35f-7074-41b1-a5fc-6111bc6e3216</v>
      </c>
      <c r="B794" t="str">
        <v>e4776dbb-f3fc-4669-bb43-a1b7c87b7c59</v>
      </c>
      <c r="C794" t="str">
        <v>Saburtalo C Block</v>
      </c>
      <c r="D794" t="str">
        <v>12238130-9D12-4099-A48B-9EB5A085E0F8</v>
      </c>
      <c r="E794" t="str">
        <v>2025-02-01</v>
      </c>
      <c r="F794" s="4">
        <v>200</v>
      </c>
      <c r="G794" t="str">
        <v>0790fb09-2de6-4ea3-a71c-58a007fc62a8</v>
      </c>
      <c r="H794" t="str">
        <v>9fed28b3-82cf-4afa-8e8d-952adf7a54a5</v>
      </c>
      <c r="I794" t="str">
        <v/>
      </c>
      <c r="L794" t="str">
        <v/>
      </c>
    </row>
    <row r="795" spans="1:12" x14ac:dyDescent="0.25">
      <c r="A795" t="str">
        <v>699eacfe-5082-495c-b0f3-1e3fd3e7c070</v>
      </c>
      <c r="B795" t="str">
        <v>e4776dbb-f3fc-4669-bb43-a1b7c87b7c59</v>
      </c>
      <c r="C795" t="str">
        <v>Archi Isani C Block</v>
      </c>
      <c r="D795" t="str">
        <v>12238130-9D12-4099-A48B-9EB5A085E0F8</v>
      </c>
      <c r="E795" t="str">
        <v>2025-02-01</v>
      </c>
      <c r="F795" s="4">
        <v>200</v>
      </c>
      <c r="G795" t="str">
        <v>0790fb09-2de6-4ea3-a71c-58a007fc62a8</v>
      </c>
      <c r="H795" t="str">
        <v>9fed28b3-82cf-4afa-8e8d-952adf7a54a5</v>
      </c>
      <c r="I795" t="str">
        <v>1 6 31 2687</v>
      </c>
      <c r="L795" t="str">
        <v/>
      </c>
    </row>
    <row r="796" spans="1:12" x14ac:dyDescent="0.25">
      <c r="A796" t="str">
        <v>124ab778-7a93-4783-9601-298e88ec1202</v>
      </c>
      <c r="B796" t="str">
        <v>8552e61b-5341-4e48-8dc9-2dcadd5ac20f</v>
      </c>
      <c r="C796" t="str">
        <v>Samzeo Service</v>
      </c>
      <c r="D796" t="str">
        <v>12238130-9D12-4099-A48B-9EB5A085E0F8</v>
      </c>
      <c r="E796" t="str">
        <v>2025-01-01</v>
      </c>
      <c r="F796" s="4">
        <v>205</v>
      </c>
      <c r="G796" t="str">
        <v>0790fb09-2de6-4ea3-a71c-58a007fc62a8</v>
      </c>
      <c r="H796" t="str">
        <v>9fed28b3-82cf-4afa-8e8d-952adf7a54a5</v>
      </c>
      <c r="I796" t="str">
        <v/>
      </c>
      <c r="L796" t="str">
        <v/>
      </c>
    </row>
    <row r="797" spans="1:12" x14ac:dyDescent="0.25">
      <c r="A797" t="str">
        <v>1ed13be5-b31a-47e7-a4c5-56363878affe</v>
      </c>
      <c r="B797" t="str">
        <v>01f6563f-4cb1-45ad-acfb-f268b7aef9ef</v>
      </c>
      <c r="C797" t="str">
        <v>Pekini Service</v>
      </c>
      <c r="D797" t="str">
        <v>12238130-9D12-4099-A48B-9EB5A085E0F8</v>
      </c>
      <c r="E797" t="str">
        <v>2025-01-01</v>
      </c>
      <c r="F797" s="4">
        <v>450</v>
      </c>
      <c r="G797" t="str">
        <v>0790fb09-2de6-4ea3-a71c-58a007fc62a8</v>
      </c>
      <c r="H797" t="str">
        <v>9fed28b3-82cf-4afa-8e8d-952adf7a54a5</v>
      </c>
      <c r="I797" t="str">
        <v/>
      </c>
      <c r="L797" t="str">
        <v/>
      </c>
    </row>
    <row r="798" spans="1:12" x14ac:dyDescent="0.25">
      <c r="A798" t="str">
        <v>b1946c84-d9e0-40d3-87a7-af3ef7ed9984</v>
      </c>
      <c r="B798" t="str">
        <v>3bcb36cb-f2ad-4468-91ae-2e44f07c8bab</v>
      </c>
      <c r="C798" t="str">
        <v>Pult</v>
      </c>
      <c r="D798" t="str">
        <v>FEA4B88F-633F-4422-B3D6-250792A2DA80</v>
      </c>
      <c r="E798" t="str">
        <v>2025-02-11</v>
      </c>
      <c r="F798" s="4">
        <v>350</v>
      </c>
      <c r="G798" t="str">
        <v>5a2d799d-22a1-4e0a-b029-8031a1df6d56</v>
      </c>
      <c r="H798" t="str">
        <v>9fed28b3-82cf-4afa-8e8d-952adf7a54a5</v>
      </c>
      <c r="I798" t="str">
        <v/>
      </c>
      <c r="L798" t="str">
        <v/>
      </c>
    </row>
    <row r="799" spans="1:12" x14ac:dyDescent="0.25">
      <c r="A799" t="str">
        <v>eef81c65-a18f-4c07-aeda-19277f8b204d</v>
      </c>
      <c r="B799" t="str">
        <v>BE85F113-ED2E-49E3-82F1-CFA5A146ACFA</v>
      </c>
      <c r="C799" t="str">
        <v>Air Conditioner</v>
      </c>
      <c r="D799" t="str">
        <v>FEA4B88F-633F-4422-B3D6-250792A2DA80</v>
      </c>
      <c r="E799" t="str">
        <v>2025-02-28</v>
      </c>
      <c r="F799" s="4">
        <v>700</v>
      </c>
      <c r="G799" t="str">
        <v>0790fb09-2de6-4ea3-a71c-58a007fc62a8</v>
      </c>
      <c r="H799" t="str">
        <v>9fed28b3-82cf-4afa-8e8d-952adf7a54a5</v>
      </c>
      <c r="I799" t="str">
        <v/>
      </c>
      <c r="L799" t="str">
        <v/>
      </c>
    </row>
    <row r="800" spans="1:12" x14ac:dyDescent="0.25">
      <c r="A800" t="str">
        <v>792b7367-dfea-4aa0-9adc-58e434fc8c98</v>
      </c>
      <c r="B800" t="str">
        <v>2BAD18DC-6E49-4AD3-9FDC-1B422FF3B90D</v>
      </c>
      <c r="C800" t="str">
        <v>Telavi Mall</v>
      </c>
      <c r="D800" t="str">
        <v>B59170EC-16CC-499A-9FF7-0428DCB8F727</v>
      </c>
      <c r="E800" t="str">
        <v>2025-01-31</v>
      </c>
      <c r="F800" s="4">
        <v>47000</v>
      </c>
      <c r="G800" t="str">
        <v>0790fb09-2de6-4ea3-a71c-58a007fc62a8</v>
      </c>
      <c r="H800" t="str">
        <v>9fed28b3-82cf-4afa-8e8d-952adf7a54a5</v>
      </c>
      <c r="I800" t="str">
        <v/>
      </c>
      <c r="L800" t="str">
        <v/>
      </c>
    </row>
    <row r="801" spans="1:12" x14ac:dyDescent="0.25">
      <c r="A801" t="str">
        <v>01a66ea9-0f19-41d9-ad5b-bb031c578257</v>
      </c>
      <c r="B801" t="str">
        <v>62F6C15C-8FCC-4A60-B37E-8A3DE9D20A48</v>
      </c>
      <c r="C801" t="str">
        <v>Delisi Oth</v>
      </c>
      <c r="D801" t="str">
        <v>C491BFF3-6F7B-4412-9DF0-EAED6F3EE238</v>
      </c>
      <c r="E801" t="str">
        <v>2025-02-17</v>
      </c>
      <c r="F801" s="4">
        <v>375</v>
      </c>
      <c r="G801" t="str">
        <v>5a2d799d-22a1-4e0a-b029-8031a1df6d56</v>
      </c>
      <c r="H801" t="str">
        <v>9fed28b3-82cf-4afa-8e8d-952adf7a54a5</v>
      </c>
      <c r="I801" t="str">
        <v/>
      </c>
      <c r="L801" t="str">
        <v/>
      </c>
    </row>
    <row r="802" spans="1:12" x14ac:dyDescent="0.25">
      <c r="A802" t="str">
        <v>d522af64-5434-40b5-ab55-2e7d15d39ac9</v>
      </c>
      <c r="B802" t="str">
        <v>e73bbc35-c413-4683-8c6f-c015c511dffa</v>
      </c>
      <c r="C802" t="str">
        <v>Telegraph Fancoils</v>
      </c>
      <c r="D802" t="str">
        <v>FEA4B88F-633F-4422-B3D6-250792A2DA80</v>
      </c>
      <c r="E802" t="str">
        <v>2023-09-22</v>
      </c>
      <c r="F802" s="4">
        <v>175247</v>
      </c>
      <c r="G802" t="str">
        <v>4cfda3f2-535e-4b77-a467-eac9dc64feca</v>
      </c>
      <c r="H802" t="str">
        <v>2adb3689-90cd-4ae8-832d-be7cc1a11029</v>
      </c>
      <c r="I802" t="str">
        <v/>
      </c>
      <c r="L802" t="str">
        <v/>
      </c>
    </row>
    <row r="803" spans="1:12" x14ac:dyDescent="0.25">
      <c r="A803" t="str">
        <v>91658558-ce51-4156-bea8-3b5d6362dad3</v>
      </c>
      <c r="B803" t="str">
        <v>e73bbc35-c413-4683-8c6f-c015c511dffa</v>
      </c>
      <c r="C803" t="str">
        <v>Telegraph Chiller</v>
      </c>
      <c r="D803" t="str">
        <v>FEA4B88F-633F-4422-B3D6-250792A2DA80</v>
      </c>
      <c r="E803" t="str">
        <v>2024-03-27</v>
      </c>
      <c r="F803" s="4">
        <v>311588</v>
      </c>
      <c r="G803" t="str">
        <v>4cfda3f2-535e-4b77-a467-eac9dc64feca</v>
      </c>
      <c r="H803" t="str">
        <v>2adb3689-90cd-4ae8-832d-be7cc1a11029</v>
      </c>
      <c r="I803" t="str">
        <v/>
      </c>
      <c r="L803" t="str">
        <v/>
      </c>
    </row>
    <row r="804" spans="1:12" x14ac:dyDescent="0.25">
      <c r="A804" t="str">
        <v>b4621c77-116d-4d76-85d0-dde781f8eb29</v>
      </c>
      <c r="B804" t="str">
        <v>7DDF7E55-92EE-4E47-9E16-F1D4D3FABF60</v>
      </c>
      <c r="C804" t="str">
        <v>Social Houses Batumi</v>
      </c>
      <c r="D804" t="str">
        <v>B59170EC-16CC-499A-9FF7-0428DCB8F727</v>
      </c>
      <c r="E804" t="str">
        <v>2025-02-28</v>
      </c>
      <c r="F804" s="4">
        <v>201200</v>
      </c>
      <c r="G804" t="str">
        <v>0790fb09-2de6-4ea3-a71c-58a007fc62a8</v>
      </c>
      <c r="H804" t="str">
        <v>9fed28b3-82cf-4afa-8e8d-952adf7a54a5</v>
      </c>
      <c r="I804" t="str">
        <v/>
      </c>
      <c r="L804" t="str">
        <v/>
      </c>
    </row>
    <row r="805" spans="1:12" x14ac:dyDescent="0.25">
      <c r="A805" t="str">
        <v>a030a2ee-1901-4a6a-b95f-b2f87e66e0bf</v>
      </c>
      <c r="B805" t="str">
        <v>c6fd871b-6503-4016-a944-8d66e0c0b2b9</v>
      </c>
      <c r="C805" t="str">
        <v>Bagebi Service</v>
      </c>
      <c r="D805" t="str">
        <v>C491BFF3-6F7B-4412-9DF0-EAED6F3EE238</v>
      </c>
      <c r="E805" t="str">
        <v>2025-03-21</v>
      </c>
      <c r="F805" s="4">
        <v>1500</v>
      </c>
      <c r="G805" t="str">
        <v>5a2d799d-22a1-4e0a-b029-8031a1df6d56</v>
      </c>
      <c r="H805" t="str">
        <v>9fed28b3-82cf-4afa-8e8d-952adf7a54a5</v>
      </c>
      <c r="I805" t="str">
        <v>1 6 31 2200</v>
      </c>
      <c r="L805" t="str">
        <v/>
      </c>
    </row>
    <row r="806" spans="1:12" x14ac:dyDescent="0.25">
      <c r="A806" t="str">
        <v>2bb06da1-5bb5-4934-af0a-751848294cfe</v>
      </c>
      <c r="B806" t="str">
        <v>1e432ee6-bf83-4368-89db-5c1fbca8796b</v>
      </c>
      <c r="C806" t="str">
        <v>ZYGMA</v>
      </c>
      <c r="D806" t="str">
        <v>B59170EC-16CC-499A-9FF7-0428DCB8F727</v>
      </c>
      <c r="E806" t="str">
        <v>2025-03-10</v>
      </c>
      <c r="F806" s="4">
        <v>524300</v>
      </c>
      <c r="G806" t="str">
        <v>0790fb09-2de6-4ea3-a71c-58a007fc62a8</v>
      </c>
      <c r="H806" t="str">
        <v>9fed28b3-82cf-4afa-8e8d-952adf7a54a5</v>
      </c>
      <c r="I806" t="str">
        <v/>
      </c>
      <c r="L806" t="str">
        <v/>
      </c>
    </row>
    <row r="807" spans="1:12" x14ac:dyDescent="0.25">
      <c r="A807" t="str">
        <v>9b9f319f-c87a-47c6-aa79-6c8897d0a6c8</v>
      </c>
      <c r="B807" t="str">
        <v>26d882f1-0e80-4ca4-8c7e-958513fda0ec</v>
      </c>
      <c r="C807" t="str">
        <v>Batumi Central Install</v>
      </c>
      <c r="D807" t="str">
        <v>B59170EC-16CC-499A-9FF7-0428DCB8F727</v>
      </c>
      <c r="E807" t="str">
        <v>2024-06-18</v>
      </c>
      <c r="F807" s="4">
        <v>9132</v>
      </c>
      <c r="G807" t="str">
        <v>0790fb09-2de6-4ea3-a71c-58a007fc62a8</v>
      </c>
      <c r="H807" t="str">
        <v>9fed28b3-82cf-4afa-8e8d-952adf7a54a5</v>
      </c>
      <c r="I807" t="str">
        <v/>
      </c>
      <c r="L807" t="str">
        <v/>
      </c>
    </row>
    <row r="808" spans="1:12" x14ac:dyDescent="0.25">
      <c r="A808" t="str">
        <v>02ef95a4-c79c-4315-b6ae-ab33e88512fd</v>
      </c>
      <c r="B808" t="str">
        <v>E56C25E1-F15A-4390-BB92-B64890A90093</v>
      </c>
      <c r="C808" t="str">
        <v>UNIX MARSEL Repair</v>
      </c>
      <c r="D808" t="str">
        <v>C491BFF3-6F7B-4412-9DF0-EAED6F3EE238</v>
      </c>
      <c r="E808" t="str">
        <v>2025-03-22</v>
      </c>
      <c r="F808" s="4">
        <v>500</v>
      </c>
      <c r="G808" t="str">
        <v>5a2d799d-22a1-4e0a-b029-8031a1df6d56</v>
      </c>
      <c r="H808" t="str">
        <v>9fed28b3-82cf-4afa-8e8d-952adf7a54a5</v>
      </c>
      <c r="I808" t="str">
        <v/>
      </c>
      <c r="L808" t="str">
        <v/>
      </c>
    </row>
    <row r="809" spans="1:12" x14ac:dyDescent="0.25">
      <c r="A809" t="str">
        <v>a2e40750-f18a-4d9e-8262-ff34e06eb53e</v>
      </c>
      <c r="B809" t="str">
        <v>ccabf454-5bc9-4a0f-a645-c4107db2dd65</v>
      </c>
      <c r="C809" t="str">
        <v>MTZ Service</v>
      </c>
      <c r="D809" t="str">
        <v>12238130-9D12-4099-A48B-9EB5A085E0F8</v>
      </c>
      <c r="E809" t="str">
        <v>2025-02-01</v>
      </c>
      <c r="F809" s="4">
        <v>600</v>
      </c>
      <c r="G809" t="str">
        <v>0790fb09-2de6-4ea3-a71c-58a007fc62a8</v>
      </c>
      <c r="H809" t="str">
        <v>9fed28b3-82cf-4afa-8e8d-952adf7a54a5</v>
      </c>
      <c r="I809" t="str">
        <v>1 6 31 2487</v>
      </c>
      <c r="L809" t="str">
        <v/>
      </c>
    </row>
    <row r="810" spans="1:12" x14ac:dyDescent="0.25">
      <c r="A810" t="str">
        <v>c43148de-49f1-440e-b526-89c6f778bc49</v>
      </c>
      <c r="B810" t="str">
        <v>e4776dbb-f3fc-4669-bb43-a1b7c87b7c59</v>
      </c>
      <c r="C810" t="str">
        <v>Didi Digomi 2B</v>
      </c>
      <c r="D810" t="str">
        <v>12238130-9D12-4099-A48B-9EB5A085E0F8</v>
      </c>
      <c r="E810" t="str">
        <v>2025-02-01</v>
      </c>
      <c r="F810" s="4">
        <v>300</v>
      </c>
      <c r="G810" t="str">
        <v>0790fb09-2de6-4ea3-a71c-58a007fc62a8</v>
      </c>
      <c r="H810" t="str">
        <v>9fed28b3-82cf-4afa-8e8d-952adf7a54a5</v>
      </c>
      <c r="I810" t="str">
        <v/>
      </c>
      <c r="L810" t="str">
        <v/>
      </c>
    </row>
    <row r="811" spans="1:12" x14ac:dyDescent="0.25">
      <c r="A811" t="str">
        <v>4f58ef53-d455-47ad-971a-9bce278d33aa</v>
      </c>
      <c r="B811" t="str">
        <v>e4776dbb-f3fc-4669-bb43-a1b7c87b7c59</v>
      </c>
      <c r="C811" t="str">
        <v>Didi Digomi 2C</v>
      </c>
      <c r="D811" t="str">
        <v>12238130-9D12-4099-A48B-9EB5A085E0F8</v>
      </c>
      <c r="E811" t="str">
        <v>2025-02-01</v>
      </c>
      <c r="F811" s="4">
        <v>300</v>
      </c>
      <c r="G811" t="str">
        <v>0790fb09-2de6-4ea3-a71c-58a007fc62a8</v>
      </c>
      <c r="H811" t="str">
        <v>9fed28b3-82cf-4afa-8e8d-952adf7a54a5</v>
      </c>
      <c r="I811" t="str">
        <v/>
      </c>
      <c r="L811" t="str">
        <v/>
      </c>
    </row>
    <row r="812" spans="1:12" x14ac:dyDescent="0.25">
      <c r="A812" t="str">
        <v>bc912060-bca0-4072-b760-a3d8143125d5</v>
      </c>
      <c r="B812" t="str">
        <v>e4776dbb-f3fc-4669-bb43-a1b7c87b7c59</v>
      </c>
      <c r="C812" t="str">
        <v>Didi Digomi 2D</v>
      </c>
      <c r="D812" t="str">
        <v>12238130-9D12-4099-A48B-9EB5A085E0F8</v>
      </c>
      <c r="E812" t="str">
        <v>2025-02-01</v>
      </c>
      <c r="F812" s="4">
        <v>300</v>
      </c>
      <c r="G812" t="str">
        <v>0790fb09-2de6-4ea3-a71c-58a007fc62a8</v>
      </c>
      <c r="H812" t="str">
        <v>9fed28b3-82cf-4afa-8e8d-952adf7a54a5</v>
      </c>
      <c r="I812" t="str">
        <v/>
      </c>
      <c r="L812" t="str">
        <v/>
      </c>
    </row>
    <row r="813" spans="1:12" x14ac:dyDescent="0.25">
      <c r="A813" t="str">
        <v>b95df8a1-ba8d-42ed-babd-0c9fdf95d181</v>
      </c>
      <c r="B813" t="str">
        <v>3D0B2E19-A7F7-45A1-A329-05C7D5F99C8A</v>
      </c>
      <c r="C813" t="str">
        <v>Central Platform</v>
      </c>
      <c r="D813" t="str">
        <v>FEA4B88F-633F-4422-B3D6-250792A2DA80</v>
      </c>
      <c r="E813" t="str">
        <v>2025-04-04</v>
      </c>
      <c r="F813" s="4">
        <v>582553.5</v>
      </c>
      <c r="G813" t="str">
        <v>0790fb09-2de6-4ea3-a71c-58a007fc62a8</v>
      </c>
      <c r="H813" t="str">
        <v>9fed28b3-82cf-4afa-8e8d-952adf7a54a5</v>
      </c>
      <c r="I813" t="str">
        <v>1 6 30 1371</v>
      </c>
      <c r="L813" t="str">
        <v/>
      </c>
    </row>
    <row r="814" spans="1:12" x14ac:dyDescent="0.25">
      <c r="A814" t="str">
        <v>e7652f49-24a4-448a-8453-427e243de287</v>
      </c>
      <c r="B814" t="str">
        <v>779e6a2e-7b52-4c0d-9e5f-eb92c63e767b</v>
      </c>
      <c r="C814" t="str">
        <v>University Transportation</v>
      </c>
      <c r="D814" t="str">
        <v>B59170EC-16CC-499A-9FF7-0428DCB8F727</v>
      </c>
      <c r="E814" t="str">
        <v>2025-04-03</v>
      </c>
      <c r="F814" s="4">
        <v>3500</v>
      </c>
      <c r="G814" t="str">
        <v>5a2d799d-22a1-4e0a-b029-8031a1df6d56</v>
      </c>
      <c r="H814" t="str">
        <v>9fed28b3-82cf-4afa-8e8d-952adf7a54a5</v>
      </c>
      <c r="I814" t="str">
        <v/>
      </c>
      <c r="L814" t="str">
        <v/>
      </c>
    </row>
    <row r="815" spans="1:12" x14ac:dyDescent="0.25">
      <c r="A815" t="str">
        <v>d51e9c7e-8b2f-4387-b61b-993c93b9eda4</v>
      </c>
      <c r="B815" t="str">
        <v>81bf3006-21b0-48ff-ae44-bf82aa104e31</v>
      </c>
      <c r="C815" t="str">
        <v>Air Conditioner</v>
      </c>
      <c r="D815" t="str">
        <v>FEA4B88F-633F-4422-B3D6-250792A2DA80</v>
      </c>
      <c r="E815" t="str">
        <v>2025-04-01</v>
      </c>
      <c r="F815" s="4">
        <v>1480</v>
      </c>
      <c r="G815" t="str">
        <v>5a2d799d-22a1-4e0a-b029-8031a1df6d56</v>
      </c>
      <c r="H815" t="str">
        <v>9fed28b3-82cf-4afa-8e8d-952adf7a54a5</v>
      </c>
      <c r="I815" t="str">
        <v/>
      </c>
      <c r="L815" t="str">
        <v/>
      </c>
    </row>
    <row r="816" spans="1:12" x14ac:dyDescent="0.25">
      <c r="A816" t="str">
        <v>50127fe7-f116-400d-b859-9225eebb5469</v>
      </c>
      <c r="B816" t="str">
        <v>2f5f9219-fac1-402c-9141-f6716bf889dc</v>
      </c>
      <c r="C816" t="str">
        <v>Air Conditioner</v>
      </c>
      <c r="D816" t="str">
        <v>FEA4B88F-633F-4422-B3D6-250792A2DA80</v>
      </c>
      <c r="E816" t="str">
        <v>2025-04-01</v>
      </c>
      <c r="F816" s="4">
        <v>1900</v>
      </c>
      <c r="G816" t="str">
        <v>5a2d799d-22a1-4e0a-b029-8031a1df6d56</v>
      </c>
      <c r="H816" t="str">
        <v>9fed28b3-82cf-4afa-8e8d-952adf7a54a5</v>
      </c>
      <c r="I816" t="str">
        <v/>
      </c>
      <c r="L816" t="str">
        <v/>
      </c>
    </row>
    <row r="817" spans="1:12" x14ac:dyDescent="0.25">
      <c r="A817" t="str">
        <v>3c364f09-534c-4d14-9a75-0854444da485</v>
      </c>
      <c r="B817" t="str">
        <v>9824c752-0be4-4b5d-9818-8b590bd9c2ea</v>
      </c>
      <c r="C817" t="str">
        <v>Air Conditioner</v>
      </c>
      <c r="D817" t="str">
        <v>FEA4B88F-633F-4422-B3D6-250792A2DA80</v>
      </c>
      <c r="E817" t="str">
        <v>2025-04-01</v>
      </c>
      <c r="F817" s="4">
        <v>1900</v>
      </c>
      <c r="G817" t="str">
        <v>5a2d799d-22a1-4e0a-b029-8031a1df6d56</v>
      </c>
      <c r="H817" t="str">
        <v>9fed28b3-82cf-4afa-8e8d-952adf7a54a5</v>
      </c>
      <c r="I817" t="str">
        <v/>
      </c>
      <c r="L817" t="str">
        <v/>
      </c>
    </row>
    <row r="818" spans="1:12" x14ac:dyDescent="0.25">
      <c r="A818" t="str">
        <v>5719fce6-3e16-4a89-9ca2-bfb81be37f0f</v>
      </c>
      <c r="B818" t="str">
        <v>3cfb8504-db19-4e0d-a888-438bff7f2cc8</v>
      </c>
      <c r="C818" t="str">
        <v>Facade Lifts</v>
      </c>
      <c r="D818" t="str">
        <v>B59170EC-16CC-499A-9FF7-0428DCB8F727</v>
      </c>
      <c r="E818" t="str">
        <v>2025-03-27</v>
      </c>
      <c r="F818" s="4">
        <v>397794</v>
      </c>
      <c r="G818" t="str">
        <v>0790fb09-2de6-4ea3-a71c-58a007fc62a8</v>
      </c>
      <c r="H818" t="str">
        <v>9fed28b3-82cf-4afa-8e8d-952adf7a54a5</v>
      </c>
      <c r="I818" t="str">
        <v/>
      </c>
      <c r="L818" t="str">
        <v/>
      </c>
    </row>
    <row r="819" spans="1:12" x14ac:dyDescent="0.25">
      <c r="A819" t="str">
        <v>2e71ede0-f32d-4630-952d-aed7f9c504b0</v>
      </c>
      <c r="B819" t="str">
        <v>17ee0bbd-46cb-4653-91a7-ceeb6b721485</v>
      </c>
      <c r="C819" t="str">
        <v>Nami</v>
      </c>
      <c r="D819" t="str">
        <v>B59170EC-16CC-499A-9FF7-0428DCB8F727</v>
      </c>
      <c r="E819" t="str">
        <v>2025-04-16</v>
      </c>
      <c r="F819" s="4">
        <v>66150</v>
      </c>
      <c r="G819" t="str">
        <v>0790fb09-2de6-4ea3-a71c-58a007fc62a8</v>
      </c>
      <c r="H819" t="str">
        <v>9fed28b3-82cf-4afa-8e8d-952adf7a54a5</v>
      </c>
      <c r="I819" t="str">
        <v/>
      </c>
      <c r="L819" t="str">
        <v/>
      </c>
    </row>
    <row r="820" spans="1:12" x14ac:dyDescent="0.25">
      <c r="A820" t="str">
        <v>84b34789-f7e6-4723-9a0d-20fbb0501af4</v>
      </c>
      <c r="B820" t="str">
        <v>28c83760-9609-45b5-ba2b-10af914dc649</v>
      </c>
      <c r="C820" t="str">
        <v>Radisson Red HVAC Service</v>
      </c>
      <c r="D820" t="str">
        <v>31562B13-85C8-472E-8D02-01D802D635C1</v>
      </c>
      <c r="E820" t="str">
        <v>2024-05-29</v>
      </c>
      <c r="F820" s="4">
        <v>6930</v>
      </c>
      <c r="G820" t="str">
        <v>5a2d799d-22a1-4e0a-b029-8031a1df6d56</v>
      </c>
      <c r="H820" t="str">
        <v>9fed28b3-82cf-4afa-8e8d-952adf7a54a5</v>
      </c>
      <c r="I820" t="str">
        <v/>
      </c>
      <c r="L820" t="str">
        <v>C309CB7C-404D-431A-A8FB-29671DCA0C49</v>
      </c>
    </row>
    <row r="821" spans="1:12" x14ac:dyDescent="0.25">
      <c r="A821" t="str">
        <v>6489cc6b-71ea-46f0-8165-5a6db0bdca47</v>
      </c>
      <c r="B821" t="str">
        <v>E5065FFE-1CD4-4C87-A053-0558ECFC9B1D</v>
      </c>
      <c r="C821" t="str">
        <v>Holiday Inn Oth</v>
      </c>
      <c r="D821" t="str">
        <v>C491BFF3-6F7B-4412-9DF0-EAED6F3EE238</v>
      </c>
      <c r="E821" t="str">
        <v>2025-04-01</v>
      </c>
      <c r="F821" s="4">
        <v>8150</v>
      </c>
      <c r="G821" t="str">
        <v>0790fb09-2de6-4ea3-a71c-58a007fc62a8</v>
      </c>
      <c r="H821" t="str">
        <v>9fed28b3-82cf-4afa-8e8d-952adf7a54a5</v>
      </c>
      <c r="I821" t="str">
        <v/>
      </c>
      <c r="L821" t="str">
        <v/>
      </c>
    </row>
    <row r="822" spans="1:12" x14ac:dyDescent="0.25">
      <c r="A822" t="str">
        <v>809651f2-bf8c-4b6c-9f33-4a87a71f2d90</v>
      </c>
      <c r="B822" t="str">
        <v>51f71b9f-7728-4533-88fa-1bdc301b9d7e</v>
      </c>
      <c r="C822" t="str">
        <v>DAVINCHI Oth</v>
      </c>
      <c r="D822" t="str">
        <v>B59170EC-16CC-499A-9FF7-0428DCB8F727</v>
      </c>
      <c r="E822" t="str">
        <v>2025-04-01</v>
      </c>
      <c r="F822" s="4">
        <v>1590.45</v>
      </c>
      <c r="G822" t="str">
        <v>5a2d799d-22a1-4e0a-b029-8031a1df6d56</v>
      </c>
      <c r="H822" t="str">
        <v>9fed28b3-82cf-4afa-8e8d-952adf7a54a5</v>
      </c>
      <c r="I822" t="str">
        <v/>
      </c>
      <c r="L822" t="str">
        <v/>
      </c>
    </row>
    <row r="823" spans="1:12" x14ac:dyDescent="0.25">
      <c r="A823" t="str">
        <v>822dcb84-1cc8-4d87-97a8-c7a7be201ede</v>
      </c>
      <c r="B823" t="str">
        <v>59e53ffc-c1df-473a-b257-775514afb099</v>
      </c>
      <c r="C823" t="str">
        <v>Neo Gudauri Serv</v>
      </c>
      <c r="D823" t="str">
        <v>12238130-9D12-4099-A48B-9EB5A085E0F8</v>
      </c>
      <c r="E823" t="str">
        <v>2025-02-01</v>
      </c>
      <c r="F823" s="4">
        <v>1400</v>
      </c>
      <c r="G823" t="str">
        <v>0790fb09-2de6-4ea3-a71c-58a007fc62a8</v>
      </c>
      <c r="H823" t="str">
        <v>9fed28b3-82cf-4afa-8e8d-952adf7a54a5</v>
      </c>
      <c r="I823" t="str">
        <v>1 6 31 2714</v>
      </c>
      <c r="L823" t="str">
        <v/>
      </c>
    </row>
    <row r="824" spans="1:12" x14ac:dyDescent="0.25">
      <c r="A824" t="str">
        <v>f3244c53-709e-4b57-be43-41f06e2358c6</v>
      </c>
      <c r="B824" t="str">
        <v>7ae5b6db-73b8-444e-bdea-71062d3bda50</v>
      </c>
      <c r="C824" t="str">
        <v>Dry Port Office</v>
      </c>
      <c r="D824" t="str">
        <v>FEA4B88F-633F-4422-B3D6-250792A2DA80</v>
      </c>
      <c r="E824" t="str">
        <v>2025-04-01</v>
      </c>
      <c r="F824" s="4">
        <v>160000</v>
      </c>
      <c r="G824" t="str">
        <v>5a2d799d-22a1-4e0a-b029-8031a1df6d56</v>
      </c>
      <c r="H824" t="str">
        <v>9fed28b3-82cf-4afa-8e8d-952adf7a54a5</v>
      </c>
      <c r="I824" t="str">
        <v>1 6 30 2492</v>
      </c>
      <c r="L824" t="str">
        <v>C309CB7C-404D-431A-A8FB-29671DCA0C49</v>
      </c>
    </row>
    <row r="825" spans="1:12" x14ac:dyDescent="0.25">
      <c r="A825" t="str">
        <v>ea8c475c-caa4-4bf8-ab80-24d6d1a9fb53</v>
      </c>
      <c r="B825" t="str">
        <v>5A21C207-4868-4EA6-9B48-5D0F743D5535</v>
      </c>
      <c r="C825" t="str">
        <v>Tegeta Other Repair</v>
      </c>
      <c r="D825" t="str">
        <v>B5CAA716-CA9B-47D4-85D4-9954ED4DBAD2</v>
      </c>
      <c r="E825" t="str">
        <v>2025-04-22</v>
      </c>
      <c r="F825" s="4">
        <v>3160</v>
      </c>
      <c r="G825" t="str">
        <v>5a2d799d-22a1-4e0a-b029-8031a1df6d56</v>
      </c>
      <c r="H825" t="str">
        <v>9fed28b3-82cf-4afa-8e8d-952adf7a54a5</v>
      </c>
      <c r="I825" t="str">
        <v/>
      </c>
      <c r="L825" t="str">
        <v/>
      </c>
    </row>
    <row r="826" spans="1:12" x14ac:dyDescent="0.25">
      <c r="A826" t="str">
        <v>2c4d2a44-9e47-4cf0-bd0c-536199fc68bd</v>
      </c>
      <c r="B826" t="str">
        <v>3D0B2E19-A7F7-45A1-A329-05C7D5F99C8A</v>
      </c>
      <c r="C826" t="str">
        <v>Control System</v>
      </c>
      <c r="D826" t="str">
        <v>B5CAA716-CA9B-47D4-85D4-9954ED4DBAD2</v>
      </c>
      <c r="E826" t="str">
        <v>2025-04-24</v>
      </c>
      <c r="F826" s="4">
        <v>1600</v>
      </c>
      <c r="G826" t="str">
        <v>0790fb09-2de6-4ea3-a71c-58a007fc62a8</v>
      </c>
      <c r="H826" t="str">
        <v>9fed28b3-82cf-4afa-8e8d-952adf7a54a5</v>
      </c>
      <c r="I826" t="str">
        <v/>
      </c>
      <c r="L826" t="str">
        <v/>
      </c>
    </row>
    <row r="827" spans="1:12" x14ac:dyDescent="0.25">
      <c r="A827" t="str">
        <v>1f12a81b-7b38-4373-9cd3-33d000f982e9</v>
      </c>
      <c r="B827" t="str">
        <v>43EABC78-AF64-4C14-9FEF-C7E6A1B6F07E</v>
      </c>
      <c r="C827" t="str">
        <v>Shartava LG</v>
      </c>
      <c r="D827" t="str">
        <v>B59170EC-16CC-499A-9FF7-0428DCB8F727</v>
      </c>
      <c r="E827" t="str">
        <v>2025-04-01</v>
      </c>
      <c r="F827" s="4">
        <v>15000</v>
      </c>
      <c r="G827" t="str">
        <v>0790fb09-2de6-4ea3-a71c-58a007fc62a8</v>
      </c>
      <c r="H827" t="str">
        <v>9fed28b3-82cf-4afa-8e8d-952adf7a54a5</v>
      </c>
      <c r="I827" t="str">
        <v/>
      </c>
      <c r="L827" t="str">
        <v/>
      </c>
    </row>
    <row r="828" spans="1:12" x14ac:dyDescent="0.25">
      <c r="A828" t="str">
        <v>0ce9ff5a-43b3-4ee5-b98b-1047e260c7f5</v>
      </c>
      <c r="B828" t="str">
        <v>67db0446-9f2c-4963-99f1-7b3593938048</v>
      </c>
      <c r="C828" t="str">
        <v>Lift Buttons</v>
      </c>
      <c r="D828" t="str">
        <v>C491BFF3-6F7B-4412-9DF0-EAED6F3EE238</v>
      </c>
      <c r="E828" t="str">
        <v>2025-05-01</v>
      </c>
      <c r="F828" s="4">
        <v>500</v>
      </c>
      <c r="G828" t="str">
        <v>5a2d799d-22a1-4e0a-b029-8031a1df6d56</v>
      </c>
      <c r="H828" t="str">
        <v>9fed28b3-82cf-4afa-8e8d-952adf7a54a5</v>
      </c>
      <c r="I828" t="str">
        <v/>
      </c>
      <c r="L828" t="str">
        <v/>
      </c>
    </row>
    <row r="829" spans="1:12" x14ac:dyDescent="0.25">
      <c r="A829" t="str">
        <v>13b6b238-e95d-4330-9167-b02a26df224c</v>
      </c>
      <c r="B829" t="str">
        <v>ba94ed59-522c-4852-994c-130ef7e8cd30</v>
      </c>
      <c r="C829" t="str">
        <v>Kvareli Wine Factory</v>
      </c>
      <c r="D829" t="str">
        <v>FEA4B88F-633F-4422-B3D6-250792A2DA80</v>
      </c>
      <c r="E829" t="str">
        <v>2025-05-01</v>
      </c>
      <c r="F829" s="4">
        <v>36547.699999999997</v>
      </c>
      <c r="G829" t="str">
        <v>0790fb09-2de6-4ea3-a71c-58a007fc62a8</v>
      </c>
      <c r="H829" t="str">
        <v>9fed28b3-82cf-4afa-8e8d-952adf7a54a5</v>
      </c>
      <c r="I829" t="str">
        <v/>
      </c>
      <c r="L829" t="str">
        <v/>
      </c>
    </row>
    <row r="830" spans="1:12" x14ac:dyDescent="0.25">
      <c r="A830" t="str">
        <v>fc3de2c0-06c6-4d7e-b377-6c7575be9502</v>
      </c>
      <c r="B830" t="str">
        <v>726D9023-53A2-435E-8A5B-8BCEA9625E08</v>
      </c>
      <c r="C830" t="str">
        <v>Kutaisi McDonalds</v>
      </c>
      <c r="D830" t="str">
        <v>FEA4B88F-633F-4422-B3D6-250792A2DA80</v>
      </c>
      <c r="E830" t="str">
        <v>2025-02-27</v>
      </c>
      <c r="F830" s="4">
        <v>94315</v>
      </c>
      <c r="G830" t="str">
        <v>4cfda3f2-535e-4b77-a467-eac9dc64feca</v>
      </c>
      <c r="H830" t="str">
        <v>9fed28b3-82cf-4afa-8e8d-952adf7a54a5</v>
      </c>
      <c r="I830" t="str">
        <v/>
      </c>
      <c r="L830" t="str">
        <v/>
      </c>
    </row>
    <row r="831" spans="1:12" x14ac:dyDescent="0.25">
      <c r="A831" t="str">
        <v>edcb4fbb-6a57-4308-93aa-8a98f148a069</v>
      </c>
      <c r="B831" t="str">
        <v>E5065FFE-1CD4-4C87-A053-0558ECFC9B1D</v>
      </c>
      <c r="C831" t="str">
        <v>Doors Repair</v>
      </c>
      <c r="D831" t="str">
        <v>B59170EC-16CC-499A-9FF7-0428DCB8F727</v>
      </c>
      <c r="E831" t="str">
        <v>2025-05-01</v>
      </c>
      <c r="F831" s="4">
        <v>10318</v>
      </c>
      <c r="G831" t="str">
        <v>0790fb09-2de6-4ea3-a71c-58a007fc62a8</v>
      </c>
      <c r="H831" t="str">
        <v>9fed28b3-82cf-4afa-8e8d-952adf7a54a5</v>
      </c>
      <c r="I831" t="str">
        <v/>
      </c>
      <c r="L831" t="str">
        <v>01DFE71D-5350-4A02-ABCD-C6A3C15B94EE</v>
      </c>
    </row>
    <row r="832" spans="1:12" x14ac:dyDescent="0.25">
      <c r="A832" t="str">
        <v>5a1f5ff1-c9b1-4456-b679-7b227f5802e6</v>
      </c>
      <c r="B832" t="str">
        <v>afcf1e96-482e-4089-8c1f-ba702ce22a77</v>
      </c>
      <c r="C832" t="str">
        <v>Grande Krtsanisi D &amp; E Block</v>
      </c>
      <c r="D832" t="str">
        <v>B59170EC-16CC-499A-9FF7-0428DCB8F727</v>
      </c>
      <c r="E832" t="str">
        <v>2025-05-13</v>
      </c>
      <c r="F832" s="4">
        <v>235060</v>
      </c>
      <c r="G832" t="str">
        <v>0790fb09-2de6-4ea3-a71c-58a007fc62a8</v>
      </c>
      <c r="H832" t="str">
        <v>9fed28b3-82cf-4afa-8e8d-952adf7a54a5</v>
      </c>
      <c r="I832" t="str">
        <v/>
      </c>
      <c r="L832" t="str">
        <v/>
      </c>
    </row>
    <row r="833" spans="1:12" x14ac:dyDescent="0.25">
      <c r="A833" t="str">
        <v>97ca0a05-717f-46ad-8273-5c62d7b7e773</v>
      </c>
      <c r="B833" t="str">
        <v>7a49a212-38dd-4a69-bab5-a677f1cbca97</v>
      </c>
      <c r="C833" t="str">
        <v>Grishashvili</v>
      </c>
      <c r="D833" t="str">
        <v>B59170EC-16CC-499A-9FF7-0428DCB8F727</v>
      </c>
      <c r="E833" t="str">
        <v>2025-05-22</v>
      </c>
      <c r="F833" s="4">
        <v>50000</v>
      </c>
      <c r="G833" t="str">
        <v>0790fb09-2de6-4ea3-a71c-58a007fc62a8</v>
      </c>
      <c r="H833" t="str">
        <v>9fed28b3-82cf-4afa-8e8d-952adf7a54a5</v>
      </c>
      <c r="I833" t="str">
        <v/>
      </c>
      <c r="L833" t="str">
        <v/>
      </c>
    </row>
    <row r="834" spans="1:12" x14ac:dyDescent="0.25">
      <c r="A834" t="str">
        <v>426e8878-2ce5-4f00-bb0d-8b61642149ba</v>
      </c>
      <c r="B834" t="str">
        <v>830b062b-b828-450d-8340-a3eabbf037ce</v>
      </c>
      <c r="C834" t="str">
        <v>Telegraph Ahu Additional</v>
      </c>
      <c r="D834" t="str">
        <v>FEA4B88F-633F-4422-B3D6-250792A2DA80</v>
      </c>
      <c r="E834" t="str">
        <v>2025-05-14</v>
      </c>
      <c r="F834" s="4">
        <v>28000</v>
      </c>
      <c r="G834" t="str">
        <v>4cfda3f2-535e-4b77-a467-eac9dc64feca</v>
      </c>
      <c r="H834" t="str">
        <v>9fed28b3-82cf-4afa-8e8d-952adf7a54a5</v>
      </c>
      <c r="I834" t="str">
        <v/>
      </c>
      <c r="L834" t="str">
        <v/>
      </c>
    </row>
    <row r="835" spans="1:12" x14ac:dyDescent="0.25">
      <c r="A835" t="str">
        <v>e1fb87bb-f940-42bf-ac21-f89590d25883</v>
      </c>
      <c r="B835" t="str">
        <v>8E8E99BE-75FC-49EC-9D89-960E30E7CB06</v>
      </c>
      <c r="C835" t="str">
        <v>Kvareli Fans</v>
      </c>
      <c r="D835" t="str">
        <v>FEA4B88F-633F-4422-B3D6-250792A2DA80</v>
      </c>
      <c r="E835" t="str">
        <v>2025-05-21</v>
      </c>
      <c r="F835" s="4">
        <v>5806</v>
      </c>
      <c r="G835" t="str">
        <v>4cfda3f2-535e-4b77-a467-eac9dc64feca</v>
      </c>
      <c r="H835" t="str">
        <v>9fed28b3-82cf-4afa-8e8d-952adf7a54a5</v>
      </c>
      <c r="I835" t="str">
        <v/>
      </c>
      <c r="L835" t="str">
        <v/>
      </c>
    </row>
    <row r="836" spans="1:12" x14ac:dyDescent="0.25">
      <c r="A836" t="str">
        <v>bd751071-e10c-4441-9f9a-ce1b322e8e89</v>
      </c>
      <c r="B836" t="str">
        <v>47de915e-c03b-4118-b9cc-0d4d80b1caac</v>
      </c>
      <c r="C836" t="str">
        <v>Art House Repair</v>
      </c>
      <c r="D836" t="str">
        <v>C491BFF3-6F7B-4412-9DF0-EAED6F3EE238</v>
      </c>
      <c r="E836" t="str">
        <v>2025-03-11</v>
      </c>
      <c r="F836" s="4">
        <v>500</v>
      </c>
      <c r="G836" t="str">
        <v>0790fb09-2de6-4ea3-a71c-58a007fc62a8</v>
      </c>
      <c r="H836" t="str">
        <v>9fed28b3-82cf-4afa-8e8d-952adf7a54a5</v>
      </c>
      <c r="I836" t="str">
        <v/>
      </c>
      <c r="L836" t="str">
        <v/>
      </c>
    </row>
    <row r="837" spans="1:12" x14ac:dyDescent="0.25">
      <c r="A837" t="str">
        <v>5dab5fd3-0954-44a3-a1a4-36720357b97f</v>
      </c>
      <c r="B837" t="str">
        <v>726D9023-53A2-435E-8A5B-8BCEA9625E08</v>
      </c>
      <c r="C837" t="str">
        <v>Kutaisi Rooftop Launch</v>
      </c>
      <c r="D837" t="str">
        <v>B5CAA716-CA9B-47D4-85D4-9954ED4DBAD2</v>
      </c>
      <c r="E837" t="str">
        <v>2025-05-01</v>
      </c>
      <c r="F837" s="4">
        <v>5500</v>
      </c>
      <c r="G837" t="str">
        <v>5a2d799d-22a1-4e0a-b029-8031a1df6d56</v>
      </c>
      <c r="H837" t="str">
        <v>9fed28b3-82cf-4afa-8e8d-952adf7a54a5</v>
      </c>
      <c r="I837" t="str">
        <v/>
      </c>
      <c r="L837" t="str">
        <v/>
      </c>
    </row>
    <row r="838" spans="1:12" x14ac:dyDescent="0.25">
      <c r="A838" t="str">
        <v>8b348159-e655-4c98-ae2b-fd9ac86087e2</v>
      </c>
      <c r="B838" t="str">
        <v>4b1110ff-1ace-462f-8822-895425a89a3c</v>
      </c>
      <c r="C838" t="str">
        <v>Varketili Mall</v>
      </c>
      <c r="D838" t="str">
        <v>B59170EC-16CC-499A-9FF7-0428DCB8F727</v>
      </c>
      <c r="E838" t="str">
        <v>2025-05-29</v>
      </c>
      <c r="F838" s="4">
        <v>339800</v>
      </c>
      <c r="G838" t="str">
        <v>0790fb09-2de6-4ea3-a71c-58a007fc62a8</v>
      </c>
      <c r="H838" t="str">
        <v>9fed28b3-82cf-4afa-8e8d-952adf7a54a5</v>
      </c>
      <c r="I838" t="str">
        <v/>
      </c>
      <c r="L838" t="str">
        <v/>
      </c>
    </row>
    <row r="839" spans="1:12" x14ac:dyDescent="0.25">
      <c r="A839" t="str">
        <v>d2428b0b-1a3c-4735-83cb-3477157e2b34</v>
      </c>
      <c r="B839" t="str">
        <v>f79de391-c7c6-42b0-9326-1b94b5dcd121</v>
      </c>
      <c r="C839" t="str">
        <v>Uznadze Office</v>
      </c>
      <c r="D839" t="str">
        <v>B59170EC-16CC-499A-9FF7-0428DCB8F727</v>
      </c>
      <c r="E839" t="str">
        <v>2025-05-01</v>
      </c>
      <c r="F839" s="4">
        <v>94000</v>
      </c>
      <c r="G839" t="str">
        <v>0790fb09-2de6-4ea3-a71c-58a007fc62a8</v>
      </c>
      <c r="H839" t="str">
        <v>9fed28b3-82cf-4afa-8e8d-952adf7a54a5</v>
      </c>
      <c r="I839" t="str">
        <v/>
      </c>
      <c r="L839" t="str">
        <v>4c25a3b7-d112-4c46-aa9a-b2513a44f1b7</v>
      </c>
    </row>
    <row r="840" spans="1:12" x14ac:dyDescent="0.25">
      <c r="A840" t="str">
        <v>528e9372-befa-4bc5-a9cd-faf9cf0769f2</v>
      </c>
      <c r="B840" t="str">
        <v>e4776dbb-f3fc-4669-bb43-a1b7c87b7c59</v>
      </c>
      <c r="C840" t="str">
        <v>Archi Isani C Repair</v>
      </c>
      <c r="D840" t="str">
        <v>C491BFF3-6F7B-4412-9DF0-EAED6F3EE238</v>
      </c>
      <c r="E840" t="str">
        <v>2025-05-07</v>
      </c>
      <c r="F840" s="4">
        <v>1400</v>
      </c>
      <c r="G840" t="str">
        <v>5a2d799d-22a1-4e0a-b029-8031a1df6d56</v>
      </c>
      <c r="H840" t="str">
        <v>2adb3689-90cd-4ae8-832d-be7cc1a11029</v>
      </c>
      <c r="I840" t="str">
        <v/>
      </c>
      <c r="L840" t="str">
        <v/>
      </c>
    </row>
    <row r="841" spans="1:12" x14ac:dyDescent="0.25">
      <c r="A841" t="str">
        <v>1f21b7e8-36ed-4e80-b5cd-cca7c329a9d0</v>
      </c>
      <c r="B841" t="str">
        <v>1D6C190E-3037-4435-BF28-B1D43DC3432D</v>
      </c>
      <c r="C841" t="str">
        <v>Galeria Repair</v>
      </c>
      <c r="D841" t="str">
        <v>C491BFF3-6F7B-4412-9DF0-EAED6F3EE238</v>
      </c>
      <c r="E841" t="str">
        <v>2025-04-10</v>
      </c>
      <c r="F841" s="4">
        <v>400</v>
      </c>
      <c r="G841" t="str">
        <v>5a2d799d-22a1-4e0a-b029-8031a1df6d56</v>
      </c>
      <c r="H841" t="str">
        <v>9fed28b3-82cf-4afa-8e8d-952adf7a54a5</v>
      </c>
      <c r="I841" t="str">
        <v/>
      </c>
      <c r="L841" t="str">
        <v/>
      </c>
    </row>
    <row r="842" spans="1:12" x14ac:dyDescent="0.25">
      <c r="A842" t="str">
        <v>b6f7a772-8266-46a4-9bc5-a49779c32dd1</v>
      </c>
      <c r="B842" t="str">
        <v>52130c6e-2f62-4b07-bce1-28762a400e58</v>
      </c>
      <c r="C842" t="str">
        <v>Sakeni</v>
      </c>
      <c r="D842" t="str">
        <v>B59170EC-16CC-499A-9FF7-0428DCB8F727</v>
      </c>
      <c r="E842" t="str">
        <v>2025-05-21</v>
      </c>
      <c r="F842" s="4">
        <v>26680</v>
      </c>
      <c r="G842" t="str">
        <v>0790fb09-2de6-4ea3-a71c-58a007fc62a8</v>
      </c>
      <c r="H842" t="str">
        <v>9fed28b3-82cf-4afa-8e8d-952adf7a54a5</v>
      </c>
      <c r="I842" t="str">
        <v/>
      </c>
      <c r="L842" t="str">
        <v/>
      </c>
    </row>
    <row r="843" spans="1:12" x14ac:dyDescent="0.25">
      <c r="A843" t="str">
        <v>78e4cc00-618f-4336-9fd8-61a70993a023</v>
      </c>
      <c r="B843" t="str">
        <v>30D1E20E-3889-4EAC-883A-6509ABFFA5D7</v>
      </c>
      <c r="C843" t="str">
        <v>Fire Cabinet</v>
      </c>
      <c r="D843" t="str">
        <v>FEA4B88F-633F-4422-B3D6-250792A2DA80</v>
      </c>
      <c r="E843" t="str">
        <v>2019-06-18</v>
      </c>
      <c r="F843" s="4">
        <v>3835</v>
      </c>
      <c r="G843" t="str">
        <v>0790fb09-2de6-4ea3-a71c-58a007fc62a8</v>
      </c>
      <c r="H843" t="str">
        <v>2adb3689-90cd-4ae8-832d-be7cc1a11029</v>
      </c>
      <c r="I843" t="str">
        <v/>
      </c>
      <c r="L843" t="str">
        <v/>
      </c>
    </row>
    <row r="844" spans="1:12" x14ac:dyDescent="0.25">
      <c r="A844" t="str">
        <v>49fdcdd0-d6e8-4a1e-9564-b877be4811d5</v>
      </c>
      <c r="B844" t="str">
        <v>43EABC78-AF64-4C14-9FEF-C7E6A1B6F07E</v>
      </c>
      <c r="C844" t="str">
        <v>Accor Avlabari</v>
      </c>
      <c r="D844" t="str">
        <v>B59170EC-16CC-499A-9FF7-0428DCB8F727</v>
      </c>
      <c r="E844" t="str">
        <v>2025-06-01</v>
      </c>
      <c r="F844" s="4">
        <v>30000</v>
      </c>
      <c r="G844" t="str">
        <v>0790fb09-2de6-4ea3-a71c-58a007fc62a8</v>
      </c>
      <c r="H844" t="str">
        <v>9fed28b3-82cf-4afa-8e8d-952adf7a54a5</v>
      </c>
      <c r="I844" t="str">
        <v/>
      </c>
      <c r="L844" t="str">
        <v>86332895-C3C3-4313-AA1C-0D1B06C2386C</v>
      </c>
    </row>
    <row r="845" spans="1:12" x14ac:dyDescent="0.25">
      <c r="A845" t="str">
        <v>78e2519d-639e-4fac-a031-076054f82ed3</v>
      </c>
      <c r="B845" t="str">
        <v>43EABC78-AF64-4C14-9FEF-C7E6A1B6F07E</v>
      </c>
      <c r="C845" t="str">
        <v>Lisi Development 6 units</v>
      </c>
      <c r="D845" t="str">
        <v>B59170EC-16CC-499A-9FF7-0428DCB8F727</v>
      </c>
      <c r="E845" t="str">
        <v>2024-01-01</v>
      </c>
      <c r="F845" s="4">
        <v>10000</v>
      </c>
      <c r="G845" t="str">
        <v>0790fb09-2de6-4ea3-a71c-58a007fc62a8</v>
      </c>
      <c r="H845" t="str">
        <v>9fed28b3-82cf-4afa-8e8d-952adf7a54a5</v>
      </c>
      <c r="I845" t="str">
        <v/>
      </c>
      <c r="L845" t="str">
        <v>86332895-C3C3-4313-AA1C-0D1B06C2386C</v>
      </c>
    </row>
    <row r="846" spans="1:12" x14ac:dyDescent="0.25">
      <c r="A846" t="str">
        <v>64b6aef8-95fe-4557-b2e4-3400a8fc493a</v>
      </c>
      <c r="B846" t="str">
        <v>28c83760-9609-45b5-ba2b-10af914dc649</v>
      </c>
      <c r="C846" t="str">
        <v>Compressors 2025</v>
      </c>
      <c r="D846" t="str">
        <v>FEA4B88F-633F-4422-B3D6-250792A2DA80</v>
      </c>
      <c r="E846" t="str">
        <v>2025-05-27</v>
      </c>
      <c r="F846" s="4">
        <v>4040</v>
      </c>
      <c r="G846" t="str">
        <v>0790fb09-2de6-4ea3-a71c-58a007fc62a8</v>
      </c>
      <c r="H846" t="str">
        <v>9fed28b3-82cf-4afa-8e8d-952adf7a54a5</v>
      </c>
      <c r="I846" t="str">
        <v/>
      </c>
      <c r="L846" t="str">
        <v/>
      </c>
    </row>
    <row r="847" spans="1:12" x14ac:dyDescent="0.25">
      <c r="A847" t="str">
        <v>9c486204-9f82-46a5-8c27-9862f79429a5</v>
      </c>
      <c r="B847" t="str">
        <v>15951f75-6aca-4416-8478-e803240069ff</v>
      </c>
      <c r="C847" t="str">
        <v>Lisi VRF</v>
      </c>
      <c r="D847" t="str">
        <v>FEA4B88F-633F-4422-B3D6-250792A2DA80</v>
      </c>
      <c r="E847" t="str">
        <v>2025-05-27</v>
      </c>
      <c r="F847" s="4">
        <v>8720</v>
      </c>
      <c r="G847" t="str">
        <v>0790fb09-2de6-4ea3-a71c-58a007fc62a8</v>
      </c>
      <c r="H847" t="str">
        <v>9fed28b3-82cf-4afa-8e8d-952adf7a54a5</v>
      </c>
      <c r="I847" t="str">
        <v/>
      </c>
      <c r="L847" t="str">
        <v/>
      </c>
    </row>
    <row r="848" spans="1:12" x14ac:dyDescent="0.25">
      <c r="A848" t="str">
        <v>bb17a965-20c8-4bf0-bca0-1bf4793cda23</v>
      </c>
      <c r="B848" t="str">
        <v>59e53ffc-c1df-473a-b257-775514afb099</v>
      </c>
      <c r="C848" t="str">
        <v>Fotosell</v>
      </c>
      <c r="D848" t="str">
        <v>C491BFF3-6F7B-4412-9DF0-EAED6F3EE238</v>
      </c>
      <c r="E848" t="str">
        <v>2025-05-30</v>
      </c>
      <c r="F848" s="4">
        <v>1000</v>
      </c>
      <c r="G848" t="str">
        <v>5a2d799d-22a1-4e0a-b029-8031a1df6d56</v>
      </c>
      <c r="H848" t="str">
        <v>9fed28b3-82cf-4afa-8e8d-952adf7a54a5</v>
      </c>
      <c r="I848" t="str">
        <v/>
      </c>
      <c r="L848" t="str">
        <v/>
      </c>
    </row>
    <row r="849" spans="1:12" x14ac:dyDescent="0.25">
      <c r="A849" t="str">
        <v>04f89f95-038a-4435-93b8-56e9be467bf6</v>
      </c>
      <c r="B849" t="str">
        <v>7BF4A039-29BC-44AC-A87D-E8832394B94E</v>
      </c>
      <c r="C849" t="str">
        <v>Door threshold</v>
      </c>
      <c r="D849" t="str">
        <v>C491BFF3-6F7B-4412-9DF0-EAED6F3EE238</v>
      </c>
      <c r="E849" t="str">
        <v>2023-06-19</v>
      </c>
      <c r="F849" s="4">
        <v>3000</v>
      </c>
      <c r="G849" t="str">
        <v>5a2d799d-22a1-4e0a-b029-8031a1df6d56</v>
      </c>
      <c r="H849" t="str">
        <v>2adb3689-90cd-4ae8-832d-be7cc1a11029</v>
      </c>
      <c r="I849" t="str">
        <v/>
      </c>
      <c r="L849" t="str">
        <v/>
      </c>
    </row>
    <row r="850" spans="1:12" x14ac:dyDescent="0.25">
      <c r="A850" t="str">
        <v>8fc23987-6f38-4c47-a180-3a48f70ab235</v>
      </c>
      <c r="B850" t="str">
        <v>28c83760-9609-45b5-ba2b-10af914dc649</v>
      </c>
      <c r="C850" t="str">
        <v>Compressors 2025</v>
      </c>
      <c r="D850" t="str">
        <v>FEA4B88F-633F-4422-B3D6-250792A2DA80</v>
      </c>
      <c r="E850" t="str">
        <v>2025-06-01</v>
      </c>
      <c r="F850" s="4">
        <v>4040</v>
      </c>
      <c r="G850" t="str">
        <v>0790fb09-2de6-4ea3-a71c-58a007fc62a8</v>
      </c>
      <c r="H850" t="str">
        <v>9fed28b3-82cf-4afa-8e8d-952adf7a54a5</v>
      </c>
      <c r="I850" t="str">
        <v/>
      </c>
      <c r="L850" t="str">
        <v>C309CB7C-404D-431A-A8FB-29671DCA0C49</v>
      </c>
    </row>
    <row r="851" spans="1:12" x14ac:dyDescent="0.25">
      <c r="A851" t="str">
        <v>05b2ec77-b65e-4258-85c0-156f0da91d0e</v>
      </c>
      <c r="B851" t="str">
        <v>f242e8d0-3197-4b35-90dd-54859cce4bca</v>
      </c>
      <c r="C851" t="str">
        <v>Container Unloading</v>
      </c>
      <c r="D851" t="str">
        <v>B59170EC-16CC-499A-9FF7-0428DCB8F727</v>
      </c>
      <c r="E851" t="str">
        <v>2024-11-24</v>
      </c>
      <c r="F851" s="4">
        <v>900</v>
      </c>
      <c r="G851" t="str">
        <v>0790fb09-2de6-4ea3-a71c-58a007fc62a8</v>
      </c>
      <c r="H851" t="str">
        <v>9fed28b3-82cf-4afa-8e8d-952adf7a54a5</v>
      </c>
      <c r="I851" t="str">
        <v/>
      </c>
      <c r="L851" t="str">
        <v/>
      </c>
    </row>
    <row r="852" spans="1:12" x14ac:dyDescent="0.25">
      <c r="A852" t="str">
        <v>27edf627-a39e-4024-b633-27bd5cd6a3c7</v>
      </c>
      <c r="B852" t="str">
        <v>726D9023-53A2-435E-8A5B-8BCEA9625E08</v>
      </c>
      <c r="C852" t="str">
        <v>Kutaisi Parliament</v>
      </c>
      <c r="D852" t="str">
        <v>FEA4B88F-633F-4422-B3D6-250792A2DA80</v>
      </c>
      <c r="E852" t="str">
        <v>2025-01-14</v>
      </c>
      <c r="F852" s="4">
        <v>84565</v>
      </c>
      <c r="G852" t="str">
        <v>0790fb09-2de6-4ea3-a71c-58a007fc62a8</v>
      </c>
      <c r="H852" t="str">
        <v>9fed28b3-82cf-4afa-8e8d-952adf7a54a5</v>
      </c>
      <c r="I852" t="str">
        <v/>
      </c>
      <c r="L852" t="str">
        <v>401318CA-BF39-49C3-9BDC-73836A8F9774</v>
      </c>
    </row>
    <row r="853" spans="1:12" x14ac:dyDescent="0.25">
      <c r="A853" t="str">
        <v>7a8385f2-21c7-4112-9621-2ad305be205e</v>
      </c>
      <c r="B853" t="str">
        <v>7ae5b6db-73b8-444e-bdea-71062d3bda50</v>
      </c>
      <c r="C853" t="str">
        <v>Vehicle Service</v>
      </c>
      <c r="D853" t="str">
        <v>FEA4B88F-633F-4422-B3D6-250792A2DA80</v>
      </c>
      <c r="E853" t="str">
        <v>2025-06-05</v>
      </c>
      <c r="F853" s="4">
        <v>16491</v>
      </c>
      <c r="G853" t="str">
        <v>5a2d799d-22a1-4e0a-b029-8031a1df6d56</v>
      </c>
      <c r="H853" t="str">
        <v>9fed28b3-82cf-4afa-8e8d-952adf7a54a5</v>
      </c>
      <c r="I853" t="str">
        <v/>
      </c>
      <c r="L853" t="str">
        <v>C309CB7C-404D-431A-A8FB-29671DCA0C49</v>
      </c>
    </row>
    <row r="854" spans="1:12" x14ac:dyDescent="0.25">
      <c r="A854" t="str">
        <v>a88d27c3-4f8a-4edd-b19b-041153242af3</v>
      </c>
      <c r="B854" t="str">
        <v>933470D5-D1F0-4CB0-8738-317256F1B307</v>
      </c>
      <c r="C854" t="str">
        <v>Gardens Oth</v>
      </c>
      <c r="D854" t="str">
        <v>C491BFF3-6F7B-4412-9DF0-EAED6F3EE238</v>
      </c>
      <c r="E854" t="str">
        <v>2025-05-29</v>
      </c>
      <c r="F854" s="4">
        <v>770</v>
      </c>
      <c r="G854" t="str">
        <v>5a2d799d-22a1-4e0a-b029-8031a1df6d56</v>
      </c>
      <c r="H854" t="str">
        <v>9fed28b3-82cf-4afa-8e8d-952adf7a54a5</v>
      </c>
      <c r="I854" t="str">
        <v/>
      </c>
      <c r="L854" t="str">
        <v/>
      </c>
    </row>
    <row r="855" spans="1:12" x14ac:dyDescent="0.25">
      <c r="A855" t="str">
        <v>c2cb9c5e-2c83-4f37-9827-932c22d33b77</v>
      </c>
      <c r="B855" t="str">
        <v>6DF25574-2F03-43D0-AEC4-2CD26A4A0C3A</v>
      </c>
      <c r="C855" t="str">
        <v>Zara Escalator Repair</v>
      </c>
      <c r="D855" t="str">
        <v>C491BFF3-6F7B-4412-9DF0-EAED6F3EE238</v>
      </c>
      <c r="E855" t="str">
        <v>2025-06-01</v>
      </c>
      <c r="F855" s="4">
        <v>4600</v>
      </c>
      <c r="G855" t="str">
        <v>5a2d799d-22a1-4e0a-b029-8031a1df6d56</v>
      </c>
      <c r="H855" t="str">
        <v>9fed28b3-82cf-4afa-8e8d-952adf7a54a5</v>
      </c>
      <c r="I855" t="str">
        <v/>
      </c>
      <c r="L855" t="str">
        <v/>
      </c>
    </row>
    <row r="856" spans="1:12" x14ac:dyDescent="0.25">
      <c r="A856" t="str">
        <v>2c7e2f76-70f7-4ef2-8d8f-cb9058a5b512</v>
      </c>
      <c r="B856" t="str">
        <v>E284E0FD-A2B7-4D93-8E91-006FF0A8A4CE</v>
      </c>
      <c r="C856" t="str">
        <v>Card System Adaptation</v>
      </c>
      <c r="D856" t="str">
        <v>C491BFF3-6F7B-4412-9DF0-EAED6F3EE238</v>
      </c>
      <c r="E856" t="str">
        <v>2025-06-16</v>
      </c>
      <c r="F856" s="4">
        <v>99619.5</v>
      </c>
      <c r="G856" t="str">
        <v>0790fb09-2de6-4ea3-a71c-58a007fc62a8</v>
      </c>
      <c r="H856" t="str">
        <v>9fed28b3-82cf-4afa-8e8d-952adf7a54a5</v>
      </c>
      <c r="I856" t="str">
        <v/>
      </c>
      <c r="L856" t="str">
        <v/>
      </c>
    </row>
    <row r="857" spans="1:12" x14ac:dyDescent="0.25">
      <c r="A857" t="str">
        <v>818aa80e-c6bc-41f8-bb23-b903e6967088</v>
      </c>
      <c r="B857" t="str">
        <v>4ff0f14c-18c2-4c6e-bbd4-433567fb5d13</v>
      </c>
      <c r="C857" t="str">
        <v>Mardi Hills Unloading</v>
      </c>
      <c r="D857" t="str">
        <v>B59170EC-16CC-499A-9FF7-0428DCB8F727</v>
      </c>
      <c r="E857" t="str">
        <v>2024-08-01</v>
      </c>
      <c r="F857" s="4">
        <v>3100</v>
      </c>
      <c r="G857" t="str">
        <v>5a2d799d-22a1-4e0a-b029-8031a1df6d56</v>
      </c>
      <c r="H857" t="str">
        <v>9fed28b3-82cf-4afa-8e8d-952adf7a54a5</v>
      </c>
      <c r="I857" t="str">
        <v/>
      </c>
      <c r="L857" t="str">
        <v/>
      </c>
    </row>
    <row r="858" spans="1:12" x14ac:dyDescent="0.25">
      <c r="A858" t="str">
        <v>a3bea6c5-a05a-47a7-89c9-509c7930d92b</v>
      </c>
      <c r="B858" t="str">
        <v>c9019178-1b89-4de7-8451-b06bd01ca77b</v>
      </c>
      <c r="C858" t="str">
        <v>King Parnavaz Service</v>
      </c>
      <c r="D858" t="str">
        <v>12238130-9D12-4099-A48B-9EB5A085E0F8</v>
      </c>
      <c r="E858" t="str">
        <v>2024-12-01</v>
      </c>
      <c r="F858" s="4">
        <v>300</v>
      </c>
      <c r="G858" t="str">
        <v>5a2d799d-22a1-4e0a-b029-8031a1df6d56</v>
      </c>
      <c r="H858" t="str">
        <v>9fed28b3-82cf-4afa-8e8d-952adf7a54a5</v>
      </c>
      <c r="I858" t="str">
        <v/>
      </c>
      <c r="L858" t="str">
        <v/>
      </c>
    </row>
    <row r="859" spans="1:12" x14ac:dyDescent="0.25">
      <c r="A859" t="str">
        <v>7e57e3cf-b8ac-4e16-882d-374e7692b3c2</v>
      </c>
      <c r="B859" t="str">
        <v>47de915e-c03b-4118-b9cc-0d4d80b1caac</v>
      </c>
      <c r="C859" t="str">
        <v>Art House Service</v>
      </c>
      <c r="D859" t="str">
        <v>12238130-9D12-4099-A48B-9EB5A085E0F8</v>
      </c>
      <c r="E859" t="str">
        <v>2025-05-13</v>
      </c>
      <c r="F859" s="4">
        <v>100</v>
      </c>
      <c r="G859" t="str">
        <v>0790fb09-2de6-4ea3-a71c-58a007fc62a8</v>
      </c>
      <c r="H859" t="str">
        <v>9fed28b3-82cf-4afa-8e8d-952adf7a54a5</v>
      </c>
      <c r="I859" t="str">
        <v/>
      </c>
      <c r="L859" t="str">
        <v/>
      </c>
    </row>
    <row r="860" spans="1:12" x14ac:dyDescent="0.25">
      <c r="A860" t="str">
        <v>8380cc2c-30e5-4ac7-a1a4-85bc1ee0bdff</v>
      </c>
      <c r="B860" t="str">
        <v>e57e51e3-35b5-48de-baf9-c08664162344</v>
      </c>
      <c r="C860" t="str">
        <v>Heat Pump</v>
      </c>
      <c r="D860" t="str">
        <v>FEA4B88F-633F-4422-B3D6-250792A2DA80</v>
      </c>
      <c r="E860" t="str">
        <v>2025-09-06</v>
      </c>
      <c r="F860" s="4">
        <v>4400</v>
      </c>
      <c r="G860" t="str">
        <v>0790fb09-2de6-4ea3-a71c-58a007fc62a8</v>
      </c>
      <c r="H860" t="str">
        <v>9fed28b3-82cf-4afa-8e8d-952adf7a54a5</v>
      </c>
      <c r="I860" t="str">
        <v/>
      </c>
      <c r="L860" t="str">
        <v/>
      </c>
    </row>
    <row r="861" spans="1:12" x14ac:dyDescent="0.25">
      <c r="A861" t="str">
        <v>6ed7254f-9cb4-4319-9b92-05f707838d07</v>
      </c>
      <c r="B861" t="str">
        <v>ba94ed59-522c-4852-994c-130ef7e8cd30</v>
      </c>
      <c r="C861" t="str">
        <v>Kvareli Termostat Check</v>
      </c>
      <c r="D861" t="str">
        <v>FEA4B88F-633F-4422-B3D6-250792A2DA80</v>
      </c>
      <c r="E861" t="str">
        <v>2024-11-01</v>
      </c>
      <c r="F861" s="4">
        <v>1000</v>
      </c>
      <c r="G861" t="str">
        <v>5a2d799d-22a1-4e0a-b029-8031a1df6d56</v>
      </c>
      <c r="H861" t="str">
        <v>9fed28b3-82cf-4afa-8e8d-952adf7a54a5</v>
      </c>
      <c r="I861" t="str">
        <v/>
      </c>
      <c r="L861" t="str">
        <v>C309CB7C-404D-431A-A8FB-29671DCA0C49</v>
      </c>
    </row>
    <row r="862" spans="1:12" x14ac:dyDescent="0.25">
      <c r="A862" t="str">
        <v>b62a9a1e-f268-4c63-8f98-547fac6ebcea</v>
      </c>
      <c r="B862" t="str">
        <v>ba94ed59-522c-4852-994c-130ef7e8cd30</v>
      </c>
      <c r="C862" t="str">
        <v>Vake Ramishvili Refregerant</v>
      </c>
      <c r="D862" t="str">
        <v>FEA4B88F-633F-4422-B3D6-250792A2DA80</v>
      </c>
      <c r="E862" t="str">
        <v>2024-10-01</v>
      </c>
      <c r="F862" s="4">
        <v>6100</v>
      </c>
      <c r="G862" t="str">
        <v>5a2d799d-22a1-4e0a-b029-8031a1df6d56</v>
      </c>
      <c r="H862" t="str">
        <v>9fed28b3-82cf-4afa-8e8d-952adf7a54a5</v>
      </c>
      <c r="I862" t="str">
        <v/>
      </c>
      <c r="L862" t="str">
        <v>C309CB7C-404D-431A-A8FB-29671DCA0C49</v>
      </c>
    </row>
    <row r="863" spans="1:12" x14ac:dyDescent="0.25">
      <c r="A863" t="str">
        <v>fa29fbbe-3029-4837-adde-793c2ca8395d</v>
      </c>
      <c r="B863" t="str">
        <v>ba94ed59-522c-4852-994c-130ef7e8cd30</v>
      </c>
      <c r="C863" t="str">
        <v>Kvareli Staff House Elevator</v>
      </c>
      <c r="D863" t="str">
        <v>B59170EC-16CC-499A-9FF7-0428DCB8F727</v>
      </c>
      <c r="E863" t="str">
        <v>2025-05-01</v>
      </c>
      <c r="F863" s="4">
        <v>24300</v>
      </c>
      <c r="G863" t="str">
        <v>0790fb09-2de6-4ea3-a71c-58a007fc62a8</v>
      </c>
      <c r="H863" t="str">
        <v>9fed28b3-82cf-4afa-8e8d-952adf7a54a5</v>
      </c>
      <c r="I863" t="str">
        <v/>
      </c>
      <c r="L863" t="str">
        <v/>
      </c>
    </row>
    <row r="864" spans="1:12" x14ac:dyDescent="0.25">
      <c r="A864" t="str">
        <v>808bf640-8295-46a9-a083-c43472345717</v>
      </c>
      <c r="B864" t="str">
        <v>8F8E8A11-9B71-4C85-B91E-A9EC404CBC96</v>
      </c>
      <c r="C864" t="str">
        <v>Chkondideli Repair 21 UNITS</v>
      </c>
      <c r="D864" t="str">
        <v>B59170EC-16CC-499A-9FF7-0428DCB8F727</v>
      </c>
      <c r="E864" t="str">
        <v>2025-07-08</v>
      </c>
      <c r="F864" s="4">
        <v>1087440</v>
      </c>
      <c r="G864" t="str">
        <v>0790fb09-2de6-4ea3-a71c-58a007fc62a8</v>
      </c>
      <c r="H864" t="str">
        <v>9fed28b3-82cf-4afa-8e8d-952adf7a54a5</v>
      </c>
      <c r="I864" t="str">
        <v/>
      </c>
      <c r="L864" t="str">
        <v/>
      </c>
    </row>
    <row r="865" spans="1:12" x14ac:dyDescent="0.25">
      <c r="A865" t="str">
        <v>61cf565e-ba4c-40d0-9bba-77ace1f5ae83</v>
      </c>
      <c r="B865" t="str">
        <v>8F8E8A11-9B71-4C85-B91E-A9EC404CBC96</v>
      </c>
      <c r="C865" t="str">
        <v>Chkondideli Repair 2 UNITS</v>
      </c>
      <c r="D865" t="str">
        <v>B59170EC-16CC-499A-9FF7-0428DCB8F727</v>
      </c>
      <c r="E865" t="str">
        <v>2025-07-08</v>
      </c>
      <c r="F865" s="4">
        <v>123120</v>
      </c>
      <c r="G865" t="str">
        <v>4cfda3f2-535e-4b77-a467-eac9dc64feca</v>
      </c>
      <c r="H865" t="str">
        <v>9fed28b3-82cf-4afa-8e8d-952adf7a54a5</v>
      </c>
      <c r="I865" t="str">
        <v/>
      </c>
      <c r="L865" t="str">
        <v/>
      </c>
    </row>
    <row r="866" spans="1:12" x14ac:dyDescent="0.25">
      <c r="A866" t="str">
        <v>a87c9332-a4ab-4fb3-b4dd-34e3c522dd56</v>
      </c>
      <c r="B866" t="str">
        <v>f35a04db-068e-41d5-b8a8-8bfde7ffa421</v>
      </c>
      <c r="C866" t="str">
        <v>Varazi 99 D</v>
      </c>
      <c r="D866" t="str">
        <v>31562B13-85C8-472E-8D02-01D802D635C1</v>
      </c>
      <c r="E866" t="str">
        <v>2025-05-10</v>
      </c>
      <c r="F866" s="4">
        <v>200</v>
      </c>
      <c r="G866" t="str">
        <v>0790fb09-2de6-4ea3-a71c-58a007fc62a8</v>
      </c>
      <c r="H866" t="str">
        <v>9fed28b3-82cf-4afa-8e8d-952adf7a54a5</v>
      </c>
      <c r="I866" t="str">
        <v/>
      </c>
      <c r="L866" t="str">
        <v/>
      </c>
    </row>
    <row r="867" spans="1:12" x14ac:dyDescent="0.25">
      <c r="A867" t="str">
        <v>4c42287e-5602-4073-ab4e-ac2dc3bce4e2</v>
      </c>
      <c r="B867" t="str">
        <v>726D9023-53A2-435E-8A5B-8BCEA9625E08</v>
      </c>
      <c r="C867" t="str">
        <v>1TV Service</v>
      </c>
      <c r="D867" t="str">
        <v>FEA4B88F-633F-4422-B3D6-250792A2DA80</v>
      </c>
      <c r="E867" t="str">
        <v>2025-05-15</v>
      </c>
      <c r="F867" s="4">
        <v>1200</v>
      </c>
      <c r="G867" t="str">
        <v>0790fb09-2de6-4ea3-a71c-58a007fc62a8</v>
      </c>
      <c r="H867" t="str">
        <v>9fed28b3-82cf-4afa-8e8d-952adf7a54a5</v>
      </c>
      <c r="I867" t="str">
        <v/>
      </c>
      <c r="L867" t="str">
        <v/>
      </c>
    </row>
    <row r="868" spans="1:12" x14ac:dyDescent="0.25">
      <c r="A868" t="str">
        <v>34dde880-2eea-4654-919e-454a6ba8c693</v>
      </c>
      <c r="B868" t="str">
        <v>79dd9f3e-f8fc-44d0-991d-84b033122a43</v>
      </c>
      <c r="C868" t="str">
        <v>Additional Shafts</v>
      </c>
      <c r="D868" t="str">
        <v>B59170EC-16CC-499A-9FF7-0428DCB8F727</v>
      </c>
      <c r="E868" t="str">
        <v>2025-07-02</v>
      </c>
      <c r="F868" s="4">
        <v>50480</v>
      </c>
      <c r="G868" t="str">
        <v>0790fb09-2de6-4ea3-a71c-58a007fc62a8</v>
      </c>
      <c r="H868" t="str">
        <v>9fed28b3-82cf-4afa-8e8d-952adf7a54a5</v>
      </c>
      <c r="I868" t="str">
        <v/>
      </c>
      <c r="L868" t="str">
        <v/>
      </c>
    </row>
    <row r="869" spans="1:12" x14ac:dyDescent="0.25">
      <c r="A869" t="str">
        <v>780da0cb-91c2-4d8d-9a18-d99b8132c339</v>
      </c>
      <c r="B869" t="str">
        <v>7ae5b6db-73b8-444e-bdea-71062d3bda50</v>
      </c>
      <c r="C869" t="str">
        <v>Arken Service</v>
      </c>
      <c r="D869" t="str">
        <v>B5CAA716-CA9B-47D4-85D4-9954ED4DBAD2</v>
      </c>
      <c r="E869" t="str">
        <v>2025-05-29</v>
      </c>
      <c r="F869" s="4">
        <v>2800</v>
      </c>
      <c r="G869" t="str">
        <v>0790fb09-2de6-4ea3-a71c-58a007fc62a8</v>
      </c>
      <c r="H869" t="str">
        <v>9fed28b3-82cf-4afa-8e8d-952adf7a54a5</v>
      </c>
      <c r="I869" t="str">
        <v/>
      </c>
      <c r="L869" t="str">
        <v/>
      </c>
    </row>
    <row r="870" spans="1:12" x14ac:dyDescent="0.25">
      <c r="A870" t="str">
        <v>f8554cb4-f969-4d12-bd11-ddf5b8190331</v>
      </c>
      <c r="B870" t="str">
        <v>7DDF7E55-92EE-4E47-9E16-F1D4D3FABF60</v>
      </c>
      <c r="C870" t="str">
        <v>Building Elevator Rent</v>
      </c>
      <c r="D870" t="str">
        <v>B59170EC-16CC-499A-9FF7-0428DCB8F727</v>
      </c>
      <c r="E870" t="str">
        <v>2025-07-14</v>
      </c>
      <c r="F870" s="4">
        <v>51000</v>
      </c>
      <c r="G870" t="str">
        <v>5a2d799d-22a1-4e0a-b029-8031a1df6d56</v>
      </c>
      <c r="H870" t="str">
        <v>9fed28b3-82cf-4afa-8e8d-952adf7a54a5</v>
      </c>
      <c r="I870" t="str">
        <v/>
      </c>
      <c r="L870" t="str">
        <v/>
      </c>
    </row>
    <row r="871" spans="1:12" x14ac:dyDescent="0.25">
      <c r="A871" t="str">
        <v>913dcc58-9eb3-4d5f-824f-538c2e0909e4</v>
      </c>
      <c r="B871" t="str">
        <v>2a4d8f4e-e7cd-4ed5-a7dc-a92fc16e37b3</v>
      </c>
      <c r="C871" t="str">
        <v>Ali Batumi</v>
      </c>
      <c r="D871" t="str">
        <v>FEA4B88F-633F-4422-B3D6-250792A2DA80</v>
      </c>
      <c r="E871" t="str">
        <v>2025-07-15</v>
      </c>
      <c r="F871" s="4">
        <v>12585</v>
      </c>
      <c r="G871" t="str">
        <v>0790fb09-2de6-4ea3-a71c-58a007fc62a8</v>
      </c>
      <c r="H871" t="str">
        <v>9fed28b3-82cf-4afa-8e8d-952adf7a54a5</v>
      </c>
      <c r="I871" t="str">
        <v/>
      </c>
      <c r="L871" t="str">
        <v/>
      </c>
    </row>
    <row r="872" spans="1:12" x14ac:dyDescent="0.25">
      <c r="A872" t="str">
        <v>2b109f1a-7ce1-4af8-a2e7-e0b90d88d0ed</v>
      </c>
      <c r="B872" t="str">
        <v>6DF25574-2F03-43D0-AEC4-2CD26A4A0C3A</v>
      </c>
      <c r="C872" t="str">
        <v>Zara Escalator Repair</v>
      </c>
      <c r="D872" t="str">
        <v>C491BFF3-6F7B-4412-9DF0-EAED6F3EE238</v>
      </c>
      <c r="E872" t="str">
        <v>2025-07-08</v>
      </c>
      <c r="F872" s="4">
        <v>4600</v>
      </c>
      <c r="G872" t="str">
        <v>5a2d799d-22a1-4e0a-b029-8031a1df6d56</v>
      </c>
      <c r="H872" t="str">
        <v>9fed28b3-82cf-4afa-8e8d-952adf7a54a5</v>
      </c>
      <c r="I872" t="str">
        <v/>
      </c>
      <c r="L872" t="str">
        <v/>
      </c>
    </row>
    <row r="873" spans="1:12" x14ac:dyDescent="0.25">
      <c r="A873" t="str">
        <v>651ad887-b4f3-46fa-8f0e-f4cf9356e703</v>
      </c>
      <c r="B873" t="str">
        <v>ca619f43-8990-49a5-8c86-f34c86395425</v>
      </c>
      <c r="C873" t="str">
        <v>Gordeziani Rustavi</v>
      </c>
      <c r="D873" t="str">
        <v>12238130-9D12-4099-A48B-9EB5A085E0F8</v>
      </c>
      <c r="E873" t="str">
        <v>2021-04-30</v>
      </c>
      <c r="F873" s="4">
        <v>600</v>
      </c>
      <c r="G873" t="str">
        <v>5a2d799d-22a1-4e0a-b029-8031a1df6d56</v>
      </c>
      <c r="H873" t="str">
        <v>9fed28b3-82cf-4afa-8e8d-952adf7a54a5</v>
      </c>
      <c r="I873" t="str">
        <v/>
      </c>
      <c r="L873" t="str">
        <v/>
      </c>
    </row>
    <row r="874" spans="1:12" x14ac:dyDescent="0.25">
      <c r="A874" t="str">
        <v>bdb15239-50fc-466c-8a9a-6f1a1133b180</v>
      </c>
      <c r="B874" t="str">
        <v>9729C88B-F3C5-441A-8782-0656302A37F2</v>
      </c>
      <c r="C874" t="str">
        <v>Wedding Hall Reconstruction</v>
      </c>
      <c r="D874" t="str">
        <v>B59170EC-16CC-499A-9FF7-0428DCB8F727</v>
      </c>
      <c r="E874" t="str">
        <v>2025-06-23</v>
      </c>
      <c r="F874" s="4">
        <v>9300</v>
      </c>
      <c r="G874" t="str">
        <v>0790fb09-2de6-4ea3-a71c-58a007fc62a8</v>
      </c>
      <c r="H874" t="str">
        <v>9fed28b3-82cf-4afa-8e8d-952adf7a54a5</v>
      </c>
      <c r="I874" t="str">
        <v/>
      </c>
      <c r="L874" t="str">
        <v>AD901E05-ADD9-42DE-89BA-4D9A21C89BCF</v>
      </c>
    </row>
    <row r="875" spans="1:12" x14ac:dyDescent="0.25">
      <c r="A875" t="str">
        <v>6d09a2ab-a864-46af-bcff-099fd7a7ea00</v>
      </c>
      <c r="B875" t="str">
        <v>B71DB46F-9742-4111-9C3C-118F6E6DB370</v>
      </c>
      <c r="C875" t="str">
        <v>Nutsubidze Service</v>
      </c>
      <c r="D875" t="str">
        <v>12238130-9D12-4099-A48B-9EB5A085E0F8</v>
      </c>
      <c r="E875" t="str">
        <v>2025-06-01</v>
      </c>
      <c r="F875" s="4">
        <v>500</v>
      </c>
      <c r="G875" t="str">
        <v>0790fb09-2de6-4ea3-a71c-58a007fc62a8</v>
      </c>
      <c r="H875" t="str">
        <v>9fed28b3-82cf-4afa-8e8d-952adf7a54a5</v>
      </c>
      <c r="I875" t="str">
        <v/>
      </c>
      <c r="L875" t="str">
        <v/>
      </c>
    </row>
    <row r="876" spans="1:12" x14ac:dyDescent="0.25">
      <c r="A876" t="str">
        <v>14b74ce2-176f-45a2-a7dc-b2147861533c</v>
      </c>
      <c r="B876" t="str">
        <v>bfc971e5-83a3-47a8-b1dc-c45b1b8c8f92</v>
      </c>
      <c r="C876" t="str">
        <v>Gergeti Str</v>
      </c>
      <c r="D876" t="str">
        <v>B59170EC-16CC-499A-9FF7-0428DCB8F727</v>
      </c>
      <c r="E876" t="str">
        <v>2025-07-25</v>
      </c>
      <c r="F876" s="4">
        <v>106000</v>
      </c>
      <c r="G876" t="str">
        <v>0790fb09-2de6-4ea3-a71c-58a007fc62a8</v>
      </c>
      <c r="H876" t="str">
        <v>9fed28b3-82cf-4afa-8e8d-952adf7a54a5</v>
      </c>
      <c r="I876" t="str">
        <v/>
      </c>
      <c r="L876" t="str">
        <v/>
      </c>
    </row>
    <row r="877" spans="1:12" x14ac:dyDescent="0.25">
      <c r="A877" t="str">
        <v>20772c20-2969-4621-a1da-86f9844eead3</v>
      </c>
      <c r="B877" t="str">
        <v>239c1ffa-b15c-4b14-af18-a276f4963ad1</v>
      </c>
      <c r="C877" t="str">
        <v>Renault Center Design</v>
      </c>
      <c r="D877" t="str">
        <v>FEA4B88F-633F-4422-B3D6-250792A2DA80</v>
      </c>
      <c r="E877" t="str">
        <v>2025-07-22</v>
      </c>
      <c r="F877" s="4">
        <v>2500</v>
      </c>
      <c r="G877" t="str">
        <v>5a2d799d-22a1-4e0a-b029-8031a1df6d56</v>
      </c>
      <c r="H877" t="str">
        <v>9fed28b3-82cf-4afa-8e8d-952adf7a54a5</v>
      </c>
      <c r="I877" t="str">
        <v/>
      </c>
      <c r="L877" t="str">
        <v>C309CB7C-404D-431A-A8FB-29671DCA0C49</v>
      </c>
    </row>
    <row r="878" spans="1:12" x14ac:dyDescent="0.25">
      <c r="A878" t="str">
        <v>f44869d1-5867-4565-981d-a314e29ff356</v>
      </c>
      <c r="B878" t="str">
        <v>0287776F-9E6F-4DA0-B7EF-8779B6C95A99</v>
      </c>
      <c r="C878" t="str">
        <v>BMW CENTER</v>
      </c>
      <c r="D878" t="str">
        <v>B59170EC-16CC-499A-9FF7-0428DCB8F727</v>
      </c>
      <c r="E878" t="str">
        <v>2025-07-28</v>
      </c>
      <c r="F878" s="4">
        <v>104480</v>
      </c>
      <c r="G878" t="str">
        <v>4cfda3f2-535e-4b77-a467-eac9dc64feca</v>
      </c>
      <c r="H878" t="str">
        <v>9fed28b3-82cf-4afa-8e8d-952adf7a54a5</v>
      </c>
      <c r="I878" t="str">
        <v/>
      </c>
      <c r="L878" t="str">
        <v/>
      </c>
    </row>
    <row r="879" spans="1:12" x14ac:dyDescent="0.25">
      <c r="A879" t="str">
        <v>d2efdf13-e345-4068-b330-cc3363d7620e</v>
      </c>
      <c r="B879" t="str">
        <v>0287776F-9E6F-4DA0-B7EF-8779B6C95A99</v>
      </c>
      <c r="C879" t="str">
        <v>BMW CENTER (2)</v>
      </c>
      <c r="D879" t="str">
        <v>B59170EC-16CC-499A-9FF7-0428DCB8F727</v>
      </c>
      <c r="E879" t="str">
        <v>2025-07-28</v>
      </c>
      <c r="F879" s="4">
        <v>417080</v>
      </c>
      <c r="G879" t="str">
        <v>4cfda3f2-535e-4b77-a467-eac9dc64feca</v>
      </c>
      <c r="H879" t="str">
        <v>9fed28b3-82cf-4afa-8e8d-952adf7a54a5</v>
      </c>
      <c r="I879" t="str">
        <v/>
      </c>
      <c r="L879" t="str">
        <v/>
      </c>
    </row>
    <row r="880" spans="1:12" x14ac:dyDescent="0.25">
      <c r="A880" t="str">
        <v>1303872a-1e47-4ede-ba36-dae02084c0e2</v>
      </c>
      <c r="B880" t="str">
        <v>0287776F-9E6F-4DA0-B7EF-8779B6C95A99</v>
      </c>
      <c r="C880" t="str">
        <v>BMW CENTER (3)</v>
      </c>
      <c r="D880" t="str">
        <v>B59170EC-16CC-499A-9FF7-0428DCB8F727</v>
      </c>
      <c r="E880" t="str">
        <v>2025-07-28</v>
      </c>
      <c r="F880" s="4">
        <v>11340</v>
      </c>
      <c r="G880" t="str">
        <v>4cfda3f2-535e-4b77-a467-eac9dc64feca</v>
      </c>
      <c r="H880" t="str">
        <v>9fed28b3-82cf-4afa-8e8d-952adf7a54a5</v>
      </c>
      <c r="I880" t="str">
        <v/>
      </c>
      <c r="L880" t="str">
        <v/>
      </c>
    </row>
    <row r="881" spans="1:12" x14ac:dyDescent="0.25">
      <c r="A881" t="str">
        <v>176e1484-cd37-4c5a-904c-db1ae4ba7157</v>
      </c>
      <c r="B881" t="str">
        <v>1436a7f5-9177-4e1d-85e3-61dfd225db33</v>
      </c>
      <c r="C881" t="str">
        <v>Mitsubishi VRF</v>
      </c>
      <c r="D881" t="str">
        <v>B5CAA716-CA9B-47D4-85D4-9954ED4DBAD2</v>
      </c>
      <c r="E881" t="str">
        <v>2025-07-30</v>
      </c>
      <c r="F881" s="4">
        <v>1050</v>
      </c>
      <c r="G881" t="str">
        <v>5a2d799d-22a1-4e0a-b029-8031a1df6d56</v>
      </c>
      <c r="H881" t="str">
        <v>9fed28b3-82cf-4afa-8e8d-952adf7a54a5</v>
      </c>
      <c r="I881" t="str">
        <v/>
      </c>
      <c r="L881" t="str">
        <v/>
      </c>
    </row>
    <row r="882" spans="1:12" x14ac:dyDescent="0.25">
      <c r="A882" t="str">
        <v>fff21f65-9095-4104-bf7e-6153cfe24096</v>
      </c>
      <c r="B882" t="str">
        <v>43EABC78-AF64-4C14-9FEF-C7E6A1B6F07E</v>
      </c>
      <c r="C882" t="str">
        <v>HGI Heat Pump Mbus</v>
      </c>
      <c r="D882" t="str">
        <v>FEA4B88F-633F-4422-B3D6-250792A2DA80</v>
      </c>
      <c r="E882" t="str">
        <v>2021-10-13</v>
      </c>
      <c r="F882" s="4">
        <v>10807.36</v>
      </c>
      <c r="G882" t="str">
        <v>0790fb09-2de6-4ea3-a71c-58a007fc62a8</v>
      </c>
      <c r="H882" t="str">
        <v>2adb3689-90cd-4ae8-832d-be7cc1a11029</v>
      </c>
      <c r="I882" t="str">
        <v/>
      </c>
      <c r="L882" t="str">
        <v/>
      </c>
    </row>
    <row r="883" spans="1:12" x14ac:dyDescent="0.25">
      <c r="A883" t="str">
        <v>4d458a60-ecf8-40ed-8900-b45b09123050</v>
      </c>
      <c r="B883" t="str">
        <v>43EABC78-AF64-4C14-9FEF-C7E6A1B6F07E</v>
      </c>
      <c r="C883" t="str">
        <v>Fancoil</v>
      </c>
      <c r="D883" t="str">
        <v>FEA4B88F-633F-4422-B3D6-250792A2DA80</v>
      </c>
      <c r="E883" t="str">
        <v>2022-06-13</v>
      </c>
      <c r="F883" s="4">
        <v>1124.53</v>
      </c>
      <c r="G883" t="str">
        <v>0790fb09-2de6-4ea3-a71c-58a007fc62a8</v>
      </c>
      <c r="H883" t="str">
        <v>9fed28b3-82cf-4afa-8e8d-952adf7a54a5</v>
      </c>
      <c r="I883" t="str">
        <v/>
      </c>
      <c r="L883" t="str">
        <v/>
      </c>
    </row>
    <row r="884" spans="1:12" x14ac:dyDescent="0.25">
      <c r="A884" t="str">
        <v>d78a50df-8538-48a5-a164-2caf2ee08edd</v>
      </c>
      <c r="B884" t="str">
        <v>43EABC78-AF64-4C14-9FEF-C7E6A1B6F07E</v>
      </c>
      <c r="C884" t="str">
        <v>HIEX (EUR)</v>
      </c>
      <c r="D884" t="str">
        <v>FEA4B88F-633F-4422-B3D6-250792A2DA80</v>
      </c>
      <c r="E884" t="str">
        <v>2021-03-01</v>
      </c>
      <c r="F884" s="4">
        <v>34167.15</v>
      </c>
      <c r="G884" t="str">
        <v>4cfda3f2-535e-4b77-a467-eac9dc64feca</v>
      </c>
      <c r="H884" t="str">
        <v>9fed28b3-82cf-4afa-8e8d-952adf7a54a5</v>
      </c>
      <c r="I884" t="str">
        <v/>
      </c>
      <c r="L884" t="str">
        <v/>
      </c>
    </row>
    <row r="885" spans="1:12" x14ac:dyDescent="0.25">
      <c r="A885" t="str">
        <v>75ec5898-1b86-4e14-a694-5fa0da9f55ef</v>
      </c>
      <c r="B885" t="str">
        <v>43EABC78-AF64-4C14-9FEF-C7E6A1B6F07E</v>
      </c>
      <c r="C885" t="str">
        <v>Kvariati FLS</v>
      </c>
      <c r="D885" t="str">
        <v>FEA4B88F-633F-4422-B3D6-250792A2DA80</v>
      </c>
      <c r="E885" t="str">
        <v>2024-05-10</v>
      </c>
      <c r="F885" s="4">
        <v>11189.02</v>
      </c>
      <c r="G885" t="str">
        <v>4cfda3f2-535e-4b77-a467-eac9dc64feca</v>
      </c>
      <c r="H885" t="str">
        <v>9fed28b3-82cf-4afa-8e8d-952adf7a54a5</v>
      </c>
      <c r="I885" t="str">
        <v/>
      </c>
      <c r="L885" t="str">
        <v/>
      </c>
    </row>
    <row r="886" spans="1:12" x14ac:dyDescent="0.25">
      <c r="A886" t="str">
        <v>ccd89e5c-8a53-490c-9b49-ebb1d99952b7</v>
      </c>
      <c r="B886" t="str">
        <v>43EABC78-AF64-4C14-9FEF-C7E6A1B6F07E</v>
      </c>
      <c r="C886" t="str">
        <v>Scaffolding Rent</v>
      </c>
      <c r="D886" t="str">
        <v>DB8A7407-60A7-468B-97C8-72D31D12D117</v>
      </c>
      <c r="E886" t="str">
        <v>2025-01-22</v>
      </c>
      <c r="F886" s="4">
        <v>1800</v>
      </c>
      <c r="G886" t="str">
        <v>5a2d799d-22a1-4e0a-b029-8031a1df6d56</v>
      </c>
      <c r="H886" t="str">
        <v>9fed28b3-82cf-4afa-8e8d-952adf7a54a5</v>
      </c>
      <c r="I886" t="str">
        <v/>
      </c>
      <c r="L886" t="str">
        <v/>
      </c>
    </row>
    <row r="887" spans="1:12" x14ac:dyDescent="0.25">
      <c r="A887" t="str">
        <v>81ef4041-063e-4b84-99e3-f04164edc3d9</v>
      </c>
      <c r="B887" t="str">
        <v>2BAD18DC-6E49-4AD3-9FDC-1B422FF3B90D</v>
      </c>
      <c r="C887" t="str">
        <v>Rustavi Mall Glass</v>
      </c>
      <c r="D887" t="str">
        <v>B5CAA716-CA9B-47D4-85D4-9954ED4DBAD2</v>
      </c>
      <c r="E887" t="str">
        <v>2025-07-01</v>
      </c>
      <c r="F887" s="4">
        <v>960</v>
      </c>
      <c r="G887" t="str">
        <v>5a2d799d-22a1-4e0a-b029-8031a1df6d56</v>
      </c>
      <c r="H887" t="str">
        <v>9fed28b3-82cf-4afa-8e8d-952adf7a54a5</v>
      </c>
      <c r="I887" t="str">
        <v/>
      </c>
      <c r="L887" t="str">
        <v/>
      </c>
    </row>
    <row r="888" spans="1:12" x14ac:dyDescent="0.25">
      <c r="A888" t="str">
        <v>e44aebac-eeb1-42f7-9c90-43fddae3a935</v>
      </c>
      <c r="B888" t="str">
        <v>43EABC78-AF64-4C14-9FEF-C7E6A1B6F07E</v>
      </c>
      <c r="C888" t="str">
        <v>Joints</v>
      </c>
      <c r="D888" t="str">
        <v>FEA4B88F-633F-4422-B3D6-250792A2DA80</v>
      </c>
      <c r="E888" t="str">
        <v>2024-04-04</v>
      </c>
      <c r="F888" s="4">
        <v>595.84</v>
      </c>
      <c r="G888" t="str">
        <v>5a2d799d-22a1-4e0a-b029-8031a1df6d56</v>
      </c>
      <c r="H888" t="str">
        <v>9fed28b3-82cf-4afa-8e8d-952adf7a54a5</v>
      </c>
      <c r="I888" t="str">
        <v/>
      </c>
      <c r="L888" t="str">
        <v/>
      </c>
    </row>
    <row r="889" spans="1:12" x14ac:dyDescent="0.25">
      <c r="A889" t="str">
        <v>60e39328-36da-44a9-93a6-12c7ab19714b</v>
      </c>
      <c r="B889" t="str">
        <v>43EABC78-AF64-4C14-9FEF-C7E6A1B6F07E</v>
      </c>
      <c r="C889" t="str">
        <v>Beach Tower Service</v>
      </c>
      <c r="D889" t="str">
        <v>FEA4B88F-633F-4422-B3D6-250792A2DA80</v>
      </c>
      <c r="E889" t="str">
        <v>2020-12-01</v>
      </c>
      <c r="F889" s="4">
        <v>3849</v>
      </c>
      <c r="G889" t="str">
        <v>5a2d799d-22a1-4e0a-b029-8031a1df6d56</v>
      </c>
      <c r="H889" t="str">
        <v>9fed28b3-82cf-4afa-8e8d-952adf7a54a5</v>
      </c>
      <c r="I889" t="str">
        <v/>
      </c>
      <c r="L889" t="str">
        <v/>
      </c>
    </row>
    <row r="890" spans="1:12" x14ac:dyDescent="0.25">
      <c r="A890" t="str">
        <v>53708f68-c1b6-4922-b4bb-4e232f4762b6</v>
      </c>
      <c r="B890" t="str">
        <v>1436a7f5-9177-4e1d-85e3-61dfd225db33</v>
      </c>
      <c r="C890" t="str">
        <v>Chakhrukhadze Service</v>
      </c>
      <c r="D890" t="str">
        <v>B5CAA716-CA9B-47D4-85D4-9954ED4DBAD2</v>
      </c>
      <c r="E890" t="str">
        <v>2025-05-21</v>
      </c>
      <c r="F890" s="4">
        <v>2000</v>
      </c>
      <c r="G890" t="str">
        <v>5a2d799d-22a1-4e0a-b029-8031a1df6d56</v>
      </c>
      <c r="H890" t="str">
        <v>9fed28b3-82cf-4afa-8e8d-952adf7a54a5</v>
      </c>
      <c r="I890" t="str">
        <v/>
      </c>
      <c r="L890" t="str">
        <v>C309CB7C-404D-431A-A8FB-29671DCA0C49</v>
      </c>
    </row>
    <row r="891" spans="1:12" x14ac:dyDescent="0.25">
      <c r="A891" t="str">
        <v>3d1f684e-53e5-43bc-a55b-dc2226668e7b</v>
      </c>
      <c r="B891" t="str">
        <v>e8b5ea6c-53ce-4c50-a1aa-a21d51c741d8</v>
      </c>
      <c r="C891" t="str">
        <v>Next Tbilisi Downtown</v>
      </c>
      <c r="D891" t="str">
        <v>B59170EC-16CC-499A-9FF7-0428DCB8F727</v>
      </c>
      <c r="E891" t="str">
        <v>2025-08-11</v>
      </c>
      <c r="F891" s="4">
        <v>200340</v>
      </c>
      <c r="G891" t="str">
        <v>0790fb09-2de6-4ea3-a71c-58a007fc62a8</v>
      </c>
      <c r="H891" t="str">
        <v>9fed28b3-82cf-4afa-8e8d-952adf7a54a5</v>
      </c>
      <c r="I891" t="str">
        <v/>
      </c>
      <c r="L891" t="str">
        <v>4c25a3b7-d112-4c46-aa9a-b2513a44f1b7</v>
      </c>
    </row>
    <row r="892" spans="1:12" x14ac:dyDescent="0.25">
      <c r="A892" t="str">
        <v>b2f6af17-1bef-4188-9ee8-3b679aaca2a1</v>
      </c>
      <c r="B892" t="str">
        <v>7ae5b6db-73b8-444e-bdea-71062d3bda50</v>
      </c>
      <c r="C892" t="str">
        <v>2 Firebox Installation</v>
      </c>
      <c r="D892" t="str">
        <v>FEA4B88F-633F-4422-B3D6-250792A2DA80</v>
      </c>
      <c r="E892" t="str">
        <v>2025-08-12</v>
      </c>
      <c r="F892" s="4">
        <v>2914</v>
      </c>
      <c r="G892" t="str">
        <v>5a2d799d-22a1-4e0a-b029-8031a1df6d56</v>
      </c>
      <c r="H892" t="str">
        <v>9fed28b3-82cf-4afa-8e8d-952adf7a54a5</v>
      </c>
      <c r="I892" t="str">
        <v/>
      </c>
      <c r="L892" t="str">
        <v>C309CB7C-404D-431A-A8FB-29671DCA0C49</v>
      </c>
    </row>
    <row r="893" spans="1:12" x14ac:dyDescent="0.25">
      <c r="A893" t="str">
        <v>76dff0ea-9a54-4593-bd6e-27bb5653af7c</v>
      </c>
      <c r="B893" t="str">
        <v>830b062b-b828-450d-8340-a3eabbf037ce</v>
      </c>
      <c r="C893" t="str">
        <v>Telegraph Hotel Humidifier</v>
      </c>
      <c r="D893" t="str">
        <v>FEA4B88F-633F-4422-B3D6-250792A2DA80</v>
      </c>
      <c r="E893" t="str">
        <v>2025-07-01</v>
      </c>
      <c r="F893" s="4">
        <v>2040</v>
      </c>
      <c r="G893" t="str">
        <v>0790fb09-2de6-4ea3-a71c-58a007fc62a8</v>
      </c>
      <c r="H893" t="str">
        <v>9fed28b3-82cf-4afa-8e8d-952adf7a54a5</v>
      </c>
      <c r="I893" t="str">
        <v/>
      </c>
      <c r="L893" t="str">
        <v/>
      </c>
    </row>
    <row r="894" spans="1:12" x14ac:dyDescent="0.25">
      <c r="A894" t="str">
        <v>1236cdd5-0ca2-4cc7-8537-9265b5813a46</v>
      </c>
      <c r="B894" t="str">
        <v>d8ec4c2f-8b68-413b-94fb-7491c3500643</v>
      </c>
      <c r="C894" t="str">
        <v>Chkonia Elevator Service</v>
      </c>
      <c r="D894" t="str">
        <v>12238130-9D12-4099-A48B-9EB5A085E0F8</v>
      </c>
      <c r="E894" t="str">
        <v>2025-07-01</v>
      </c>
      <c r="F894" s="4">
        <v>100</v>
      </c>
      <c r="G894" t="str">
        <v>0790fb09-2de6-4ea3-a71c-58a007fc62a8</v>
      </c>
      <c r="H894" t="str">
        <v>9fed28b3-82cf-4afa-8e8d-952adf7a54a5</v>
      </c>
      <c r="I894" t="str">
        <v/>
      </c>
      <c r="L894" t="str">
        <v/>
      </c>
    </row>
    <row r="895" spans="1:12" x14ac:dyDescent="0.25">
      <c r="A895" t="str">
        <v>76c81ead-4186-4cc5-b1cb-8d0bd724c936</v>
      </c>
      <c r="B895" t="str">
        <v>88114C6E-F2B4-44AC-AACB-3937108FCC9D</v>
      </c>
      <c r="C895" t="str">
        <v>Kobuleti Garden Inn Other</v>
      </c>
      <c r="D895" t="str">
        <v>C491BFF3-6F7B-4412-9DF0-EAED6F3EE238</v>
      </c>
      <c r="E895" t="str">
        <v>2025-08-14</v>
      </c>
      <c r="F895" s="4">
        <v>300</v>
      </c>
      <c r="G895" t="str">
        <v>5a2d799d-22a1-4e0a-b029-8031a1df6d56</v>
      </c>
      <c r="H895" t="str">
        <v>9fed28b3-82cf-4afa-8e8d-952adf7a54a5</v>
      </c>
      <c r="I895" t="str">
        <v/>
      </c>
      <c r="L895" t="str">
        <v/>
      </c>
    </row>
    <row r="896" spans="1:12" x14ac:dyDescent="0.25">
      <c r="A896" t="str">
        <v>d9f7ad7e-ede5-4474-9f53-2e7dd3f53599</v>
      </c>
      <c r="B896" t="str">
        <v>4b211f63-8396-46ff-b4d1-642c7a3d077f</v>
      </c>
      <c r="C896" t="str">
        <v>Foris Suits</v>
      </c>
      <c r="D896" t="str">
        <v>B59170EC-16CC-499A-9FF7-0428DCB8F727</v>
      </c>
      <c r="E896" t="str">
        <v>2025-08-01</v>
      </c>
      <c r="F896" s="4">
        <v>152170</v>
      </c>
      <c r="G896" t="str">
        <v>0790fb09-2de6-4ea3-a71c-58a007fc62a8</v>
      </c>
      <c r="H896" t="str">
        <v>9fed28b3-82cf-4afa-8e8d-952adf7a54a5</v>
      </c>
      <c r="I896" t="str">
        <v/>
      </c>
      <c r="L896" t="str">
        <v/>
      </c>
    </row>
    <row r="897" spans="1:12" x14ac:dyDescent="0.25">
      <c r="A897" t="str">
        <v>e68ef0e0-13b9-4e5b-9b7b-4346ae24e7a6</v>
      </c>
      <c r="B897" t="str">
        <v>ba94ed59-522c-4852-994c-130ef7e8cd30</v>
      </c>
      <c r="C897" t="str">
        <v>BOQ Vake Restaurant</v>
      </c>
      <c r="D897" t="str">
        <v>FEA4B88F-633F-4422-B3D6-250792A2DA80</v>
      </c>
      <c r="E897" t="str">
        <v>2025-08-06</v>
      </c>
      <c r="F897" s="4">
        <v>92605.45</v>
      </c>
      <c r="G897" t="str">
        <v>0790fb09-2de6-4ea3-a71c-58a007fc62a8</v>
      </c>
      <c r="H897" t="str">
        <v>9fed28b3-82cf-4afa-8e8d-952adf7a54a5</v>
      </c>
      <c r="I897" t="str">
        <v/>
      </c>
      <c r="L897" t="str">
        <v/>
      </c>
    </row>
    <row r="898" spans="1:12" x14ac:dyDescent="0.25">
      <c r="A898" t="str">
        <v>96622052-3fa7-4a40-ae75-9bbc080c5d5b</v>
      </c>
      <c r="B898" t="str">
        <v>e4776dbb-f3fc-4669-bb43-a1b7c87b7c59</v>
      </c>
      <c r="C898" t="str">
        <v>Isani D Block Door Engine</v>
      </c>
      <c r="D898" t="str">
        <v>C491BFF3-6F7B-4412-9DF0-EAED6F3EE238</v>
      </c>
      <c r="E898" t="str">
        <v>2025-03-20</v>
      </c>
      <c r="F898" s="4">
        <v>800</v>
      </c>
      <c r="G898" t="str">
        <v>0790fb09-2de6-4ea3-a71c-58a007fc62a8</v>
      </c>
      <c r="H898" t="str">
        <v>9fed28b3-82cf-4afa-8e8d-952adf7a54a5</v>
      </c>
      <c r="I898" t="str">
        <v/>
      </c>
      <c r="L898" t="str">
        <v/>
      </c>
    </row>
    <row r="899" spans="1:12" x14ac:dyDescent="0.25">
      <c r="A899" t="str">
        <v>896a4b80-4b57-4a1b-894a-1dcb6dfebf9f</v>
      </c>
      <c r="B899" t="str">
        <v>f803a84d-97b6-49cf-824e-d2806271449a</v>
      </c>
      <c r="C899" t="str">
        <v>Gallery Reprogramming</v>
      </c>
      <c r="D899" t="str">
        <v>FEA4B88F-633F-4422-B3D6-250792A2DA80</v>
      </c>
      <c r="E899" t="str">
        <v>2025-08-27</v>
      </c>
      <c r="F899" s="4">
        <v>20234.84</v>
      </c>
      <c r="G899" t="str">
        <v>5a2d799d-22a1-4e0a-b029-8031a1df6d56</v>
      </c>
      <c r="H899" t="str">
        <v>9fed28b3-82cf-4afa-8e8d-952adf7a54a5</v>
      </c>
      <c r="I899" t="str">
        <v/>
      </c>
      <c r="L899" t="str">
        <v/>
      </c>
    </row>
    <row r="900" spans="1:12" x14ac:dyDescent="0.25">
      <c r="A900" t="str">
        <v>52d886f8-9173-4e2d-9d73-fd44e28b55ca</v>
      </c>
      <c r="B900" t="str">
        <v>15951f75-6aca-4416-8478-e803240069ff</v>
      </c>
      <c r="C900" t="str">
        <v>VRF</v>
      </c>
      <c r="D900" t="str">
        <v>FEA4B88F-633F-4422-B3D6-250792A2DA80</v>
      </c>
      <c r="E900" t="str">
        <v>2025-05-27</v>
      </c>
      <c r="F900" s="4">
        <v>8720</v>
      </c>
      <c r="G900" t="str">
        <v>0790fb09-2de6-4ea3-a71c-58a007fc62a8</v>
      </c>
      <c r="H900" t="str">
        <v>9fed28b3-82cf-4afa-8e8d-952adf7a54a5</v>
      </c>
      <c r="I900" t="str">
        <v/>
      </c>
      <c r="L900" t="str">
        <v>C309CB7C-404D-431A-A8FB-29671DCA0C49</v>
      </c>
    </row>
    <row r="901" spans="1:12" x14ac:dyDescent="0.25">
      <c r="A901" t="str">
        <v>3221a7e6-6cd7-4a0c-b402-bf79bdb96de4</v>
      </c>
      <c r="B901" t="str">
        <v>fb5cb65c-f87e-4ad2-a3ed-fa346097ef17</v>
      </c>
      <c r="C901" t="str">
        <v>Escalator Step</v>
      </c>
      <c r="D901" t="str">
        <v>C491BFF3-6F7B-4412-9DF0-EAED6F3EE238</v>
      </c>
      <c r="E901" t="str">
        <v>2025-08-26</v>
      </c>
      <c r="F901" s="4">
        <v>1350</v>
      </c>
      <c r="G901" t="str">
        <v>5a2d799d-22a1-4e0a-b029-8031a1df6d56</v>
      </c>
      <c r="H901" t="str">
        <v>9fed28b3-82cf-4afa-8e8d-952adf7a54a5</v>
      </c>
      <c r="I901" t="str">
        <v/>
      </c>
      <c r="L901" t="str">
        <v>01DFE71D-5350-4A02-ABCD-C6A3C15B94EE</v>
      </c>
    </row>
    <row r="902" spans="1:12" x14ac:dyDescent="0.25">
      <c r="A902" t="str">
        <v>b56a8f1d-3a8b-478e-aed9-78922b71241a</v>
      </c>
      <c r="B902" t="str">
        <v>E5065FFE-1CD4-4C87-A053-0558ECFC9B1D</v>
      </c>
      <c r="C902" t="str">
        <v>A &amp; B Block Doors</v>
      </c>
      <c r="D902" t="str">
        <v>C491BFF3-6F7B-4412-9DF0-EAED6F3EE238</v>
      </c>
      <c r="E902" t="str">
        <v>2025-06-23</v>
      </c>
      <c r="F902" s="4">
        <v>3960</v>
      </c>
      <c r="G902" t="str">
        <v>0790fb09-2de6-4ea3-a71c-58a007fc62a8</v>
      </c>
      <c r="H902" t="str">
        <v>9fed28b3-82cf-4afa-8e8d-952adf7a54a5</v>
      </c>
      <c r="I902" t="str">
        <v/>
      </c>
      <c r="L902" t="str">
        <v/>
      </c>
    </row>
    <row r="903" spans="1:12" x14ac:dyDescent="0.25">
      <c r="A903" t="str">
        <v>317f801f-bf5e-43fc-91d4-d5978e6673a3</v>
      </c>
      <c r="B903" t="str">
        <v>ab81e45d-fc7d-41c1-bb11-61d2345f074a</v>
      </c>
      <c r="C903" t="str">
        <v>Deka Lisi</v>
      </c>
      <c r="D903" t="str">
        <v>B59170EC-16CC-499A-9FF7-0428DCB8F727</v>
      </c>
      <c r="E903" t="str">
        <v>2025-08-13</v>
      </c>
      <c r="F903" s="4">
        <v>140500</v>
      </c>
      <c r="G903" t="str">
        <v>0790fb09-2de6-4ea3-a71c-58a007fc62a8</v>
      </c>
      <c r="H903" t="str">
        <v>9fed28b3-82cf-4afa-8e8d-952adf7a54a5</v>
      </c>
      <c r="I903" t="str">
        <v/>
      </c>
      <c r="L903" t="str">
        <v/>
      </c>
    </row>
    <row r="904" spans="1:12" x14ac:dyDescent="0.25">
      <c r="A904" t="str">
        <v>178203ce-ad2d-4fb5-a269-4dabad09977b</v>
      </c>
      <c r="B904" t="str">
        <v>c927ff43-63ab-4b84-bd2a-6f3603b427b4</v>
      </c>
      <c r="C904" t="str">
        <v>Varazi 99</v>
      </c>
      <c r="D904" t="str">
        <v>12238130-9D12-4099-A48B-9EB5A085E0F8</v>
      </c>
      <c r="E904" t="str">
        <v>2025-06-10</v>
      </c>
      <c r="F904" s="4">
        <v>200</v>
      </c>
      <c r="G904" t="str">
        <v>0790fb09-2de6-4ea3-a71c-58a007fc62a8</v>
      </c>
      <c r="H904" t="str">
        <v>9fed28b3-82cf-4afa-8e8d-952adf7a54a5</v>
      </c>
      <c r="I904" t="str">
        <v/>
      </c>
      <c r="L904" t="str">
        <v/>
      </c>
    </row>
    <row r="905" spans="1:12" x14ac:dyDescent="0.25">
      <c r="A905" t="str">
        <v>a08f2e92-ddcd-44b8-8515-27faf5f4eb63</v>
      </c>
      <c r="B905" t="str">
        <v>43EABC78-AF64-4C14-9FEF-C7E6A1B6F07E</v>
      </c>
      <c r="C905" t="str">
        <v>Kart</v>
      </c>
      <c r="D905" t="str">
        <v>B5CAA716-CA9B-47D4-85D4-9954ED4DBAD2</v>
      </c>
      <c r="E905" t="str">
        <v>2025-08-01</v>
      </c>
      <c r="F905" s="4">
        <v>920</v>
      </c>
      <c r="G905" t="str">
        <v>0790fb09-2de6-4ea3-a71c-58a007fc62a8</v>
      </c>
      <c r="H905" t="str">
        <v>9fed28b3-82cf-4afa-8e8d-952adf7a54a5</v>
      </c>
      <c r="I905" t="str">
        <v/>
      </c>
      <c r="L905" t="str">
        <v/>
      </c>
    </row>
    <row r="906" spans="1:12" x14ac:dyDescent="0.25">
      <c r="A906" t="str">
        <v>d72d257b-3784-4939-8e28-7b69968edcc2</v>
      </c>
      <c r="B906" t="str">
        <v>79dd9f3e-f8fc-44d0-991d-84b033122a43</v>
      </c>
      <c r="C906" t="str">
        <v>Additional Steel Works</v>
      </c>
      <c r="D906" t="str">
        <v>B59170EC-16CC-499A-9FF7-0428DCB8F727</v>
      </c>
      <c r="E906" t="str">
        <v>2025-09-01</v>
      </c>
      <c r="F906" s="4">
        <v>30000</v>
      </c>
      <c r="G906" t="str">
        <v>0790fb09-2de6-4ea3-a71c-58a007fc62a8</v>
      </c>
      <c r="H906" t="str">
        <v>9fed28b3-82cf-4afa-8e8d-952adf7a54a5</v>
      </c>
      <c r="I906" t="str">
        <v/>
      </c>
      <c r="L906" t="str">
        <v/>
      </c>
    </row>
    <row r="907" spans="1:12" x14ac:dyDescent="0.25">
      <c r="A907" t="str">
        <v>975f3203-d3ec-4f9c-a396-1a68ae4b7e30</v>
      </c>
      <c r="B907" t="str">
        <v>4b1110ff-1ace-462f-8822-895425a89a3c</v>
      </c>
      <c r="C907" t="str">
        <v>Varketili Mall HVAC</v>
      </c>
      <c r="D907" t="str">
        <v>FEA4B88F-633F-4422-B3D6-250792A2DA80</v>
      </c>
      <c r="E907" t="str">
        <v>2025-09-01</v>
      </c>
      <c r="F907" s="4">
        <v>6011672.5</v>
      </c>
      <c r="G907" t="str">
        <v>0790fb09-2de6-4ea3-a71c-58a007fc62a8</v>
      </c>
      <c r="H907" t="str">
        <v>9fed28b3-82cf-4afa-8e8d-952adf7a54a5</v>
      </c>
      <c r="I907" t="str">
        <v/>
      </c>
      <c r="L907" t="str">
        <v>D239BCA7-C0E0-431B-8055-6778FA312A38</v>
      </c>
    </row>
    <row r="908" spans="1:12" x14ac:dyDescent="0.25">
      <c r="A908" t="str">
        <v>20804530-adcf-44cb-a337-d21f165a052b</v>
      </c>
      <c r="B908" t="str">
        <v>1cf44d92-bf68-4114-9c6b-a7bf66dcc009</v>
      </c>
      <c r="C908" t="str">
        <v>Arte Kerchi Service</v>
      </c>
      <c r="D908" t="str">
        <v>12238130-9D12-4099-A48B-9EB5A085E0F8</v>
      </c>
      <c r="E908" t="str">
        <v>2025-08-01</v>
      </c>
      <c r="F908" s="4">
        <v>200</v>
      </c>
      <c r="G908" t="str">
        <v>0790fb09-2de6-4ea3-a71c-58a007fc62a8</v>
      </c>
      <c r="H908" t="str">
        <v>9fed28b3-82cf-4afa-8e8d-952adf7a54a5</v>
      </c>
      <c r="I908" t="str">
        <v/>
      </c>
      <c r="L908" t="str">
        <v/>
      </c>
    </row>
    <row r="909" spans="1:12" x14ac:dyDescent="0.25">
      <c r="A909" t="str">
        <v>d397440b-a8a7-459f-b315-825fec814c2a</v>
      </c>
      <c r="B909" t="str">
        <v>0189a475-ca2b-4535-884b-b5d63f2e774a</v>
      </c>
      <c r="C909" t="str">
        <v>Tadzris 22 Areali</v>
      </c>
      <c r="D909" t="str">
        <v>12238130-9D12-4099-A48B-9EB5A085E0F8</v>
      </c>
      <c r="E909" t="str">
        <v>2025-08-01</v>
      </c>
      <c r="F909" s="4">
        <v>300</v>
      </c>
      <c r="G909" t="str">
        <v>0790fb09-2de6-4ea3-a71c-58a007fc62a8</v>
      </c>
      <c r="H909" t="str">
        <v>9fed28b3-82cf-4afa-8e8d-952adf7a54a5</v>
      </c>
      <c r="I909" t="str">
        <v/>
      </c>
      <c r="L909" t="str">
        <v/>
      </c>
    </row>
    <row r="910" spans="1:12" x14ac:dyDescent="0.25">
      <c r="A910" t="str">
        <v>9f6e78a8-ae91-479c-9830-072976842e2c</v>
      </c>
      <c r="B910" t="str">
        <v>43EABC78-AF64-4C14-9FEF-C7E6A1B6F07E</v>
      </c>
      <c r="C910" t="str">
        <v>Millenio</v>
      </c>
      <c r="D910" t="str">
        <v>B59170EC-16CC-499A-9FF7-0428DCB8F727</v>
      </c>
      <c r="E910" t="str">
        <v>2025-09-20</v>
      </c>
      <c r="F910" s="4">
        <v>10000</v>
      </c>
      <c r="G910" t="str">
        <v>0790fb09-2de6-4ea3-a71c-58a007fc62a8</v>
      </c>
      <c r="H910" t="str">
        <v>9fed28b3-82cf-4afa-8e8d-952adf7a54a5</v>
      </c>
      <c r="I910" t="str">
        <v/>
      </c>
      <c r="L910" t="str">
        <v/>
      </c>
    </row>
    <row r="911" spans="1:12" x14ac:dyDescent="0.25">
      <c r="A911" t="str">
        <v>1f1e7627-ce2b-4a95-a892-ca73802c5e21</v>
      </c>
      <c r="B911" t="str">
        <v>239c1ffa-b15c-4b14-af18-a276f4963ad1</v>
      </c>
      <c r="C911" t="str">
        <v>Renault Center</v>
      </c>
      <c r="D911" t="str">
        <v>FEA4B88F-633F-4422-B3D6-250792A2DA80</v>
      </c>
      <c r="E911" t="str">
        <v>2025-09-10</v>
      </c>
      <c r="F911" s="4">
        <v>117350</v>
      </c>
      <c r="G911" t="str">
        <v>0790fb09-2de6-4ea3-a71c-58a007fc62a8</v>
      </c>
      <c r="H911" t="str">
        <v>9fed28b3-82cf-4afa-8e8d-952adf7a54a5</v>
      </c>
      <c r="I911" t="str">
        <v/>
      </c>
      <c r="L911" t="str">
        <v/>
      </c>
    </row>
    <row r="912" spans="1:12" x14ac:dyDescent="0.25">
      <c r="A912" t="str">
        <v>1f62ee8c-6a02-4dac-a8d0-808c5f9255fa</v>
      </c>
      <c r="B912" t="str">
        <v>1D6C190E-3037-4435-BF28-B1D43DC3432D</v>
      </c>
      <c r="C912" t="str">
        <v>Freight Elevator Parts</v>
      </c>
      <c r="D912" t="str">
        <v>C491BFF3-6F7B-4412-9DF0-EAED6F3EE238</v>
      </c>
      <c r="E912" t="str">
        <v>2025-09-10</v>
      </c>
      <c r="F912" s="4">
        <v>5025</v>
      </c>
      <c r="G912" t="str">
        <v>0790fb09-2de6-4ea3-a71c-58a007fc62a8</v>
      </c>
      <c r="H912" t="str">
        <v>9fed28b3-82cf-4afa-8e8d-952adf7a54a5</v>
      </c>
      <c r="I912" t="str">
        <v/>
      </c>
      <c r="L912" t="str">
        <v/>
      </c>
    </row>
    <row r="913" spans="1:12" x14ac:dyDescent="0.25">
      <c r="A913" t="str">
        <v>87a6c003-48f9-4043-950f-a4d02aa7ac6d</v>
      </c>
      <c r="B913" t="str">
        <v>97df064b-ac3c-44dc-b50f-4931d66dcb64</v>
      </c>
      <c r="C913" t="str">
        <v>Walls Bakuriani</v>
      </c>
      <c r="D913" t="str">
        <v>B59170EC-16CC-499A-9FF7-0428DCB8F727</v>
      </c>
      <c r="E913" t="str">
        <v>2025-09-01</v>
      </c>
      <c r="F913" s="4">
        <v>25850</v>
      </c>
      <c r="G913" t="str">
        <v>0790fb09-2de6-4ea3-a71c-58a007fc62a8</v>
      </c>
      <c r="H913" t="str">
        <v>9fed28b3-82cf-4afa-8e8d-952adf7a54a5</v>
      </c>
      <c r="I913" t="str">
        <v/>
      </c>
      <c r="L913" t="str">
        <v/>
      </c>
    </row>
    <row r="914" spans="1:12" x14ac:dyDescent="0.25">
      <c r="A914" t="str">
        <v>ad72b3df-067c-44c4-9e00-f5b8d2b67b3e</v>
      </c>
      <c r="B914" t="str">
        <v>dff24cc5-ba99-47d7-9966-d83804cb055d</v>
      </c>
      <c r="C914" t="str">
        <v>Mitsubishi Multisplits</v>
      </c>
      <c r="D914" t="str">
        <v>B5CAA716-CA9B-47D4-85D4-9954ED4DBAD2</v>
      </c>
      <c r="E914" t="str">
        <v>2025-09-02</v>
      </c>
      <c r="F914" s="4">
        <v>3800</v>
      </c>
      <c r="G914" t="str">
        <v>5a2d799d-22a1-4e0a-b029-8031a1df6d56</v>
      </c>
      <c r="H914" t="str">
        <v>9fed28b3-82cf-4afa-8e8d-952adf7a54a5</v>
      </c>
      <c r="I914" t="str">
        <v/>
      </c>
      <c r="L914" t="str">
        <v/>
      </c>
    </row>
    <row r="915" spans="1:12" x14ac:dyDescent="0.25">
      <c r="A915" t="str">
        <v>c2527c31-fc87-4dac-990a-f13afa377510</v>
      </c>
      <c r="B915" t="str">
        <v>830b062b-b828-450d-8340-a3eabbf037ce</v>
      </c>
      <c r="C915" t="str">
        <v>TELEGRAPH FCU MOTOR</v>
      </c>
      <c r="D915" t="str">
        <v>FEA4B88F-633F-4422-B3D6-250792A2DA80</v>
      </c>
      <c r="E915" t="str">
        <v>2025-06-26</v>
      </c>
      <c r="F915" s="4">
        <v>6750</v>
      </c>
      <c r="G915" t="str">
        <v>0790fb09-2de6-4ea3-a71c-58a007fc62a8</v>
      </c>
      <c r="H915" t="str">
        <v>9fed28b3-82cf-4afa-8e8d-952adf7a54a5</v>
      </c>
      <c r="I915" t="str">
        <v/>
      </c>
      <c r="L915" t="str">
        <v/>
      </c>
    </row>
    <row r="916" spans="1:12" x14ac:dyDescent="0.25">
      <c r="A916" t="str">
        <v>cd067e66-6a27-47e4-ada8-f0ee19acf89a</v>
      </c>
      <c r="B916" t="str">
        <v>b02b47b8-6f99-4575-89ae-5c9cbd17d17d</v>
      </c>
      <c r="C916" t="str">
        <v>ICETERRA</v>
      </c>
      <c r="D916" t="str">
        <v>FEA4B88F-633F-4422-B3D6-250792A2DA80</v>
      </c>
      <c r="E916" t="str">
        <v>2025-09-09</v>
      </c>
      <c r="F916" s="4">
        <v>23520</v>
      </c>
      <c r="G916" t="str">
        <v>0790fb09-2de6-4ea3-a71c-58a007fc62a8</v>
      </c>
      <c r="H916" t="str">
        <v>9fed28b3-82cf-4afa-8e8d-952adf7a54a5</v>
      </c>
      <c r="I916" t="str">
        <v/>
      </c>
      <c r="L916" t="str">
        <v/>
      </c>
    </row>
    <row r="917" spans="1:12" x14ac:dyDescent="0.25">
      <c r="A917" t="str">
        <v>d786f320-a2c9-412c-b4be-a05de4861762</v>
      </c>
      <c r="B917" t="str">
        <v>ba94ed59-522c-4852-994c-130ef7e8cd30</v>
      </c>
      <c r="C917" t="str">
        <v>Kvareli Gallery</v>
      </c>
      <c r="D917" t="str">
        <v>FEA4B88F-633F-4422-B3D6-250792A2DA80</v>
      </c>
      <c r="E917" t="str">
        <v>2025-09-01</v>
      </c>
      <c r="F917" s="4">
        <v>795000</v>
      </c>
      <c r="G917" t="str">
        <v>0790fb09-2de6-4ea3-a71c-58a007fc62a8</v>
      </c>
      <c r="H917" t="str">
        <v>9fed28b3-82cf-4afa-8e8d-952adf7a54a5</v>
      </c>
      <c r="I917" t="str">
        <v/>
      </c>
      <c r="L917" t="str">
        <v>C309CB7C-404D-431A-A8FB-29671DCA0C49</v>
      </c>
    </row>
    <row r="918" spans="1:12" x14ac:dyDescent="0.25">
      <c r="A918" t="str">
        <v>9ca00d2c-d824-4172-9b01-11b5ea395289</v>
      </c>
      <c r="B918" t="str">
        <v>01230a64-68df-483f-a665-3da5373ee828</v>
      </c>
      <c r="C918" t="str">
        <v>Lisi Trio Facade Elevators</v>
      </c>
      <c r="D918" t="str">
        <v>B59170EC-16CC-499A-9FF7-0428DCB8F727</v>
      </c>
      <c r="E918" t="str">
        <v>2025-09-01</v>
      </c>
      <c r="F918" s="4">
        <v>50000</v>
      </c>
      <c r="G918" t="str">
        <v>0790fb09-2de6-4ea3-a71c-58a007fc62a8</v>
      </c>
      <c r="H918" t="str">
        <v>9fed28b3-82cf-4afa-8e8d-952adf7a54a5</v>
      </c>
      <c r="I918" t="str">
        <v/>
      </c>
      <c r="L918" t="str">
        <v/>
      </c>
    </row>
    <row r="919" spans="1:12" x14ac:dyDescent="0.25">
      <c r="A919" t="str">
        <v>6358745f-1325-43fb-9b00-bbae70713918</v>
      </c>
      <c r="B919" t="str">
        <v>8487c8c9-5af1-467a-8a82-3ca25ec4e7c0</v>
      </c>
      <c r="C919" t="str">
        <v>Urbanique</v>
      </c>
      <c r="D919" t="str">
        <v>B59170EC-16CC-499A-9FF7-0428DCB8F727</v>
      </c>
      <c r="E919" t="str">
        <v>2025-10-05</v>
      </c>
      <c r="F919" s="4">
        <v>155000</v>
      </c>
      <c r="G919" t="str">
        <v>0790fb09-2de6-4ea3-a71c-58a007fc62a8</v>
      </c>
      <c r="H919" t="str">
        <v>9fed28b3-82cf-4afa-8e8d-952adf7a54a5</v>
      </c>
      <c r="I919" t="str">
        <v/>
      </c>
      <c r="L919" t="str">
        <v/>
      </c>
    </row>
    <row r="920" spans="1:12" x14ac:dyDescent="0.25">
      <c r="A920" t="str">
        <v>fbdf88c7-0845-4203-8edb-7e146ca94ca0</v>
      </c>
      <c r="B920" t="str">
        <v>3c82c866-e061-4767-bfd0-c4b2ba8aa444</v>
      </c>
      <c r="C920" t="str">
        <v>Display repair</v>
      </c>
      <c r="D920" t="str">
        <v>C491BFF3-6F7B-4412-9DF0-EAED6F3EE238</v>
      </c>
      <c r="E920" t="str">
        <v>2025-09-05</v>
      </c>
      <c r="F920" s="4">
        <v>300</v>
      </c>
      <c r="G920" t="str">
        <v>5a2d799d-22a1-4e0a-b029-8031a1df6d56</v>
      </c>
      <c r="H920" t="str">
        <v>9fed28b3-82cf-4afa-8e8d-952adf7a54a5</v>
      </c>
      <c r="I920" t="str">
        <v/>
      </c>
      <c r="L920" t="str">
        <v/>
      </c>
    </row>
    <row r="921" spans="1:12" x14ac:dyDescent="0.25">
      <c r="A921" t="str">
        <v>85616cb7-40e7-478f-a16e-ab1942aaf326</v>
      </c>
      <c r="B921" t="str">
        <v>830b062b-b828-450d-8340-a3eabbf037ce</v>
      </c>
      <c r="C921" t="str">
        <v>Impeller</v>
      </c>
      <c r="D921" t="str">
        <v>B5CAA716-CA9B-47D4-85D4-9954ED4DBAD2</v>
      </c>
      <c r="E921" t="str">
        <v>2025-09-17</v>
      </c>
      <c r="F921" s="4">
        <v>941</v>
      </c>
      <c r="G921" t="str">
        <v>0790fb09-2de6-4ea3-a71c-58a007fc62a8</v>
      </c>
      <c r="H921" t="str">
        <v>9fed28b3-82cf-4afa-8e8d-952adf7a54a5</v>
      </c>
      <c r="I921" t="str">
        <v/>
      </c>
      <c r="L921" t="str">
        <v/>
      </c>
    </row>
    <row r="922" spans="1:12" x14ac:dyDescent="0.25">
      <c r="A922" t="str">
        <v>31b7837f-f301-4466-a759-1a2ca0425352</v>
      </c>
      <c r="B922" t="str">
        <v>272FF8D3-4909-409A-99B0-E2C8CA3BB9AF</v>
      </c>
      <c r="C922" t="str">
        <v>Park Home Repair</v>
      </c>
      <c r="D922" t="str">
        <v>C491BFF3-6F7B-4412-9DF0-EAED6F3EE238</v>
      </c>
      <c r="E922" t="str">
        <v>2025-10-01</v>
      </c>
      <c r="F922" s="4">
        <v>1700</v>
      </c>
      <c r="G922" t="str">
        <v>0790fb09-2de6-4ea3-a71c-58a007fc62a8</v>
      </c>
      <c r="H922" t="str">
        <v>9fed28b3-82cf-4afa-8e8d-952adf7a54a5</v>
      </c>
      <c r="I922" t="str">
        <v/>
      </c>
      <c r="L922" t="str">
        <v>86332895-C3C3-4313-AA1C-0D1B06C2386C</v>
      </c>
    </row>
    <row r="923" spans="1:12" x14ac:dyDescent="0.25">
      <c r="A923" t="str">
        <v>f1b23a87-5964-4ef4-8ee6-80f65503f752</v>
      </c>
      <c r="B923" t="str">
        <v>73F7A185-024C-4137-BCF6-0AF1157D6600</v>
      </c>
      <c r="C923" t="str">
        <v>Alliance Highline Additional</v>
      </c>
      <c r="D923" t="str">
        <v>B59170EC-16CC-499A-9FF7-0428DCB8F727</v>
      </c>
      <c r="E923" t="str">
        <v>2025-10-03</v>
      </c>
      <c r="F923" s="4">
        <v>77000</v>
      </c>
      <c r="G923" t="str">
        <v>0790fb09-2de6-4ea3-a71c-58a007fc62a8</v>
      </c>
      <c r="H923" t="str">
        <v>9fed28b3-82cf-4afa-8e8d-952adf7a54a5</v>
      </c>
      <c r="I923" t="str">
        <v/>
      </c>
      <c r="L923" t="str">
        <v/>
      </c>
    </row>
    <row r="924" spans="1:12" x14ac:dyDescent="0.25">
      <c r="A924" t="str">
        <v>42374ee0-580e-4d4a-9a57-2d149735326b</v>
      </c>
      <c r="B924" t="str">
        <v>25CDD3DB-B92D-4066-8363-867726289059</v>
      </c>
      <c r="C924" t="str">
        <v>Lisi Green Apartments 2</v>
      </c>
      <c r="D924" t="str">
        <v>B59170EC-16CC-499A-9FF7-0428DCB8F727</v>
      </c>
      <c r="E924" t="str">
        <v>2025-10-10</v>
      </c>
      <c r="F924" s="4">
        <v>60810</v>
      </c>
      <c r="G924" t="str">
        <v>0790fb09-2de6-4ea3-a71c-58a007fc62a8</v>
      </c>
      <c r="H924" t="str">
        <v>9fed28b3-82cf-4afa-8e8d-952adf7a54a5</v>
      </c>
      <c r="I924" t="str">
        <v/>
      </c>
      <c r="L924" t="str">
        <v/>
      </c>
    </row>
    <row r="925" spans="1:12" x14ac:dyDescent="0.25">
      <c r="A925" t="str">
        <v>4bb82ea0-b8e9-46e3-a328-811454f6cb93</v>
      </c>
      <c r="B925" t="str">
        <v>fd6894fa-ba52-42f9-9754-5f31e51282aa</v>
      </c>
      <c r="C925" t="str">
        <v>Panel repair</v>
      </c>
      <c r="D925" t="str">
        <v>C491BFF3-6F7B-4412-9DF0-EAED6F3EE238</v>
      </c>
      <c r="E925" t="str">
        <v>2025-10-01</v>
      </c>
      <c r="F925" s="4">
        <v>783</v>
      </c>
      <c r="G925" t="str">
        <v>5a2d799d-22a1-4e0a-b029-8031a1df6d56</v>
      </c>
      <c r="H925" t="str">
        <v>9fed28b3-82cf-4afa-8e8d-952adf7a54a5</v>
      </c>
      <c r="I925" t="str">
        <v/>
      </c>
      <c r="L925" t="str">
        <v/>
      </c>
    </row>
    <row r="926" spans="1:12" x14ac:dyDescent="0.25">
      <c r="A926" t="str">
        <v>820131c7-c259-4d58-af46-ec403eb2b9b3</v>
      </c>
      <c r="B926" t="str">
        <v>3a545140-2831-4b72-ac09-50b44ee6c21d</v>
      </c>
      <c r="C926" t="str">
        <v>Sunrise Palace Reconstruction</v>
      </c>
      <c r="D926" t="str">
        <v>B59170EC-16CC-499A-9FF7-0428DCB8F727</v>
      </c>
      <c r="E926" t="str">
        <v>2025-10-20</v>
      </c>
      <c r="F926" s="4">
        <v>11597</v>
      </c>
      <c r="G926" t="str">
        <v>0790fb09-2de6-4ea3-a71c-58a007fc62a8</v>
      </c>
      <c r="H926" t="str">
        <v>9fed28b3-82cf-4afa-8e8d-952adf7a54a5</v>
      </c>
      <c r="I926" t="str">
        <v/>
      </c>
      <c r="L926" t="str">
        <v/>
      </c>
    </row>
    <row r="927" spans="1:12" x14ac:dyDescent="0.25">
      <c r="A927" t="str">
        <v>2f96e9b9-7b51-42d3-a865-e719e873a3ab</v>
      </c>
      <c r="B927" t="str">
        <v>43EABC78-AF64-4C14-9FEF-C7E6A1B6F07E</v>
      </c>
      <c r="C927" t="str">
        <v>Pipes &amp; VRF System</v>
      </c>
      <c r="D927" t="str">
        <v>FEA4B88F-633F-4422-B3D6-250792A2DA80</v>
      </c>
      <c r="E927" t="str">
        <v>2025-10-20</v>
      </c>
      <c r="F927" s="4">
        <v>67988.320000000007</v>
      </c>
      <c r="G927" t="str">
        <v>5a2d799d-22a1-4e0a-b029-8031a1df6d56</v>
      </c>
      <c r="H927" t="str">
        <v>9fed28b3-82cf-4afa-8e8d-952adf7a54a5</v>
      </c>
      <c r="I927" t="str">
        <v/>
      </c>
      <c r="L927" t="str">
        <v/>
      </c>
    </row>
    <row r="928" spans="1:12" x14ac:dyDescent="0.25">
      <c r="A928" t="str">
        <v>7cb7f4b5-368a-4ff8-b6a5-853d97da7b48</v>
      </c>
      <c r="B928" t="str">
        <v>58bc2f80-d8e3-451f-a47d-a7bd05ff94be</v>
      </c>
      <c r="C928" t="str">
        <v>Ambassador Goderdzi AHU Panels</v>
      </c>
      <c r="D928" t="str">
        <v>FEA4B88F-633F-4422-B3D6-250792A2DA80</v>
      </c>
      <c r="E928" t="str">
        <v>2025-07-22</v>
      </c>
      <c r="F928" s="4">
        <v>59200</v>
      </c>
      <c r="G928" t="str">
        <v>0790fb09-2de6-4ea3-a71c-58a007fc62a8</v>
      </c>
      <c r="H928" t="str">
        <v>9fed28b3-82cf-4afa-8e8d-952adf7a54a5</v>
      </c>
      <c r="I928" t="str">
        <v/>
      </c>
      <c r="L928" t="str">
        <v/>
      </c>
    </row>
    <row r="929" spans="1:12" x14ac:dyDescent="0.25">
      <c r="A929" t="str">
        <v>d643d96f-c78d-4ee8-aedb-6e88e2e3706b</v>
      </c>
      <c r="B929" t="str">
        <v>7b4c9594-fc75-4042-af16-03a548b4dc14</v>
      </c>
      <c r="C929" t="str">
        <v>Block 5</v>
      </c>
      <c r="D929" t="str">
        <v>12238130-9D12-4099-A48B-9EB5A085E0F8</v>
      </c>
      <c r="E929" t="str">
        <v>2025-11-01</v>
      </c>
      <c r="F929" s="4">
        <v>600</v>
      </c>
      <c r="G929" t="str">
        <v>0790fb09-2de6-4ea3-a71c-58a007fc62a8</v>
      </c>
      <c r="H929" t="str">
        <v>9fed28b3-82cf-4afa-8e8d-952adf7a54a5</v>
      </c>
      <c r="I929" t="str">
        <v/>
      </c>
      <c r="L929" t="str">
        <v/>
      </c>
    </row>
    <row r="930" spans="1:12" x14ac:dyDescent="0.25">
      <c r="A930" t="str">
        <v>8e8e9e93-1570-45dc-beb8-75f5d202158f</v>
      </c>
      <c r="B930" t="str">
        <v>973fec8b-65e8-45ad-8f61-8c9dbdd41ed4</v>
      </c>
      <c r="C930" t="str">
        <v>Maza Development</v>
      </c>
      <c r="D930" t="str">
        <v>B59170EC-16CC-499A-9FF7-0428DCB8F727</v>
      </c>
      <c r="E930" t="str">
        <v>2025-10-23</v>
      </c>
      <c r="F930" s="4">
        <v>300000</v>
      </c>
      <c r="G930" t="str">
        <v>0790fb09-2de6-4ea3-a71c-58a007fc62a8</v>
      </c>
      <c r="H930" t="str">
        <v>9fed28b3-82cf-4afa-8e8d-952adf7a54a5</v>
      </c>
      <c r="I930" t="str">
        <v/>
      </c>
      <c r="L930" t="str">
        <v/>
      </c>
    </row>
    <row r="931" spans="1:12" x14ac:dyDescent="0.25">
      <c r="A931" t="str">
        <v>5c402704-86c0-4782-9819-85e55f42cc41</v>
      </c>
      <c r="B931" t="str">
        <v>cddd77f0-2302-4d80-a93c-c148cd4b4b40</v>
      </c>
      <c r="C931" t="str">
        <v>Shalva Nutsubidze Service</v>
      </c>
      <c r="D931" t="str">
        <v>12238130-9D12-4099-A48B-9EB5A085E0F8</v>
      </c>
      <c r="E931" t="str">
        <v>2025-10-01</v>
      </c>
      <c r="F931" s="4">
        <v>900</v>
      </c>
      <c r="G931" t="str">
        <v>5a2d799d-22a1-4e0a-b029-8031a1df6d56</v>
      </c>
      <c r="H931" t="str">
        <v>9fed28b3-82cf-4afa-8e8d-952adf7a54a5</v>
      </c>
      <c r="I931" t="str">
        <v/>
      </c>
      <c r="L931" t="str">
        <v/>
      </c>
    </row>
    <row r="932" spans="1:12" x14ac:dyDescent="0.25">
      <c r="A932" t="str">
        <v>474d9d11-402e-46b6-9846-c538e6621b73</v>
      </c>
      <c r="B932" t="str">
        <v>5eab0795-4aa0-4463-ab1d-c1479107adeb</v>
      </c>
      <c r="C932" t="str">
        <v>Shatberashvili 45 Service</v>
      </c>
      <c r="D932" t="str">
        <v>12238130-9D12-4099-A48B-9EB5A085E0F8</v>
      </c>
      <c r="E932" t="str">
        <v>2025-10-01</v>
      </c>
      <c r="F932" s="4">
        <v>300</v>
      </c>
      <c r="G932" t="str">
        <v>5a2d799d-22a1-4e0a-b029-8031a1df6d56</v>
      </c>
      <c r="H932" t="str">
        <v>9fed28b3-82cf-4afa-8e8d-952adf7a54a5</v>
      </c>
      <c r="I932" t="str">
        <v/>
      </c>
      <c r="L932" t="str">
        <v/>
      </c>
    </row>
    <row r="933" spans="1:12" x14ac:dyDescent="0.25">
      <c r="A933" t="str">
        <v>d7c50ecb-1c12-4254-9892-717911be1ffd</v>
      </c>
      <c r="B933" t="str">
        <v>4038f9e4-505c-4f44-8ad5-e23fbb2e1cc8</v>
      </c>
      <c r="C933" t="str">
        <v>Sandro Euli Serv</v>
      </c>
      <c r="D933" t="str">
        <v>12238130-9D12-4099-A48B-9EB5A085E0F8</v>
      </c>
      <c r="E933" t="str">
        <v>2025-11-01</v>
      </c>
      <c r="F933" s="4">
        <v>450</v>
      </c>
      <c r="G933" t="str">
        <v>5a2d799d-22a1-4e0a-b029-8031a1df6d56</v>
      </c>
      <c r="H933" t="str">
        <v>9fed28b3-82cf-4afa-8e8d-952adf7a54a5</v>
      </c>
      <c r="I933" t="str">
        <v/>
      </c>
      <c r="L933" t="str">
        <v/>
      </c>
    </row>
    <row r="934" spans="1:12" x14ac:dyDescent="0.25">
      <c r="A934" t="str">
        <v>3d459e6e-7992-430e-a6c0-1885562b2dc4</v>
      </c>
      <c r="B934" t="str">
        <v>fd6894fa-ba52-42f9-9754-5f31e51282aa</v>
      </c>
      <c r="C934" t="str">
        <v>ASGSoft Service</v>
      </c>
      <c r="D934" t="str">
        <v>12238130-9D12-4099-A48B-9EB5A085E0F8</v>
      </c>
      <c r="E934" t="str">
        <v>2025-10-01</v>
      </c>
      <c r="F934" s="4">
        <v>300</v>
      </c>
      <c r="G934" t="str">
        <v>5a2d799d-22a1-4e0a-b029-8031a1df6d56</v>
      </c>
      <c r="H934" t="str">
        <v>9fed28b3-82cf-4afa-8e8d-952adf7a54a5</v>
      </c>
      <c r="I934" t="str">
        <v/>
      </c>
      <c r="L934" t="str">
        <v/>
      </c>
    </row>
    <row r="935" spans="1:12" x14ac:dyDescent="0.25">
      <c r="A935" t="str">
        <v>cbe7b0c8-d879-4c9a-9dd8-adebe5800dd6</v>
      </c>
      <c r="B935" t="str">
        <v>7b4c9594-fc75-4042-af16-03a548b4dc14</v>
      </c>
      <c r="C935" t="str">
        <v>Block 5</v>
      </c>
      <c r="D935" t="str">
        <v>12238130-9D12-4099-A48B-9EB5A085E0F8</v>
      </c>
      <c r="E935" t="str">
        <v>2025-11-01</v>
      </c>
      <c r="F935" s="4">
        <v>600</v>
      </c>
      <c r="G935" t="str">
        <v>0790fb09-2de6-4ea3-a71c-58a007fc62a8</v>
      </c>
      <c r="H935" t="str">
        <v>9fed28b3-82cf-4afa-8e8d-952adf7a54a5</v>
      </c>
      <c r="I935" t="str">
        <v/>
      </c>
      <c r="L935" t="str">
        <v/>
      </c>
    </row>
    <row r="936" spans="1:12" x14ac:dyDescent="0.25">
      <c r="A936" t="str">
        <v>7655ffff-64a1-48f5-b9df-a41d3acb4be8</v>
      </c>
      <c r="B936" t="str">
        <v>d90e15c0-8301-4823-b20b-0c83789adf4e</v>
      </c>
      <c r="C936" t="str">
        <v>Gudauri Lofts</v>
      </c>
      <c r="D936" t="str">
        <v>12238130-9D12-4099-A48B-9EB5A085E0F8</v>
      </c>
      <c r="E936" t="str">
        <v>2025-11-01</v>
      </c>
      <c r="F936" s="4">
        <v>800</v>
      </c>
      <c r="G936" t="str">
        <v>0790fb09-2de6-4ea3-a71c-58a007fc62a8</v>
      </c>
      <c r="H936" t="str">
        <v>9fed28b3-82cf-4afa-8e8d-952adf7a54a5</v>
      </c>
      <c r="I936" t="str">
        <v/>
      </c>
      <c r="L936" t="str">
        <v/>
      </c>
    </row>
    <row r="937" spans="1:12" x14ac:dyDescent="0.25">
      <c r="A937" t="str">
        <v>f588a3a0-0947-4155-a458-5aab2e6ce8f5</v>
      </c>
      <c r="B937" t="str">
        <v>9f02eeda-c541-4bb4-bd45-d06cd9edf922</v>
      </c>
      <c r="C937" t="str">
        <v>Lagidze</v>
      </c>
      <c r="D937" t="str">
        <v>B59170EC-16CC-499A-9FF7-0428DCB8F727</v>
      </c>
      <c r="E937" t="str">
        <v>2025-11-14</v>
      </c>
      <c r="F937" s="4">
        <v>300280</v>
      </c>
      <c r="G937" t="str">
        <v>4cfda3f2-535e-4b77-a467-eac9dc64feca</v>
      </c>
      <c r="H937" t="str">
        <v>9fed28b3-82cf-4afa-8e8d-952adf7a54a5</v>
      </c>
      <c r="I937" t="str">
        <v/>
      </c>
      <c r="L937" t="str">
        <v>4c25a3b7-d112-4c46-aa9a-b2513a44f1b7</v>
      </c>
    </row>
    <row r="938" spans="1:12" x14ac:dyDescent="0.25">
      <c r="A938" t="str">
        <v>0ef70a18-06ab-4804-bb87-a34b65b0e374</v>
      </c>
      <c r="B938" t="str">
        <v>4c1f1b17-535e-4c42-95e0-03a2e11fccfc</v>
      </c>
      <c r="C938" t="str">
        <v>Next Downtown 2</v>
      </c>
      <c r="D938" t="str">
        <v>B59170EC-16CC-499A-9FF7-0428DCB8F727</v>
      </c>
      <c r="E938" t="str">
        <v>2025-11-19</v>
      </c>
      <c r="F938" s="4">
        <v>247120</v>
      </c>
      <c r="G938" t="str">
        <v>0790fb09-2de6-4ea3-a71c-58a007fc62a8</v>
      </c>
      <c r="H938" t="str">
        <v>9fed28b3-82cf-4afa-8e8d-952adf7a54a5</v>
      </c>
      <c r="I938" t="str">
        <v/>
      </c>
      <c r="L938" t="str">
        <v>4c25a3b7-d112-4c46-aa9a-b2513a44f1b7</v>
      </c>
    </row>
    <row r="939" spans="1:12" x14ac:dyDescent="0.25">
      <c r="A939" t="str">
        <v>70702eee-4c0e-4e37-a73e-12174fdeebe1</v>
      </c>
      <c r="B939" t="str">
        <v>4c1f1b17-535e-4c42-95e0-03a2e11fccfc</v>
      </c>
      <c r="C939" t="str">
        <v>Next D &amp; E Blocks</v>
      </c>
      <c r="D939" t="str">
        <v>B59170EC-16CC-499A-9FF7-0428DCB8F727</v>
      </c>
      <c r="E939" t="str">
        <v>2025-11-18</v>
      </c>
      <c r="F939" s="4">
        <v>247120</v>
      </c>
      <c r="G939" t="str">
        <v>0790fb09-2de6-4ea3-a71c-58a007fc62a8</v>
      </c>
      <c r="H939" t="str">
        <v>9fed28b3-82cf-4afa-8e8d-952adf7a54a5</v>
      </c>
      <c r="I939" t="str">
        <v/>
      </c>
      <c r="L939" t="str">
        <v/>
      </c>
    </row>
    <row r="940" spans="1:12" x14ac:dyDescent="0.25">
      <c r="A940" t="str">
        <v>24375698-79b6-4a82-9549-83318861cac4</v>
      </c>
      <c r="B940" t="str">
        <v>34369527-d51a-41ce-91af-eb81de271892</v>
      </c>
      <c r="C940" t="str">
        <v>Doors Lifting</v>
      </c>
      <c r="D940" t="str">
        <v>C491BFF3-6F7B-4412-9DF0-EAED6F3EE238</v>
      </c>
      <c r="E940" t="str">
        <v>2025-11-27</v>
      </c>
      <c r="F940" s="4">
        <v>1080</v>
      </c>
      <c r="G940" t="str">
        <v>0790fb09-2de6-4ea3-a71c-58a007fc62a8</v>
      </c>
      <c r="H940" t="str">
        <v>9fed28b3-82cf-4afa-8e8d-952adf7a54a5</v>
      </c>
      <c r="I940" t="str">
        <v/>
      </c>
      <c r="L940" t="str">
        <v/>
      </c>
    </row>
  </sheetData>
  <pageMargins left="0.7" right="0.7" top="0.75" bottom="0.75" header="0.3" footer="0.3"/>
  <ignoredErrors>
    <ignoredError sqref="A1:L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AAFD8-5CBC-4524-9EFF-16A10B3F9EAB}">
  <dimension ref="A1:G10"/>
  <sheetViews>
    <sheetView workbookViewId="0">
      <selection activeCell="B2" sqref="B2"/>
    </sheetView>
  </sheetViews>
  <sheetFormatPr defaultRowHeight="15.75" x14ac:dyDescent="0.25"/>
  <cols>
    <col min="3" max="3" width="36" bestFit="1" customWidth="1"/>
  </cols>
  <sheetData>
    <row r="1" spans="1:7" x14ac:dyDescent="0.25">
      <c r="A1" s="11" t="s">
        <v>4735</v>
      </c>
      <c r="B1" s="11" t="s">
        <v>4737</v>
      </c>
      <c r="C1" s="11" t="s">
        <v>4736</v>
      </c>
      <c r="D1" s="11" t="s">
        <v>4738</v>
      </c>
      <c r="E1" s="11" t="s">
        <v>4739</v>
      </c>
      <c r="F1" s="11" t="s">
        <v>4740</v>
      </c>
      <c r="G1" s="11" t="s">
        <v>4741</v>
      </c>
    </row>
    <row r="2" spans="1:7" x14ac:dyDescent="0.25">
      <c r="A2" s="11">
        <v>9</v>
      </c>
      <c r="B2" s="11" t="s">
        <v>143</v>
      </c>
      <c r="C2" s="11" t="s">
        <v>4742</v>
      </c>
      <c r="D2" s="11" t="s">
        <v>4743</v>
      </c>
      <c r="E2" s="11" t="b">
        <v>1</v>
      </c>
      <c r="F2" s="12">
        <v>45970.154104525463</v>
      </c>
      <c r="G2" s="12">
        <v>45973.04539983796</v>
      </c>
    </row>
    <row r="3" spans="1:7" x14ac:dyDescent="0.25">
      <c r="A3" s="11">
        <v>10</v>
      </c>
      <c r="B3" s="11" t="s">
        <v>42</v>
      </c>
      <c r="C3" s="11" t="s">
        <v>4744</v>
      </c>
      <c r="D3" s="11" t="s">
        <v>4745</v>
      </c>
      <c r="E3" s="11" t="b">
        <v>1</v>
      </c>
      <c r="F3" s="12">
        <v>45970.154104525463</v>
      </c>
      <c r="G3" s="12">
        <v>45973.04539983796</v>
      </c>
    </row>
    <row r="4" spans="1:7" x14ac:dyDescent="0.25">
      <c r="A4" s="11">
        <v>11</v>
      </c>
      <c r="B4" s="11" t="s">
        <v>326</v>
      </c>
      <c r="C4" s="11" t="s">
        <v>4746</v>
      </c>
      <c r="D4" s="11" t="s">
        <v>4747</v>
      </c>
      <c r="E4" s="11" t="b">
        <v>1</v>
      </c>
      <c r="F4" s="12">
        <v>45970.154104525463</v>
      </c>
      <c r="G4" s="12">
        <v>45973.04539983796</v>
      </c>
    </row>
    <row r="5" spans="1:7" x14ac:dyDescent="0.25">
      <c r="A5" s="11">
        <v>12</v>
      </c>
      <c r="B5" s="11" t="s">
        <v>4749</v>
      </c>
      <c r="C5" s="11" t="s">
        <v>4748</v>
      </c>
      <c r="D5" s="11" t="s">
        <v>4750</v>
      </c>
      <c r="E5" s="11" t="b">
        <v>1</v>
      </c>
      <c r="F5" s="12">
        <v>45970.154104525463</v>
      </c>
      <c r="G5" s="12">
        <v>45973.04539983796</v>
      </c>
    </row>
    <row r="6" spans="1:7" x14ac:dyDescent="0.25">
      <c r="A6" s="11">
        <v>13</v>
      </c>
      <c r="B6" s="11" t="s">
        <v>4752</v>
      </c>
      <c r="C6" s="11" t="s">
        <v>4751</v>
      </c>
      <c r="D6" s="11" t="s">
        <v>4753</v>
      </c>
      <c r="E6" s="11" t="b">
        <v>1</v>
      </c>
      <c r="F6" s="12">
        <v>45973.043390937499</v>
      </c>
      <c r="G6" s="12">
        <v>45973.043390937499</v>
      </c>
    </row>
    <row r="7" spans="1:7" x14ac:dyDescent="0.25">
      <c r="A7" s="11">
        <v>14</v>
      </c>
      <c r="B7" s="11" t="s">
        <v>4755</v>
      </c>
      <c r="C7" s="11" t="s">
        <v>4754</v>
      </c>
      <c r="D7" s="11" t="s">
        <v>4756</v>
      </c>
      <c r="E7" s="11" t="b">
        <v>1</v>
      </c>
      <c r="F7" s="12">
        <v>45973.043390937499</v>
      </c>
      <c r="G7" s="12">
        <v>45973.043390937499</v>
      </c>
    </row>
    <row r="8" spans="1:7" x14ac:dyDescent="0.25">
      <c r="A8" s="11">
        <v>15</v>
      </c>
      <c r="B8" s="11" t="s">
        <v>4758</v>
      </c>
      <c r="C8" s="11" t="s">
        <v>4757</v>
      </c>
      <c r="D8" s="11" t="s">
        <v>4759</v>
      </c>
      <c r="E8" s="11" t="b">
        <v>1</v>
      </c>
      <c r="F8" s="12">
        <v>45973.043390937499</v>
      </c>
      <c r="G8" s="12">
        <v>45973.043390937499</v>
      </c>
    </row>
    <row r="9" spans="1:7" x14ac:dyDescent="0.25">
      <c r="A9" s="11">
        <v>16</v>
      </c>
      <c r="B9" s="11" t="s">
        <v>4761</v>
      </c>
      <c r="C9" s="11" t="s">
        <v>4760</v>
      </c>
      <c r="D9" s="11" t="s">
        <v>4762</v>
      </c>
      <c r="E9" s="11" t="b">
        <v>1</v>
      </c>
      <c r="F9" s="12">
        <v>45973.043390937499</v>
      </c>
      <c r="G9" s="12">
        <v>45973.043390937499</v>
      </c>
    </row>
    <row r="10" spans="1:7" x14ac:dyDescent="0.25">
      <c r="A10" s="11">
        <v>17</v>
      </c>
      <c r="B10" s="11" t="s">
        <v>4764</v>
      </c>
      <c r="C10" s="11" t="s">
        <v>4763</v>
      </c>
      <c r="D10" s="11" t="s">
        <v>4765</v>
      </c>
      <c r="E10" s="11" t="b">
        <v>1</v>
      </c>
      <c r="F10" s="12">
        <v>45973.043390937499</v>
      </c>
      <c r="G10" s="12">
        <v>45973.043390937499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09418-E914-4AA1-8ED2-BB27563EB72F}">
  <dimension ref="A1:F6"/>
  <sheetViews>
    <sheetView workbookViewId="0">
      <selection activeCell="B1" sqref="B1:B1048576"/>
    </sheetView>
  </sheetViews>
  <sheetFormatPr defaultRowHeight="15.75" x14ac:dyDescent="0.25"/>
  <cols>
    <col min="2" max="2" width="27.375" bestFit="1" customWidth="1"/>
    <col min="3" max="3" width="35.75" bestFit="1" customWidth="1"/>
  </cols>
  <sheetData>
    <row r="1" spans="1:6" x14ac:dyDescent="0.25">
      <c r="A1" s="11" t="s">
        <v>4735</v>
      </c>
      <c r="B1" s="11" t="s">
        <v>4738</v>
      </c>
      <c r="C1" s="11" t="s">
        <v>4736</v>
      </c>
      <c r="D1" s="11" t="s">
        <v>4739</v>
      </c>
      <c r="E1" s="11" t="s">
        <v>4740</v>
      </c>
      <c r="F1" s="11" t="s">
        <v>4741</v>
      </c>
    </row>
    <row r="2" spans="1:6" x14ac:dyDescent="0.25">
      <c r="A2" s="11">
        <v>1</v>
      </c>
      <c r="B2" s="11" t="s">
        <v>4766</v>
      </c>
      <c r="C2" s="11" t="s">
        <v>4767</v>
      </c>
      <c r="D2" s="11" t="b">
        <v>1</v>
      </c>
      <c r="E2" s="12">
        <v>45987.632513414355</v>
      </c>
      <c r="F2" s="12">
        <v>45987.632513414355</v>
      </c>
    </row>
    <row r="3" spans="1:6" x14ac:dyDescent="0.25">
      <c r="A3" s="11">
        <v>2</v>
      </c>
      <c r="B3" s="11" t="s">
        <v>43</v>
      </c>
      <c r="C3" s="11" t="s">
        <v>4768</v>
      </c>
      <c r="D3" s="11" t="b">
        <v>1</v>
      </c>
      <c r="E3" s="12">
        <v>45987.632513414355</v>
      </c>
      <c r="F3" s="12">
        <v>45987.632513414355</v>
      </c>
    </row>
    <row r="4" spans="1:6" x14ac:dyDescent="0.25">
      <c r="A4" s="11">
        <v>3</v>
      </c>
      <c r="B4" s="11" t="s">
        <v>4772</v>
      </c>
      <c r="C4" s="11" t="s">
        <v>4769</v>
      </c>
      <c r="D4" s="11" t="b">
        <v>1</v>
      </c>
      <c r="E4" s="12">
        <v>45987.632513414355</v>
      </c>
      <c r="F4" s="12">
        <v>45987.632513414355</v>
      </c>
    </row>
    <row r="5" spans="1:6" x14ac:dyDescent="0.25">
      <c r="A5" s="11">
        <v>4</v>
      </c>
      <c r="B5" s="11" t="s">
        <v>1665</v>
      </c>
      <c r="C5" s="11" t="s">
        <v>4770</v>
      </c>
      <c r="D5" s="11" t="b">
        <v>1</v>
      </c>
      <c r="E5" s="12">
        <v>45987.632513414355</v>
      </c>
      <c r="F5" s="12">
        <v>45987.632513414355</v>
      </c>
    </row>
    <row r="6" spans="1:6" x14ac:dyDescent="0.25">
      <c r="A6" s="11">
        <v>5</v>
      </c>
      <c r="B6" s="11" t="s">
        <v>4773</v>
      </c>
      <c r="C6" s="11" t="s">
        <v>4771</v>
      </c>
      <c r="D6" s="11" t="b">
        <v>1</v>
      </c>
      <c r="E6" s="12">
        <v>45987.632513414355</v>
      </c>
      <c r="F6" s="12">
        <v>45987.632513414355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75E0A-A194-4DF2-B63A-601080CB99BB}">
  <sheetPr>
    <outlinePr summaryBelow="0" summaryRight="0"/>
  </sheetPr>
  <dimension ref="A1:U1448"/>
  <sheetViews>
    <sheetView workbookViewId="0">
      <pane ySplit="1" topLeftCell="A644" activePane="bottomLeft" state="frozen"/>
      <selection pane="bottomLeft" activeCell="G664" sqref="G664"/>
    </sheetView>
  </sheetViews>
  <sheetFormatPr defaultColWidth="11" defaultRowHeight="15.75" customHeight="1" x14ac:dyDescent="0.2"/>
  <cols>
    <col min="1" max="1" width="16.5" style="5" customWidth="1"/>
    <col min="2" max="2" width="31.25" style="5" customWidth="1"/>
    <col min="3" max="3" width="33.375" style="5" customWidth="1"/>
    <col min="4" max="4" width="47.625" style="5" customWidth="1"/>
    <col min="5" max="5" width="9.625" style="5" customWidth="1"/>
    <col min="6" max="6" width="8.25" style="5" customWidth="1"/>
    <col min="7" max="7" width="9.5" style="5" customWidth="1"/>
    <col min="8" max="11" width="16.5" style="5" customWidth="1"/>
    <col min="12" max="12" width="32.25" style="5" customWidth="1"/>
    <col min="13" max="13" width="126.875" style="5" customWidth="1"/>
    <col min="14" max="18" width="16.5" style="5" customWidth="1"/>
    <col min="19" max="19" width="43.625" style="5" customWidth="1"/>
    <col min="20" max="21" width="16.5" style="5" customWidth="1"/>
    <col min="22" max="16384" width="11" style="5"/>
  </cols>
  <sheetData>
    <row r="1" spans="1:21" ht="15.75" customHeight="1" x14ac:dyDescent="0.2">
      <c r="A1" s="1" t="s">
        <v>19</v>
      </c>
      <c r="B1" s="2" t="s">
        <v>20</v>
      </c>
      <c r="C1" s="2" t="s">
        <v>21</v>
      </c>
      <c r="D1" s="2" t="s">
        <v>22</v>
      </c>
      <c r="E1" s="3" t="s">
        <v>23</v>
      </c>
      <c r="F1" s="4" t="s">
        <v>24</v>
      </c>
      <c r="G1" s="2" t="s">
        <v>25</v>
      </c>
      <c r="H1" s="2" t="s">
        <v>26</v>
      </c>
      <c r="I1" s="2" t="s">
        <v>27</v>
      </c>
      <c r="J1" s="2" t="s">
        <v>28</v>
      </c>
      <c r="K1" s="2" t="s">
        <v>29</v>
      </c>
      <c r="L1" s="2" t="s">
        <v>30</v>
      </c>
      <c r="M1" s="2" t="s">
        <v>31</v>
      </c>
      <c r="N1" s="2" t="s">
        <v>32</v>
      </c>
      <c r="O1" s="2" t="s">
        <v>33</v>
      </c>
      <c r="P1" s="2" t="s">
        <v>34</v>
      </c>
      <c r="Q1" s="2" t="s">
        <v>35</v>
      </c>
      <c r="R1" s="2" t="s">
        <v>36</v>
      </c>
      <c r="S1" s="2" t="s">
        <v>37</v>
      </c>
      <c r="T1" s="2" t="s">
        <v>38</v>
      </c>
      <c r="U1" s="2" t="s">
        <v>5714</v>
      </c>
    </row>
    <row r="2" spans="1:21" ht="12.75" x14ac:dyDescent="0.2">
      <c r="A2" s="1">
        <v>44342.728477384255</v>
      </c>
      <c r="B2" s="2" t="s">
        <v>39</v>
      </c>
      <c r="C2" s="2" t="s">
        <v>40</v>
      </c>
      <c r="D2" s="2" t="s">
        <v>41</v>
      </c>
      <c r="E2" s="3">
        <v>43767</v>
      </c>
      <c r="F2" s="4">
        <v>350000</v>
      </c>
      <c r="G2" s="2" t="s">
        <v>42</v>
      </c>
      <c r="H2" s="2" t="s">
        <v>43</v>
      </c>
      <c r="J2" s="2" t="s">
        <v>44</v>
      </c>
      <c r="K2" s="2" t="s">
        <v>45</v>
      </c>
      <c r="L2" s="2" t="s">
        <v>46</v>
      </c>
      <c r="M2" s="2" t="s">
        <v>47</v>
      </c>
      <c r="N2" s="2" t="s">
        <v>48</v>
      </c>
      <c r="O2" s="2" t="s">
        <v>49</v>
      </c>
      <c r="Q2" s="2" t="s">
        <v>50</v>
      </c>
      <c r="S2" s="6" t="s">
        <v>4774</v>
      </c>
      <c r="T2" s="7" t="s">
        <v>5713</v>
      </c>
      <c r="U2" s="2" t="s">
        <v>5715</v>
      </c>
    </row>
    <row r="3" spans="1:21" ht="12.75" x14ac:dyDescent="0.2">
      <c r="A3" s="1">
        <v>44342.72850405093</v>
      </c>
      <c r="B3" s="2" t="s">
        <v>51</v>
      </c>
      <c r="C3" s="2" t="s">
        <v>52</v>
      </c>
      <c r="D3" s="2" t="s">
        <v>41</v>
      </c>
      <c r="E3" s="3">
        <v>43762</v>
      </c>
      <c r="F3" s="4">
        <v>23100</v>
      </c>
      <c r="G3" s="2" t="s">
        <v>42</v>
      </c>
      <c r="H3" s="2" t="s">
        <v>43</v>
      </c>
      <c r="J3" s="2" t="s">
        <v>53</v>
      </c>
      <c r="K3" s="2" t="s">
        <v>54</v>
      </c>
      <c r="L3" s="2" t="s">
        <v>55</v>
      </c>
      <c r="M3" s="2" t="s">
        <v>56</v>
      </c>
      <c r="N3" s="2" t="s">
        <v>48</v>
      </c>
      <c r="O3" s="2" t="s">
        <v>57</v>
      </c>
      <c r="Q3" s="2" t="s">
        <v>50</v>
      </c>
      <c r="S3" s="7" t="s">
        <v>4775</v>
      </c>
      <c r="T3" s="7" t="s">
        <v>5713</v>
      </c>
      <c r="U3" s="2" t="s">
        <v>5716</v>
      </c>
    </row>
    <row r="4" spans="1:21" ht="12.75" x14ac:dyDescent="0.2">
      <c r="A4" s="1">
        <v>44342.728528333333</v>
      </c>
      <c r="B4" s="2" t="s">
        <v>58</v>
      </c>
      <c r="C4" s="2" t="s">
        <v>59</v>
      </c>
      <c r="D4" s="2" t="s">
        <v>41</v>
      </c>
      <c r="E4" s="3">
        <v>43767</v>
      </c>
      <c r="F4" s="4">
        <v>42500</v>
      </c>
      <c r="G4" s="2" t="s">
        <v>42</v>
      </c>
      <c r="H4" s="2" t="s">
        <v>43</v>
      </c>
      <c r="K4" s="2" t="s">
        <v>60</v>
      </c>
      <c r="L4" s="2" t="s">
        <v>61</v>
      </c>
      <c r="M4" s="2" t="s">
        <v>62</v>
      </c>
      <c r="N4" s="2" t="s">
        <v>48</v>
      </c>
      <c r="O4" s="2" t="s">
        <v>63</v>
      </c>
      <c r="Q4" s="2" t="s">
        <v>50</v>
      </c>
      <c r="S4" s="7" t="s">
        <v>4776</v>
      </c>
      <c r="T4" s="7" t="s">
        <v>5713</v>
      </c>
      <c r="U4" s="2" t="s">
        <v>5717</v>
      </c>
    </row>
    <row r="5" spans="1:21" ht="12.75" x14ac:dyDescent="0.2">
      <c r="A5" s="1">
        <v>44342.728552673609</v>
      </c>
      <c r="B5" s="2" t="s">
        <v>64</v>
      </c>
      <c r="C5" s="2" t="s">
        <v>65</v>
      </c>
      <c r="D5" s="2" t="s">
        <v>41</v>
      </c>
      <c r="E5" s="3">
        <v>43724</v>
      </c>
      <c r="F5" s="4">
        <v>48500</v>
      </c>
      <c r="G5" s="2" t="s">
        <v>42</v>
      </c>
      <c r="H5" s="2" t="s">
        <v>43</v>
      </c>
      <c r="J5" s="2" t="s">
        <v>66</v>
      </c>
      <c r="K5" s="2" t="s">
        <v>67</v>
      </c>
      <c r="L5" s="2" t="s">
        <v>68</v>
      </c>
      <c r="M5" s="2" t="s">
        <v>69</v>
      </c>
      <c r="N5" s="2" t="s">
        <v>48</v>
      </c>
      <c r="O5" s="2" t="s">
        <v>70</v>
      </c>
      <c r="Q5" s="2" t="s">
        <v>50</v>
      </c>
      <c r="S5" s="7" t="s">
        <v>4777</v>
      </c>
      <c r="T5" s="7" t="s">
        <v>5713</v>
      </c>
      <c r="U5" s="2" t="s">
        <v>5718</v>
      </c>
    </row>
    <row r="6" spans="1:21" ht="12.75" x14ac:dyDescent="0.2">
      <c r="A6" s="1">
        <v>44342.728577592592</v>
      </c>
      <c r="B6" s="2" t="s">
        <v>71</v>
      </c>
      <c r="C6" s="2" t="s">
        <v>72</v>
      </c>
      <c r="D6" s="2" t="s">
        <v>41</v>
      </c>
      <c r="E6" s="3">
        <v>43734</v>
      </c>
      <c r="F6" s="4">
        <v>28000</v>
      </c>
      <c r="G6" s="2" t="s">
        <v>42</v>
      </c>
      <c r="H6" s="2" t="s">
        <v>43</v>
      </c>
      <c r="K6" s="2" t="s">
        <v>73</v>
      </c>
      <c r="L6" s="2" t="s">
        <v>74</v>
      </c>
      <c r="M6" s="2" t="s">
        <v>75</v>
      </c>
      <c r="N6" s="2" t="s">
        <v>48</v>
      </c>
      <c r="O6" s="2" t="s">
        <v>76</v>
      </c>
      <c r="Q6" s="2" t="s">
        <v>50</v>
      </c>
      <c r="S6" s="7" t="s">
        <v>4778</v>
      </c>
      <c r="T6" s="7" t="s">
        <v>5713</v>
      </c>
      <c r="U6" s="2" t="s">
        <v>5719</v>
      </c>
    </row>
    <row r="7" spans="1:21" ht="12.75" x14ac:dyDescent="0.2">
      <c r="A7" s="1">
        <v>44342.728603240743</v>
      </c>
      <c r="B7" s="2" t="s">
        <v>77</v>
      </c>
      <c r="C7" s="2" t="s">
        <v>78</v>
      </c>
      <c r="D7" s="2" t="s">
        <v>41</v>
      </c>
      <c r="E7" s="3">
        <v>43672</v>
      </c>
      <c r="F7" s="4">
        <v>24000</v>
      </c>
      <c r="G7" s="2" t="s">
        <v>42</v>
      </c>
      <c r="H7" s="2" t="s">
        <v>43</v>
      </c>
      <c r="K7" s="2" t="s">
        <v>79</v>
      </c>
      <c r="L7" s="2" t="s">
        <v>80</v>
      </c>
      <c r="M7" s="2" t="s">
        <v>81</v>
      </c>
      <c r="N7" s="2" t="s">
        <v>48</v>
      </c>
      <c r="O7" s="2" t="s">
        <v>82</v>
      </c>
      <c r="Q7" s="2" t="s">
        <v>50</v>
      </c>
      <c r="S7" s="7" t="s">
        <v>4779</v>
      </c>
      <c r="T7" s="7" t="s">
        <v>5713</v>
      </c>
      <c r="U7" s="2" t="s">
        <v>5720</v>
      </c>
    </row>
    <row r="8" spans="1:21" ht="12.75" x14ac:dyDescent="0.2">
      <c r="A8" s="1">
        <v>44342.728627708333</v>
      </c>
      <c r="B8" s="2" t="s">
        <v>83</v>
      </c>
      <c r="C8" s="2" t="s">
        <v>84</v>
      </c>
      <c r="D8" s="2" t="s">
        <v>41</v>
      </c>
      <c r="E8" s="3">
        <v>43633</v>
      </c>
      <c r="F8" s="4">
        <v>32000</v>
      </c>
      <c r="G8" s="2" t="s">
        <v>42</v>
      </c>
      <c r="H8" s="2" t="s">
        <v>43</v>
      </c>
      <c r="K8" s="2" t="s">
        <v>85</v>
      </c>
      <c r="L8" s="2" t="s">
        <v>86</v>
      </c>
      <c r="M8" s="2" t="s">
        <v>87</v>
      </c>
      <c r="N8" s="2" t="s">
        <v>48</v>
      </c>
      <c r="O8" s="2" t="s">
        <v>88</v>
      </c>
      <c r="Q8" s="2" t="s">
        <v>50</v>
      </c>
      <c r="S8" s="7" t="s">
        <v>4780</v>
      </c>
      <c r="T8" s="7" t="s">
        <v>5713</v>
      </c>
      <c r="U8" s="2" t="s">
        <v>5721</v>
      </c>
    </row>
    <row r="9" spans="1:21" ht="12.75" x14ac:dyDescent="0.2">
      <c r="A9" s="1">
        <v>44342.728653240745</v>
      </c>
      <c r="B9" s="2" t="s">
        <v>89</v>
      </c>
      <c r="C9" s="2" t="s">
        <v>90</v>
      </c>
      <c r="D9" s="2" t="s">
        <v>41</v>
      </c>
      <c r="E9" s="3">
        <v>43608</v>
      </c>
      <c r="F9" s="4">
        <v>104500</v>
      </c>
      <c r="G9" s="2" t="s">
        <v>42</v>
      </c>
      <c r="H9" s="2" t="s">
        <v>43</v>
      </c>
      <c r="K9" s="2" t="s">
        <v>91</v>
      </c>
      <c r="L9" s="2" t="s">
        <v>92</v>
      </c>
      <c r="M9" s="2" t="s">
        <v>93</v>
      </c>
      <c r="N9" s="2" t="s">
        <v>48</v>
      </c>
      <c r="O9" s="2" t="s">
        <v>94</v>
      </c>
      <c r="Q9" s="2" t="s">
        <v>50</v>
      </c>
      <c r="S9" s="7" t="s">
        <v>4781</v>
      </c>
      <c r="T9" s="7" t="s">
        <v>5713</v>
      </c>
      <c r="U9" s="2" t="s">
        <v>5722</v>
      </c>
    </row>
    <row r="10" spans="1:21" ht="12.75" x14ac:dyDescent="0.2">
      <c r="A10" s="1">
        <v>44342.728677581021</v>
      </c>
      <c r="B10" s="2" t="s">
        <v>95</v>
      </c>
      <c r="C10" s="2" t="s">
        <v>96</v>
      </c>
      <c r="D10" s="2" t="s">
        <v>41</v>
      </c>
      <c r="E10" s="3">
        <v>43622</v>
      </c>
      <c r="F10" s="4">
        <v>31000</v>
      </c>
      <c r="G10" s="2" t="s">
        <v>42</v>
      </c>
      <c r="H10" s="2" t="s">
        <v>43</v>
      </c>
      <c r="J10" s="2" t="s">
        <v>97</v>
      </c>
      <c r="K10" s="2" t="s">
        <v>98</v>
      </c>
      <c r="L10" s="2" t="s">
        <v>99</v>
      </c>
      <c r="M10" s="2" t="s">
        <v>100</v>
      </c>
      <c r="N10" s="2" t="s">
        <v>48</v>
      </c>
      <c r="O10" s="2" t="s">
        <v>101</v>
      </c>
      <c r="Q10" s="2" t="s">
        <v>50</v>
      </c>
      <c r="S10" s="7" t="s">
        <v>4782</v>
      </c>
      <c r="T10" s="7" t="s">
        <v>5713</v>
      </c>
      <c r="U10" s="2" t="s">
        <v>5723</v>
      </c>
    </row>
    <row r="11" spans="1:21" ht="12.75" x14ac:dyDescent="0.2">
      <c r="A11" s="1">
        <v>44342.728701493055</v>
      </c>
      <c r="B11" s="2" t="s">
        <v>102</v>
      </c>
      <c r="C11" s="2" t="s">
        <v>103</v>
      </c>
      <c r="D11" s="2" t="s">
        <v>41</v>
      </c>
      <c r="E11" s="3">
        <v>43607</v>
      </c>
      <c r="F11" s="4">
        <v>340000</v>
      </c>
      <c r="G11" s="2" t="s">
        <v>42</v>
      </c>
      <c r="H11" s="2" t="s">
        <v>43</v>
      </c>
      <c r="K11" s="2" t="s">
        <v>104</v>
      </c>
      <c r="L11" s="2" t="s">
        <v>105</v>
      </c>
      <c r="M11" s="2" t="s">
        <v>106</v>
      </c>
      <c r="N11" s="2" t="s">
        <v>48</v>
      </c>
      <c r="O11" s="2" t="s">
        <v>107</v>
      </c>
      <c r="Q11" s="2" t="s">
        <v>50</v>
      </c>
      <c r="S11" s="7" t="s">
        <v>4783</v>
      </c>
      <c r="T11" s="7" t="s">
        <v>5713</v>
      </c>
      <c r="U11" s="2" t="s">
        <v>5724</v>
      </c>
    </row>
    <row r="12" spans="1:21" ht="12.75" x14ac:dyDescent="0.2">
      <c r="A12" s="1">
        <v>44342.728725821755</v>
      </c>
      <c r="B12" s="2" t="s">
        <v>108</v>
      </c>
      <c r="C12" s="2" t="s">
        <v>109</v>
      </c>
      <c r="D12" s="2" t="s">
        <v>41</v>
      </c>
      <c r="E12" s="3">
        <v>43460</v>
      </c>
      <c r="F12" s="4">
        <v>160000</v>
      </c>
      <c r="G12" s="2" t="s">
        <v>42</v>
      </c>
      <c r="H12" s="2" t="s">
        <v>43</v>
      </c>
      <c r="K12" s="2" t="s">
        <v>110</v>
      </c>
      <c r="L12" s="2" t="s">
        <v>111</v>
      </c>
      <c r="M12" s="2" t="s">
        <v>112</v>
      </c>
      <c r="N12" s="2" t="s">
        <v>48</v>
      </c>
      <c r="O12" s="2" t="s">
        <v>113</v>
      </c>
      <c r="Q12" s="2" t="s">
        <v>50</v>
      </c>
      <c r="S12" s="7" t="s">
        <v>4784</v>
      </c>
      <c r="T12" s="7" t="s">
        <v>5713</v>
      </c>
      <c r="U12" s="2" t="s">
        <v>5725</v>
      </c>
    </row>
    <row r="13" spans="1:21" ht="12.75" x14ac:dyDescent="0.2">
      <c r="A13" s="1">
        <v>44342.728751030096</v>
      </c>
      <c r="B13" s="2" t="s">
        <v>114</v>
      </c>
      <c r="C13" s="2" t="s">
        <v>115</v>
      </c>
      <c r="D13" s="2" t="s">
        <v>41</v>
      </c>
      <c r="E13" s="3">
        <v>43479</v>
      </c>
      <c r="F13" s="4">
        <v>28650</v>
      </c>
      <c r="G13" s="2" t="s">
        <v>42</v>
      </c>
      <c r="H13" s="2" t="s">
        <v>43</v>
      </c>
      <c r="K13" s="2" t="s">
        <v>116</v>
      </c>
      <c r="L13" s="2" t="s">
        <v>117</v>
      </c>
      <c r="M13" s="2" t="s">
        <v>118</v>
      </c>
      <c r="N13" s="2" t="s">
        <v>48</v>
      </c>
      <c r="O13" s="2" t="s">
        <v>119</v>
      </c>
      <c r="Q13" s="2" t="s">
        <v>50</v>
      </c>
      <c r="S13" s="7" t="s">
        <v>4785</v>
      </c>
      <c r="T13" s="7" t="s">
        <v>5713</v>
      </c>
      <c r="U13" s="2" t="s">
        <v>5726</v>
      </c>
    </row>
    <row r="14" spans="1:21" ht="12.75" x14ac:dyDescent="0.2">
      <c r="A14" s="1">
        <v>44342.728777094904</v>
      </c>
      <c r="B14" s="2" t="s">
        <v>120</v>
      </c>
      <c r="C14" s="2" t="s">
        <v>121</v>
      </c>
      <c r="D14" s="2" t="s">
        <v>41</v>
      </c>
      <c r="E14" s="3">
        <v>43363</v>
      </c>
      <c r="F14" s="4">
        <v>1046340</v>
      </c>
      <c r="G14" s="2" t="s">
        <v>42</v>
      </c>
      <c r="H14" s="2" t="s">
        <v>43</v>
      </c>
      <c r="J14" s="2" t="s">
        <v>122</v>
      </c>
      <c r="K14" s="2" t="s">
        <v>123</v>
      </c>
      <c r="L14" s="2" t="s">
        <v>124</v>
      </c>
      <c r="M14" s="2" t="s">
        <v>125</v>
      </c>
      <c r="N14" s="2" t="s">
        <v>48</v>
      </c>
      <c r="O14" s="2" t="s">
        <v>126</v>
      </c>
      <c r="Q14" s="2" t="s">
        <v>50</v>
      </c>
      <c r="S14" s="7" t="s">
        <v>4786</v>
      </c>
      <c r="T14" s="7" t="s">
        <v>5713</v>
      </c>
      <c r="U14" s="2" t="s">
        <v>5727</v>
      </c>
    </row>
    <row r="15" spans="1:21" ht="12.75" x14ac:dyDescent="0.2">
      <c r="A15" s="1">
        <v>44342.728801921301</v>
      </c>
      <c r="B15" s="2" t="s">
        <v>127</v>
      </c>
      <c r="C15" s="2" t="s">
        <v>128</v>
      </c>
      <c r="D15" s="2" t="s">
        <v>41</v>
      </c>
      <c r="E15" s="3">
        <v>43461</v>
      </c>
      <c r="F15" s="4">
        <v>73000</v>
      </c>
      <c r="G15" s="2" t="s">
        <v>42</v>
      </c>
      <c r="H15" s="2" t="s">
        <v>43</v>
      </c>
      <c r="J15" s="2" t="s">
        <v>129</v>
      </c>
      <c r="K15" s="2" t="s">
        <v>130</v>
      </c>
      <c r="L15" s="2" t="s">
        <v>131</v>
      </c>
      <c r="M15" s="2" t="s">
        <v>132</v>
      </c>
      <c r="N15" s="2" t="s">
        <v>48</v>
      </c>
      <c r="O15" s="2" t="s">
        <v>133</v>
      </c>
      <c r="Q15" s="2" t="s">
        <v>50</v>
      </c>
      <c r="S15" s="7" t="s">
        <v>4787</v>
      </c>
      <c r="T15" s="7" t="s">
        <v>5713</v>
      </c>
      <c r="U15" s="2" t="s">
        <v>5728</v>
      </c>
    </row>
    <row r="16" spans="1:21" ht="12.75" x14ac:dyDescent="0.2">
      <c r="A16" s="1">
        <v>44342.728826412036</v>
      </c>
      <c r="B16" s="2" t="s">
        <v>134</v>
      </c>
      <c r="C16" s="2" t="s">
        <v>135</v>
      </c>
      <c r="D16" s="2" t="s">
        <v>41</v>
      </c>
      <c r="E16" s="3">
        <v>43816</v>
      </c>
      <c r="F16" s="4">
        <v>117370</v>
      </c>
      <c r="G16" s="2" t="s">
        <v>42</v>
      </c>
      <c r="H16" s="2" t="s">
        <v>43</v>
      </c>
      <c r="J16" s="2" t="s">
        <v>136</v>
      </c>
      <c r="K16" s="2" t="s">
        <v>137</v>
      </c>
      <c r="L16" s="2" t="s">
        <v>138</v>
      </c>
      <c r="M16" s="2" t="s">
        <v>139</v>
      </c>
      <c r="N16" s="2" t="s">
        <v>48</v>
      </c>
      <c r="O16" s="2" t="s">
        <v>140</v>
      </c>
      <c r="Q16" s="2" t="s">
        <v>50</v>
      </c>
      <c r="S16" s="7" t="s">
        <v>4788</v>
      </c>
      <c r="T16" s="7" t="s">
        <v>5713</v>
      </c>
      <c r="U16" s="2" t="s">
        <v>5729</v>
      </c>
    </row>
    <row r="17" spans="1:21" ht="12.75" x14ac:dyDescent="0.2">
      <c r="A17" s="1">
        <v>44342.728850810185</v>
      </c>
      <c r="B17" s="2" t="s">
        <v>141</v>
      </c>
      <c r="C17" s="2" t="s">
        <v>142</v>
      </c>
      <c r="D17" s="2" t="s">
        <v>41</v>
      </c>
      <c r="E17" s="3">
        <v>42948</v>
      </c>
      <c r="F17" s="4">
        <v>97000</v>
      </c>
      <c r="G17" s="2" t="s">
        <v>143</v>
      </c>
      <c r="H17" s="2" t="s">
        <v>43</v>
      </c>
      <c r="K17" s="2" t="s">
        <v>144</v>
      </c>
      <c r="L17" s="2" t="s">
        <v>145</v>
      </c>
      <c r="M17" s="2" t="s">
        <v>146</v>
      </c>
      <c r="N17" s="2" t="s">
        <v>48</v>
      </c>
      <c r="O17" s="2" t="s">
        <v>147</v>
      </c>
      <c r="Q17" s="2" t="s">
        <v>50</v>
      </c>
      <c r="S17" s="7" t="s">
        <v>4789</v>
      </c>
      <c r="T17" s="7" t="s">
        <v>5713</v>
      </c>
      <c r="U17" s="2" t="s">
        <v>5730</v>
      </c>
    </row>
    <row r="18" spans="1:21" ht="12.75" x14ac:dyDescent="0.2">
      <c r="A18" s="1">
        <v>44342.728874583336</v>
      </c>
      <c r="B18" s="2" t="s">
        <v>148</v>
      </c>
      <c r="C18" s="2" t="s">
        <v>149</v>
      </c>
      <c r="D18" s="2" t="s">
        <v>41</v>
      </c>
      <c r="E18" s="3">
        <v>42923</v>
      </c>
      <c r="F18" s="4">
        <v>161000</v>
      </c>
      <c r="G18" s="2" t="s">
        <v>42</v>
      </c>
      <c r="H18" s="2" t="s">
        <v>43</v>
      </c>
      <c r="K18" s="2" t="s">
        <v>150</v>
      </c>
      <c r="L18" s="2" t="s">
        <v>151</v>
      </c>
      <c r="M18" s="2" t="s">
        <v>152</v>
      </c>
      <c r="N18" s="2" t="s">
        <v>48</v>
      </c>
      <c r="O18" s="2" t="s">
        <v>153</v>
      </c>
      <c r="Q18" s="2" t="s">
        <v>50</v>
      </c>
      <c r="S18" s="7" t="s">
        <v>4790</v>
      </c>
      <c r="T18" s="7" t="s">
        <v>5713</v>
      </c>
      <c r="U18" s="2" t="s">
        <v>5731</v>
      </c>
    </row>
    <row r="19" spans="1:21" ht="12.75" x14ac:dyDescent="0.2">
      <c r="A19" s="1">
        <v>44342.72890008102</v>
      </c>
      <c r="B19" s="2" t="s">
        <v>154</v>
      </c>
      <c r="C19" s="2" t="s">
        <v>155</v>
      </c>
      <c r="D19" s="2" t="s">
        <v>41</v>
      </c>
      <c r="E19" s="3">
        <v>42536</v>
      </c>
      <c r="F19" s="4">
        <v>23924</v>
      </c>
      <c r="G19" s="2" t="s">
        <v>42</v>
      </c>
      <c r="H19" s="2" t="s">
        <v>43</v>
      </c>
      <c r="K19" s="2" t="s">
        <v>156</v>
      </c>
      <c r="L19" s="2" t="s">
        <v>157</v>
      </c>
      <c r="M19" s="2" t="s">
        <v>158</v>
      </c>
      <c r="N19" s="2" t="s">
        <v>48</v>
      </c>
      <c r="O19" s="2" t="s">
        <v>159</v>
      </c>
      <c r="Q19" s="2" t="s">
        <v>50</v>
      </c>
      <c r="S19" s="7" t="s">
        <v>4791</v>
      </c>
      <c r="T19" s="7" t="s">
        <v>5713</v>
      </c>
      <c r="U19" s="2" t="s">
        <v>5732</v>
      </c>
    </row>
    <row r="20" spans="1:21" ht="12.75" x14ac:dyDescent="0.2">
      <c r="A20" s="1">
        <v>44342.728924212963</v>
      </c>
      <c r="B20" s="2" t="s">
        <v>160</v>
      </c>
      <c r="C20" s="2" t="s">
        <v>161</v>
      </c>
      <c r="D20" s="2" t="s">
        <v>41</v>
      </c>
      <c r="E20" s="3">
        <v>42885</v>
      </c>
      <c r="F20" s="4">
        <v>150000</v>
      </c>
      <c r="G20" s="2" t="s">
        <v>42</v>
      </c>
      <c r="H20" s="2" t="s">
        <v>43</v>
      </c>
      <c r="K20" s="2" t="s">
        <v>162</v>
      </c>
      <c r="L20" s="2" t="s">
        <v>163</v>
      </c>
      <c r="M20" s="2" t="s">
        <v>164</v>
      </c>
      <c r="N20" s="2" t="s">
        <v>48</v>
      </c>
      <c r="O20" s="2" t="s">
        <v>165</v>
      </c>
      <c r="Q20" s="2" t="s">
        <v>50</v>
      </c>
      <c r="S20" s="7" t="s">
        <v>4792</v>
      </c>
      <c r="T20" s="7" t="s">
        <v>5713</v>
      </c>
      <c r="U20" s="2" t="s">
        <v>5733</v>
      </c>
    </row>
    <row r="21" spans="1:21" ht="12.75" x14ac:dyDescent="0.2">
      <c r="A21" s="1">
        <v>44342.728948518517</v>
      </c>
      <c r="B21" s="2" t="s">
        <v>166</v>
      </c>
      <c r="C21" s="2" t="s">
        <v>167</v>
      </c>
      <c r="D21" s="2" t="s">
        <v>41</v>
      </c>
      <c r="E21" s="3">
        <v>43460</v>
      </c>
      <c r="F21" s="4">
        <v>70360</v>
      </c>
      <c r="G21" s="2" t="s">
        <v>42</v>
      </c>
      <c r="H21" s="2" t="s">
        <v>43</v>
      </c>
      <c r="K21" s="2" t="s">
        <v>168</v>
      </c>
      <c r="L21" s="2" t="s">
        <v>169</v>
      </c>
      <c r="M21" s="2" t="s">
        <v>170</v>
      </c>
      <c r="N21" s="2" t="s">
        <v>48</v>
      </c>
      <c r="O21" s="2" t="s">
        <v>171</v>
      </c>
      <c r="Q21" s="2" t="s">
        <v>50</v>
      </c>
      <c r="S21" s="7" t="s">
        <v>4793</v>
      </c>
      <c r="T21" s="7" t="s">
        <v>5713</v>
      </c>
      <c r="U21" s="2" t="s">
        <v>5734</v>
      </c>
    </row>
    <row r="22" spans="1:21" ht="12.75" x14ac:dyDescent="0.2">
      <c r="A22" s="1">
        <v>44342.728973229168</v>
      </c>
      <c r="B22" s="2" t="s">
        <v>51</v>
      </c>
      <c r="C22" s="2" t="s">
        <v>172</v>
      </c>
      <c r="D22" s="2" t="s">
        <v>41</v>
      </c>
      <c r="E22" s="3">
        <v>43460</v>
      </c>
      <c r="F22" s="4">
        <v>155520</v>
      </c>
      <c r="G22" s="2" t="s">
        <v>42</v>
      </c>
      <c r="H22" s="2" t="s">
        <v>43</v>
      </c>
      <c r="K22" s="2" t="s">
        <v>173</v>
      </c>
      <c r="L22" s="2" t="s">
        <v>174</v>
      </c>
      <c r="M22" s="2" t="s">
        <v>175</v>
      </c>
      <c r="N22" s="2" t="s">
        <v>48</v>
      </c>
      <c r="O22" s="2" t="s">
        <v>57</v>
      </c>
      <c r="Q22" s="2" t="s">
        <v>50</v>
      </c>
      <c r="S22" s="7" t="s">
        <v>4794</v>
      </c>
      <c r="T22" s="7" t="s">
        <v>5713</v>
      </c>
      <c r="U22" s="2" t="s">
        <v>5735</v>
      </c>
    </row>
    <row r="23" spans="1:21" ht="12.75" x14ac:dyDescent="0.2">
      <c r="A23" s="1">
        <v>44342.72899693287</v>
      </c>
      <c r="B23" s="2" t="s">
        <v>71</v>
      </c>
      <c r="C23" s="2" t="s">
        <v>176</v>
      </c>
      <c r="D23" s="2" t="s">
        <v>41</v>
      </c>
      <c r="E23" s="3">
        <v>43248</v>
      </c>
      <c r="F23" s="4">
        <v>370000</v>
      </c>
      <c r="G23" s="2" t="s">
        <v>42</v>
      </c>
      <c r="H23" s="2" t="s">
        <v>43</v>
      </c>
      <c r="J23" s="2" t="s">
        <v>177</v>
      </c>
      <c r="K23" s="2" t="s">
        <v>178</v>
      </c>
      <c r="L23" s="2" t="s">
        <v>179</v>
      </c>
      <c r="M23" s="2" t="s">
        <v>180</v>
      </c>
      <c r="N23" s="2" t="s">
        <v>48</v>
      </c>
      <c r="O23" s="2" t="s">
        <v>76</v>
      </c>
      <c r="Q23" s="2" t="s">
        <v>50</v>
      </c>
      <c r="S23" s="7" t="s">
        <v>4795</v>
      </c>
      <c r="T23" s="7" t="s">
        <v>5713</v>
      </c>
      <c r="U23" s="2" t="s">
        <v>5736</v>
      </c>
    </row>
    <row r="24" spans="1:21" ht="12.75" x14ac:dyDescent="0.2">
      <c r="A24" s="1">
        <v>44342.729022060186</v>
      </c>
      <c r="B24" s="2" t="s">
        <v>181</v>
      </c>
      <c r="C24" s="2" t="s">
        <v>182</v>
      </c>
      <c r="D24" s="2" t="s">
        <v>41</v>
      </c>
      <c r="E24" s="3">
        <v>42598</v>
      </c>
      <c r="F24" s="4">
        <v>53454</v>
      </c>
      <c r="G24" s="2" t="s">
        <v>42</v>
      </c>
      <c r="H24" s="2" t="s">
        <v>43</v>
      </c>
      <c r="K24" s="2" t="s">
        <v>183</v>
      </c>
      <c r="L24" s="2" t="s">
        <v>184</v>
      </c>
      <c r="M24" s="2" t="s">
        <v>185</v>
      </c>
      <c r="N24" s="2" t="s">
        <v>48</v>
      </c>
      <c r="O24" s="2" t="s">
        <v>186</v>
      </c>
      <c r="Q24" s="2" t="s">
        <v>50</v>
      </c>
      <c r="S24" s="7" t="s">
        <v>4796</v>
      </c>
      <c r="T24" s="7" t="s">
        <v>5713</v>
      </c>
      <c r="U24" s="2" t="s">
        <v>5737</v>
      </c>
    </row>
    <row r="25" spans="1:21" ht="12.75" x14ac:dyDescent="0.2">
      <c r="A25" s="1">
        <v>44342.729048217589</v>
      </c>
      <c r="B25" s="2" t="s">
        <v>187</v>
      </c>
      <c r="C25" s="2" t="s">
        <v>188</v>
      </c>
      <c r="D25" s="2" t="s">
        <v>41</v>
      </c>
      <c r="E25" s="3">
        <v>42536</v>
      </c>
      <c r="F25" s="4">
        <v>50206</v>
      </c>
      <c r="G25" s="2" t="s">
        <v>42</v>
      </c>
      <c r="H25" s="2" t="s">
        <v>43</v>
      </c>
      <c r="K25" s="2" t="s">
        <v>189</v>
      </c>
      <c r="L25" s="2" t="s">
        <v>190</v>
      </c>
      <c r="M25" s="2" t="s">
        <v>191</v>
      </c>
      <c r="N25" s="2" t="s">
        <v>48</v>
      </c>
      <c r="O25" s="2" t="s">
        <v>192</v>
      </c>
      <c r="Q25" s="2" t="s">
        <v>50</v>
      </c>
      <c r="S25" s="7" t="s">
        <v>4797</v>
      </c>
      <c r="T25" s="7" t="s">
        <v>5713</v>
      </c>
      <c r="U25" s="2" t="s">
        <v>5738</v>
      </c>
    </row>
    <row r="26" spans="1:21" ht="12.75" x14ac:dyDescent="0.2">
      <c r="A26" s="1">
        <v>44342.729073912036</v>
      </c>
      <c r="B26" s="2" t="s">
        <v>193</v>
      </c>
      <c r="C26" s="2" t="s">
        <v>194</v>
      </c>
      <c r="D26" s="2" t="s">
        <v>41</v>
      </c>
      <c r="E26" s="3">
        <v>42647</v>
      </c>
      <c r="F26" s="4">
        <v>157608.67000000001</v>
      </c>
      <c r="G26" s="2" t="s">
        <v>42</v>
      </c>
      <c r="H26" s="2" t="s">
        <v>43</v>
      </c>
      <c r="K26" s="2" t="s">
        <v>195</v>
      </c>
      <c r="L26" s="2" t="s">
        <v>196</v>
      </c>
      <c r="M26" s="2" t="s">
        <v>197</v>
      </c>
      <c r="N26" s="2" t="s">
        <v>48</v>
      </c>
      <c r="O26" s="2" t="s">
        <v>198</v>
      </c>
      <c r="Q26" s="2" t="s">
        <v>50</v>
      </c>
      <c r="S26" s="7" t="s">
        <v>4798</v>
      </c>
      <c r="T26" s="7" t="s">
        <v>5713</v>
      </c>
      <c r="U26" s="2" t="s">
        <v>5739</v>
      </c>
    </row>
    <row r="27" spans="1:21" ht="12.75" x14ac:dyDescent="0.2">
      <c r="A27" s="1">
        <v>44342.729098854164</v>
      </c>
      <c r="B27" s="2" t="s">
        <v>199</v>
      </c>
      <c r="C27" s="2" t="s">
        <v>200</v>
      </c>
      <c r="D27" s="2" t="s">
        <v>41</v>
      </c>
      <c r="E27" s="3">
        <v>42723</v>
      </c>
      <c r="F27" s="4">
        <v>325000</v>
      </c>
      <c r="G27" s="2" t="s">
        <v>42</v>
      </c>
      <c r="H27" s="2" t="s">
        <v>43</v>
      </c>
      <c r="K27" s="2" t="s">
        <v>201</v>
      </c>
      <c r="L27" s="2" t="s">
        <v>202</v>
      </c>
      <c r="M27" s="2" t="s">
        <v>203</v>
      </c>
      <c r="N27" s="2" t="s">
        <v>48</v>
      </c>
      <c r="O27" s="2" t="s">
        <v>204</v>
      </c>
      <c r="Q27" s="2" t="s">
        <v>50</v>
      </c>
      <c r="S27" s="7" t="s">
        <v>4799</v>
      </c>
      <c r="T27" s="7" t="s">
        <v>5713</v>
      </c>
      <c r="U27" s="2" t="s">
        <v>5740</v>
      </c>
    </row>
    <row r="28" spans="1:21" ht="12.75" x14ac:dyDescent="0.2">
      <c r="A28" s="1">
        <v>44342.729125138889</v>
      </c>
      <c r="B28" s="2" t="s">
        <v>83</v>
      </c>
      <c r="C28" s="2" t="s">
        <v>205</v>
      </c>
      <c r="D28" s="2" t="s">
        <v>41</v>
      </c>
      <c r="E28" s="3">
        <v>42641</v>
      </c>
      <c r="F28" s="4">
        <v>25000</v>
      </c>
      <c r="G28" s="2" t="s">
        <v>42</v>
      </c>
      <c r="H28" s="2" t="s">
        <v>43</v>
      </c>
      <c r="K28" s="2" t="s">
        <v>206</v>
      </c>
      <c r="L28" s="2" t="s">
        <v>207</v>
      </c>
      <c r="M28" s="2" t="s">
        <v>208</v>
      </c>
      <c r="N28" s="2" t="s">
        <v>48</v>
      </c>
      <c r="O28" s="2" t="s">
        <v>88</v>
      </c>
      <c r="Q28" s="2" t="s">
        <v>50</v>
      </c>
      <c r="S28" s="7" t="s">
        <v>4800</v>
      </c>
      <c r="T28" s="7" t="s">
        <v>5713</v>
      </c>
      <c r="U28" s="2" t="s">
        <v>5741</v>
      </c>
    </row>
    <row r="29" spans="1:21" ht="12.75" x14ac:dyDescent="0.2">
      <c r="A29" s="1">
        <v>44342.729150613421</v>
      </c>
      <c r="B29" s="2" t="s">
        <v>209</v>
      </c>
      <c r="C29" s="2" t="s">
        <v>210</v>
      </c>
      <c r="D29" s="2" t="s">
        <v>41</v>
      </c>
      <c r="E29" s="3">
        <v>42485</v>
      </c>
      <c r="F29" s="4">
        <v>36577</v>
      </c>
      <c r="G29" s="2" t="s">
        <v>42</v>
      </c>
      <c r="H29" s="2" t="s">
        <v>43</v>
      </c>
      <c r="K29" s="2" t="s">
        <v>211</v>
      </c>
      <c r="L29" s="2" t="s">
        <v>212</v>
      </c>
      <c r="M29" s="2" t="s">
        <v>213</v>
      </c>
      <c r="N29" s="2" t="s">
        <v>48</v>
      </c>
      <c r="O29" s="2" t="s">
        <v>214</v>
      </c>
      <c r="Q29" s="2" t="s">
        <v>50</v>
      </c>
      <c r="S29" s="7" t="s">
        <v>4801</v>
      </c>
      <c r="T29" s="7" t="s">
        <v>5713</v>
      </c>
      <c r="U29" s="2" t="s">
        <v>5742</v>
      </c>
    </row>
    <row r="30" spans="1:21" ht="12.75" x14ac:dyDescent="0.2">
      <c r="A30" s="1">
        <v>44342.729177407411</v>
      </c>
      <c r="B30" s="2" t="s">
        <v>215</v>
      </c>
      <c r="C30" s="2" t="s">
        <v>216</v>
      </c>
      <c r="D30" s="2" t="s">
        <v>41</v>
      </c>
      <c r="E30" s="3">
        <v>42355</v>
      </c>
      <c r="F30" s="4">
        <v>527700</v>
      </c>
      <c r="G30" s="2" t="s">
        <v>42</v>
      </c>
      <c r="H30" s="2" t="s">
        <v>43</v>
      </c>
      <c r="K30" s="2" t="s">
        <v>217</v>
      </c>
      <c r="L30" s="2" t="s">
        <v>218</v>
      </c>
      <c r="M30" s="2" t="s">
        <v>219</v>
      </c>
      <c r="N30" s="2" t="s">
        <v>48</v>
      </c>
      <c r="O30" s="2" t="s">
        <v>220</v>
      </c>
      <c r="Q30" s="2" t="s">
        <v>50</v>
      </c>
      <c r="S30" s="7" t="s">
        <v>4802</v>
      </c>
      <c r="T30" s="7" t="s">
        <v>5713</v>
      </c>
      <c r="U30" s="2" t="s">
        <v>5743</v>
      </c>
    </row>
    <row r="31" spans="1:21" ht="12.75" x14ac:dyDescent="0.2">
      <c r="A31" s="1">
        <v>44342.729203900468</v>
      </c>
      <c r="B31" s="2" t="s">
        <v>221</v>
      </c>
      <c r="C31" s="2" t="s">
        <v>222</v>
      </c>
      <c r="D31" s="2" t="s">
        <v>223</v>
      </c>
      <c r="E31" s="3">
        <v>43831</v>
      </c>
      <c r="F31" s="4">
        <v>1</v>
      </c>
      <c r="G31" s="2" t="s">
        <v>143</v>
      </c>
      <c r="H31" s="2" t="s">
        <v>43</v>
      </c>
      <c r="J31" s="2" t="s">
        <v>224</v>
      </c>
      <c r="K31" s="2" t="s">
        <v>225</v>
      </c>
      <c r="L31" s="2" t="s">
        <v>226</v>
      </c>
      <c r="M31" s="2" t="s">
        <v>227</v>
      </c>
      <c r="N31" s="2" t="s">
        <v>228</v>
      </c>
      <c r="O31" s="2" t="s">
        <v>229</v>
      </c>
      <c r="Q31" s="2" t="s">
        <v>50</v>
      </c>
      <c r="S31" s="7" t="s">
        <v>4803</v>
      </c>
      <c r="T31" s="7" t="s">
        <v>5713</v>
      </c>
      <c r="U31" s="2" t="s">
        <v>5744</v>
      </c>
    </row>
    <row r="32" spans="1:21" ht="12.75" x14ac:dyDescent="0.2">
      <c r="A32" s="1">
        <v>44342.729230104167</v>
      </c>
      <c r="B32" s="2" t="s">
        <v>193</v>
      </c>
      <c r="C32" s="2" t="s">
        <v>230</v>
      </c>
      <c r="D32" s="2" t="s">
        <v>41</v>
      </c>
      <c r="E32" s="3">
        <v>43742</v>
      </c>
      <c r="F32" s="4">
        <v>78804.33</v>
      </c>
      <c r="G32" s="2" t="s">
        <v>42</v>
      </c>
      <c r="H32" s="2" t="s">
        <v>43</v>
      </c>
      <c r="K32" s="2" t="s">
        <v>231</v>
      </c>
      <c r="L32" s="2" t="s">
        <v>232</v>
      </c>
      <c r="M32" s="2" t="s">
        <v>233</v>
      </c>
      <c r="N32" s="2" t="s">
        <v>48</v>
      </c>
      <c r="O32" s="2" t="s">
        <v>198</v>
      </c>
      <c r="Q32" s="2" t="s">
        <v>50</v>
      </c>
      <c r="S32" s="7" t="s">
        <v>4804</v>
      </c>
      <c r="T32" s="7" t="s">
        <v>5713</v>
      </c>
      <c r="U32" s="2" t="s">
        <v>5745</v>
      </c>
    </row>
    <row r="33" spans="1:21" ht="12.75" x14ac:dyDescent="0.2">
      <c r="A33" s="1">
        <v>44342.729253854166</v>
      </c>
      <c r="B33" s="2" t="s">
        <v>234</v>
      </c>
      <c r="C33" s="2" t="s">
        <v>235</v>
      </c>
      <c r="D33" s="2" t="s">
        <v>41</v>
      </c>
      <c r="E33" s="3">
        <v>43059</v>
      </c>
      <c r="F33" s="4">
        <v>3273908</v>
      </c>
      <c r="G33" s="2" t="s">
        <v>42</v>
      </c>
      <c r="H33" s="2" t="s">
        <v>43</v>
      </c>
      <c r="J33" s="2" t="s">
        <v>236</v>
      </c>
      <c r="K33" s="2" t="s">
        <v>237</v>
      </c>
      <c r="L33" s="2" t="s">
        <v>238</v>
      </c>
      <c r="M33" s="2" t="s">
        <v>239</v>
      </c>
      <c r="N33" s="2" t="s">
        <v>48</v>
      </c>
      <c r="O33" s="2" t="s">
        <v>240</v>
      </c>
      <c r="Q33" s="2" t="s">
        <v>50</v>
      </c>
      <c r="S33" s="7" t="s">
        <v>4805</v>
      </c>
      <c r="T33" s="7" t="s">
        <v>5713</v>
      </c>
      <c r="U33" s="2" t="s">
        <v>5746</v>
      </c>
    </row>
    <row r="34" spans="1:21" ht="12.75" x14ac:dyDescent="0.2">
      <c r="A34" s="1">
        <v>44342.729277962964</v>
      </c>
      <c r="B34" s="2" t="s">
        <v>241</v>
      </c>
      <c r="C34" s="2" t="s">
        <v>242</v>
      </c>
      <c r="D34" s="2" t="s">
        <v>41</v>
      </c>
      <c r="E34" s="3">
        <v>43354</v>
      </c>
      <c r="F34" s="4">
        <v>1194345</v>
      </c>
      <c r="G34" s="2" t="s">
        <v>42</v>
      </c>
      <c r="H34" s="2" t="s">
        <v>43</v>
      </c>
      <c r="J34" s="2" t="s">
        <v>243</v>
      </c>
      <c r="K34" s="2" t="s">
        <v>244</v>
      </c>
      <c r="L34" s="2" t="s">
        <v>245</v>
      </c>
      <c r="M34" s="2" t="s">
        <v>246</v>
      </c>
      <c r="N34" s="2" t="s">
        <v>48</v>
      </c>
      <c r="O34" s="2" t="s">
        <v>247</v>
      </c>
      <c r="Q34" s="2" t="s">
        <v>50</v>
      </c>
      <c r="S34" s="7" t="s">
        <v>4806</v>
      </c>
      <c r="T34" s="7" t="s">
        <v>5713</v>
      </c>
      <c r="U34" s="2" t="s">
        <v>5747</v>
      </c>
    </row>
    <row r="35" spans="1:21" ht="12.75" x14ac:dyDescent="0.2">
      <c r="A35" s="1">
        <v>44342.729303877313</v>
      </c>
      <c r="B35" s="2" t="s">
        <v>248</v>
      </c>
      <c r="C35" s="2" t="s">
        <v>249</v>
      </c>
      <c r="D35" s="2" t="s">
        <v>41</v>
      </c>
      <c r="E35" s="3">
        <v>43886</v>
      </c>
      <c r="F35" s="4">
        <v>26000</v>
      </c>
      <c r="G35" s="2" t="s">
        <v>42</v>
      </c>
      <c r="H35" s="2" t="s">
        <v>43</v>
      </c>
      <c r="J35" s="2" t="s">
        <v>250</v>
      </c>
      <c r="K35" s="2" t="s">
        <v>251</v>
      </c>
      <c r="L35" s="2" t="s">
        <v>252</v>
      </c>
      <c r="M35" s="2" t="s">
        <v>253</v>
      </c>
      <c r="N35" s="2" t="s">
        <v>48</v>
      </c>
      <c r="O35" s="2" t="s">
        <v>254</v>
      </c>
      <c r="Q35" s="2" t="s">
        <v>50</v>
      </c>
      <c r="S35" s="7" t="s">
        <v>4807</v>
      </c>
      <c r="T35" s="7" t="s">
        <v>5713</v>
      </c>
      <c r="U35" s="2" t="s">
        <v>5748</v>
      </c>
    </row>
    <row r="36" spans="1:21" ht="12.75" x14ac:dyDescent="0.2">
      <c r="A36" s="1">
        <v>44342.729329895832</v>
      </c>
      <c r="B36" s="2" t="s">
        <v>255</v>
      </c>
      <c r="C36" s="2" t="s">
        <v>256</v>
      </c>
      <c r="D36" s="2" t="s">
        <v>41</v>
      </c>
      <c r="E36" s="3">
        <v>43699</v>
      </c>
      <c r="F36" s="4">
        <v>20000</v>
      </c>
      <c r="G36" s="2" t="s">
        <v>42</v>
      </c>
      <c r="H36" s="2" t="s">
        <v>43</v>
      </c>
      <c r="K36" s="2" t="s">
        <v>257</v>
      </c>
      <c r="L36" s="2" t="s">
        <v>258</v>
      </c>
      <c r="M36" s="2" t="s">
        <v>259</v>
      </c>
      <c r="N36" s="2" t="s">
        <v>48</v>
      </c>
      <c r="O36" s="2" t="s">
        <v>260</v>
      </c>
      <c r="Q36" s="2" t="s">
        <v>50</v>
      </c>
      <c r="S36" s="7" t="s">
        <v>4808</v>
      </c>
      <c r="T36" s="7" t="s">
        <v>5713</v>
      </c>
      <c r="U36" s="2" t="s">
        <v>5749</v>
      </c>
    </row>
    <row r="37" spans="1:21" ht="12.75" x14ac:dyDescent="0.2">
      <c r="A37" s="1">
        <v>44342.729355405092</v>
      </c>
      <c r="B37" s="2" t="s">
        <v>58</v>
      </c>
      <c r="C37" s="2" t="s">
        <v>261</v>
      </c>
      <c r="D37" s="2" t="s">
        <v>41</v>
      </c>
      <c r="E37" s="3">
        <v>43477</v>
      </c>
      <c r="F37" s="4">
        <v>11000</v>
      </c>
      <c r="G37" s="2" t="s">
        <v>143</v>
      </c>
      <c r="H37" s="2" t="s">
        <v>43</v>
      </c>
      <c r="K37" s="2" t="s">
        <v>262</v>
      </c>
      <c r="L37" s="2" t="s">
        <v>263</v>
      </c>
      <c r="M37" s="2" t="s">
        <v>264</v>
      </c>
      <c r="N37" s="2" t="s">
        <v>48</v>
      </c>
      <c r="O37" s="2" t="s">
        <v>63</v>
      </c>
      <c r="Q37" s="2" t="s">
        <v>50</v>
      </c>
      <c r="S37" s="7" t="s">
        <v>4809</v>
      </c>
      <c r="T37" s="7" t="s">
        <v>5713</v>
      </c>
      <c r="U37" s="2" t="s">
        <v>5750</v>
      </c>
    </row>
    <row r="38" spans="1:21" ht="12.75" x14ac:dyDescent="0.2">
      <c r="A38" s="1">
        <v>44342.729380474542</v>
      </c>
      <c r="B38" s="2" t="s">
        <v>265</v>
      </c>
      <c r="C38" s="2" t="s">
        <v>266</v>
      </c>
      <c r="D38" s="2" t="s">
        <v>41</v>
      </c>
      <c r="E38" s="3">
        <v>43896</v>
      </c>
      <c r="F38" s="4">
        <v>10610</v>
      </c>
      <c r="G38" s="2" t="s">
        <v>42</v>
      </c>
      <c r="H38" s="2" t="s">
        <v>43</v>
      </c>
      <c r="K38" s="2" t="s">
        <v>267</v>
      </c>
      <c r="L38" s="2" t="s">
        <v>268</v>
      </c>
      <c r="M38" s="2" t="s">
        <v>269</v>
      </c>
      <c r="N38" s="2" t="s">
        <v>48</v>
      </c>
      <c r="O38" s="2" t="s">
        <v>270</v>
      </c>
      <c r="Q38" s="2" t="s">
        <v>50</v>
      </c>
      <c r="S38" s="7" t="s">
        <v>4810</v>
      </c>
      <c r="T38" s="7" t="s">
        <v>5713</v>
      </c>
      <c r="U38" s="2" t="s">
        <v>5751</v>
      </c>
    </row>
    <row r="39" spans="1:21" ht="12.75" x14ac:dyDescent="0.2">
      <c r="A39" s="1">
        <v>44342.729404548612</v>
      </c>
      <c r="B39" s="2" t="s">
        <v>271</v>
      </c>
      <c r="C39" s="2" t="s">
        <v>272</v>
      </c>
      <c r="D39" s="2" t="s">
        <v>41</v>
      </c>
      <c r="E39" s="3">
        <v>43677</v>
      </c>
      <c r="F39" s="4">
        <v>26400</v>
      </c>
      <c r="G39" s="2" t="s">
        <v>42</v>
      </c>
      <c r="H39" s="2" t="s">
        <v>43</v>
      </c>
      <c r="K39" s="2" t="s">
        <v>273</v>
      </c>
      <c r="L39" s="2" t="s">
        <v>274</v>
      </c>
      <c r="M39" s="2" t="s">
        <v>275</v>
      </c>
      <c r="N39" s="2" t="s">
        <v>48</v>
      </c>
      <c r="O39" s="2" t="s">
        <v>276</v>
      </c>
      <c r="Q39" s="2" t="s">
        <v>50</v>
      </c>
      <c r="S39" s="7" t="s">
        <v>4811</v>
      </c>
      <c r="T39" s="7" t="s">
        <v>5713</v>
      </c>
      <c r="U39" s="2" t="s">
        <v>5752</v>
      </c>
    </row>
    <row r="40" spans="1:21" ht="12.75" x14ac:dyDescent="0.2">
      <c r="A40" s="1">
        <v>44342.729429479165</v>
      </c>
      <c r="B40" s="2" t="s">
        <v>234</v>
      </c>
      <c r="C40" s="2" t="s">
        <v>277</v>
      </c>
      <c r="D40" s="2" t="s">
        <v>41</v>
      </c>
      <c r="E40" s="3">
        <v>43788</v>
      </c>
      <c r="F40" s="4">
        <v>30000</v>
      </c>
      <c r="G40" s="2" t="s">
        <v>42</v>
      </c>
      <c r="H40" s="2" t="s">
        <v>43</v>
      </c>
      <c r="K40" s="2" t="s">
        <v>278</v>
      </c>
      <c r="L40" s="2" t="s">
        <v>279</v>
      </c>
      <c r="M40" s="2" t="s">
        <v>280</v>
      </c>
      <c r="N40" s="2" t="s">
        <v>48</v>
      </c>
      <c r="O40" s="2" t="s">
        <v>240</v>
      </c>
      <c r="Q40" s="2" t="s">
        <v>50</v>
      </c>
      <c r="S40" s="7" t="s">
        <v>4812</v>
      </c>
      <c r="T40" s="7" t="s">
        <v>5713</v>
      </c>
      <c r="U40" s="2" t="s">
        <v>5753</v>
      </c>
    </row>
    <row r="41" spans="1:21" ht="12.75" x14ac:dyDescent="0.2">
      <c r="A41" s="1">
        <v>44342.729453368054</v>
      </c>
      <c r="B41" s="2" t="s">
        <v>58</v>
      </c>
      <c r="C41" s="2" t="s">
        <v>281</v>
      </c>
      <c r="D41" s="2" t="s">
        <v>41</v>
      </c>
      <c r="E41" s="3">
        <v>43719</v>
      </c>
      <c r="F41" s="4">
        <v>83750</v>
      </c>
      <c r="G41" s="2" t="s">
        <v>42</v>
      </c>
      <c r="H41" s="2" t="s">
        <v>43</v>
      </c>
      <c r="J41" s="2" t="s">
        <v>282</v>
      </c>
      <c r="K41" s="2" t="s">
        <v>283</v>
      </c>
      <c r="L41" s="2" t="s">
        <v>284</v>
      </c>
      <c r="M41" s="2" t="s">
        <v>285</v>
      </c>
      <c r="N41" s="2" t="s">
        <v>48</v>
      </c>
      <c r="O41" s="2" t="s">
        <v>63</v>
      </c>
      <c r="Q41" s="2" t="s">
        <v>50</v>
      </c>
      <c r="S41" s="7" t="s">
        <v>4813</v>
      </c>
      <c r="T41" s="7" t="s">
        <v>5713</v>
      </c>
      <c r="U41" s="2" t="s">
        <v>5754</v>
      </c>
    </row>
    <row r="42" spans="1:21" ht="12.75" x14ac:dyDescent="0.2">
      <c r="A42" s="1">
        <v>44342.729478425928</v>
      </c>
      <c r="B42" s="2" t="s">
        <v>286</v>
      </c>
      <c r="C42" s="2" t="s">
        <v>287</v>
      </c>
      <c r="D42" s="2" t="s">
        <v>41</v>
      </c>
      <c r="E42" s="3">
        <v>43769</v>
      </c>
      <c r="F42" s="4">
        <v>24000</v>
      </c>
      <c r="G42" s="2" t="s">
        <v>42</v>
      </c>
      <c r="H42" s="2" t="s">
        <v>43</v>
      </c>
      <c r="K42" s="2" t="s">
        <v>288</v>
      </c>
      <c r="L42" s="2" t="s">
        <v>289</v>
      </c>
      <c r="M42" s="2" t="s">
        <v>290</v>
      </c>
      <c r="N42" s="2" t="s">
        <v>48</v>
      </c>
      <c r="O42" s="2" t="s">
        <v>291</v>
      </c>
      <c r="Q42" s="2" t="s">
        <v>50</v>
      </c>
      <c r="S42" s="7" t="s">
        <v>4814</v>
      </c>
      <c r="T42" s="7" t="s">
        <v>5713</v>
      </c>
      <c r="U42" s="2" t="s">
        <v>5755</v>
      </c>
    </row>
    <row r="43" spans="1:21" ht="12.75" x14ac:dyDescent="0.2">
      <c r="A43" s="1">
        <v>44342.729502777773</v>
      </c>
      <c r="B43" s="2" t="s">
        <v>58</v>
      </c>
      <c r="C43" s="2" t="s">
        <v>292</v>
      </c>
      <c r="D43" s="2" t="s">
        <v>41</v>
      </c>
      <c r="E43" s="3">
        <v>43804</v>
      </c>
      <c r="F43" s="4">
        <v>16300</v>
      </c>
      <c r="G43" s="2" t="s">
        <v>42</v>
      </c>
      <c r="H43" s="2" t="s">
        <v>43</v>
      </c>
      <c r="K43" s="2" t="s">
        <v>293</v>
      </c>
      <c r="L43" s="2" t="s">
        <v>294</v>
      </c>
      <c r="M43" s="2" t="s">
        <v>295</v>
      </c>
      <c r="N43" s="2" t="s">
        <v>48</v>
      </c>
      <c r="O43" s="2" t="s">
        <v>63</v>
      </c>
      <c r="Q43" s="2" t="s">
        <v>50</v>
      </c>
      <c r="S43" s="7" t="s">
        <v>4815</v>
      </c>
      <c r="T43" s="7" t="s">
        <v>5713</v>
      </c>
      <c r="U43" s="2" t="s">
        <v>5756</v>
      </c>
    </row>
    <row r="44" spans="1:21" ht="12.75" x14ac:dyDescent="0.2">
      <c r="A44" s="1">
        <v>44342.72952685185</v>
      </c>
      <c r="B44" s="2" t="s">
        <v>296</v>
      </c>
      <c r="C44" s="2" t="s">
        <v>297</v>
      </c>
      <c r="D44" s="2" t="s">
        <v>41</v>
      </c>
      <c r="E44" s="3">
        <v>43228</v>
      </c>
      <c r="F44" s="4">
        <v>353218</v>
      </c>
      <c r="G44" s="2" t="s">
        <v>42</v>
      </c>
      <c r="H44" s="2" t="s">
        <v>43</v>
      </c>
      <c r="K44" s="2" t="s">
        <v>298</v>
      </c>
      <c r="L44" s="2" t="s">
        <v>299</v>
      </c>
      <c r="M44" s="2" t="s">
        <v>300</v>
      </c>
      <c r="N44" s="2" t="s">
        <v>48</v>
      </c>
      <c r="O44" s="2" t="s">
        <v>301</v>
      </c>
      <c r="Q44" s="2" t="s">
        <v>50</v>
      </c>
      <c r="S44" s="7" t="s">
        <v>4816</v>
      </c>
      <c r="T44" s="7" t="s">
        <v>5713</v>
      </c>
      <c r="U44" s="2" t="s">
        <v>5757</v>
      </c>
    </row>
    <row r="45" spans="1:21" ht="12.75" x14ac:dyDescent="0.2">
      <c r="A45" s="1">
        <v>44342.729552210643</v>
      </c>
      <c r="B45" s="2" t="s">
        <v>302</v>
      </c>
      <c r="C45" s="2" t="s">
        <v>303</v>
      </c>
      <c r="D45" s="2" t="s">
        <v>41</v>
      </c>
      <c r="E45" s="3">
        <v>43732</v>
      </c>
      <c r="F45" s="4">
        <v>81000</v>
      </c>
      <c r="G45" s="2" t="s">
        <v>42</v>
      </c>
      <c r="H45" s="2" t="s">
        <v>43</v>
      </c>
      <c r="K45" s="2" t="s">
        <v>304</v>
      </c>
      <c r="L45" s="2" t="s">
        <v>305</v>
      </c>
      <c r="M45" s="2" t="s">
        <v>306</v>
      </c>
      <c r="N45" s="2" t="s">
        <v>48</v>
      </c>
      <c r="O45" s="2" t="s">
        <v>307</v>
      </c>
      <c r="Q45" s="2" t="s">
        <v>50</v>
      </c>
      <c r="S45" s="7" t="s">
        <v>4817</v>
      </c>
      <c r="T45" s="7" t="s">
        <v>5713</v>
      </c>
      <c r="U45" s="2" t="s">
        <v>5758</v>
      </c>
    </row>
    <row r="46" spans="1:21" ht="12.75" x14ac:dyDescent="0.2">
      <c r="A46" s="1">
        <v>44342.729577835649</v>
      </c>
      <c r="B46" s="2" t="s">
        <v>302</v>
      </c>
      <c r="C46" s="2" t="s">
        <v>308</v>
      </c>
      <c r="D46" s="2" t="s">
        <v>41</v>
      </c>
      <c r="E46" s="3">
        <v>43589</v>
      </c>
      <c r="F46" s="4">
        <v>139932.66</v>
      </c>
      <c r="G46" s="2" t="s">
        <v>42</v>
      </c>
      <c r="H46" s="2" t="s">
        <v>43</v>
      </c>
      <c r="K46" s="2" t="s">
        <v>309</v>
      </c>
      <c r="L46" s="2" t="s">
        <v>310</v>
      </c>
      <c r="M46" s="2" t="s">
        <v>311</v>
      </c>
      <c r="N46" s="2" t="s">
        <v>48</v>
      </c>
      <c r="O46" s="2" t="s">
        <v>307</v>
      </c>
      <c r="Q46" s="2" t="s">
        <v>50</v>
      </c>
      <c r="S46" s="7" t="s">
        <v>4818</v>
      </c>
      <c r="T46" s="7" t="s">
        <v>5713</v>
      </c>
      <c r="U46" s="2" t="s">
        <v>5759</v>
      </c>
    </row>
    <row r="47" spans="1:21" ht="12.75" x14ac:dyDescent="0.2">
      <c r="A47" s="1">
        <v>44342.729602094907</v>
      </c>
      <c r="B47" s="2" t="s">
        <v>312</v>
      </c>
      <c r="C47" s="2" t="s">
        <v>313</v>
      </c>
      <c r="D47" s="2" t="s">
        <v>223</v>
      </c>
      <c r="E47" s="3">
        <v>43831</v>
      </c>
      <c r="F47" s="4">
        <v>100</v>
      </c>
      <c r="G47" s="2" t="s">
        <v>143</v>
      </c>
      <c r="H47" s="2" t="s">
        <v>43</v>
      </c>
      <c r="K47" s="2" t="s">
        <v>314</v>
      </c>
      <c r="L47" s="2" t="s">
        <v>315</v>
      </c>
      <c r="M47" s="2" t="s">
        <v>316</v>
      </c>
      <c r="N47" s="2" t="s">
        <v>228</v>
      </c>
      <c r="O47" s="2" t="s">
        <v>317</v>
      </c>
      <c r="Q47" s="2" t="s">
        <v>50</v>
      </c>
      <c r="S47" s="7" t="s">
        <v>4819</v>
      </c>
      <c r="T47" s="7" t="s">
        <v>5713</v>
      </c>
      <c r="U47" s="2" t="s">
        <v>5760</v>
      </c>
    </row>
    <row r="48" spans="1:21" ht="12.75" x14ac:dyDescent="0.2">
      <c r="A48" s="1">
        <v>44342.729626099535</v>
      </c>
      <c r="B48" s="2" t="s">
        <v>318</v>
      </c>
      <c r="C48" s="2" t="s">
        <v>319</v>
      </c>
      <c r="D48" s="2" t="s">
        <v>41</v>
      </c>
      <c r="E48" s="3">
        <v>43546</v>
      </c>
      <c r="F48" s="4">
        <v>82900</v>
      </c>
      <c r="G48" s="2" t="s">
        <v>42</v>
      </c>
      <c r="H48" s="2" t="s">
        <v>43</v>
      </c>
      <c r="K48" s="2" t="s">
        <v>320</v>
      </c>
      <c r="L48" s="2" t="s">
        <v>321</v>
      </c>
      <c r="M48" s="2" t="s">
        <v>322</v>
      </c>
      <c r="N48" s="2" t="s">
        <v>48</v>
      </c>
      <c r="O48" s="2" t="s">
        <v>323</v>
      </c>
      <c r="Q48" s="2" t="s">
        <v>50</v>
      </c>
      <c r="S48" s="7" t="s">
        <v>4820</v>
      </c>
      <c r="T48" s="7" t="s">
        <v>5713</v>
      </c>
      <c r="U48" s="2" t="s">
        <v>5761</v>
      </c>
    </row>
    <row r="49" spans="1:21" ht="12.75" x14ac:dyDescent="0.2">
      <c r="A49" s="1">
        <v>44342.729649629633</v>
      </c>
      <c r="B49" s="2" t="s">
        <v>324</v>
      </c>
      <c r="C49" s="2" t="s">
        <v>325</v>
      </c>
      <c r="D49" s="2" t="s">
        <v>41</v>
      </c>
      <c r="E49" s="3">
        <v>43711</v>
      </c>
      <c r="F49" s="4">
        <v>180540</v>
      </c>
      <c r="G49" s="2" t="s">
        <v>326</v>
      </c>
      <c r="H49" s="2" t="s">
        <v>43</v>
      </c>
      <c r="K49" s="2" t="s">
        <v>327</v>
      </c>
      <c r="L49" s="2" t="s">
        <v>328</v>
      </c>
      <c r="M49" s="2" t="s">
        <v>329</v>
      </c>
      <c r="N49" s="2" t="s">
        <v>48</v>
      </c>
      <c r="O49" s="2" t="s">
        <v>330</v>
      </c>
      <c r="Q49" s="2" t="s">
        <v>50</v>
      </c>
      <c r="S49" s="7" t="s">
        <v>4821</v>
      </c>
      <c r="T49" s="7" t="s">
        <v>5713</v>
      </c>
      <c r="U49" s="2" t="s">
        <v>5762</v>
      </c>
    </row>
    <row r="50" spans="1:21" ht="12.75" x14ac:dyDescent="0.2">
      <c r="A50" s="1">
        <v>44342.729675879629</v>
      </c>
      <c r="B50" s="2" t="s">
        <v>331</v>
      </c>
      <c r="C50" s="2" t="s">
        <v>332</v>
      </c>
      <c r="D50" s="2" t="s">
        <v>333</v>
      </c>
      <c r="E50" s="3">
        <v>43124</v>
      </c>
      <c r="F50" s="4">
        <v>416156.43</v>
      </c>
      <c r="G50" s="2" t="s">
        <v>42</v>
      </c>
      <c r="H50" s="2" t="s">
        <v>43</v>
      </c>
      <c r="K50" s="2" t="s">
        <v>334</v>
      </c>
      <c r="L50" s="2" t="s">
        <v>335</v>
      </c>
      <c r="M50" s="2" t="s">
        <v>336</v>
      </c>
      <c r="N50" s="2" t="s">
        <v>337</v>
      </c>
      <c r="O50" s="2" t="s">
        <v>338</v>
      </c>
      <c r="Q50" s="2" t="s">
        <v>50</v>
      </c>
      <c r="S50" s="7" t="s">
        <v>4822</v>
      </c>
      <c r="T50" s="7" t="s">
        <v>5713</v>
      </c>
      <c r="U50" s="2" t="s">
        <v>5763</v>
      </c>
    </row>
    <row r="51" spans="1:21" ht="12.75" x14ac:dyDescent="0.2">
      <c r="A51" s="1">
        <v>44342.72970113426</v>
      </c>
      <c r="B51" s="2" t="s">
        <v>339</v>
      </c>
      <c r="C51" s="2" t="s">
        <v>340</v>
      </c>
      <c r="D51" s="2" t="s">
        <v>41</v>
      </c>
      <c r="E51" s="3">
        <v>43571</v>
      </c>
      <c r="F51" s="4">
        <v>36200</v>
      </c>
      <c r="G51" s="2" t="s">
        <v>42</v>
      </c>
      <c r="H51" s="2" t="s">
        <v>43</v>
      </c>
      <c r="K51" s="2" t="s">
        <v>341</v>
      </c>
      <c r="L51" s="2" t="s">
        <v>342</v>
      </c>
      <c r="M51" s="2" t="s">
        <v>343</v>
      </c>
      <c r="N51" s="2" t="s">
        <v>48</v>
      </c>
      <c r="O51" s="2" t="s">
        <v>344</v>
      </c>
      <c r="Q51" s="2" t="s">
        <v>50</v>
      </c>
      <c r="S51" s="7" t="s">
        <v>4823</v>
      </c>
      <c r="T51" s="7" t="s">
        <v>5713</v>
      </c>
      <c r="U51" s="2" t="s">
        <v>5764</v>
      </c>
    </row>
    <row r="52" spans="1:21" ht="12.75" x14ac:dyDescent="0.2">
      <c r="A52" s="1">
        <v>44342.729725833335</v>
      </c>
      <c r="B52" s="2" t="s">
        <v>345</v>
      </c>
      <c r="C52" s="2" t="s">
        <v>346</v>
      </c>
      <c r="D52" s="2" t="s">
        <v>41</v>
      </c>
      <c r="E52" s="3">
        <v>43566</v>
      </c>
      <c r="F52" s="4">
        <v>37760</v>
      </c>
      <c r="G52" s="2" t="s">
        <v>42</v>
      </c>
      <c r="H52" s="2" t="s">
        <v>43</v>
      </c>
      <c r="K52" s="2" t="s">
        <v>347</v>
      </c>
      <c r="L52" s="2" t="s">
        <v>348</v>
      </c>
      <c r="M52" s="2" t="s">
        <v>349</v>
      </c>
      <c r="N52" s="2" t="s">
        <v>48</v>
      </c>
      <c r="O52" s="2" t="s">
        <v>350</v>
      </c>
      <c r="Q52" s="2" t="s">
        <v>50</v>
      </c>
      <c r="S52" s="7" t="s">
        <v>4824</v>
      </c>
      <c r="T52" s="7" t="s">
        <v>5713</v>
      </c>
      <c r="U52" s="2" t="s">
        <v>5765</v>
      </c>
    </row>
    <row r="53" spans="1:21" ht="12.75" x14ac:dyDescent="0.2">
      <c r="A53" s="1">
        <v>44342.729749826394</v>
      </c>
      <c r="B53" s="2" t="s">
        <v>351</v>
      </c>
      <c r="C53" s="2" t="s">
        <v>352</v>
      </c>
      <c r="D53" s="2" t="s">
        <v>41</v>
      </c>
      <c r="E53" s="3">
        <v>43861</v>
      </c>
      <c r="F53" s="4">
        <v>8900</v>
      </c>
      <c r="G53" s="2" t="s">
        <v>42</v>
      </c>
      <c r="H53" s="2" t="s">
        <v>43</v>
      </c>
      <c r="K53" s="2" t="s">
        <v>353</v>
      </c>
      <c r="L53" s="2" t="s">
        <v>354</v>
      </c>
      <c r="M53" s="2" t="s">
        <v>355</v>
      </c>
      <c r="N53" s="2" t="s">
        <v>48</v>
      </c>
      <c r="O53" s="2" t="s">
        <v>356</v>
      </c>
      <c r="Q53" s="2" t="s">
        <v>50</v>
      </c>
      <c r="S53" s="7" t="s">
        <v>4825</v>
      </c>
      <c r="T53" s="7" t="s">
        <v>5713</v>
      </c>
      <c r="U53" s="2" t="s">
        <v>5766</v>
      </c>
    </row>
    <row r="54" spans="1:21" ht="12.75" x14ac:dyDescent="0.2">
      <c r="A54" s="1">
        <v>44342.729773831015</v>
      </c>
      <c r="B54" s="2" t="s">
        <v>357</v>
      </c>
      <c r="C54" s="2" t="s">
        <v>358</v>
      </c>
      <c r="D54" s="2" t="s">
        <v>41</v>
      </c>
      <c r="E54" s="3">
        <v>43348</v>
      </c>
      <c r="F54" s="4">
        <v>650000</v>
      </c>
      <c r="G54" s="2" t="s">
        <v>42</v>
      </c>
      <c r="H54" s="2" t="s">
        <v>43</v>
      </c>
      <c r="K54" s="2" t="s">
        <v>359</v>
      </c>
      <c r="L54" s="2" t="s">
        <v>360</v>
      </c>
      <c r="M54" s="2" t="s">
        <v>361</v>
      </c>
      <c r="N54" s="2" t="s">
        <v>48</v>
      </c>
      <c r="O54" s="2" t="s">
        <v>362</v>
      </c>
      <c r="Q54" s="2" t="s">
        <v>50</v>
      </c>
      <c r="S54" s="7" t="s">
        <v>4826</v>
      </c>
      <c r="T54" s="7" t="s">
        <v>5713</v>
      </c>
      <c r="U54" s="2" t="s">
        <v>5767</v>
      </c>
    </row>
    <row r="55" spans="1:21" ht="12.75" x14ac:dyDescent="0.2">
      <c r="A55" s="1">
        <v>44342.729799305554</v>
      </c>
      <c r="B55" s="2" t="s">
        <v>363</v>
      </c>
      <c r="C55" s="2" t="s">
        <v>364</v>
      </c>
      <c r="D55" s="2" t="s">
        <v>333</v>
      </c>
      <c r="E55" s="3">
        <v>43595</v>
      </c>
      <c r="F55" s="4">
        <v>109423.76</v>
      </c>
      <c r="G55" s="2" t="s">
        <v>143</v>
      </c>
      <c r="H55" s="2" t="s">
        <v>43</v>
      </c>
      <c r="K55" s="2" t="s">
        <v>365</v>
      </c>
      <c r="L55" s="2" t="s">
        <v>366</v>
      </c>
      <c r="M55" s="2" t="s">
        <v>367</v>
      </c>
      <c r="N55" s="2" t="s">
        <v>337</v>
      </c>
      <c r="O55" s="2" t="s">
        <v>368</v>
      </c>
      <c r="Q55" s="2" t="s">
        <v>50</v>
      </c>
      <c r="S55" s="7" t="s">
        <v>4827</v>
      </c>
      <c r="T55" s="7" t="s">
        <v>5713</v>
      </c>
      <c r="U55" s="2" t="s">
        <v>5768</v>
      </c>
    </row>
    <row r="56" spans="1:21" ht="12.75" x14ac:dyDescent="0.2">
      <c r="A56" s="1">
        <v>44342.729824259259</v>
      </c>
      <c r="B56" s="2" t="s">
        <v>363</v>
      </c>
      <c r="C56" s="2" t="s">
        <v>369</v>
      </c>
      <c r="D56" s="2" t="s">
        <v>333</v>
      </c>
      <c r="E56" s="3">
        <v>43602</v>
      </c>
      <c r="F56" s="4">
        <v>11810</v>
      </c>
      <c r="G56" s="2" t="s">
        <v>42</v>
      </c>
      <c r="H56" s="2" t="s">
        <v>43</v>
      </c>
      <c r="K56" s="2" t="s">
        <v>370</v>
      </c>
      <c r="L56" s="2" t="s">
        <v>371</v>
      </c>
      <c r="M56" s="2" t="s">
        <v>372</v>
      </c>
      <c r="N56" s="2" t="s">
        <v>337</v>
      </c>
      <c r="O56" s="2" t="s">
        <v>368</v>
      </c>
      <c r="Q56" s="2" t="s">
        <v>50</v>
      </c>
      <c r="S56" s="7" t="s">
        <v>4828</v>
      </c>
      <c r="T56" s="7" t="s">
        <v>5713</v>
      </c>
      <c r="U56" s="2" t="s">
        <v>5769</v>
      </c>
    </row>
    <row r="57" spans="1:21" ht="12.75" x14ac:dyDescent="0.2">
      <c r="A57" s="1">
        <v>44342.729848460644</v>
      </c>
      <c r="B57" s="2" t="s">
        <v>363</v>
      </c>
      <c r="C57" s="2" t="s">
        <v>373</v>
      </c>
      <c r="D57" s="2" t="s">
        <v>333</v>
      </c>
      <c r="E57" s="3">
        <v>43633</v>
      </c>
      <c r="F57" s="4">
        <f>319728.97-7068.01</f>
        <v>312660.95999999996</v>
      </c>
      <c r="G57" s="2" t="s">
        <v>42</v>
      </c>
      <c r="H57" s="2" t="s">
        <v>43</v>
      </c>
      <c r="K57" s="2" t="s">
        <v>374</v>
      </c>
      <c r="L57" s="2" t="s">
        <v>375</v>
      </c>
      <c r="M57" s="2" t="s">
        <v>376</v>
      </c>
      <c r="N57" s="2" t="s">
        <v>337</v>
      </c>
      <c r="O57" s="2" t="s">
        <v>368</v>
      </c>
      <c r="Q57" s="2" t="s">
        <v>50</v>
      </c>
      <c r="S57" s="7" t="s">
        <v>4829</v>
      </c>
      <c r="T57" s="7" t="s">
        <v>5713</v>
      </c>
      <c r="U57" s="2" t="s">
        <v>5770</v>
      </c>
    </row>
    <row r="58" spans="1:21" ht="12.75" x14ac:dyDescent="0.2">
      <c r="A58" s="1">
        <v>44342.729873171294</v>
      </c>
      <c r="B58" s="2" t="s">
        <v>363</v>
      </c>
      <c r="C58" s="2" t="s">
        <v>377</v>
      </c>
      <c r="D58" s="2" t="s">
        <v>333</v>
      </c>
      <c r="E58" s="3">
        <v>43693</v>
      </c>
      <c r="F58" s="4">
        <v>11636.28</v>
      </c>
      <c r="G58" s="2" t="s">
        <v>42</v>
      </c>
      <c r="H58" s="2" t="s">
        <v>43</v>
      </c>
      <c r="K58" s="2" t="s">
        <v>378</v>
      </c>
      <c r="L58" s="2" t="s">
        <v>379</v>
      </c>
      <c r="M58" s="2" t="s">
        <v>380</v>
      </c>
      <c r="N58" s="2" t="s">
        <v>337</v>
      </c>
      <c r="O58" s="2" t="s">
        <v>368</v>
      </c>
      <c r="Q58" s="2" t="s">
        <v>50</v>
      </c>
      <c r="S58" s="7" t="s">
        <v>4830</v>
      </c>
      <c r="T58" s="7" t="s">
        <v>5713</v>
      </c>
      <c r="U58" s="2" t="s">
        <v>5771</v>
      </c>
    </row>
    <row r="59" spans="1:21" ht="12.75" x14ac:dyDescent="0.2">
      <c r="A59" s="1">
        <v>44342.729923321764</v>
      </c>
      <c r="B59" s="2" t="s">
        <v>363</v>
      </c>
      <c r="C59" s="2" t="s">
        <v>381</v>
      </c>
      <c r="D59" s="2" t="s">
        <v>333</v>
      </c>
      <c r="E59" s="3">
        <v>43597</v>
      </c>
      <c r="F59" s="4">
        <v>2872.57</v>
      </c>
      <c r="G59" s="2" t="s">
        <v>42</v>
      </c>
      <c r="H59" s="2" t="s">
        <v>43</v>
      </c>
      <c r="K59" s="2" t="s">
        <v>382</v>
      </c>
      <c r="L59" s="2" t="s">
        <v>383</v>
      </c>
      <c r="M59" s="2" t="s">
        <v>384</v>
      </c>
      <c r="N59" s="2" t="s">
        <v>337</v>
      </c>
      <c r="O59" s="2" t="s">
        <v>368</v>
      </c>
      <c r="Q59" s="2" t="s">
        <v>50</v>
      </c>
      <c r="S59" s="7" t="s">
        <v>4831</v>
      </c>
      <c r="T59" s="7" t="s">
        <v>5713</v>
      </c>
      <c r="U59" s="2" t="s">
        <v>5772</v>
      </c>
    </row>
    <row r="60" spans="1:21" ht="12.75" x14ac:dyDescent="0.2">
      <c r="A60" s="1">
        <v>44342.729897847224</v>
      </c>
      <c r="B60" s="2" t="s">
        <v>363</v>
      </c>
      <c r="C60" s="2" t="s">
        <v>385</v>
      </c>
      <c r="D60" s="2" t="s">
        <v>333</v>
      </c>
      <c r="E60" s="3">
        <v>43759</v>
      </c>
      <c r="F60" s="4">
        <v>2245.13</v>
      </c>
      <c r="G60" s="2" t="s">
        <v>42</v>
      </c>
      <c r="H60" s="2" t="s">
        <v>43</v>
      </c>
      <c r="K60" s="2" t="s">
        <v>386</v>
      </c>
      <c r="L60" s="2" t="s">
        <v>387</v>
      </c>
      <c r="M60" s="2" t="s">
        <v>388</v>
      </c>
      <c r="N60" s="2" t="s">
        <v>337</v>
      </c>
      <c r="O60" s="2" t="s">
        <v>368</v>
      </c>
      <c r="Q60" s="2" t="s">
        <v>50</v>
      </c>
      <c r="S60" s="7" t="s">
        <v>4832</v>
      </c>
      <c r="T60" s="7" t="s">
        <v>5713</v>
      </c>
      <c r="U60" s="2" t="s">
        <v>5773</v>
      </c>
    </row>
    <row r="61" spans="1:21" ht="12.75" x14ac:dyDescent="0.2">
      <c r="A61" s="1">
        <v>44342.729971921297</v>
      </c>
      <c r="B61" s="2" t="s">
        <v>363</v>
      </c>
      <c r="C61" s="2" t="s">
        <v>389</v>
      </c>
      <c r="D61" s="2" t="s">
        <v>333</v>
      </c>
      <c r="E61" s="3">
        <v>43882</v>
      </c>
      <c r="F61" s="4">
        <v>7201.2</v>
      </c>
      <c r="G61" s="2" t="s">
        <v>143</v>
      </c>
      <c r="H61" s="2" t="s">
        <v>43</v>
      </c>
      <c r="K61" s="2" t="s">
        <v>390</v>
      </c>
      <c r="L61" s="2" t="s">
        <v>391</v>
      </c>
      <c r="M61" s="2" t="s">
        <v>392</v>
      </c>
      <c r="N61" s="2" t="s">
        <v>337</v>
      </c>
      <c r="O61" s="2" t="s">
        <v>368</v>
      </c>
      <c r="Q61" s="2" t="s">
        <v>50</v>
      </c>
      <c r="S61" s="7" t="s">
        <v>4833</v>
      </c>
      <c r="T61" s="7" t="s">
        <v>5713</v>
      </c>
      <c r="U61" s="2" t="s">
        <v>5774</v>
      </c>
    </row>
    <row r="62" spans="1:21" ht="12.75" x14ac:dyDescent="0.2">
      <c r="A62" s="1">
        <v>44342.729947708329</v>
      </c>
      <c r="B62" s="2" t="s">
        <v>363</v>
      </c>
      <c r="C62" s="2" t="s">
        <v>393</v>
      </c>
      <c r="D62" s="2" t="s">
        <v>333</v>
      </c>
      <c r="E62" s="3">
        <v>43815</v>
      </c>
      <c r="F62" s="4">
        <v>881.46</v>
      </c>
      <c r="G62" s="2" t="s">
        <v>326</v>
      </c>
      <c r="H62" s="2" t="s">
        <v>43</v>
      </c>
      <c r="K62" s="2" t="s">
        <v>394</v>
      </c>
      <c r="L62" s="2" t="s">
        <v>395</v>
      </c>
      <c r="M62" s="2" t="s">
        <v>396</v>
      </c>
      <c r="N62" s="2" t="s">
        <v>337</v>
      </c>
      <c r="O62" s="2" t="s">
        <v>368</v>
      </c>
      <c r="Q62" s="2" t="s">
        <v>50</v>
      </c>
      <c r="S62" s="7" t="s">
        <v>4834</v>
      </c>
      <c r="T62" s="7" t="s">
        <v>5713</v>
      </c>
      <c r="U62" s="2" t="s">
        <v>5775</v>
      </c>
    </row>
    <row r="63" spans="1:21" ht="12.75" x14ac:dyDescent="0.2">
      <c r="A63" s="1">
        <v>44342.729997326387</v>
      </c>
      <c r="B63" s="2" t="s">
        <v>363</v>
      </c>
      <c r="C63" s="2" t="s">
        <v>397</v>
      </c>
      <c r="D63" s="2" t="s">
        <v>333</v>
      </c>
      <c r="E63" s="3">
        <v>43894</v>
      </c>
      <c r="F63" s="4">
        <v>87484.25</v>
      </c>
      <c r="G63" s="2" t="s">
        <v>42</v>
      </c>
      <c r="H63" s="2" t="s">
        <v>43</v>
      </c>
      <c r="K63" s="2" t="s">
        <v>398</v>
      </c>
      <c r="L63" s="2" t="s">
        <v>399</v>
      </c>
      <c r="M63" s="2" t="s">
        <v>400</v>
      </c>
      <c r="N63" s="2" t="s">
        <v>337</v>
      </c>
      <c r="O63" s="2" t="s">
        <v>368</v>
      </c>
      <c r="Q63" s="2" t="s">
        <v>50</v>
      </c>
      <c r="S63" s="7" t="s">
        <v>4835</v>
      </c>
      <c r="T63" s="7" t="s">
        <v>5713</v>
      </c>
      <c r="U63" s="2" t="s">
        <v>5776</v>
      </c>
    </row>
    <row r="64" spans="1:21" ht="12.75" x14ac:dyDescent="0.2">
      <c r="A64" s="1">
        <v>44342.73002239583</v>
      </c>
      <c r="B64" s="2" t="s">
        <v>363</v>
      </c>
      <c r="C64" s="2" t="s">
        <v>401</v>
      </c>
      <c r="D64" s="2" t="s">
        <v>333</v>
      </c>
      <c r="E64" s="3">
        <v>43900</v>
      </c>
      <c r="F64" s="4">
        <v>56818.84</v>
      </c>
      <c r="G64" s="2" t="s">
        <v>42</v>
      </c>
      <c r="H64" s="2" t="s">
        <v>43</v>
      </c>
      <c r="J64" s="2" t="s">
        <v>402</v>
      </c>
      <c r="K64" s="2" t="s">
        <v>403</v>
      </c>
      <c r="L64" s="2" t="s">
        <v>404</v>
      </c>
      <c r="M64" s="2" t="s">
        <v>405</v>
      </c>
      <c r="N64" s="2" t="s">
        <v>337</v>
      </c>
      <c r="O64" s="2" t="s">
        <v>368</v>
      </c>
      <c r="Q64" s="2" t="s">
        <v>50</v>
      </c>
      <c r="S64" s="7" t="s">
        <v>4836</v>
      </c>
      <c r="T64" s="7" t="s">
        <v>5713</v>
      </c>
      <c r="U64" s="2" t="s">
        <v>5777</v>
      </c>
    </row>
    <row r="65" spans="1:21" ht="12.75" x14ac:dyDescent="0.2">
      <c r="A65" s="1">
        <v>44342.730050057871</v>
      </c>
      <c r="B65" s="2" t="s">
        <v>363</v>
      </c>
      <c r="C65" s="2" t="s">
        <v>406</v>
      </c>
      <c r="D65" s="2" t="s">
        <v>333</v>
      </c>
      <c r="E65" s="3">
        <v>43903</v>
      </c>
      <c r="F65" s="4">
        <v>8684.86</v>
      </c>
      <c r="G65" s="2" t="s">
        <v>42</v>
      </c>
      <c r="H65" s="2" t="s">
        <v>43</v>
      </c>
      <c r="K65" s="2" t="s">
        <v>407</v>
      </c>
      <c r="L65" s="2" t="s">
        <v>408</v>
      </c>
      <c r="M65" s="2" t="s">
        <v>409</v>
      </c>
      <c r="N65" s="2" t="s">
        <v>337</v>
      </c>
      <c r="O65" s="2" t="s">
        <v>368</v>
      </c>
      <c r="Q65" s="2" t="s">
        <v>50</v>
      </c>
      <c r="S65" s="7" t="s">
        <v>4837</v>
      </c>
      <c r="T65" s="7" t="s">
        <v>5713</v>
      </c>
      <c r="U65" s="2" t="s">
        <v>5778</v>
      </c>
    </row>
    <row r="66" spans="1:21" ht="12.75" x14ac:dyDescent="0.2">
      <c r="A66" s="1">
        <v>44342.730074606487</v>
      </c>
      <c r="B66" s="2" t="s">
        <v>120</v>
      </c>
      <c r="C66" s="2" t="s">
        <v>410</v>
      </c>
      <c r="D66" s="2" t="s">
        <v>41</v>
      </c>
      <c r="E66" s="3">
        <v>44170</v>
      </c>
      <c r="F66" s="4">
        <v>20800</v>
      </c>
      <c r="G66" s="2" t="s">
        <v>42</v>
      </c>
      <c r="H66" s="2" t="s">
        <v>43</v>
      </c>
      <c r="K66" s="2" t="s">
        <v>411</v>
      </c>
      <c r="L66" s="2" t="s">
        <v>412</v>
      </c>
      <c r="M66" s="2" t="s">
        <v>413</v>
      </c>
      <c r="N66" s="2" t="s">
        <v>48</v>
      </c>
      <c r="O66" s="2" t="s">
        <v>126</v>
      </c>
      <c r="Q66" s="2" t="s">
        <v>50</v>
      </c>
      <c r="S66" s="7" t="s">
        <v>4838</v>
      </c>
      <c r="T66" s="7" t="s">
        <v>5713</v>
      </c>
      <c r="U66" s="2" t="s">
        <v>5779</v>
      </c>
    </row>
    <row r="67" spans="1:21" ht="12.75" x14ac:dyDescent="0.2">
      <c r="A67" s="1">
        <v>44342.73009892361</v>
      </c>
      <c r="B67" s="2" t="s">
        <v>302</v>
      </c>
      <c r="C67" s="2" t="s">
        <v>414</v>
      </c>
      <c r="D67" s="2" t="s">
        <v>41</v>
      </c>
      <c r="E67" s="3">
        <v>43955</v>
      </c>
      <c r="F67" s="4">
        <v>107760</v>
      </c>
      <c r="G67" s="2" t="s">
        <v>42</v>
      </c>
      <c r="H67" s="2" t="s">
        <v>43</v>
      </c>
      <c r="J67" s="2" t="s">
        <v>415</v>
      </c>
      <c r="K67" s="2" t="s">
        <v>416</v>
      </c>
      <c r="L67" s="2" t="s">
        <v>417</v>
      </c>
      <c r="M67" s="2" t="s">
        <v>418</v>
      </c>
      <c r="N67" s="2" t="s">
        <v>48</v>
      </c>
      <c r="O67" s="2" t="s">
        <v>307</v>
      </c>
      <c r="Q67" s="2" t="s">
        <v>50</v>
      </c>
      <c r="S67" s="7" t="s">
        <v>4839</v>
      </c>
      <c r="T67" s="7" t="s">
        <v>5713</v>
      </c>
      <c r="U67" s="2" t="s">
        <v>5780</v>
      </c>
    </row>
    <row r="68" spans="1:21" ht="12.75" x14ac:dyDescent="0.2">
      <c r="A68" s="1">
        <v>44342.730124953705</v>
      </c>
      <c r="B68" s="2" t="s">
        <v>419</v>
      </c>
      <c r="C68" s="2" t="s">
        <v>420</v>
      </c>
      <c r="D68" s="2" t="s">
        <v>223</v>
      </c>
      <c r="E68" s="3">
        <v>43800</v>
      </c>
      <c r="F68" s="4">
        <v>1800</v>
      </c>
      <c r="G68" s="2" t="s">
        <v>143</v>
      </c>
      <c r="H68" s="2" t="s">
        <v>43</v>
      </c>
      <c r="K68" s="2" t="s">
        <v>421</v>
      </c>
      <c r="L68" s="2" t="s">
        <v>422</v>
      </c>
      <c r="M68" s="2" t="s">
        <v>423</v>
      </c>
      <c r="N68" s="2" t="s">
        <v>228</v>
      </c>
      <c r="O68" s="2" t="s">
        <v>424</v>
      </c>
      <c r="Q68" s="2" t="s">
        <v>50</v>
      </c>
      <c r="S68" s="7" t="s">
        <v>4840</v>
      </c>
      <c r="T68" s="7" t="s">
        <v>5713</v>
      </c>
      <c r="U68" s="2" t="s">
        <v>5781</v>
      </c>
    </row>
    <row r="69" spans="1:21" ht="12.75" x14ac:dyDescent="0.2">
      <c r="A69" s="1">
        <v>44342.730150046293</v>
      </c>
      <c r="B69" s="2" t="s">
        <v>425</v>
      </c>
      <c r="C69" s="2" t="s">
        <v>426</v>
      </c>
      <c r="D69" s="2" t="s">
        <v>223</v>
      </c>
      <c r="E69" s="3">
        <v>43617</v>
      </c>
      <c r="F69" s="4">
        <v>300</v>
      </c>
      <c r="G69" s="2" t="s">
        <v>42</v>
      </c>
      <c r="H69" s="2" t="s">
        <v>43</v>
      </c>
      <c r="J69" s="2" t="s">
        <v>427</v>
      </c>
      <c r="K69" s="2" t="s">
        <v>428</v>
      </c>
      <c r="L69" s="2" t="s">
        <v>429</v>
      </c>
      <c r="M69" s="2" t="s">
        <v>430</v>
      </c>
      <c r="N69" s="2" t="s">
        <v>228</v>
      </c>
      <c r="O69" s="2" t="s">
        <v>431</v>
      </c>
      <c r="Q69" s="2" t="s">
        <v>50</v>
      </c>
      <c r="S69" s="7" t="s">
        <v>4841</v>
      </c>
      <c r="T69" s="7" t="s">
        <v>5713</v>
      </c>
      <c r="U69" s="2" t="s">
        <v>5782</v>
      </c>
    </row>
    <row r="70" spans="1:21" ht="12.75" x14ac:dyDescent="0.2">
      <c r="A70" s="1">
        <v>44342.730175312499</v>
      </c>
      <c r="B70" s="2" t="s">
        <v>432</v>
      </c>
      <c r="C70" s="2" t="s">
        <v>433</v>
      </c>
      <c r="D70" s="2" t="s">
        <v>223</v>
      </c>
      <c r="E70" s="3">
        <v>43586</v>
      </c>
      <c r="F70" s="4">
        <v>200</v>
      </c>
      <c r="G70" s="2" t="s">
        <v>143</v>
      </c>
      <c r="H70" s="2" t="s">
        <v>43</v>
      </c>
      <c r="K70" s="2" t="s">
        <v>434</v>
      </c>
      <c r="L70" s="2" t="s">
        <v>435</v>
      </c>
      <c r="M70" s="2" t="s">
        <v>436</v>
      </c>
      <c r="N70" s="2" t="s">
        <v>228</v>
      </c>
      <c r="O70" s="2" t="s">
        <v>437</v>
      </c>
      <c r="Q70" s="2" t="s">
        <v>50</v>
      </c>
      <c r="S70" s="7" t="s">
        <v>4842</v>
      </c>
      <c r="T70" s="7" t="s">
        <v>5713</v>
      </c>
      <c r="U70" s="2" t="s">
        <v>5783</v>
      </c>
    </row>
    <row r="71" spans="1:21" ht="12.75" x14ac:dyDescent="0.2">
      <c r="A71" s="1">
        <v>44342.730200729166</v>
      </c>
      <c r="B71" s="2" t="s">
        <v>438</v>
      </c>
      <c r="C71" s="2" t="s">
        <v>439</v>
      </c>
      <c r="D71" s="2" t="s">
        <v>223</v>
      </c>
      <c r="E71" s="3">
        <v>43497</v>
      </c>
      <c r="F71" s="4">
        <v>750</v>
      </c>
      <c r="G71" s="2" t="s">
        <v>143</v>
      </c>
      <c r="H71" s="2" t="s">
        <v>43</v>
      </c>
      <c r="K71" s="2" t="s">
        <v>440</v>
      </c>
      <c r="L71" s="2" t="s">
        <v>441</v>
      </c>
      <c r="M71" s="2" t="s">
        <v>442</v>
      </c>
      <c r="N71" s="2" t="s">
        <v>228</v>
      </c>
      <c r="O71" s="2" t="s">
        <v>443</v>
      </c>
      <c r="Q71" s="2" t="s">
        <v>50</v>
      </c>
      <c r="S71" s="7" t="s">
        <v>4843</v>
      </c>
      <c r="T71" s="7" t="s">
        <v>5713</v>
      </c>
      <c r="U71" s="2" t="s">
        <v>5784</v>
      </c>
    </row>
    <row r="72" spans="1:21" ht="12.75" x14ac:dyDescent="0.2">
      <c r="A72" s="1">
        <v>44342.730226319443</v>
      </c>
      <c r="B72" s="2" t="s">
        <v>102</v>
      </c>
      <c r="C72" s="2" t="s">
        <v>444</v>
      </c>
      <c r="D72" s="2" t="s">
        <v>223</v>
      </c>
      <c r="E72" s="3">
        <v>43539</v>
      </c>
      <c r="F72" s="4">
        <v>1500</v>
      </c>
      <c r="G72" s="2" t="s">
        <v>143</v>
      </c>
      <c r="H72" s="2" t="s">
        <v>43</v>
      </c>
      <c r="J72" s="2" t="s">
        <v>445</v>
      </c>
      <c r="K72" s="2" t="s">
        <v>446</v>
      </c>
      <c r="L72" s="2" t="s">
        <v>447</v>
      </c>
      <c r="M72" s="2" t="s">
        <v>448</v>
      </c>
      <c r="N72" s="2" t="s">
        <v>228</v>
      </c>
      <c r="O72" s="2" t="s">
        <v>107</v>
      </c>
      <c r="Q72" s="2" t="s">
        <v>50</v>
      </c>
      <c r="S72" s="7" t="s">
        <v>4844</v>
      </c>
      <c r="T72" s="7" t="s">
        <v>5713</v>
      </c>
      <c r="U72" s="2" t="s">
        <v>5785</v>
      </c>
    </row>
    <row r="73" spans="1:21" ht="12.75" x14ac:dyDescent="0.2">
      <c r="A73" s="1">
        <v>44342.73025202546</v>
      </c>
      <c r="B73" s="2" t="s">
        <v>449</v>
      </c>
      <c r="C73" s="2" t="s">
        <v>450</v>
      </c>
      <c r="D73" s="2" t="s">
        <v>223</v>
      </c>
      <c r="E73" s="3">
        <v>43435</v>
      </c>
      <c r="F73" s="4">
        <v>1645</v>
      </c>
      <c r="G73" s="2" t="s">
        <v>42</v>
      </c>
      <c r="H73" s="2" t="s">
        <v>43</v>
      </c>
      <c r="J73" s="2" t="s">
        <v>451</v>
      </c>
      <c r="K73" s="2" t="s">
        <v>452</v>
      </c>
      <c r="L73" s="2" t="s">
        <v>453</v>
      </c>
      <c r="M73" s="2" t="s">
        <v>454</v>
      </c>
      <c r="N73" s="2" t="s">
        <v>228</v>
      </c>
      <c r="O73" s="2" t="s">
        <v>455</v>
      </c>
      <c r="Q73" s="2" t="s">
        <v>50</v>
      </c>
      <c r="S73" s="7" t="s">
        <v>4845</v>
      </c>
      <c r="T73" s="7" t="s">
        <v>5713</v>
      </c>
      <c r="U73" s="2" t="s">
        <v>5786</v>
      </c>
    </row>
    <row r="74" spans="1:21" ht="12.75" x14ac:dyDescent="0.2">
      <c r="A74" s="1">
        <v>44342.730277939816</v>
      </c>
      <c r="B74" s="2" t="s">
        <v>456</v>
      </c>
      <c r="C74" s="2" t="s">
        <v>457</v>
      </c>
      <c r="D74" s="2" t="s">
        <v>223</v>
      </c>
      <c r="E74" s="3">
        <v>43462</v>
      </c>
      <c r="F74" s="4">
        <v>1000</v>
      </c>
      <c r="G74" s="2" t="s">
        <v>143</v>
      </c>
      <c r="H74" s="2" t="s">
        <v>43</v>
      </c>
      <c r="J74" s="2" t="s">
        <v>458</v>
      </c>
      <c r="K74" s="2" t="s">
        <v>459</v>
      </c>
      <c r="L74" s="2" t="s">
        <v>460</v>
      </c>
      <c r="M74" s="2" t="s">
        <v>461</v>
      </c>
      <c r="N74" s="2" t="s">
        <v>228</v>
      </c>
      <c r="O74" s="2" t="s">
        <v>462</v>
      </c>
      <c r="Q74" s="2" t="s">
        <v>50</v>
      </c>
      <c r="S74" s="7" t="s">
        <v>4846</v>
      </c>
      <c r="T74" s="7" t="s">
        <v>5713</v>
      </c>
      <c r="U74" s="2" t="s">
        <v>5787</v>
      </c>
    </row>
    <row r="75" spans="1:21" ht="12.75" x14ac:dyDescent="0.2">
      <c r="A75" s="1">
        <v>44342.730303703705</v>
      </c>
      <c r="B75" s="2" t="s">
        <v>438</v>
      </c>
      <c r="C75" s="2" t="s">
        <v>463</v>
      </c>
      <c r="D75" s="2" t="s">
        <v>223</v>
      </c>
      <c r="E75" s="3">
        <v>43862</v>
      </c>
      <c r="F75" s="4">
        <v>1</v>
      </c>
      <c r="G75" s="2" t="s">
        <v>42</v>
      </c>
      <c r="H75" s="2" t="s">
        <v>43</v>
      </c>
      <c r="J75" s="2" t="s">
        <v>464</v>
      </c>
      <c r="K75" s="2" t="s">
        <v>465</v>
      </c>
      <c r="L75" s="2" t="s">
        <v>466</v>
      </c>
      <c r="M75" s="2" t="s">
        <v>467</v>
      </c>
      <c r="N75" s="2" t="s">
        <v>228</v>
      </c>
      <c r="O75" s="2" t="s">
        <v>443</v>
      </c>
      <c r="Q75" s="2" t="s">
        <v>50</v>
      </c>
      <c r="S75" s="7" t="s">
        <v>4847</v>
      </c>
      <c r="T75" s="7" t="s">
        <v>5713</v>
      </c>
      <c r="U75" s="2" t="s">
        <v>5788</v>
      </c>
    </row>
    <row r="76" spans="1:21" ht="12.75" x14ac:dyDescent="0.2">
      <c r="A76" s="1">
        <v>44342.730329398153</v>
      </c>
      <c r="B76" s="2" t="s">
        <v>468</v>
      </c>
      <c r="C76" s="2" t="s">
        <v>469</v>
      </c>
      <c r="D76" s="2" t="s">
        <v>470</v>
      </c>
      <c r="E76" s="3">
        <v>44075</v>
      </c>
      <c r="F76" s="4">
        <v>1</v>
      </c>
      <c r="G76" s="2" t="s">
        <v>143</v>
      </c>
      <c r="H76" s="2" t="s">
        <v>43</v>
      </c>
      <c r="J76" s="2" t="s">
        <v>471</v>
      </c>
      <c r="K76" s="2" t="s">
        <v>472</v>
      </c>
      <c r="L76" s="2" t="s">
        <v>473</v>
      </c>
      <c r="M76" s="2" t="s">
        <v>474</v>
      </c>
      <c r="N76" s="2" t="s">
        <v>475</v>
      </c>
      <c r="O76" s="2" t="s">
        <v>476</v>
      </c>
      <c r="Q76" s="2" t="s">
        <v>50</v>
      </c>
      <c r="S76" s="7" t="s">
        <v>4848</v>
      </c>
      <c r="T76" s="7" t="s">
        <v>5713</v>
      </c>
      <c r="U76" s="2" t="s">
        <v>5789</v>
      </c>
    </row>
    <row r="77" spans="1:21" ht="12.75" x14ac:dyDescent="0.2">
      <c r="A77" s="1">
        <v>44342.730354479165</v>
      </c>
      <c r="B77" s="2" t="s">
        <v>477</v>
      </c>
      <c r="C77" s="2" t="s">
        <v>478</v>
      </c>
      <c r="D77" s="2" t="s">
        <v>223</v>
      </c>
      <c r="E77" s="3">
        <v>43831</v>
      </c>
      <c r="F77" s="4">
        <v>1</v>
      </c>
      <c r="G77" s="2" t="s">
        <v>143</v>
      </c>
      <c r="H77" s="2" t="s">
        <v>43</v>
      </c>
      <c r="K77" s="2" t="s">
        <v>479</v>
      </c>
      <c r="L77" s="2" t="s">
        <v>480</v>
      </c>
      <c r="M77" s="2" t="s">
        <v>481</v>
      </c>
      <c r="N77" s="2" t="s">
        <v>228</v>
      </c>
      <c r="O77" s="2" t="s">
        <v>482</v>
      </c>
      <c r="Q77" s="2" t="s">
        <v>50</v>
      </c>
      <c r="S77" s="7" t="s">
        <v>4849</v>
      </c>
      <c r="T77" s="7" t="s">
        <v>5713</v>
      </c>
      <c r="U77" s="2" t="s">
        <v>5790</v>
      </c>
    </row>
    <row r="78" spans="1:21" ht="12.75" x14ac:dyDescent="0.2">
      <c r="A78" s="1">
        <v>44342.730379780092</v>
      </c>
      <c r="B78" s="2" t="s">
        <v>234</v>
      </c>
      <c r="C78" s="2" t="s">
        <v>483</v>
      </c>
      <c r="D78" s="2" t="s">
        <v>223</v>
      </c>
      <c r="E78" s="3">
        <v>43831</v>
      </c>
      <c r="F78" s="4">
        <v>1</v>
      </c>
      <c r="G78" s="2" t="s">
        <v>143</v>
      </c>
      <c r="H78" s="2" t="s">
        <v>43</v>
      </c>
      <c r="K78" s="2" t="s">
        <v>484</v>
      </c>
      <c r="L78" s="2" t="s">
        <v>485</v>
      </c>
      <c r="M78" s="2" t="s">
        <v>486</v>
      </c>
      <c r="N78" s="2" t="s">
        <v>228</v>
      </c>
      <c r="O78" s="2" t="s">
        <v>240</v>
      </c>
      <c r="Q78" s="2" t="s">
        <v>50</v>
      </c>
      <c r="S78" s="7" t="s">
        <v>4850</v>
      </c>
      <c r="T78" s="7" t="s">
        <v>5713</v>
      </c>
      <c r="U78" s="2" t="s">
        <v>5791</v>
      </c>
    </row>
    <row r="79" spans="1:21" ht="12.75" x14ac:dyDescent="0.2">
      <c r="A79" s="1">
        <v>44342.730404803238</v>
      </c>
      <c r="B79" s="2" t="s">
        <v>487</v>
      </c>
      <c r="C79" s="2" t="s">
        <v>488</v>
      </c>
      <c r="D79" s="2" t="s">
        <v>41</v>
      </c>
      <c r="E79" s="3">
        <v>43122</v>
      </c>
      <c r="F79" s="4">
        <v>132998</v>
      </c>
      <c r="G79" s="2" t="s">
        <v>42</v>
      </c>
      <c r="H79" s="2" t="s">
        <v>43</v>
      </c>
      <c r="K79" s="2" t="s">
        <v>489</v>
      </c>
      <c r="L79" s="2" t="s">
        <v>490</v>
      </c>
      <c r="M79" s="2" t="s">
        <v>491</v>
      </c>
      <c r="N79" s="2" t="s">
        <v>48</v>
      </c>
      <c r="O79" s="2" t="s">
        <v>492</v>
      </c>
      <c r="Q79" s="2" t="s">
        <v>50</v>
      </c>
      <c r="S79" s="7" t="s">
        <v>4851</v>
      </c>
      <c r="T79" s="7" t="s">
        <v>5713</v>
      </c>
      <c r="U79" s="2" t="s">
        <v>5792</v>
      </c>
    </row>
    <row r="80" spans="1:21" ht="12.75" x14ac:dyDescent="0.2">
      <c r="A80" s="1">
        <v>44342.730429618052</v>
      </c>
      <c r="B80" s="2" t="s">
        <v>493</v>
      </c>
      <c r="C80" s="2" t="s">
        <v>494</v>
      </c>
      <c r="D80" s="2" t="s">
        <v>223</v>
      </c>
      <c r="E80" s="3">
        <v>43831</v>
      </c>
      <c r="F80" s="4">
        <v>1</v>
      </c>
      <c r="G80" s="2" t="s">
        <v>42</v>
      </c>
      <c r="H80" s="2" t="s">
        <v>43</v>
      </c>
      <c r="K80" s="2" t="s">
        <v>495</v>
      </c>
      <c r="L80" s="2" t="s">
        <v>496</v>
      </c>
      <c r="M80" s="2" t="s">
        <v>497</v>
      </c>
      <c r="N80" s="2" t="s">
        <v>228</v>
      </c>
      <c r="O80" s="2" t="s">
        <v>498</v>
      </c>
      <c r="Q80" s="2" t="s">
        <v>50</v>
      </c>
      <c r="S80" s="7" t="s">
        <v>4852</v>
      </c>
      <c r="T80" s="7" t="s">
        <v>5713</v>
      </c>
      <c r="U80" s="2" t="s">
        <v>5793</v>
      </c>
    </row>
    <row r="81" spans="1:21" ht="12.75" x14ac:dyDescent="0.2">
      <c r="A81" s="1">
        <v>44342.730454282406</v>
      </c>
      <c r="B81" s="2" t="s">
        <v>499</v>
      </c>
      <c r="C81" s="2" t="s">
        <v>500</v>
      </c>
      <c r="D81" s="2" t="s">
        <v>223</v>
      </c>
      <c r="E81" s="3">
        <v>43831</v>
      </c>
      <c r="F81" s="4">
        <v>1</v>
      </c>
      <c r="G81" s="2" t="s">
        <v>143</v>
      </c>
      <c r="H81" s="2" t="s">
        <v>43</v>
      </c>
      <c r="K81" s="2" t="s">
        <v>501</v>
      </c>
      <c r="L81" s="2" t="s">
        <v>502</v>
      </c>
      <c r="M81" s="2" t="s">
        <v>503</v>
      </c>
      <c r="N81" s="2" t="s">
        <v>228</v>
      </c>
      <c r="O81" s="2" t="s">
        <v>504</v>
      </c>
      <c r="Q81" s="2" t="s">
        <v>50</v>
      </c>
      <c r="S81" s="7" t="s">
        <v>4853</v>
      </c>
      <c r="T81" s="7" t="s">
        <v>5713</v>
      </c>
      <c r="U81" s="2" t="s">
        <v>5794</v>
      </c>
    </row>
    <row r="82" spans="1:21" ht="12.75" x14ac:dyDescent="0.2">
      <c r="A82" s="1">
        <v>44342.730479803242</v>
      </c>
      <c r="B82" s="2" t="s">
        <v>505</v>
      </c>
      <c r="C82" s="2" t="s">
        <v>506</v>
      </c>
      <c r="D82" s="2" t="s">
        <v>223</v>
      </c>
      <c r="E82" s="3">
        <v>43466</v>
      </c>
      <c r="F82" s="4">
        <v>1200</v>
      </c>
      <c r="G82" s="2" t="s">
        <v>143</v>
      </c>
      <c r="H82" s="2" t="s">
        <v>43</v>
      </c>
      <c r="K82" s="2" t="s">
        <v>507</v>
      </c>
      <c r="L82" s="2" t="s">
        <v>508</v>
      </c>
      <c r="M82" s="2" t="s">
        <v>509</v>
      </c>
      <c r="N82" s="2" t="s">
        <v>228</v>
      </c>
      <c r="O82" s="2" t="s">
        <v>510</v>
      </c>
      <c r="Q82" s="2" t="s">
        <v>50</v>
      </c>
      <c r="S82" s="7" t="s">
        <v>4854</v>
      </c>
      <c r="T82" s="7" t="s">
        <v>5713</v>
      </c>
      <c r="U82" s="2" t="s">
        <v>5795</v>
      </c>
    </row>
    <row r="83" spans="1:21" ht="12.75" x14ac:dyDescent="0.2">
      <c r="A83" s="1">
        <v>44342.730504479172</v>
      </c>
      <c r="B83" s="2" t="s">
        <v>511</v>
      </c>
      <c r="C83" s="2" t="s">
        <v>506</v>
      </c>
      <c r="D83" s="2" t="s">
        <v>223</v>
      </c>
      <c r="E83" s="3">
        <v>43471</v>
      </c>
      <c r="F83" s="4">
        <v>10</v>
      </c>
      <c r="G83" s="2" t="s">
        <v>143</v>
      </c>
      <c r="H83" s="2" t="s">
        <v>43</v>
      </c>
      <c r="K83" s="2" t="s">
        <v>512</v>
      </c>
      <c r="L83" s="2" t="s">
        <v>513</v>
      </c>
      <c r="M83" s="2" t="s">
        <v>514</v>
      </c>
      <c r="N83" s="2" t="s">
        <v>228</v>
      </c>
      <c r="O83" s="2" t="s">
        <v>515</v>
      </c>
      <c r="Q83" s="2" t="s">
        <v>50</v>
      </c>
      <c r="S83" s="7" t="s">
        <v>4855</v>
      </c>
      <c r="T83" s="7" t="s">
        <v>5713</v>
      </c>
      <c r="U83" s="2" t="s">
        <v>5796</v>
      </c>
    </row>
    <row r="84" spans="1:21" ht="12.75" x14ac:dyDescent="0.2">
      <c r="A84" s="1">
        <v>44342.730530081019</v>
      </c>
      <c r="B84" s="2" t="s">
        <v>516</v>
      </c>
      <c r="C84" s="2" t="s">
        <v>517</v>
      </c>
      <c r="D84" s="2" t="s">
        <v>41</v>
      </c>
      <c r="E84" s="3">
        <v>44170</v>
      </c>
      <c r="F84" s="4">
        <v>136600</v>
      </c>
      <c r="G84" s="2" t="s">
        <v>42</v>
      </c>
      <c r="H84" s="2" t="s">
        <v>43</v>
      </c>
      <c r="J84" s="2" t="s">
        <v>518</v>
      </c>
      <c r="K84" s="2" t="s">
        <v>519</v>
      </c>
      <c r="L84" s="2" t="s">
        <v>520</v>
      </c>
      <c r="M84" s="2" t="s">
        <v>521</v>
      </c>
      <c r="N84" s="2" t="s">
        <v>48</v>
      </c>
      <c r="O84" s="2" t="s">
        <v>522</v>
      </c>
      <c r="Q84" s="2" t="s">
        <v>50</v>
      </c>
      <c r="S84" s="7" t="s">
        <v>4856</v>
      </c>
      <c r="T84" s="7" t="s">
        <v>5713</v>
      </c>
      <c r="U84" s="2" t="s">
        <v>5797</v>
      </c>
    </row>
    <row r="85" spans="1:21" ht="12.75" x14ac:dyDescent="0.2">
      <c r="A85" s="1">
        <v>44342.730554895832</v>
      </c>
      <c r="B85" s="2" t="s">
        <v>523</v>
      </c>
      <c r="C85" s="2" t="s">
        <v>524</v>
      </c>
      <c r="D85" s="2" t="s">
        <v>333</v>
      </c>
      <c r="E85" s="3">
        <v>43990</v>
      </c>
      <c r="F85" s="4">
        <v>55680</v>
      </c>
      <c r="G85" s="2" t="s">
        <v>326</v>
      </c>
      <c r="H85" s="2" t="s">
        <v>43</v>
      </c>
      <c r="K85" s="2" t="s">
        <v>525</v>
      </c>
      <c r="L85" s="2" t="s">
        <v>526</v>
      </c>
      <c r="M85" s="2" t="s">
        <v>527</v>
      </c>
      <c r="N85" s="2" t="s">
        <v>337</v>
      </c>
      <c r="O85" s="2" t="s">
        <v>528</v>
      </c>
      <c r="Q85" s="2" t="s">
        <v>50</v>
      </c>
      <c r="S85" s="7" t="s">
        <v>4857</v>
      </c>
      <c r="T85" s="7" t="s">
        <v>5713</v>
      </c>
      <c r="U85" s="2" t="s">
        <v>5798</v>
      </c>
    </row>
    <row r="86" spans="1:21" ht="12.75" x14ac:dyDescent="0.2">
      <c r="A86" s="1">
        <v>44342.73058048611</v>
      </c>
      <c r="B86" s="2" t="s">
        <v>529</v>
      </c>
      <c r="C86" s="2" t="s">
        <v>463</v>
      </c>
      <c r="D86" s="2" t="s">
        <v>223</v>
      </c>
      <c r="E86" s="3">
        <v>43497</v>
      </c>
      <c r="F86" s="4">
        <v>3500</v>
      </c>
      <c r="G86" s="2" t="s">
        <v>42</v>
      </c>
      <c r="H86" s="2" t="s">
        <v>43</v>
      </c>
      <c r="K86" s="2" t="s">
        <v>530</v>
      </c>
      <c r="L86" s="2" t="s">
        <v>531</v>
      </c>
      <c r="M86" s="2" t="s">
        <v>532</v>
      </c>
      <c r="N86" s="2" t="s">
        <v>228</v>
      </c>
      <c r="O86" s="2" t="s">
        <v>533</v>
      </c>
      <c r="Q86" s="2" t="s">
        <v>50</v>
      </c>
      <c r="S86" s="7" t="s">
        <v>4858</v>
      </c>
      <c r="T86" s="7" t="s">
        <v>5713</v>
      </c>
      <c r="U86" s="2" t="s">
        <v>5799</v>
      </c>
    </row>
    <row r="87" spans="1:21" ht="12.75" x14ac:dyDescent="0.2">
      <c r="A87" s="1">
        <v>44342.730604918979</v>
      </c>
      <c r="B87" s="2" t="s">
        <v>534</v>
      </c>
      <c r="C87" s="2" t="s">
        <v>216</v>
      </c>
      <c r="D87" s="2" t="s">
        <v>223</v>
      </c>
      <c r="E87" s="3">
        <v>43146</v>
      </c>
      <c r="F87" s="4">
        <v>1400</v>
      </c>
      <c r="G87" s="2" t="s">
        <v>42</v>
      </c>
      <c r="H87" s="2" t="s">
        <v>43</v>
      </c>
      <c r="K87" s="2" t="s">
        <v>535</v>
      </c>
      <c r="L87" s="2" t="s">
        <v>536</v>
      </c>
      <c r="M87" s="2" t="s">
        <v>537</v>
      </c>
      <c r="N87" s="2" t="s">
        <v>228</v>
      </c>
      <c r="O87" s="2" t="s">
        <v>538</v>
      </c>
      <c r="Q87" s="2" t="s">
        <v>50</v>
      </c>
      <c r="S87" s="7" t="s">
        <v>4859</v>
      </c>
      <c r="T87" s="7" t="s">
        <v>5713</v>
      </c>
      <c r="U87" s="2" t="s">
        <v>5800</v>
      </c>
    </row>
    <row r="88" spans="1:21" ht="12.75" x14ac:dyDescent="0.2">
      <c r="A88" s="1">
        <v>44342.730631539351</v>
      </c>
      <c r="B88" s="2" t="s">
        <v>539</v>
      </c>
      <c r="C88" s="2" t="s">
        <v>540</v>
      </c>
      <c r="D88" s="2" t="s">
        <v>333</v>
      </c>
      <c r="E88" s="3">
        <v>43999</v>
      </c>
      <c r="F88" s="4">
        <v>8214</v>
      </c>
      <c r="G88" s="2" t="s">
        <v>42</v>
      </c>
      <c r="H88" s="2" t="s">
        <v>43</v>
      </c>
      <c r="K88" s="2" t="s">
        <v>541</v>
      </c>
      <c r="L88" s="2" t="s">
        <v>542</v>
      </c>
      <c r="M88" s="2" t="s">
        <v>543</v>
      </c>
      <c r="N88" s="2" t="s">
        <v>337</v>
      </c>
      <c r="O88" s="2" t="s">
        <v>544</v>
      </c>
      <c r="Q88" s="2" t="s">
        <v>50</v>
      </c>
      <c r="S88" s="7" t="s">
        <v>4860</v>
      </c>
      <c r="T88" s="7" t="s">
        <v>5713</v>
      </c>
      <c r="U88" s="2" t="s">
        <v>5801</v>
      </c>
    </row>
    <row r="89" spans="1:21" ht="12.75" x14ac:dyDescent="0.2">
      <c r="A89" s="1">
        <v>44342.730656030093</v>
      </c>
      <c r="B89" s="2" t="s">
        <v>438</v>
      </c>
      <c r="C89" s="2" t="s">
        <v>545</v>
      </c>
      <c r="D89" s="2" t="s">
        <v>223</v>
      </c>
      <c r="E89" s="3">
        <v>43497</v>
      </c>
      <c r="F89" s="4">
        <v>250</v>
      </c>
      <c r="G89" s="2" t="s">
        <v>143</v>
      </c>
      <c r="H89" s="2" t="s">
        <v>43</v>
      </c>
      <c r="K89" s="2" t="s">
        <v>440</v>
      </c>
      <c r="L89" s="2" t="s">
        <v>546</v>
      </c>
      <c r="M89" s="2" t="s">
        <v>547</v>
      </c>
      <c r="N89" s="2" t="s">
        <v>228</v>
      </c>
      <c r="O89" s="2" t="s">
        <v>443</v>
      </c>
      <c r="Q89" s="2" t="s">
        <v>50</v>
      </c>
      <c r="S89" s="7" t="s">
        <v>4861</v>
      </c>
      <c r="T89" s="7" t="s">
        <v>5713</v>
      </c>
      <c r="U89" s="2" t="s">
        <v>5802</v>
      </c>
    </row>
    <row r="90" spans="1:21" ht="12.75" x14ac:dyDescent="0.2">
      <c r="A90" s="1">
        <v>44342.7306809375</v>
      </c>
      <c r="B90" s="2" t="s">
        <v>438</v>
      </c>
      <c r="C90" s="2" t="s">
        <v>548</v>
      </c>
      <c r="D90" s="2" t="s">
        <v>223</v>
      </c>
      <c r="E90" s="3">
        <v>43497</v>
      </c>
      <c r="F90" s="4">
        <v>500</v>
      </c>
      <c r="G90" s="2" t="s">
        <v>143</v>
      </c>
      <c r="H90" s="2" t="s">
        <v>43</v>
      </c>
      <c r="K90" s="2" t="s">
        <v>440</v>
      </c>
      <c r="L90" s="2" t="s">
        <v>549</v>
      </c>
      <c r="M90" s="2" t="s">
        <v>550</v>
      </c>
      <c r="N90" s="2" t="s">
        <v>228</v>
      </c>
      <c r="O90" s="2" t="s">
        <v>443</v>
      </c>
      <c r="Q90" s="2" t="s">
        <v>50</v>
      </c>
      <c r="S90" s="7" t="s">
        <v>4862</v>
      </c>
      <c r="T90" s="7" t="s">
        <v>5713</v>
      </c>
      <c r="U90" s="2" t="s">
        <v>5803</v>
      </c>
    </row>
    <row r="91" spans="1:21" ht="12.75" x14ac:dyDescent="0.2">
      <c r="A91" s="1">
        <v>44342.730706886578</v>
      </c>
      <c r="B91" s="2" t="s">
        <v>432</v>
      </c>
      <c r="C91" s="2" t="s">
        <v>551</v>
      </c>
      <c r="D91" s="2" t="s">
        <v>223</v>
      </c>
      <c r="E91" s="3">
        <v>43617</v>
      </c>
      <c r="F91" s="4">
        <v>300</v>
      </c>
      <c r="G91" s="2" t="s">
        <v>143</v>
      </c>
      <c r="H91" s="2" t="s">
        <v>43</v>
      </c>
      <c r="K91" s="2" t="s">
        <v>552</v>
      </c>
      <c r="L91" s="2" t="s">
        <v>553</v>
      </c>
      <c r="M91" s="2" t="s">
        <v>554</v>
      </c>
      <c r="N91" s="2" t="s">
        <v>228</v>
      </c>
      <c r="O91" s="2" t="s">
        <v>437</v>
      </c>
      <c r="Q91" s="2" t="s">
        <v>50</v>
      </c>
      <c r="S91" s="7" t="s">
        <v>4863</v>
      </c>
      <c r="T91" s="7" t="s">
        <v>5713</v>
      </c>
      <c r="U91" s="2" t="s">
        <v>5804</v>
      </c>
    </row>
    <row r="92" spans="1:21" ht="12.75" x14ac:dyDescent="0.2">
      <c r="A92" s="1">
        <v>44342.730731134259</v>
      </c>
      <c r="B92" s="2" t="s">
        <v>83</v>
      </c>
      <c r="C92" s="2" t="s">
        <v>555</v>
      </c>
      <c r="D92" s="2" t="s">
        <v>223</v>
      </c>
      <c r="E92" s="3">
        <v>43592</v>
      </c>
      <c r="F92" s="4">
        <v>400</v>
      </c>
      <c r="G92" s="2" t="s">
        <v>143</v>
      </c>
      <c r="H92" s="2" t="s">
        <v>43</v>
      </c>
      <c r="K92" s="2" t="s">
        <v>556</v>
      </c>
      <c r="L92" s="2" t="s">
        <v>557</v>
      </c>
      <c r="M92" s="2" t="s">
        <v>558</v>
      </c>
      <c r="N92" s="2" t="s">
        <v>228</v>
      </c>
      <c r="O92" s="2" t="s">
        <v>88</v>
      </c>
      <c r="Q92" s="2" t="s">
        <v>50</v>
      </c>
      <c r="S92" s="7" t="s">
        <v>4864</v>
      </c>
      <c r="T92" s="7" t="s">
        <v>5713</v>
      </c>
      <c r="U92" s="2" t="s">
        <v>5805</v>
      </c>
    </row>
    <row r="93" spans="1:21" ht="12.75" x14ac:dyDescent="0.2">
      <c r="A93" s="1">
        <v>44342.730757152778</v>
      </c>
      <c r="B93" s="2" t="s">
        <v>559</v>
      </c>
      <c r="C93" s="2" t="s">
        <v>560</v>
      </c>
      <c r="D93" s="2" t="s">
        <v>223</v>
      </c>
      <c r="E93" s="3">
        <v>44013</v>
      </c>
      <c r="F93" s="4">
        <v>3000</v>
      </c>
      <c r="G93" s="2" t="s">
        <v>143</v>
      </c>
      <c r="H93" s="2" t="s">
        <v>43</v>
      </c>
      <c r="J93" s="2" t="s">
        <v>561</v>
      </c>
      <c r="K93" s="2" t="s">
        <v>562</v>
      </c>
      <c r="L93" s="2" t="s">
        <v>563</v>
      </c>
      <c r="M93" s="2" t="s">
        <v>564</v>
      </c>
      <c r="N93" s="2" t="s">
        <v>228</v>
      </c>
      <c r="O93" s="2" t="s">
        <v>565</v>
      </c>
      <c r="Q93" s="2" t="s">
        <v>50</v>
      </c>
      <c r="S93" s="7" t="s">
        <v>4865</v>
      </c>
      <c r="T93" s="7" t="s">
        <v>5713</v>
      </c>
      <c r="U93" s="2" t="s">
        <v>5806</v>
      </c>
    </row>
    <row r="94" spans="1:21" ht="12.75" x14ac:dyDescent="0.2">
      <c r="A94" s="1">
        <v>44342.730782060185</v>
      </c>
      <c r="B94" s="2" t="s">
        <v>566</v>
      </c>
      <c r="C94" s="2" t="s">
        <v>567</v>
      </c>
      <c r="D94" s="2" t="s">
        <v>223</v>
      </c>
      <c r="E94" s="3">
        <v>44014</v>
      </c>
      <c r="F94" s="4">
        <v>500</v>
      </c>
      <c r="G94" s="2" t="s">
        <v>143</v>
      </c>
      <c r="H94" s="2" t="s">
        <v>43</v>
      </c>
      <c r="J94" s="2" t="s">
        <v>568</v>
      </c>
      <c r="K94" s="2" t="s">
        <v>569</v>
      </c>
      <c r="L94" s="2" t="s">
        <v>570</v>
      </c>
      <c r="M94" s="2" t="s">
        <v>571</v>
      </c>
      <c r="N94" s="2" t="s">
        <v>228</v>
      </c>
      <c r="O94" s="2" t="s">
        <v>572</v>
      </c>
      <c r="Q94" s="2" t="s">
        <v>50</v>
      </c>
      <c r="S94" s="7" t="s">
        <v>4866</v>
      </c>
      <c r="T94" s="7" t="s">
        <v>5713</v>
      </c>
      <c r="U94" s="2" t="s">
        <v>5807</v>
      </c>
    </row>
    <row r="95" spans="1:21" ht="12.75" x14ac:dyDescent="0.2">
      <c r="A95" s="1">
        <v>44342.730807685184</v>
      </c>
      <c r="B95" s="2" t="s">
        <v>573</v>
      </c>
      <c r="C95" s="2" t="s">
        <v>574</v>
      </c>
      <c r="D95" s="2" t="s">
        <v>41</v>
      </c>
      <c r="E95" s="3">
        <v>44013</v>
      </c>
      <c r="F95" s="4">
        <v>64790</v>
      </c>
      <c r="G95" s="2" t="s">
        <v>42</v>
      </c>
      <c r="H95" s="2" t="s">
        <v>43</v>
      </c>
      <c r="J95" s="2" t="s">
        <v>575</v>
      </c>
      <c r="K95" s="2" t="s">
        <v>576</v>
      </c>
      <c r="L95" s="2" t="s">
        <v>577</v>
      </c>
      <c r="M95" s="2" t="s">
        <v>578</v>
      </c>
      <c r="N95" s="2" t="s">
        <v>48</v>
      </c>
      <c r="O95" s="2" t="s">
        <v>579</v>
      </c>
      <c r="Q95" s="2" t="s">
        <v>50</v>
      </c>
      <c r="S95" s="7" t="s">
        <v>4867</v>
      </c>
      <c r="T95" s="7" t="s">
        <v>5713</v>
      </c>
      <c r="U95" s="2" t="s">
        <v>5808</v>
      </c>
    </row>
    <row r="96" spans="1:21" ht="12.75" x14ac:dyDescent="0.2">
      <c r="A96" s="1">
        <v>44342.730832638888</v>
      </c>
      <c r="B96" s="2" t="s">
        <v>363</v>
      </c>
      <c r="C96" s="2" t="s">
        <v>580</v>
      </c>
      <c r="D96" s="2" t="s">
        <v>333</v>
      </c>
      <c r="E96" s="3">
        <v>43983</v>
      </c>
      <c r="F96" s="4">
        <v>4580.9399999999996</v>
      </c>
      <c r="G96" s="2" t="s">
        <v>42</v>
      </c>
      <c r="H96" s="2" t="s">
        <v>43</v>
      </c>
      <c r="K96" s="2" t="s">
        <v>581</v>
      </c>
      <c r="L96" s="2" t="s">
        <v>582</v>
      </c>
      <c r="M96" s="2" t="s">
        <v>583</v>
      </c>
      <c r="N96" s="2" t="s">
        <v>337</v>
      </c>
      <c r="O96" s="2" t="s">
        <v>368</v>
      </c>
      <c r="Q96" s="2" t="s">
        <v>50</v>
      </c>
      <c r="S96" s="7" t="s">
        <v>4868</v>
      </c>
      <c r="T96" s="7" t="s">
        <v>5713</v>
      </c>
      <c r="U96" s="2" t="s">
        <v>5809</v>
      </c>
    </row>
    <row r="97" spans="1:21" ht="12.75" x14ac:dyDescent="0.2">
      <c r="A97" s="1">
        <v>44342.730858703704</v>
      </c>
      <c r="B97" s="2" t="s">
        <v>114</v>
      </c>
      <c r="C97" s="2" t="s">
        <v>115</v>
      </c>
      <c r="D97" s="2" t="s">
        <v>223</v>
      </c>
      <c r="E97" s="3">
        <v>44013</v>
      </c>
      <c r="F97" s="4">
        <v>1</v>
      </c>
      <c r="G97" s="2" t="s">
        <v>143</v>
      </c>
      <c r="H97" s="2" t="s">
        <v>43</v>
      </c>
      <c r="K97" s="2" t="s">
        <v>584</v>
      </c>
      <c r="L97" s="2" t="s">
        <v>585</v>
      </c>
      <c r="M97" s="2" t="s">
        <v>586</v>
      </c>
      <c r="N97" s="2" t="s">
        <v>228</v>
      </c>
      <c r="O97" s="2" t="s">
        <v>119</v>
      </c>
      <c r="Q97" s="2" t="s">
        <v>50</v>
      </c>
      <c r="S97" s="7" t="s">
        <v>4869</v>
      </c>
      <c r="T97" s="7" t="s">
        <v>5713</v>
      </c>
      <c r="U97" s="2" t="s">
        <v>5810</v>
      </c>
    </row>
    <row r="98" spans="1:21" ht="12.75" x14ac:dyDescent="0.2">
      <c r="A98" s="1">
        <v>44342.730884548611</v>
      </c>
      <c r="B98" s="2" t="s">
        <v>587</v>
      </c>
      <c r="C98" s="2" t="s">
        <v>588</v>
      </c>
      <c r="D98" s="2" t="s">
        <v>333</v>
      </c>
      <c r="E98" s="3">
        <v>44004</v>
      </c>
      <c r="F98" s="4">
        <v>9885</v>
      </c>
      <c r="G98" s="2" t="s">
        <v>143</v>
      </c>
      <c r="H98" s="2" t="s">
        <v>43</v>
      </c>
      <c r="K98" s="2" t="s">
        <v>589</v>
      </c>
      <c r="L98" s="2" t="s">
        <v>590</v>
      </c>
      <c r="M98" s="2" t="s">
        <v>591</v>
      </c>
      <c r="N98" s="2" t="s">
        <v>337</v>
      </c>
      <c r="O98" s="2" t="s">
        <v>592</v>
      </c>
      <c r="Q98" s="2" t="s">
        <v>50</v>
      </c>
      <c r="S98" s="7" t="s">
        <v>4870</v>
      </c>
      <c r="T98" s="7" t="s">
        <v>5713</v>
      </c>
      <c r="U98" s="2" t="s">
        <v>5811</v>
      </c>
    </row>
    <row r="99" spans="1:21" ht="12.75" x14ac:dyDescent="0.2">
      <c r="A99" s="1">
        <v>44342.730909282407</v>
      </c>
      <c r="B99" s="2" t="s">
        <v>271</v>
      </c>
      <c r="C99" s="2" t="s">
        <v>272</v>
      </c>
      <c r="D99" s="2" t="s">
        <v>223</v>
      </c>
      <c r="E99" s="3">
        <v>43891</v>
      </c>
      <c r="F99" s="4">
        <v>1</v>
      </c>
      <c r="G99" s="2" t="s">
        <v>143</v>
      </c>
      <c r="H99" s="2" t="s">
        <v>43</v>
      </c>
      <c r="K99" s="2" t="s">
        <v>593</v>
      </c>
      <c r="L99" s="2" t="s">
        <v>594</v>
      </c>
      <c r="M99" s="2" t="s">
        <v>595</v>
      </c>
      <c r="N99" s="2" t="s">
        <v>228</v>
      </c>
      <c r="O99" s="2" t="s">
        <v>276</v>
      </c>
      <c r="Q99" s="2" t="s">
        <v>50</v>
      </c>
      <c r="S99" s="7" t="s">
        <v>4871</v>
      </c>
      <c r="T99" s="7" t="s">
        <v>5713</v>
      </c>
      <c r="U99" s="2" t="s">
        <v>5812</v>
      </c>
    </row>
    <row r="100" spans="1:21" ht="12.75" x14ac:dyDescent="0.2">
      <c r="A100" s="1">
        <v>44342.730934733801</v>
      </c>
      <c r="B100" s="2" t="s">
        <v>141</v>
      </c>
      <c r="C100" s="2" t="s">
        <v>596</v>
      </c>
      <c r="D100" s="2" t="s">
        <v>223</v>
      </c>
      <c r="E100" s="3">
        <v>44019</v>
      </c>
      <c r="F100" s="4">
        <v>1</v>
      </c>
      <c r="G100" s="2" t="s">
        <v>143</v>
      </c>
      <c r="H100" s="2" t="s">
        <v>43</v>
      </c>
      <c r="J100" s="2" t="s">
        <v>597</v>
      </c>
      <c r="K100" s="2" t="s">
        <v>598</v>
      </c>
      <c r="L100" s="2" t="s">
        <v>599</v>
      </c>
      <c r="M100" s="2" t="s">
        <v>600</v>
      </c>
      <c r="N100" s="2" t="s">
        <v>228</v>
      </c>
      <c r="O100" s="2" t="s">
        <v>147</v>
      </c>
      <c r="Q100" s="2" t="s">
        <v>50</v>
      </c>
      <c r="S100" s="7" t="s">
        <v>4872</v>
      </c>
      <c r="T100" s="7" t="s">
        <v>5713</v>
      </c>
      <c r="U100" s="2" t="s">
        <v>5813</v>
      </c>
    </row>
    <row r="101" spans="1:21" ht="12.75" x14ac:dyDescent="0.2">
      <c r="A101" s="1">
        <v>44342.730960879635</v>
      </c>
      <c r="B101" s="2" t="s">
        <v>51</v>
      </c>
      <c r="C101" s="2" t="s">
        <v>172</v>
      </c>
      <c r="D101" s="2" t="s">
        <v>223</v>
      </c>
      <c r="E101" s="3">
        <v>43102</v>
      </c>
      <c r="F101" s="4">
        <v>1</v>
      </c>
      <c r="G101" s="2" t="s">
        <v>143</v>
      </c>
      <c r="H101" s="2" t="s">
        <v>43</v>
      </c>
      <c r="K101" s="2" t="s">
        <v>601</v>
      </c>
      <c r="L101" s="2" t="s">
        <v>602</v>
      </c>
      <c r="M101" s="2" t="s">
        <v>603</v>
      </c>
      <c r="N101" s="2" t="s">
        <v>228</v>
      </c>
      <c r="O101" s="2" t="s">
        <v>57</v>
      </c>
      <c r="Q101" s="2" t="s">
        <v>50</v>
      </c>
      <c r="S101" s="7" t="s">
        <v>4873</v>
      </c>
      <c r="T101" s="7" t="s">
        <v>5713</v>
      </c>
      <c r="U101" s="2" t="s">
        <v>5814</v>
      </c>
    </row>
    <row r="102" spans="1:21" ht="12.75" x14ac:dyDescent="0.2">
      <c r="A102" s="1">
        <v>44342.730987939816</v>
      </c>
      <c r="B102" s="2" t="s">
        <v>604</v>
      </c>
      <c r="C102" s="2" t="s">
        <v>216</v>
      </c>
      <c r="D102" s="2" t="s">
        <v>223</v>
      </c>
      <c r="E102" s="3">
        <v>43647</v>
      </c>
      <c r="F102" s="4">
        <v>1</v>
      </c>
      <c r="G102" s="2" t="s">
        <v>42</v>
      </c>
      <c r="H102" s="2" t="s">
        <v>43</v>
      </c>
      <c r="J102" s="2" t="s">
        <v>605</v>
      </c>
      <c r="K102" s="2" t="s">
        <v>606</v>
      </c>
      <c r="L102" s="2" t="s">
        <v>607</v>
      </c>
      <c r="M102" s="2" t="s">
        <v>608</v>
      </c>
      <c r="N102" s="2" t="s">
        <v>228</v>
      </c>
      <c r="O102" s="2" t="s">
        <v>609</v>
      </c>
      <c r="Q102" s="2" t="s">
        <v>50</v>
      </c>
      <c r="S102" s="7" t="s">
        <v>4874</v>
      </c>
      <c r="T102" s="7" t="s">
        <v>5713</v>
      </c>
      <c r="U102" s="2" t="s">
        <v>5815</v>
      </c>
    </row>
    <row r="103" spans="1:21" ht="12.75" x14ac:dyDescent="0.2">
      <c r="A103" s="1">
        <v>44342.731013275465</v>
      </c>
      <c r="B103" s="2" t="s">
        <v>102</v>
      </c>
      <c r="C103" s="2" t="s">
        <v>610</v>
      </c>
      <c r="D103" s="2" t="s">
        <v>223</v>
      </c>
      <c r="E103" s="3">
        <v>44013</v>
      </c>
      <c r="F103" s="4">
        <v>1</v>
      </c>
      <c r="G103" s="2" t="s">
        <v>143</v>
      </c>
      <c r="H103" s="2" t="s">
        <v>43</v>
      </c>
      <c r="K103" s="2" t="s">
        <v>611</v>
      </c>
      <c r="L103" s="2" t="s">
        <v>612</v>
      </c>
      <c r="M103" s="2" t="s">
        <v>613</v>
      </c>
      <c r="N103" s="2" t="s">
        <v>228</v>
      </c>
      <c r="O103" s="2" t="s">
        <v>107</v>
      </c>
      <c r="Q103" s="2" t="s">
        <v>50</v>
      </c>
      <c r="S103" s="7" t="s">
        <v>4875</v>
      </c>
      <c r="T103" s="7" t="s">
        <v>5713</v>
      </c>
      <c r="U103" s="2" t="s">
        <v>5816</v>
      </c>
    </row>
    <row r="104" spans="1:21" ht="12.75" x14ac:dyDescent="0.2">
      <c r="A104" s="1">
        <v>44342.731038564816</v>
      </c>
      <c r="B104" s="2" t="s">
        <v>181</v>
      </c>
      <c r="C104" s="2" t="s">
        <v>182</v>
      </c>
      <c r="D104" s="2" t="s">
        <v>223</v>
      </c>
      <c r="E104" s="3">
        <v>43831</v>
      </c>
      <c r="F104" s="4">
        <v>1</v>
      </c>
      <c r="G104" s="2" t="s">
        <v>143</v>
      </c>
      <c r="H104" s="2" t="s">
        <v>43</v>
      </c>
      <c r="K104" s="2" t="s">
        <v>614</v>
      </c>
      <c r="L104" s="2" t="s">
        <v>615</v>
      </c>
      <c r="M104" s="2" t="s">
        <v>616</v>
      </c>
      <c r="N104" s="2" t="s">
        <v>228</v>
      </c>
      <c r="O104" s="2" t="s">
        <v>186</v>
      </c>
      <c r="Q104" s="2" t="s">
        <v>50</v>
      </c>
      <c r="S104" s="7" t="s">
        <v>4876</v>
      </c>
      <c r="T104" s="7" t="s">
        <v>5713</v>
      </c>
      <c r="U104" s="2" t="s">
        <v>5817</v>
      </c>
    </row>
    <row r="105" spans="1:21" ht="12.75" x14ac:dyDescent="0.2">
      <c r="A105" s="1">
        <v>44342.731064178239</v>
      </c>
      <c r="B105" s="2" t="s">
        <v>83</v>
      </c>
      <c r="C105" s="2" t="s">
        <v>205</v>
      </c>
      <c r="D105" s="2" t="s">
        <v>223</v>
      </c>
      <c r="E105" s="3">
        <v>43586</v>
      </c>
      <c r="F105" s="4">
        <v>1</v>
      </c>
      <c r="G105" s="2" t="s">
        <v>143</v>
      </c>
      <c r="H105" s="2" t="s">
        <v>43</v>
      </c>
      <c r="J105" s="2" t="s">
        <v>617</v>
      </c>
      <c r="K105" s="2" t="s">
        <v>618</v>
      </c>
      <c r="L105" s="2" t="s">
        <v>619</v>
      </c>
      <c r="M105" s="2" t="s">
        <v>620</v>
      </c>
      <c r="N105" s="2" t="s">
        <v>228</v>
      </c>
      <c r="O105" s="2" t="s">
        <v>88</v>
      </c>
      <c r="Q105" s="2" t="s">
        <v>50</v>
      </c>
      <c r="S105" s="7" t="s">
        <v>4877</v>
      </c>
      <c r="T105" s="7" t="s">
        <v>5713</v>
      </c>
      <c r="U105" s="2" t="s">
        <v>5818</v>
      </c>
    </row>
    <row r="106" spans="1:21" ht="12.75" x14ac:dyDescent="0.2">
      <c r="A106" s="1">
        <v>44342.73108834491</v>
      </c>
      <c r="B106" s="2" t="s">
        <v>621</v>
      </c>
      <c r="C106" s="2" t="s">
        <v>200</v>
      </c>
      <c r="D106" s="2" t="s">
        <v>223</v>
      </c>
      <c r="E106" s="3">
        <v>43466</v>
      </c>
      <c r="F106" s="4">
        <v>1</v>
      </c>
      <c r="G106" s="2" t="s">
        <v>42</v>
      </c>
      <c r="H106" s="2" t="s">
        <v>43</v>
      </c>
      <c r="J106" s="2" t="s">
        <v>622</v>
      </c>
      <c r="K106" s="2" t="s">
        <v>623</v>
      </c>
      <c r="L106" s="2" t="s">
        <v>624</v>
      </c>
      <c r="M106" s="2" t="s">
        <v>625</v>
      </c>
      <c r="N106" s="2" t="s">
        <v>228</v>
      </c>
      <c r="O106" s="2" t="s">
        <v>626</v>
      </c>
      <c r="Q106" s="2" t="s">
        <v>50</v>
      </c>
      <c r="S106" s="7" t="s">
        <v>4878</v>
      </c>
      <c r="T106" s="7" t="s">
        <v>5713</v>
      </c>
      <c r="U106" s="2" t="s">
        <v>5819</v>
      </c>
    </row>
    <row r="107" spans="1:21" ht="12.75" x14ac:dyDescent="0.2">
      <c r="A107" s="1">
        <v>44342.731113171292</v>
      </c>
      <c r="B107" s="2" t="s">
        <v>627</v>
      </c>
      <c r="C107" s="2" t="s">
        <v>210</v>
      </c>
      <c r="D107" s="2" t="s">
        <v>223</v>
      </c>
      <c r="E107" s="3">
        <v>43132</v>
      </c>
      <c r="F107" s="4">
        <v>1</v>
      </c>
      <c r="G107" s="2" t="s">
        <v>143</v>
      </c>
      <c r="H107" s="2" t="s">
        <v>43</v>
      </c>
      <c r="J107" s="2" t="s">
        <v>628</v>
      </c>
      <c r="K107" s="2" t="s">
        <v>629</v>
      </c>
      <c r="L107" s="2" t="s">
        <v>630</v>
      </c>
      <c r="M107" s="2" t="s">
        <v>631</v>
      </c>
      <c r="N107" s="2" t="s">
        <v>228</v>
      </c>
      <c r="O107" s="2" t="s">
        <v>632</v>
      </c>
      <c r="Q107" s="2" t="s">
        <v>50</v>
      </c>
      <c r="S107" s="7" t="s">
        <v>4879</v>
      </c>
      <c r="T107" s="7" t="s">
        <v>5713</v>
      </c>
      <c r="U107" s="2" t="s">
        <v>5820</v>
      </c>
    </row>
    <row r="108" spans="1:21" ht="12.75" x14ac:dyDescent="0.2">
      <c r="A108" s="1">
        <v>44342.73113724537</v>
      </c>
      <c r="B108" s="2" t="s">
        <v>108</v>
      </c>
      <c r="C108" s="2" t="s">
        <v>109</v>
      </c>
      <c r="D108" s="2" t="s">
        <v>223</v>
      </c>
      <c r="E108" s="3">
        <v>43957</v>
      </c>
      <c r="F108" s="4">
        <v>1</v>
      </c>
      <c r="G108" s="2" t="s">
        <v>143</v>
      </c>
      <c r="H108" s="2" t="s">
        <v>43</v>
      </c>
      <c r="K108" s="2" t="s">
        <v>633</v>
      </c>
      <c r="L108" s="2" t="s">
        <v>634</v>
      </c>
      <c r="M108" s="2" t="s">
        <v>635</v>
      </c>
      <c r="N108" s="2" t="s">
        <v>228</v>
      </c>
      <c r="O108" s="2" t="s">
        <v>113</v>
      </c>
      <c r="Q108" s="2" t="s">
        <v>50</v>
      </c>
      <c r="S108" s="7" t="s">
        <v>4880</v>
      </c>
      <c r="T108" s="7" t="s">
        <v>5713</v>
      </c>
      <c r="U108" s="2" t="s">
        <v>5821</v>
      </c>
    </row>
    <row r="109" spans="1:21" ht="12.75" x14ac:dyDescent="0.2">
      <c r="A109" s="1">
        <v>44342.731162824071</v>
      </c>
      <c r="B109" s="2" t="s">
        <v>83</v>
      </c>
      <c r="C109" s="2" t="s">
        <v>84</v>
      </c>
      <c r="D109" s="2" t="s">
        <v>223</v>
      </c>
      <c r="E109" s="3">
        <v>43633</v>
      </c>
      <c r="F109" s="4">
        <v>1</v>
      </c>
      <c r="G109" s="2" t="s">
        <v>143</v>
      </c>
      <c r="H109" s="2" t="s">
        <v>43</v>
      </c>
      <c r="K109" s="2" t="s">
        <v>636</v>
      </c>
      <c r="L109" s="2" t="s">
        <v>637</v>
      </c>
      <c r="M109" s="2" t="s">
        <v>638</v>
      </c>
      <c r="N109" s="2" t="s">
        <v>228</v>
      </c>
      <c r="O109" s="2" t="s">
        <v>88</v>
      </c>
      <c r="Q109" s="2" t="s">
        <v>50</v>
      </c>
      <c r="S109" s="7" t="s">
        <v>4881</v>
      </c>
      <c r="T109" s="7" t="s">
        <v>5713</v>
      </c>
      <c r="U109" s="2" t="s">
        <v>5822</v>
      </c>
    </row>
    <row r="110" spans="1:21" ht="12.75" x14ac:dyDescent="0.2">
      <c r="A110" s="1">
        <v>44342.73118761574</v>
      </c>
      <c r="B110" s="2" t="s">
        <v>160</v>
      </c>
      <c r="C110" s="2" t="s">
        <v>161</v>
      </c>
      <c r="D110" s="2" t="s">
        <v>223</v>
      </c>
      <c r="E110" s="3">
        <v>43311</v>
      </c>
      <c r="F110" s="4">
        <v>1</v>
      </c>
      <c r="G110" s="2" t="s">
        <v>42</v>
      </c>
      <c r="H110" s="2" t="s">
        <v>43</v>
      </c>
      <c r="K110" s="2" t="s">
        <v>639</v>
      </c>
      <c r="L110" s="2" t="s">
        <v>640</v>
      </c>
      <c r="M110" s="2" t="s">
        <v>641</v>
      </c>
      <c r="N110" s="2" t="s">
        <v>228</v>
      </c>
      <c r="O110" s="2" t="s">
        <v>165</v>
      </c>
      <c r="Q110" s="2" t="s">
        <v>50</v>
      </c>
      <c r="S110" s="7" t="s">
        <v>4882</v>
      </c>
      <c r="T110" s="7" t="s">
        <v>5713</v>
      </c>
      <c r="U110" s="2" t="s">
        <v>5823</v>
      </c>
    </row>
    <row r="111" spans="1:21" ht="12.75" x14ac:dyDescent="0.2">
      <c r="A111" s="1">
        <v>44342.731212523147</v>
      </c>
      <c r="B111" s="2" t="s">
        <v>234</v>
      </c>
      <c r="C111" s="2" t="s">
        <v>277</v>
      </c>
      <c r="D111" s="2" t="s">
        <v>223</v>
      </c>
      <c r="E111" s="3">
        <v>43788</v>
      </c>
      <c r="F111" s="4">
        <v>1</v>
      </c>
      <c r="G111" s="2" t="s">
        <v>42</v>
      </c>
      <c r="H111" s="2" t="s">
        <v>43</v>
      </c>
      <c r="K111" s="2" t="s">
        <v>642</v>
      </c>
      <c r="L111" s="2" t="s">
        <v>643</v>
      </c>
      <c r="M111" s="2" t="s">
        <v>644</v>
      </c>
      <c r="N111" s="2" t="s">
        <v>228</v>
      </c>
      <c r="O111" s="2" t="s">
        <v>240</v>
      </c>
      <c r="Q111" s="2" t="s">
        <v>50</v>
      </c>
      <c r="S111" s="7" t="s">
        <v>4883</v>
      </c>
      <c r="T111" s="7" t="s">
        <v>5713</v>
      </c>
      <c r="U111" s="2" t="s">
        <v>5824</v>
      </c>
    </row>
    <row r="112" spans="1:21" ht="12.75" x14ac:dyDescent="0.2">
      <c r="A112" s="1">
        <v>44342.731237175925</v>
      </c>
      <c r="B112" s="2" t="s">
        <v>645</v>
      </c>
      <c r="C112" s="2" t="s">
        <v>176</v>
      </c>
      <c r="D112" s="2" t="s">
        <v>223</v>
      </c>
      <c r="E112" s="3">
        <v>43879</v>
      </c>
      <c r="F112" s="4">
        <v>1</v>
      </c>
      <c r="G112" s="2" t="s">
        <v>42</v>
      </c>
      <c r="H112" s="2" t="s">
        <v>43</v>
      </c>
      <c r="J112" s="2" t="s">
        <v>646</v>
      </c>
      <c r="K112" s="2" t="s">
        <v>647</v>
      </c>
      <c r="L112" s="2" t="s">
        <v>648</v>
      </c>
      <c r="M112" s="2" t="s">
        <v>649</v>
      </c>
      <c r="N112" s="2" t="s">
        <v>228</v>
      </c>
      <c r="O112" s="2" t="s">
        <v>650</v>
      </c>
      <c r="Q112" s="2" t="s">
        <v>50</v>
      </c>
      <c r="S112" s="7" t="s">
        <v>4884</v>
      </c>
      <c r="T112" s="7" t="s">
        <v>5713</v>
      </c>
      <c r="U112" s="2" t="s">
        <v>5825</v>
      </c>
    </row>
    <row r="113" spans="1:21" ht="12.75" x14ac:dyDescent="0.2">
      <c r="A113" s="1">
        <v>44342.731262314817</v>
      </c>
      <c r="B113" s="2" t="s">
        <v>651</v>
      </c>
      <c r="C113" s="2" t="s">
        <v>230</v>
      </c>
      <c r="D113" s="2" t="s">
        <v>223</v>
      </c>
      <c r="E113" s="3">
        <v>43770</v>
      </c>
      <c r="F113" s="4">
        <v>1</v>
      </c>
      <c r="G113" s="2" t="s">
        <v>42</v>
      </c>
      <c r="H113" s="2" t="s">
        <v>43</v>
      </c>
      <c r="K113" s="2" t="s">
        <v>652</v>
      </c>
      <c r="L113" s="2" t="s">
        <v>653</v>
      </c>
      <c r="M113" s="2" t="s">
        <v>654</v>
      </c>
      <c r="N113" s="2" t="s">
        <v>228</v>
      </c>
      <c r="O113" s="2" t="s">
        <v>655</v>
      </c>
      <c r="Q113" s="2" t="s">
        <v>50</v>
      </c>
      <c r="S113" s="7" t="s">
        <v>4885</v>
      </c>
      <c r="T113" s="7" t="s">
        <v>5713</v>
      </c>
      <c r="U113" s="2" t="s">
        <v>5826</v>
      </c>
    </row>
    <row r="114" spans="1:21" ht="12.75" x14ac:dyDescent="0.2">
      <c r="A114" s="1">
        <v>44342.731287152783</v>
      </c>
      <c r="B114" s="2" t="s">
        <v>331</v>
      </c>
      <c r="C114" s="2" t="s">
        <v>656</v>
      </c>
      <c r="D114" s="2" t="s">
        <v>223</v>
      </c>
      <c r="E114" s="3">
        <v>43586</v>
      </c>
      <c r="F114" s="4">
        <v>1</v>
      </c>
      <c r="G114" s="2" t="s">
        <v>42</v>
      </c>
      <c r="H114" s="2" t="s">
        <v>43</v>
      </c>
      <c r="K114" s="2" t="s">
        <v>657</v>
      </c>
      <c r="L114" s="2" t="s">
        <v>658</v>
      </c>
      <c r="M114" s="2" t="s">
        <v>659</v>
      </c>
      <c r="N114" s="2" t="s">
        <v>228</v>
      </c>
      <c r="O114" s="2" t="s">
        <v>338</v>
      </c>
      <c r="Q114" s="2" t="s">
        <v>50</v>
      </c>
      <c r="S114" s="7" t="s">
        <v>4886</v>
      </c>
      <c r="T114" s="7" t="s">
        <v>5713</v>
      </c>
      <c r="U114" s="2" t="s">
        <v>5827</v>
      </c>
    </row>
    <row r="115" spans="1:21" ht="12.75" x14ac:dyDescent="0.2">
      <c r="A115" s="1">
        <v>44342.731312152777</v>
      </c>
      <c r="B115" s="2" t="s">
        <v>339</v>
      </c>
      <c r="C115" s="2" t="s">
        <v>340</v>
      </c>
      <c r="D115" s="2" t="s">
        <v>223</v>
      </c>
      <c r="E115" s="3">
        <v>43571</v>
      </c>
      <c r="F115" s="4">
        <v>1</v>
      </c>
      <c r="G115" s="2" t="s">
        <v>42</v>
      </c>
      <c r="H115" s="2" t="s">
        <v>43</v>
      </c>
      <c r="J115" s="2" t="s">
        <v>660</v>
      </c>
      <c r="K115" s="2" t="s">
        <v>661</v>
      </c>
      <c r="L115" s="2" t="s">
        <v>662</v>
      </c>
      <c r="M115" s="2" t="s">
        <v>663</v>
      </c>
      <c r="N115" s="2" t="s">
        <v>228</v>
      </c>
      <c r="O115" s="2" t="s">
        <v>344</v>
      </c>
      <c r="Q115" s="2" t="s">
        <v>50</v>
      </c>
      <c r="S115" s="7" t="s">
        <v>4887</v>
      </c>
      <c r="T115" s="7" t="s">
        <v>5713</v>
      </c>
      <c r="U115" s="2" t="s">
        <v>5828</v>
      </c>
    </row>
    <row r="116" spans="1:21" ht="12.75" x14ac:dyDescent="0.2">
      <c r="A116" s="1">
        <v>44342.731336956014</v>
      </c>
      <c r="B116" s="2" t="s">
        <v>148</v>
      </c>
      <c r="C116" s="2" t="s">
        <v>149</v>
      </c>
      <c r="D116" s="2" t="s">
        <v>223</v>
      </c>
      <c r="E116" s="3">
        <v>43108</v>
      </c>
      <c r="F116" s="4">
        <v>1</v>
      </c>
      <c r="G116" s="2" t="s">
        <v>42</v>
      </c>
      <c r="H116" s="2" t="s">
        <v>43</v>
      </c>
      <c r="K116" s="2" t="s">
        <v>664</v>
      </c>
      <c r="L116" s="2" t="s">
        <v>665</v>
      </c>
      <c r="M116" s="2" t="s">
        <v>666</v>
      </c>
      <c r="N116" s="2" t="s">
        <v>228</v>
      </c>
      <c r="O116" s="2" t="s">
        <v>153</v>
      </c>
      <c r="Q116" s="2" t="s">
        <v>50</v>
      </c>
      <c r="S116" s="7" t="s">
        <v>4888</v>
      </c>
      <c r="T116" s="7" t="s">
        <v>5713</v>
      </c>
      <c r="U116" s="2" t="s">
        <v>5829</v>
      </c>
    </row>
    <row r="117" spans="1:21" ht="12.75" x14ac:dyDescent="0.2">
      <c r="A117" s="1">
        <v>44342.731362210645</v>
      </c>
      <c r="B117" s="2" t="s">
        <v>120</v>
      </c>
      <c r="C117" s="2" t="s">
        <v>121</v>
      </c>
      <c r="D117" s="2" t="s">
        <v>223</v>
      </c>
      <c r="E117" s="3">
        <v>44075</v>
      </c>
      <c r="F117" s="4">
        <v>1</v>
      </c>
      <c r="G117" s="2" t="s">
        <v>42</v>
      </c>
      <c r="H117" s="2" t="s">
        <v>43</v>
      </c>
      <c r="J117" s="2" t="s">
        <v>667</v>
      </c>
      <c r="K117" s="2" t="s">
        <v>668</v>
      </c>
      <c r="L117" s="2" t="s">
        <v>669</v>
      </c>
      <c r="M117" s="2" t="s">
        <v>670</v>
      </c>
      <c r="N117" s="2" t="s">
        <v>228</v>
      </c>
      <c r="O117" s="2" t="s">
        <v>126</v>
      </c>
      <c r="Q117" s="2" t="s">
        <v>50</v>
      </c>
      <c r="S117" s="7" t="s">
        <v>4889</v>
      </c>
      <c r="T117" s="7" t="s">
        <v>5713</v>
      </c>
      <c r="U117" s="2" t="s">
        <v>5830</v>
      </c>
    </row>
    <row r="118" spans="1:21" ht="12.75" x14ac:dyDescent="0.2">
      <c r="A118" s="1">
        <v>44342.731386354164</v>
      </c>
      <c r="B118" s="2" t="s">
        <v>148</v>
      </c>
      <c r="C118" s="2" t="s">
        <v>671</v>
      </c>
      <c r="D118" s="2" t="s">
        <v>672</v>
      </c>
      <c r="E118" s="3">
        <v>44013</v>
      </c>
      <c r="F118" s="4">
        <v>2000</v>
      </c>
      <c r="G118" s="2" t="s">
        <v>143</v>
      </c>
      <c r="H118" s="2" t="s">
        <v>43</v>
      </c>
      <c r="K118" s="2" t="s">
        <v>673</v>
      </c>
      <c r="L118" s="2" t="s">
        <v>674</v>
      </c>
      <c r="M118" s="2" t="s">
        <v>675</v>
      </c>
      <c r="N118" s="2" t="s">
        <v>676</v>
      </c>
      <c r="O118" s="2" t="s">
        <v>153</v>
      </c>
      <c r="Q118" s="2" t="s">
        <v>50</v>
      </c>
      <c r="S118" s="7" t="s">
        <v>4890</v>
      </c>
      <c r="T118" s="7" t="s">
        <v>5713</v>
      </c>
      <c r="U118" s="2" t="s">
        <v>5831</v>
      </c>
    </row>
    <row r="119" spans="1:21" ht="12.75" x14ac:dyDescent="0.2">
      <c r="A119" s="1">
        <v>44342.731411296292</v>
      </c>
      <c r="B119" s="2" t="s">
        <v>120</v>
      </c>
      <c r="C119" s="2" t="s">
        <v>410</v>
      </c>
      <c r="D119" s="2" t="s">
        <v>223</v>
      </c>
      <c r="E119" s="3">
        <v>44170</v>
      </c>
      <c r="F119" s="4">
        <v>1</v>
      </c>
      <c r="G119" s="2" t="s">
        <v>42</v>
      </c>
      <c r="H119" s="2" t="s">
        <v>43</v>
      </c>
      <c r="K119" s="2" t="s">
        <v>677</v>
      </c>
      <c r="L119" s="2" t="s">
        <v>678</v>
      </c>
      <c r="M119" s="2" t="s">
        <v>679</v>
      </c>
      <c r="N119" s="2" t="s">
        <v>228</v>
      </c>
      <c r="O119" s="2" t="s">
        <v>126</v>
      </c>
      <c r="Q119" s="2" t="s">
        <v>50</v>
      </c>
      <c r="S119" s="7" t="s">
        <v>4891</v>
      </c>
      <c r="T119" s="7" t="s">
        <v>5713</v>
      </c>
      <c r="U119" s="2" t="s">
        <v>5832</v>
      </c>
    </row>
    <row r="120" spans="1:21" ht="12.75" x14ac:dyDescent="0.2">
      <c r="A120" s="1">
        <v>44342.731437210648</v>
      </c>
      <c r="B120" s="2" t="s">
        <v>95</v>
      </c>
      <c r="C120" s="2" t="s">
        <v>96</v>
      </c>
      <c r="D120" s="2" t="s">
        <v>223</v>
      </c>
      <c r="E120" s="3">
        <v>43622</v>
      </c>
      <c r="F120" s="4">
        <v>1</v>
      </c>
      <c r="G120" s="2" t="s">
        <v>42</v>
      </c>
      <c r="H120" s="2" t="s">
        <v>43</v>
      </c>
      <c r="K120" s="2" t="s">
        <v>680</v>
      </c>
      <c r="L120" s="2" t="s">
        <v>681</v>
      </c>
      <c r="M120" s="2" t="s">
        <v>682</v>
      </c>
      <c r="N120" s="2" t="s">
        <v>228</v>
      </c>
      <c r="O120" s="2" t="s">
        <v>101</v>
      </c>
      <c r="Q120" s="2" t="s">
        <v>50</v>
      </c>
      <c r="S120" s="7" t="s">
        <v>4892</v>
      </c>
      <c r="T120" s="7" t="s">
        <v>5713</v>
      </c>
      <c r="U120" s="2" t="s">
        <v>5833</v>
      </c>
    </row>
    <row r="121" spans="1:21" ht="12.75" x14ac:dyDescent="0.2">
      <c r="A121" s="1">
        <v>44342.73146333333</v>
      </c>
      <c r="B121" s="2" t="s">
        <v>302</v>
      </c>
      <c r="C121" s="2" t="s">
        <v>308</v>
      </c>
      <c r="D121" s="2" t="s">
        <v>223</v>
      </c>
      <c r="E121" s="3">
        <v>43589</v>
      </c>
      <c r="F121" s="4">
        <v>1</v>
      </c>
      <c r="G121" s="2" t="s">
        <v>42</v>
      </c>
      <c r="H121" s="2" t="s">
        <v>43</v>
      </c>
      <c r="K121" s="2" t="s">
        <v>683</v>
      </c>
      <c r="L121" s="2" t="s">
        <v>684</v>
      </c>
      <c r="M121" s="2" t="s">
        <v>685</v>
      </c>
      <c r="N121" s="2" t="s">
        <v>228</v>
      </c>
      <c r="O121" s="2" t="s">
        <v>307</v>
      </c>
      <c r="Q121" s="2" t="s">
        <v>50</v>
      </c>
      <c r="S121" s="7" t="s">
        <v>4893</v>
      </c>
      <c r="T121" s="7" t="s">
        <v>5713</v>
      </c>
      <c r="U121" s="2" t="s">
        <v>5834</v>
      </c>
    </row>
    <row r="122" spans="1:21" ht="12.75" x14ac:dyDescent="0.2">
      <c r="A122" s="1">
        <v>44342.731489108795</v>
      </c>
      <c r="B122" s="2" t="s">
        <v>686</v>
      </c>
      <c r="C122" s="2" t="s">
        <v>414</v>
      </c>
      <c r="D122" s="2" t="s">
        <v>223</v>
      </c>
      <c r="E122" s="3">
        <v>43956</v>
      </c>
      <c r="F122" s="4">
        <v>1</v>
      </c>
      <c r="G122" s="2" t="s">
        <v>42</v>
      </c>
      <c r="H122" s="2" t="s">
        <v>43</v>
      </c>
      <c r="J122" s="2" t="s">
        <v>687</v>
      </c>
      <c r="K122" s="2" t="s">
        <v>688</v>
      </c>
      <c r="L122" s="2" t="s">
        <v>689</v>
      </c>
      <c r="M122" s="2" t="s">
        <v>690</v>
      </c>
      <c r="N122" s="2" t="s">
        <v>228</v>
      </c>
      <c r="O122" s="2" t="s">
        <v>691</v>
      </c>
      <c r="Q122" s="2" t="s">
        <v>50</v>
      </c>
      <c r="S122" s="7" t="s">
        <v>4894</v>
      </c>
      <c r="T122" s="7" t="s">
        <v>5713</v>
      </c>
      <c r="U122" s="2" t="s">
        <v>5835</v>
      </c>
    </row>
    <row r="123" spans="1:21" ht="12.75" x14ac:dyDescent="0.2">
      <c r="A123" s="1">
        <v>44342.731514166662</v>
      </c>
      <c r="B123" s="2" t="s">
        <v>127</v>
      </c>
      <c r="C123" s="2" t="s">
        <v>128</v>
      </c>
      <c r="D123" s="2" t="s">
        <v>223</v>
      </c>
      <c r="E123" s="3">
        <v>43461</v>
      </c>
      <c r="F123" s="4">
        <v>1</v>
      </c>
      <c r="G123" s="2" t="s">
        <v>42</v>
      </c>
      <c r="H123" s="2" t="s">
        <v>43</v>
      </c>
      <c r="K123" s="2" t="s">
        <v>692</v>
      </c>
      <c r="L123" s="2" t="s">
        <v>693</v>
      </c>
      <c r="M123" s="2" t="s">
        <v>694</v>
      </c>
      <c r="N123" s="2" t="s">
        <v>228</v>
      </c>
      <c r="O123" s="2" t="s">
        <v>133</v>
      </c>
      <c r="Q123" s="2" t="s">
        <v>50</v>
      </c>
      <c r="S123" s="7" t="s">
        <v>4895</v>
      </c>
      <c r="T123" s="7" t="s">
        <v>5713</v>
      </c>
      <c r="U123" s="2" t="s">
        <v>5836</v>
      </c>
    </row>
    <row r="124" spans="1:21" ht="12.75" x14ac:dyDescent="0.2">
      <c r="A124" s="1">
        <v>44342.731539409724</v>
      </c>
      <c r="B124" s="2" t="s">
        <v>695</v>
      </c>
      <c r="C124" s="2" t="s">
        <v>90</v>
      </c>
      <c r="D124" s="2" t="s">
        <v>223</v>
      </c>
      <c r="E124" s="3">
        <v>43608</v>
      </c>
      <c r="F124" s="4">
        <v>1</v>
      </c>
      <c r="G124" s="2" t="s">
        <v>42</v>
      </c>
      <c r="H124" s="2" t="s">
        <v>43</v>
      </c>
      <c r="K124" s="2" t="s">
        <v>696</v>
      </c>
      <c r="L124" s="2" t="s">
        <v>697</v>
      </c>
      <c r="M124" s="2" t="s">
        <v>698</v>
      </c>
      <c r="N124" s="2" t="s">
        <v>228</v>
      </c>
      <c r="O124" s="2" t="s">
        <v>699</v>
      </c>
      <c r="Q124" s="2" t="s">
        <v>50</v>
      </c>
      <c r="S124" s="7" t="s">
        <v>4896</v>
      </c>
      <c r="T124" s="7" t="s">
        <v>5713</v>
      </c>
      <c r="U124" s="2" t="s">
        <v>5837</v>
      </c>
    </row>
    <row r="125" spans="1:21" ht="12.75" x14ac:dyDescent="0.2">
      <c r="A125" s="1">
        <v>44342.731566574075</v>
      </c>
      <c r="B125" s="2" t="s">
        <v>58</v>
      </c>
      <c r="C125" s="2" t="s">
        <v>59</v>
      </c>
      <c r="D125" s="2" t="s">
        <v>223</v>
      </c>
      <c r="E125" s="3">
        <v>43767</v>
      </c>
      <c r="F125" s="4">
        <v>1</v>
      </c>
      <c r="G125" s="2" t="s">
        <v>42</v>
      </c>
      <c r="H125" s="2" t="s">
        <v>43</v>
      </c>
      <c r="K125" s="2" t="s">
        <v>700</v>
      </c>
      <c r="L125" s="2" t="s">
        <v>701</v>
      </c>
      <c r="M125" s="2" t="s">
        <v>702</v>
      </c>
      <c r="N125" s="2" t="s">
        <v>228</v>
      </c>
      <c r="O125" s="2" t="s">
        <v>63</v>
      </c>
      <c r="Q125" s="2" t="s">
        <v>50</v>
      </c>
      <c r="S125" s="7" t="s">
        <v>4897</v>
      </c>
      <c r="T125" s="7" t="s">
        <v>5713</v>
      </c>
      <c r="U125" s="2" t="s">
        <v>5838</v>
      </c>
    </row>
    <row r="126" spans="1:21" ht="12.75" x14ac:dyDescent="0.2">
      <c r="A126" s="1">
        <v>44342.731592233795</v>
      </c>
      <c r="B126" s="2" t="s">
        <v>58</v>
      </c>
      <c r="C126" s="2" t="s">
        <v>281</v>
      </c>
      <c r="D126" s="2" t="s">
        <v>223</v>
      </c>
      <c r="E126" s="3">
        <v>43719</v>
      </c>
      <c r="F126" s="4">
        <v>1</v>
      </c>
      <c r="G126" s="2" t="s">
        <v>42</v>
      </c>
      <c r="H126" s="2" t="s">
        <v>43</v>
      </c>
      <c r="J126" s="2" t="s">
        <v>282</v>
      </c>
      <c r="K126" s="2" t="s">
        <v>703</v>
      </c>
      <c r="L126" s="2" t="s">
        <v>704</v>
      </c>
      <c r="M126" s="2" t="s">
        <v>705</v>
      </c>
      <c r="N126" s="2" t="s">
        <v>228</v>
      </c>
      <c r="O126" s="2" t="s">
        <v>63</v>
      </c>
      <c r="Q126" s="2" t="s">
        <v>50</v>
      </c>
      <c r="S126" s="7" t="s">
        <v>4898</v>
      </c>
      <c r="T126" s="7" t="s">
        <v>5713</v>
      </c>
      <c r="U126" s="2" t="s">
        <v>5839</v>
      </c>
    </row>
    <row r="127" spans="1:21" ht="12.75" x14ac:dyDescent="0.2">
      <c r="A127" s="1">
        <v>44342.731618113423</v>
      </c>
      <c r="B127" s="2" t="s">
        <v>58</v>
      </c>
      <c r="C127" s="2" t="s">
        <v>292</v>
      </c>
      <c r="D127" s="2" t="s">
        <v>223</v>
      </c>
      <c r="E127" s="3">
        <v>43804</v>
      </c>
      <c r="F127" s="4">
        <v>1</v>
      </c>
      <c r="G127" s="2" t="s">
        <v>42</v>
      </c>
      <c r="H127" s="2" t="s">
        <v>43</v>
      </c>
      <c r="K127" s="2" t="s">
        <v>706</v>
      </c>
      <c r="L127" s="2" t="s">
        <v>707</v>
      </c>
      <c r="M127" s="2" t="s">
        <v>708</v>
      </c>
      <c r="N127" s="2" t="s">
        <v>228</v>
      </c>
      <c r="O127" s="2" t="s">
        <v>63</v>
      </c>
      <c r="Q127" s="2" t="s">
        <v>50</v>
      </c>
      <c r="S127" s="7" t="s">
        <v>4899</v>
      </c>
      <c r="T127" s="7" t="s">
        <v>5713</v>
      </c>
      <c r="U127" s="2" t="s">
        <v>5840</v>
      </c>
    </row>
    <row r="128" spans="1:21" ht="12.75" x14ac:dyDescent="0.2">
      <c r="A128" s="1">
        <v>44342.731650185189</v>
      </c>
      <c r="B128" s="2" t="s">
        <v>64</v>
      </c>
      <c r="C128" s="2" t="s">
        <v>65</v>
      </c>
      <c r="D128" s="2" t="s">
        <v>223</v>
      </c>
      <c r="E128" s="3">
        <v>43724</v>
      </c>
      <c r="F128" s="4">
        <v>1</v>
      </c>
      <c r="G128" s="2" t="s">
        <v>42</v>
      </c>
      <c r="H128" s="2" t="s">
        <v>43</v>
      </c>
      <c r="K128" s="2" t="s">
        <v>709</v>
      </c>
      <c r="L128" s="2" t="s">
        <v>710</v>
      </c>
      <c r="M128" s="2" t="s">
        <v>711</v>
      </c>
      <c r="N128" s="2" t="s">
        <v>228</v>
      </c>
      <c r="O128" s="2" t="s">
        <v>70</v>
      </c>
      <c r="Q128" s="2" t="s">
        <v>50</v>
      </c>
      <c r="S128" s="7" t="s">
        <v>4900</v>
      </c>
      <c r="T128" s="7" t="s">
        <v>5713</v>
      </c>
      <c r="U128" s="2" t="s">
        <v>5841</v>
      </c>
    </row>
    <row r="129" spans="1:21" ht="12.75" x14ac:dyDescent="0.2">
      <c r="A129" s="1">
        <v>44342.731677326388</v>
      </c>
      <c r="B129" s="2" t="s">
        <v>345</v>
      </c>
      <c r="C129" s="2" t="s">
        <v>346</v>
      </c>
      <c r="D129" s="2" t="s">
        <v>223</v>
      </c>
      <c r="E129" s="3">
        <v>43566</v>
      </c>
      <c r="F129" s="4">
        <v>1</v>
      </c>
      <c r="G129" s="2" t="s">
        <v>42</v>
      </c>
      <c r="H129" s="2" t="s">
        <v>43</v>
      </c>
      <c r="K129" s="2" t="s">
        <v>712</v>
      </c>
      <c r="L129" s="2" t="s">
        <v>713</v>
      </c>
      <c r="M129" s="2" t="s">
        <v>714</v>
      </c>
      <c r="N129" s="2" t="s">
        <v>228</v>
      </c>
      <c r="O129" s="2" t="s">
        <v>350</v>
      </c>
      <c r="Q129" s="2" t="s">
        <v>50</v>
      </c>
      <c r="S129" s="7" t="s">
        <v>4901</v>
      </c>
      <c r="T129" s="7" t="s">
        <v>5713</v>
      </c>
      <c r="U129" s="2" t="s">
        <v>5842</v>
      </c>
    </row>
    <row r="130" spans="1:21" ht="12.75" x14ac:dyDescent="0.2">
      <c r="A130" s="1">
        <v>44342.731704710648</v>
      </c>
      <c r="B130" s="2" t="s">
        <v>166</v>
      </c>
      <c r="C130" s="2" t="s">
        <v>167</v>
      </c>
      <c r="D130" s="2" t="s">
        <v>223</v>
      </c>
      <c r="E130" s="3">
        <v>43460</v>
      </c>
      <c r="F130" s="4">
        <v>1</v>
      </c>
      <c r="G130" s="2" t="s">
        <v>42</v>
      </c>
      <c r="H130" s="2" t="s">
        <v>43</v>
      </c>
      <c r="K130" s="2" t="s">
        <v>715</v>
      </c>
      <c r="L130" s="2" t="s">
        <v>716</v>
      </c>
      <c r="M130" s="2" t="s">
        <v>717</v>
      </c>
      <c r="N130" s="2" t="s">
        <v>228</v>
      </c>
      <c r="O130" s="2" t="s">
        <v>171</v>
      </c>
      <c r="Q130" s="2" t="s">
        <v>50</v>
      </c>
      <c r="S130" s="7" t="s">
        <v>4902</v>
      </c>
      <c r="T130" s="7" t="s">
        <v>5713</v>
      </c>
      <c r="U130" s="2" t="s">
        <v>5843</v>
      </c>
    </row>
    <row r="131" spans="1:21" ht="12.75" x14ac:dyDescent="0.2">
      <c r="A131" s="1">
        <v>44342.731728831015</v>
      </c>
      <c r="B131" s="2" t="s">
        <v>318</v>
      </c>
      <c r="C131" s="2" t="s">
        <v>319</v>
      </c>
      <c r="D131" s="2" t="s">
        <v>223</v>
      </c>
      <c r="E131" s="3">
        <v>43546</v>
      </c>
      <c r="F131" s="4">
        <v>1</v>
      </c>
      <c r="G131" s="2" t="s">
        <v>143</v>
      </c>
      <c r="H131" s="2" t="s">
        <v>43</v>
      </c>
      <c r="K131" s="2" t="s">
        <v>718</v>
      </c>
      <c r="L131" s="2" t="s">
        <v>719</v>
      </c>
      <c r="M131" s="2" t="s">
        <v>720</v>
      </c>
      <c r="N131" s="2" t="s">
        <v>228</v>
      </c>
      <c r="O131" s="2" t="s">
        <v>323</v>
      </c>
      <c r="Q131" s="2" t="s">
        <v>50</v>
      </c>
      <c r="S131" s="7" t="s">
        <v>4903</v>
      </c>
      <c r="T131" s="7" t="s">
        <v>5713</v>
      </c>
      <c r="U131" s="2" t="s">
        <v>5844</v>
      </c>
    </row>
    <row r="132" spans="1:21" ht="12.75" x14ac:dyDescent="0.2">
      <c r="A132" s="1">
        <v>44342.731753935186</v>
      </c>
      <c r="B132" s="2" t="s">
        <v>51</v>
      </c>
      <c r="C132" s="2" t="s">
        <v>52</v>
      </c>
      <c r="D132" s="2" t="s">
        <v>223</v>
      </c>
      <c r="E132" s="3">
        <v>43762</v>
      </c>
      <c r="F132" s="4">
        <v>1</v>
      </c>
      <c r="G132" s="2" t="s">
        <v>42</v>
      </c>
      <c r="H132" s="2" t="s">
        <v>43</v>
      </c>
      <c r="K132" s="2" t="s">
        <v>721</v>
      </c>
      <c r="L132" s="2" t="s">
        <v>722</v>
      </c>
      <c r="M132" s="2" t="s">
        <v>723</v>
      </c>
      <c r="N132" s="2" t="s">
        <v>228</v>
      </c>
      <c r="O132" s="2" t="s">
        <v>57</v>
      </c>
      <c r="Q132" s="2" t="s">
        <v>50</v>
      </c>
      <c r="S132" s="7" t="s">
        <v>4904</v>
      </c>
      <c r="T132" s="7" t="s">
        <v>5713</v>
      </c>
      <c r="U132" s="2" t="s">
        <v>5845</v>
      </c>
    </row>
    <row r="133" spans="1:21" ht="12.75" x14ac:dyDescent="0.2">
      <c r="A133" s="1">
        <v>44342.731778726855</v>
      </c>
      <c r="B133" s="2" t="s">
        <v>724</v>
      </c>
      <c r="C133" s="2" t="s">
        <v>725</v>
      </c>
      <c r="D133" s="2" t="s">
        <v>223</v>
      </c>
      <c r="E133" s="3">
        <v>43824</v>
      </c>
      <c r="F133" s="4">
        <v>1</v>
      </c>
      <c r="G133" s="2" t="s">
        <v>42</v>
      </c>
      <c r="H133" s="2" t="s">
        <v>43</v>
      </c>
      <c r="K133" s="2" t="s">
        <v>726</v>
      </c>
      <c r="L133" s="2" t="s">
        <v>727</v>
      </c>
      <c r="M133" s="2" t="s">
        <v>728</v>
      </c>
      <c r="N133" s="2" t="s">
        <v>228</v>
      </c>
      <c r="O133" s="2" t="s">
        <v>729</v>
      </c>
      <c r="Q133" s="2" t="s">
        <v>50</v>
      </c>
      <c r="S133" s="7" t="s">
        <v>4905</v>
      </c>
      <c r="T133" s="7" t="s">
        <v>5713</v>
      </c>
      <c r="U133" s="2" t="s">
        <v>5846</v>
      </c>
    </row>
    <row r="134" spans="1:21" ht="12.75" x14ac:dyDescent="0.2">
      <c r="A134" s="1">
        <v>44342.731805949079</v>
      </c>
      <c r="B134" s="2" t="s">
        <v>730</v>
      </c>
      <c r="C134" s="2" t="s">
        <v>731</v>
      </c>
      <c r="D134" s="2" t="s">
        <v>223</v>
      </c>
      <c r="E134" s="3">
        <v>43768</v>
      </c>
      <c r="F134" s="4">
        <v>1</v>
      </c>
      <c r="G134" s="2" t="s">
        <v>143</v>
      </c>
      <c r="H134" s="2" t="s">
        <v>43</v>
      </c>
      <c r="K134" s="2" t="s">
        <v>732</v>
      </c>
      <c r="L134" s="2" t="s">
        <v>733</v>
      </c>
      <c r="M134" s="2" t="s">
        <v>734</v>
      </c>
      <c r="N134" s="2" t="s">
        <v>228</v>
      </c>
      <c r="O134" s="2" t="s">
        <v>735</v>
      </c>
      <c r="Q134" s="2" t="s">
        <v>50</v>
      </c>
      <c r="S134" s="7" t="s">
        <v>4906</v>
      </c>
      <c r="T134" s="7" t="s">
        <v>5713</v>
      </c>
      <c r="U134" s="2" t="s">
        <v>5847</v>
      </c>
    </row>
    <row r="135" spans="1:21" ht="12.75" x14ac:dyDescent="0.2">
      <c r="A135" s="1">
        <v>44342.731832361111</v>
      </c>
      <c r="B135" s="2" t="s">
        <v>286</v>
      </c>
      <c r="C135" s="2" t="s">
        <v>287</v>
      </c>
      <c r="D135" s="2" t="s">
        <v>223</v>
      </c>
      <c r="E135" s="3">
        <v>43769</v>
      </c>
      <c r="F135" s="4">
        <v>1</v>
      </c>
      <c r="G135" s="2" t="s">
        <v>42</v>
      </c>
      <c r="H135" s="2" t="s">
        <v>43</v>
      </c>
      <c r="K135" s="2" t="s">
        <v>736</v>
      </c>
      <c r="L135" s="2" t="s">
        <v>737</v>
      </c>
      <c r="M135" s="2" t="s">
        <v>738</v>
      </c>
      <c r="N135" s="2" t="s">
        <v>228</v>
      </c>
      <c r="O135" s="2" t="s">
        <v>291</v>
      </c>
      <c r="Q135" s="2" t="s">
        <v>50</v>
      </c>
      <c r="S135" s="7" t="s">
        <v>4907</v>
      </c>
      <c r="T135" s="7" t="s">
        <v>5713</v>
      </c>
      <c r="U135" s="2" t="s">
        <v>5848</v>
      </c>
    </row>
    <row r="136" spans="1:21" ht="12.75" x14ac:dyDescent="0.2">
      <c r="A136" s="1">
        <v>44342.731858796295</v>
      </c>
      <c r="B136" s="2" t="s">
        <v>77</v>
      </c>
      <c r="C136" s="2" t="s">
        <v>78</v>
      </c>
      <c r="D136" s="2" t="s">
        <v>223</v>
      </c>
      <c r="E136" s="3">
        <v>43672</v>
      </c>
      <c r="F136" s="4">
        <v>1</v>
      </c>
      <c r="G136" s="2" t="s">
        <v>42</v>
      </c>
      <c r="H136" s="2" t="s">
        <v>43</v>
      </c>
      <c r="K136" s="2" t="s">
        <v>739</v>
      </c>
      <c r="L136" s="2" t="s">
        <v>740</v>
      </c>
      <c r="M136" s="2" t="s">
        <v>741</v>
      </c>
      <c r="N136" s="2" t="s">
        <v>228</v>
      </c>
      <c r="O136" s="2" t="s">
        <v>82</v>
      </c>
      <c r="Q136" s="2" t="s">
        <v>50</v>
      </c>
      <c r="S136" s="7" t="s">
        <v>4908</v>
      </c>
      <c r="T136" s="7" t="s">
        <v>5713</v>
      </c>
      <c r="U136" s="2" t="s">
        <v>5849</v>
      </c>
    </row>
    <row r="137" spans="1:21" ht="12.75" x14ac:dyDescent="0.2">
      <c r="A137" s="1">
        <v>44342.731886249996</v>
      </c>
      <c r="B137" s="2" t="s">
        <v>487</v>
      </c>
      <c r="C137" s="2" t="s">
        <v>488</v>
      </c>
      <c r="D137" s="2" t="s">
        <v>223</v>
      </c>
      <c r="E137" s="3">
        <v>43122</v>
      </c>
      <c r="F137" s="4">
        <v>1</v>
      </c>
      <c r="G137" s="2" t="s">
        <v>143</v>
      </c>
      <c r="H137" s="2" t="s">
        <v>43</v>
      </c>
      <c r="K137" s="2" t="s">
        <v>742</v>
      </c>
      <c r="L137" s="2" t="s">
        <v>743</v>
      </c>
      <c r="M137" s="2" t="s">
        <v>744</v>
      </c>
      <c r="N137" s="2" t="s">
        <v>228</v>
      </c>
      <c r="O137" s="2" t="s">
        <v>492</v>
      </c>
      <c r="Q137" s="2" t="s">
        <v>50</v>
      </c>
      <c r="S137" s="7" t="s">
        <v>4909</v>
      </c>
      <c r="T137" s="7" t="s">
        <v>5713</v>
      </c>
      <c r="U137" s="2" t="s">
        <v>5850</v>
      </c>
    </row>
    <row r="138" spans="1:21" ht="12.75" x14ac:dyDescent="0.2">
      <c r="A138" s="1">
        <v>44342.731915775468</v>
      </c>
      <c r="B138" s="2" t="s">
        <v>39</v>
      </c>
      <c r="C138" s="2" t="s">
        <v>40</v>
      </c>
      <c r="D138" s="2" t="s">
        <v>223</v>
      </c>
      <c r="E138" s="3">
        <v>43767</v>
      </c>
      <c r="F138" s="4">
        <v>1</v>
      </c>
      <c r="G138" s="2" t="s">
        <v>42</v>
      </c>
      <c r="H138" s="2" t="s">
        <v>43</v>
      </c>
      <c r="J138" s="2" t="s">
        <v>745</v>
      </c>
      <c r="K138" s="2" t="s">
        <v>746</v>
      </c>
      <c r="L138" s="2" t="s">
        <v>747</v>
      </c>
      <c r="M138" s="2" t="s">
        <v>748</v>
      </c>
      <c r="N138" s="2" t="s">
        <v>228</v>
      </c>
      <c r="O138" s="2" t="s">
        <v>49</v>
      </c>
      <c r="Q138" s="2" t="s">
        <v>50</v>
      </c>
      <c r="S138" s="7" t="s">
        <v>4910</v>
      </c>
      <c r="T138" s="7" t="s">
        <v>5713</v>
      </c>
      <c r="U138" s="2" t="s">
        <v>5851</v>
      </c>
    </row>
    <row r="139" spans="1:21" ht="12.75" x14ac:dyDescent="0.2">
      <c r="A139" s="1">
        <v>44342.731940416663</v>
      </c>
      <c r="B139" s="2" t="s">
        <v>357</v>
      </c>
      <c r="C139" s="2" t="s">
        <v>358</v>
      </c>
      <c r="D139" s="2" t="s">
        <v>223</v>
      </c>
      <c r="E139" s="3">
        <v>43348</v>
      </c>
      <c r="F139" s="4">
        <v>1</v>
      </c>
      <c r="G139" s="2" t="s">
        <v>42</v>
      </c>
      <c r="H139" s="2" t="s">
        <v>43</v>
      </c>
      <c r="J139" s="2" t="s">
        <v>749</v>
      </c>
      <c r="K139" s="2" t="s">
        <v>750</v>
      </c>
      <c r="L139" s="2" t="s">
        <v>751</v>
      </c>
      <c r="M139" s="2" t="s">
        <v>752</v>
      </c>
      <c r="N139" s="2" t="s">
        <v>228</v>
      </c>
      <c r="O139" s="2" t="s">
        <v>362</v>
      </c>
      <c r="Q139" s="2" t="s">
        <v>50</v>
      </c>
      <c r="S139" s="7" t="s">
        <v>4911</v>
      </c>
      <c r="T139" s="7" t="s">
        <v>5713</v>
      </c>
      <c r="U139" s="2" t="s">
        <v>5852</v>
      </c>
    </row>
    <row r="140" spans="1:21" ht="12.75" x14ac:dyDescent="0.2">
      <c r="A140" s="1">
        <v>44342.73196524306</v>
      </c>
      <c r="B140" s="2" t="s">
        <v>234</v>
      </c>
      <c r="C140" s="2" t="s">
        <v>753</v>
      </c>
      <c r="D140" s="2" t="s">
        <v>223</v>
      </c>
      <c r="E140" s="3">
        <v>44013</v>
      </c>
      <c r="F140" s="4">
        <v>1</v>
      </c>
      <c r="G140" s="2" t="s">
        <v>42</v>
      </c>
      <c r="H140" s="2" t="s">
        <v>43</v>
      </c>
      <c r="J140" s="2" t="s">
        <v>754</v>
      </c>
      <c r="K140" s="2" t="s">
        <v>755</v>
      </c>
      <c r="L140" s="2" t="s">
        <v>756</v>
      </c>
      <c r="M140" s="2" t="s">
        <v>757</v>
      </c>
      <c r="N140" s="2" t="s">
        <v>228</v>
      </c>
      <c r="O140" s="2" t="s">
        <v>240</v>
      </c>
      <c r="Q140" s="2" t="s">
        <v>50</v>
      </c>
      <c r="S140" s="7" t="s">
        <v>4912</v>
      </c>
      <c r="T140" s="7" t="s">
        <v>5713</v>
      </c>
      <c r="U140" s="2" t="s">
        <v>5853</v>
      </c>
    </row>
    <row r="141" spans="1:21" ht="12.75" x14ac:dyDescent="0.2">
      <c r="A141" s="1">
        <v>44342.731989930558</v>
      </c>
      <c r="B141" s="2" t="s">
        <v>645</v>
      </c>
      <c r="C141" s="2" t="s">
        <v>303</v>
      </c>
      <c r="D141" s="2" t="s">
        <v>223</v>
      </c>
      <c r="E141" s="3">
        <v>43732</v>
      </c>
      <c r="F141" s="4">
        <v>1</v>
      </c>
      <c r="G141" s="2" t="s">
        <v>42</v>
      </c>
      <c r="H141" s="2" t="s">
        <v>43</v>
      </c>
      <c r="K141" s="2" t="s">
        <v>758</v>
      </c>
      <c r="L141" s="2" t="s">
        <v>759</v>
      </c>
      <c r="M141" s="2" t="s">
        <v>760</v>
      </c>
      <c r="N141" s="2" t="s">
        <v>228</v>
      </c>
      <c r="O141" s="2" t="s">
        <v>650</v>
      </c>
      <c r="Q141" s="2" t="s">
        <v>50</v>
      </c>
      <c r="S141" s="7" t="s">
        <v>4913</v>
      </c>
      <c r="T141" s="7" t="s">
        <v>5713</v>
      </c>
      <c r="U141" s="2" t="s">
        <v>5854</v>
      </c>
    </row>
    <row r="142" spans="1:21" ht="12.75" x14ac:dyDescent="0.2">
      <c r="A142" s="1">
        <v>44342.732014421301</v>
      </c>
      <c r="B142" s="2" t="s">
        <v>248</v>
      </c>
      <c r="C142" s="2" t="s">
        <v>249</v>
      </c>
      <c r="D142" s="2" t="s">
        <v>223</v>
      </c>
      <c r="E142" s="3">
        <v>43886</v>
      </c>
      <c r="F142" s="4">
        <v>1</v>
      </c>
      <c r="G142" s="2" t="s">
        <v>42</v>
      </c>
      <c r="H142" s="2" t="s">
        <v>43</v>
      </c>
      <c r="K142" s="2" t="s">
        <v>761</v>
      </c>
      <c r="L142" s="2" t="s">
        <v>762</v>
      </c>
      <c r="M142" s="2" t="s">
        <v>763</v>
      </c>
      <c r="N142" s="2" t="s">
        <v>228</v>
      </c>
      <c r="O142" s="2" t="s">
        <v>254</v>
      </c>
      <c r="Q142" s="2" t="s">
        <v>50</v>
      </c>
      <c r="S142" s="7" t="s">
        <v>4914</v>
      </c>
      <c r="T142" s="7" t="s">
        <v>5713</v>
      </c>
      <c r="U142" s="2" t="s">
        <v>5855</v>
      </c>
    </row>
    <row r="143" spans="1:21" ht="12.75" x14ac:dyDescent="0.2">
      <c r="A143" s="1">
        <v>44342.732039351853</v>
      </c>
      <c r="B143" s="2" t="s">
        <v>134</v>
      </c>
      <c r="C143" s="2" t="s">
        <v>135</v>
      </c>
      <c r="D143" s="2" t="s">
        <v>223</v>
      </c>
      <c r="E143" s="3">
        <v>43816</v>
      </c>
      <c r="F143" s="4">
        <v>1</v>
      </c>
      <c r="G143" s="2" t="s">
        <v>42</v>
      </c>
      <c r="H143" s="2" t="s">
        <v>43</v>
      </c>
      <c r="K143" s="2" t="s">
        <v>764</v>
      </c>
      <c r="L143" s="2" t="s">
        <v>765</v>
      </c>
      <c r="M143" s="2" t="s">
        <v>766</v>
      </c>
      <c r="N143" s="2" t="s">
        <v>228</v>
      </c>
      <c r="O143" s="2" t="s">
        <v>140</v>
      </c>
      <c r="Q143" s="2" t="s">
        <v>50</v>
      </c>
      <c r="S143" s="7" t="s">
        <v>4915</v>
      </c>
      <c r="T143" s="7" t="s">
        <v>5713</v>
      </c>
      <c r="U143" s="2" t="s">
        <v>5856</v>
      </c>
    </row>
    <row r="144" spans="1:21" ht="12.75" x14ac:dyDescent="0.2">
      <c r="A144" s="1">
        <v>44342.732064293981</v>
      </c>
      <c r="B144" s="2" t="s">
        <v>255</v>
      </c>
      <c r="C144" s="2" t="s">
        <v>256</v>
      </c>
      <c r="D144" s="2" t="s">
        <v>223</v>
      </c>
      <c r="E144" s="3">
        <v>43699</v>
      </c>
      <c r="F144" s="4">
        <v>1</v>
      </c>
      <c r="G144" s="2" t="s">
        <v>143</v>
      </c>
      <c r="H144" s="2" t="s">
        <v>43</v>
      </c>
      <c r="K144" s="2" t="s">
        <v>767</v>
      </c>
      <c r="L144" s="2" t="s">
        <v>768</v>
      </c>
      <c r="M144" s="2" t="s">
        <v>769</v>
      </c>
      <c r="N144" s="2" t="s">
        <v>228</v>
      </c>
      <c r="O144" s="2" t="s">
        <v>260</v>
      </c>
      <c r="Q144" s="2" t="s">
        <v>50</v>
      </c>
      <c r="S144" s="7" t="s">
        <v>4916</v>
      </c>
      <c r="T144" s="7" t="s">
        <v>5713</v>
      </c>
      <c r="U144" s="2" t="s">
        <v>5857</v>
      </c>
    </row>
    <row r="145" spans="1:21" ht="12.75" x14ac:dyDescent="0.2">
      <c r="A145" s="1">
        <v>44342.732091608792</v>
      </c>
      <c r="B145" s="2" t="s">
        <v>516</v>
      </c>
      <c r="C145" s="2" t="s">
        <v>517</v>
      </c>
      <c r="D145" s="2" t="s">
        <v>223</v>
      </c>
      <c r="E145" s="3">
        <v>44170</v>
      </c>
      <c r="F145" s="4">
        <v>1</v>
      </c>
      <c r="G145" s="2" t="s">
        <v>42</v>
      </c>
      <c r="H145" s="2" t="s">
        <v>43</v>
      </c>
      <c r="J145" s="2" t="s">
        <v>770</v>
      </c>
      <c r="K145" s="2" t="s">
        <v>771</v>
      </c>
      <c r="L145" s="2" t="s">
        <v>772</v>
      </c>
      <c r="M145" s="2" t="s">
        <v>773</v>
      </c>
      <c r="N145" s="2" t="s">
        <v>228</v>
      </c>
      <c r="O145" s="2" t="s">
        <v>522</v>
      </c>
      <c r="Q145" s="2" t="s">
        <v>50</v>
      </c>
      <c r="S145" s="7" t="s">
        <v>4917</v>
      </c>
      <c r="T145" s="7" t="s">
        <v>5713</v>
      </c>
      <c r="U145" s="2" t="s">
        <v>5858</v>
      </c>
    </row>
    <row r="146" spans="1:21" ht="12.75" x14ac:dyDescent="0.2">
      <c r="A146" s="1">
        <v>44342.732116689818</v>
      </c>
      <c r="B146" s="2" t="s">
        <v>645</v>
      </c>
      <c r="C146" s="2" t="s">
        <v>72</v>
      </c>
      <c r="D146" s="2" t="s">
        <v>223</v>
      </c>
      <c r="E146" s="3">
        <v>43734</v>
      </c>
      <c r="F146" s="4">
        <v>1</v>
      </c>
      <c r="G146" s="2" t="s">
        <v>42</v>
      </c>
      <c r="H146" s="2" t="s">
        <v>43</v>
      </c>
      <c r="K146" s="2" t="s">
        <v>774</v>
      </c>
      <c r="L146" s="2" t="s">
        <v>775</v>
      </c>
      <c r="M146" s="2" t="s">
        <v>776</v>
      </c>
      <c r="N146" s="2" t="s">
        <v>228</v>
      </c>
      <c r="O146" s="2" t="s">
        <v>650</v>
      </c>
      <c r="Q146" s="2" t="s">
        <v>50</v>
      </c>
      <c r="S146" s="7" t="s">
        <v>4918</v>
      </c>
      <c r="T146" s="7" t="s">
        <v>5713</v>
      </c>
      <c r="U146" s="2" t="s">
        <v>5859</v>
      </c>
    </row>
    <row r="147" spans="1:21" ht="12.75" x14ac:dyDescent="0.2">
      <c r="A147" s="1">
        <v>44342.732144074078</v>
      </c>
      <c r="B147" s="2" t="s">
        <v>241</v>
      </c>
      <c r="C147" s="2" t="s">
        <v>242</v>
      </c>
      <c r="D147" s="2" t="s">
        <v>223</v>
      </c>
      <c r="E147" s="3">
        <v>43354</v>
      </c>
      <c r="F147" s="4">
        <v>1</v>
      </c>
      <c r="G147" s="2" t="s">
        <v>42</v>
      </c>
      <c r="H147" s="2" t="s">
        <v>43</v>
      </c>
      <c r="J147" s="2" t="s">
        <v>777</v>
      </c>
      <c r="K147" s="2" t="s">
        <v>778</v>
      </c>
      <c r="L147" s="2" t="s">
        <v>779</v>
      </c>
      <c r="M147" s="2" t="s">
        <v>780</v>
      </c>
      <c r="N147" s="2" t="s">
        <v>228</v>
      </c>
      <c r="O147" s="2" t="s">
        <v>247</v>
      </c>
      <c r="Q147" s="2" t="s">
        <v>50</v>
      </c>
      <c r="S147" s="7" t="s">
        <v>4919</v>
      </c>
      <c r="T147" s="7" t="s">
        <v>5713</v>
      </c>
      <c r="U147" s="2" t="s">
        <v>5860</v>
      </c>
    </row>
    <row r="148" spans="1:21" ht="12.75" x14ac:dyDescent="0.2">
      <c r="A148" s="1">
        <v>44342.732169351853</v>
      </c>
      <c r="B148" s="2" t="s">
        <v>781</v>
      </c>
      <c r="C148" s="2" t="s">
        <v>325</v>
      </c>
      <c r="D148" s="2" t="s">
        <v>223</v>
      </c>
      <c r="E148" s="3">
        <v>43711</v>
      </c>
      <c r="F148" s="4">
        <v>1</v>
      </c>
      <c r="G148" s="2" t="s">
        <v>42</v>
      </c>
      <c r="H148" s="2" t="s">
        <v>43</v>
      </c>
      <c r="K148" s="2" t="s">
        <v>782</v>
      </c>
      <c r="L148" s="2" t="s">
        <v>783</v>
      </c>
      <c r="M148" s="2" t="s">
        <v>784</v>
      </c>
      <c r="N148" s="2" t="s">
        <v>228</v>
      </c>
      <c r="O148" s="2" t="s">
        <v>785</v>
      </c>
      <c r="Q148" s="2" t="s">
        <v>50</v>
      </c>
      <c r="S148" s="7" t="s">
        <v>4920</v>
      </c>
      <c r="T148" s="7" t="s">
        <v>5713</v>
      </c>
      <c r="U148" s="2" t="s">
        <v>5861</v>
      </c>
    </row>
    <row r="149" spans="1:21" ht="12.75" x14ac:dyDescent="0.2">
      <c r="A149" s="1">
        <v>44342.732194201388</v>
      </c>
      <c r="B149" s="2" t="s">
        <v>187</v>
      </c>
      <c r="C149" s="2" t="s">
        <v>188</v>
      </c>
      <c r="D149" s="2" t="s">
        <v>223</v>
      </c>
      <c r="E149" s="3">
        <v>42536</v>
      </c>
      <c r="F149" s="4">
        <v>1</v>
      </c>
      <c r="G149" s="2" t="s">
        <v>42</v>
      </c>
      <c r="H149" s="2" t="s">
        <v>43</v>
      </c>
      <c r="K149" s="2" t="s">
        <v>786</v>
      </c>
      <c r="L149" s="2" t="s">
        <v>787</v>
      </c>
      <c r="M149" s="2" t="s">
        <v>788</v>
      </c>
      <c r="N149" s="2" t="s">
        <v>228</v>
      </c>
      <c r="O149" s="2" t="s">
        <v>192</v>
      </c>
      <c r="Q149" s="2" t="s">
        <v>50</v>
      </c>
      <c r="S149" s="7" t="s">
        <v>4921</v>
      </c>
      <c r="T149" s="7" t="s">
        <v>5713</v>
      </c>
      <c r="U149" s="2" t="s">
        <v>5862</v>
      </c>
    </row>
    <row r="150" spans="1:21" ht="12.75" x14ac:dyDescent="0.2">
      <c r="A150" s="1">
        <v>44342.732218912039</v>
      </c>
      <c r="B150" s="2" t="s">
        <v>154</v>
      </c>
      <c r="C150" s="2" t="s">
        <v>155</v>
      </c>
      <c r="D150" s="2" t="s">
        <v>223</v>
      </c>
      <c r="E150" s="3">
        <v>42536</v>
      </c>
      <c r="F150" s="4">
        <v>1</v>
      </c>
      <c r="G150" s="2" t="s">
        <v>143</v>
      </c>
      <c r="H150" s="2" t="s">
        <v>43</v>
      </c>
      <c r="K150" s="2" t="s">
        <v>789</v>
      </c>
      <c r="L150" s="2" t="s">
        <v>790</v>
      </c>
      <c r="M150" s="2" t="s">
        <v>791</v>
      </c>
      <c r="N150" s="2" t="s">
        <v>228</v>
      </c>
      <c r="O150" s="2" t="s">
        <v>159</v>
      </c>
      <c r="Q150" s="2" t="s">
        <v>50</v>
      </c>
      <c r="S150" s="7" t="s">
        <v>4922</v>
      </c>
      <c r="T150" s="7" t="s">
        <v>5713</v>
      </c>
      <c r="U150" s="2" t="s">
        <v>5863</v>
      </c>
    </row>
    <row r="151" spans="1:21" ht="12.75" x14ac:dyDescent="0.2">
      <c r="A151" s="1">
        <v>44342.732244085651</v>
      </c>
      <c r="B151" s="2" t="s">
        <v>209</v>
      </c>
      <c r="C151" s="2" t="s">
        <v>210</v>
      </c>
      <c r="D151" s="2" t="s">
        <v>223</v>
      </c>
      <c r="E151" s="3">
        <v>43146</v>
      </c>
      <c r="F151" s="4">
        <v>1</v>
      </c>
      <c r="G151" s="2" t="s">
        <v>143</v>
      </c>
      <c r="H151" s="2" t="s">
        <v>43</v>
      </c>
      <c r="K151" s="2" t="s">
        <v>792</v>
      </c>
      <c r="L151" s="2" t="s">
        <v>793</v>
      </c>
      <c r="M151" s="2" t="s">
        <v>794</v>
      </c>
      <c r="N151" s="2" t="s">
        <v>228</v>
      </c>
      <c r="O151" s="2" t="s">
        <v>214</v>
      </c>
      <c r="Q151" s="2" t="s">
        <v>50</v>
      </c>
      <c r="S151" s="7" t="s">
        <v>4923</v>
      </c>
      <c r="T151" s="7" t="s">
        <v>5713</v>
      </c>
      <c r="U151" s="2" t="s">
        <v>5864</v>
      </c>
    </row>
    <row r="152" spans="1:21" ht="12.75" x14ac:dyDescent="0.2">
      <c r="A152" s="1">
        <v>44342.732268356485</v>
      </c>
      <c r="B152" s="2" t="s">
        <v>438</v>
      </c>
      <c r="C152" s="2" t="s">
        <v>795</v>
      </c>
      <c r="D152" s="2" t="s">
        <v>333</v>
      </c>
      <c r="E152" s="3">
        <v>44032</v>
      </c>
      <c r="F152" s="4">
        <v>5100</v>
      </c>
      <c r="G152" s="2" t="s">
        <v>42</v>
      </c>
      <c r="H152" s="2" t="s">
        <v>43</v>
      </c>
      <c r="K152" s="2" t="s">
        <v>796</v>
      </c>
      <c r="L152" s="2" t="s">
        <v>797</v>
      </c>
      <c r="M152" s="2" t="s">
        <v>798</v>
      </c>
      <c r="N152" s="2" t="s">
        <v>337</v>
      </c>
      <c r="O152" s="2" t="s">
        <v>443</v>
      </c>
      <c r="Q152" s="2" t="s">
        <v>50</v>
      </c>
      <c r="S152" s="7" t="s">
        <v>4924</v>
      </c>
      <c r="T152" s="7" t="s">
        <v>5713</v>
      </c>
      <c r="U152" s="2" t="s">
        <v>5865</v>
      </c>
    </row>
    <row r="153" spans="1:21" ht="12.75" x14ac:dyDescent="0.2">
      <c r="A153" s="1">
        <v>44342.732293564812</v>
      </c>
      <c r="B153" s="2" t="s">
        <v>363</v>
      </c>
      <c r="C153" s="2" t="s">
        <v>799</v>
      </c>
      <c r="D153" s="2" t="s">
        <v>333</v>
      </c>
      <c r="E153" s="3">
        <v>43997</v>
      </c>
      <c r="F153" s="4">
        <v>3658.893</v>
      </c>
      <c r="G153" s="2" t="s">
        <v>326</v>
      </c>
      <c r="H153" s="2" t="s">
        <v>43</v>
      </c>
      <c r="K153" s="2" t="s">
        <v>800</v>
      </c>
      <c r="L153" s="2" t="s">
        <v>801</v>
      </c>
      <c r="M153" s="2" t="s">
        <v>802</v>
      </c>
      <c r="N153" s="2" t="s">
        <v>337</v>
      </c>
      <c r="O153" s="2" t="s">
        <v>368</v>
      </c>
      <c r="Q153" s="2" t="s">
        <v>50</v>
      </c>
      <c r="S153" s="7" t="s">
        <v>4925</v>
      </c>
      <c r="T153" s="7" t="s">
        <v>5713</v>
      </c>
      <c r="U153" s="2" t="s">
        <v>5866</v>
      </c>
    </row>
    <row r="154" spans="1:21" ht="12.75" x14ac:dyDescent="0.2">
      <c r="A154" s="1">
        <v>44342.732319710645</v>
      </c>
      <c r="B154" s="2" t="s">
        <v>573</v>
      </c>
      <c r="C154" s="2" t="s">
        <v>574</v>
      </c>
      <c r="D154" s="2" t="s">
        <v>223</v>
      </c>
      <c r="E154" s="3">
        <v>44013</v>
      </c>
      <c r="F154" s="4">
        <v>1</v>
      </c>
      <c r="G154" s="2" t="s">
        <v>143</v>
      </c>
      <c r="H154" s="2" t="s">
        <v>43</v>
      </c>
      <c r="K154" s="2" t="s">
        <v>803</v>
      </c>
      <c r="L154" s="2" t="s">
        <v>804</v>
      </c>
      <c r="M154" s="2" t="s">
        <v>805</v>
      </c>
      <c r="N154" s="2" t="s">
        <v>228</v>
      </c>
      <c r="O154" s="2" t="s">
        <v>579</v>
      </c>
      <c r="Q154" s="2" t="s">
        <v>50</v>
      </c>
      <c r="S154" s="7" t="s">
        <v>4926</v>
      </c>
      <c r="T154" s="7" t="s">
        <v>5713</v>
      </c>
      <c r="U154" s="2" t="s">
        <v>5867</v>
      </c>
    </row>
    <row r="155" spans="1:21" ht="12.75" x14ac:dyDescent="0.2">
      <c r="A155" s="1">
        <v>44342.732343923606</v>
      </c>
      <c r="B155" s="2" t="s">
        <v>363</v>
      </c>
      <c r="C155" s="2" t="s">
        <v>806</v>
      </c>
      <c r="D155" s="2" t="s">
        <v>333</v>
      </c>
      <c r="E155" s="3">
        <v>44032</v>
      </c>
      <c r="F155" s="4">
        <v>124122.43</v>
      </c>
      <c r="G155" s="2" t="s">
        <v>42</v>
      </c>
      <c r="H155" s="2" t="s">
        <v>43</v>
      </c>
      <c r="K155" s="2" t="s">
        <v>807</v>
      </c>
      <c r="L155" s="2" t="s">
        <v>808</v>
      </c>
      <c r="M155" s="2" t="s">
        <v>809</v>
      </c>
      <c r="N155" s="2" t="s">
        <v>337</v>
      </c>
      <c r="O155" s="2" t="s">
        <v>368</v>
      </c>
      <c r="Q155" s="2" t="s">
        <v>50</v>
      </c>
      <c r="S155" s="7" t="s">
        <v>4927</v>
      </c>
      <c r="T155" s="7" t="s">
        <v>5713</v>
      </c>
      <c r="U155" s="2" t="s">
        <v>5868</v>
      </c>
    </row>
    <row r="156" spans="1:21" ht="12.75" x14ac:dyDescent="0.2">
      <c r="A156" s="1">
        <v>44342.732368530094</v>
      </c>
      <c r="B156" s="2" t="s">
        <v>810</v>
      </c>
      <c r="C156" s="2" t="s">
        <v>811</v>
      </c>
      <c r="D156" s="2" t="s">
        <v>333</v>
      </c>
      <c r="E156" s="3">
        <v>44032</v>
      </c>
      <c r="F156" s="4">
        <v>2812.46</v>
      </c>
      <c r="G156" s="2" t="s">
        <v>42</v>
      </c>
      <c r="H156" s="2" t="s">
        <v>43</v>
      </c>
      <c r="K156" s="2" t="s">
        <v>812</v>
      </c>
      <c r="L156" s="2" t="s">
        <v>813</v>
      </c>
      <c r="M156" s="2" t="s">
        <v>814</v>
      </c>
      <c r="N156" s="2" t="s">
        <v>337</v>
      </c>
      <c r="O156" s="2" t="s">
        <v>815</v>
      </c>
      <c r="Q156" s="2" t="s">
        <v>50</v>
      </c>
      <c r="S156" s="7" t="s">
        <v>4928</v>
      </c>
      <c r="T156" s="7" t="s">
        <v>5713</v>
      </c>
      <c r="U156" s="2" t="s">
        <v>5869</v>
      </c>
    </row>
    <row r="157" spans="1:21" ht="12.75" x14ac:dyDescent="0.2">
      <c r="A157" s="1">
        <v>44342.732393113431</v>
      </c>
      <c r="B157" s="2" t="s">
        <v>438</v>
      </c>
      <c r="C157" s="2" t="s">
        <v>816</v>
      </c>
      <c r="D157" s="2" t="s">
        <v>333</v>
      </c>
      <c r="E157" s="3">
        <v>44053</v>
      </c>
      <c r="F157" s="4">
        <v>9490</v>
      </c>
      <c r="G157" s="2" t="s">
        <v>143</v>
      </c>
      <c r="H157" s="2" t="s">
        <v>43</v>
      </c>
      <c r="K157" s="2" t="s">
        <v>817</v>
      </c>
      <c r="L157" s="2" t="s">
        <v>818</v>
      </c>
      <c r="M157" s="2" t="s">
        <v>819</v>
      </c>
      <c r="N157" s="2" t="s">
        <v>337</v>
      </c>
      <c r="O157" s="2" t="s">
        <v>443</v>
      </c>
      <c r="Q157" s="2" t="s">
        <v>50</v>
      </c>
      <c r="S157" s="7" t="s">
        <v>4929</v>
      </c>
      <c r="T157" s="7" t="s">
        <v>5713</v>
      </c>
      <c r="U157" s="2" t="s">
        <v>5870</v>
      </c>
    </row>
    <row r="158" spans="1:21" ht="12.75" x14ac:dyDescent="0.2">
      <c r="A158" s="1">
        <v>44342.732418217594</v>
      </c>
      <c r="B158" s="2" t="s">
        <v>241</v>
      </c>
      <c r="C158" s="2" t="s">
        <v>820</v>
      </c>
      <c r="D158" s="2" t="s">
        <v>41</v>
      </c>
      <c r="E158" s="3">
        <v>44054</v>
      </c>
      <c r="F158" s="4">
        <v>10200</v>
      </c>
      <c r="G158" s="2" t="s">
        <v>42</v>
      </c>
      <c r="H158" s="2" t="s">
        <v>43</v>
      </c>
      <c r="K158" s="2" t="s">
        <v>821</v>
      </c>
      <c r="L158" s="2" t="s">
        <v>822</v>
      </c>
      <c r="M158" s="2" t="s">
        <v>823</v>
      </c>
      <c r="N158" s="2" t="s">
        <v>48</v>
      </c>
      <c r="O158" s="2" t="s">
        <v>247</v>
      </c>
      <c r="Q158" s="2" t="s">
        <v>50</v>
      </c>
      <c r="S158" s="7" t="s">
        <v>4930</v>
      </c>
      <c r="T158" s="7" t="s">
        <v>5713</v>
      </c>
      <c r="U158" s="2" t="s">
        <v>5871</v>
      </c>
    </row>
    <row r="159" spans="1:21" ht="12.75" x14ac:dyDescent="0.2">
      <c r="A159" s="1">
        <v>44342.732443229164</v>
      </c>
      <c r="B159" s="2" t="s">
        <v>824</v>
      </c>
      <c r="C159" s="2" t="s">
        <v>825</v>
      </c>
      <c r="D159" s="2" t="s">
        <v>333</v>
      </c>
      <c r="E159" s="3">
        <v>44041</v>
      </c>
      <c r="F159" s="4">
        <v>11508</v>
      </c>
      <c r="G159" s="2" t="s">
        <v>42</v>
      </c>
      <c r="H159" s="2" t="s">
        <v>43</v>
      </c>
      <c r="J159" s="2" t="s">
        <v>826</v>
      </c>
      <c r="K159" s="2" t="s">
        <v>827</v>
      </c>
      <c r="L159" s="2" t="s">
        <v>828</v>
      </c>
      <c r="M159" s="2" t="s">
        <v>829</v>
      </c>
      <c r="N159" s="2" t="s">
        <v>337</v>
      </c>
      <c r="O159" s="2" t="s">
        <v>830</v>
      </c>
      <c r="Q159" s="2" t="s">
        <v>50</v>
      </c>
      <c r="S159" s="7" t="s">
        <v>4931</v>
      </c>
      <c r="T159" s="7" t="s">
        <v>5713</v>
      </c>
      <c r="U159" s="2" t="s">
        <v>5872</v>
      </c>
    </row>
    <row r="160" spans="1:21" ht="12.75" x14ac:dyDescent="0.2">
      <c r="A160" s="1">
        <v>44342.732468935181</v>
      </c>
      <c r="B160" s="2" t="s">
        <v>824</v>
      </c>
      <c r="C160" s="2" t="s">
        <v>831</v>
      </c>
      <c r="D160" s="2" t="s">
        <v>333</v>
      </c>
      <c r="E160" s="3">
        <v>44039</v>
      </c>
      <c r="F160" s="4">
        <v>3492</v>
      </c>
      <c r="G160" s="2" t="s">
        <v>143</v>
      </c>
      <c r="H160" s="2" t="s">
        <v>43</v>
      </c>
      <c r="J160" s="2" t="s">
        <v>826</v>
      </c>
      <c r="K160" s="2" t="s">
        <v>832</v>
      </c>
      <c r="L160" s="2" t="s">
        <v>833</v>
      </c>
      <c r="M160" s="2" t="s">
        <v>834</v>
      </c>
      <c r="N160" s="2" t="s">
        <v>337</v>
      </c>
      <c r="O160" s="2" t="s">
        <v>830</v>
      </c>
      <c r="Q160" s="2" t="s">
        <v>50</v>
      </c>
      <c r="S160" s="7" t="s">
        <v>4932</v>
      </c>
      <c r="T160" s="7" t="s">
        <v>5713</v>
      </c>
      <c r="U160" s="2" t="s">
        <v>5873</v>
      </c>
    </row>
    <row r="161" spans="1:21" ht="12.75" x14ac:dyDescent="0.2">
      <c r="A161" s="1">
        <v>44342.732494861106</v>
      </c>
      <c r="B161" s="2" t="s">
        <v>234</v>
      </c>
      <c r="C161" s="2" t="s">
        <v>835</v>
      </c>
      <c r="D161" s="2" t="s">
        <v>41</v>
      </c>
      <c r="E161" s="3">
        <v>43224</v>
      </c>
      <c r="F161" s="4">
        <v>5343</v>
      </c>
      <c r="G161" s="2" t="s">
        <v>42</v>
      </c>
      <c r="H161" s="2" t="s">
        <v>43</v>
      </c>
      <c r="K161" s="2" t="s">
        <v>836</v>
      </c>
      <c r="L161" s="2" t="s">
        <v>837</v>
      </c>
      <c r="M161" s="2" t="s">
        <v>838</v>
      </c>
      <c r="N161" s="2" t="s">
        <v>48</v>
      </c>
      <c r="O161" s="2" t="s">
        <v>240</v>
      </c>
      <c r="Q161" s="2" t="s">
        <v>50</v>
      </c>
      <c r="S161" s="7" t="s">
        <v>4933</v>
      </c>
      <c r="T161" s="7" t="s">
        <v>5713</v>
      </c>
      <c r="U161" s="2" t="s">
        <v>5874</v>
      </c>
    </row>
    <row r="162" spans="1:21" ht="12.75" x14ac:dyDescent="0.2">
      <c r="A162" s="1">
        <v>44342.732521435188</v>
      </c>
      <c r="B162" s="2" t="s">
        <v>234</v>
      </c>
      <c r="C162" s="2" t="s">
        <v>839</v>
      </c>
      <c r="D162" s="2" t="s">
        <v>41</v>
      </c>
      <c r="E162" s="3">
        <v>43095</v>
      </c>
      <c r="F162" s="4">
        <v>5343</v>
      </c>
      <c r="G162" s="2" t="s">
        <v>42</v>
      </c>
      <c r="H162" s="2" t="s">
        <v>43</v>
      </c>
      <c r="K162" s="2" t="s">
        <v>840</v>
      </c>
      <c r="L162" s="2" t="s">
        <v>841</v>
      </c>
      <c r="M162" s="2" t="s">
        <v>842</v>
      </c>
      <c r="N162" s="2" t="s">
        <v>48</v>
      </c>
      <c r="O162" s="2" t="s">
        <v>240</v>
      </c>
      <c r="Q162" s="2" t="s">
        <v>50</v>
      </c>
      <c r="S162" s="7" t="s">
        <v>4934</v>
      </c>
      <c r="T162" s="7" t="s">
        <v>5713</v>
      </c>
      <c r="U162" s="2" t="s">
        <v>5875</v>
      </c>
    </row>
    <row r="163" spans="1:21" ht="12.75" x14ac:dyDescent="0.2">
      <c r="A163" s="1">
        <v>44342.732547233798</v>
      </c>
      <c r="B163" s="2" t="s">
        <v>83</v>
      </c>
      <c r="C163" s="2" t="s">
        <v>843</v>
      </c>
      <c r="D163" s="2" t="s">
        <v>41</v>
      </c>
      <c r="E163" s="3">
        <v>43976</v>
      </c>
      <c r="F163" s="4">
        <v>44100</v>
      </c>
      <c r="G163" s="2" t="s">
        <v>42</v>
      </c>
      <c r="H163" s="2" t="s">
        <v>43</v>
      </c>
      <c r="J163" s="2" t="s">
        <v>844</v>
      </c>
      <c r="K163" s="2" t="s">
        <v>845</v>
      </c>
      <c r="L163" s="2" t="s">
        <v>846</v>
      </c>
      <c r="M163" s="2" t="s">
        <v>847</v>
      </c>
      <c r="N163" s="2" t="s">
        <v>48</v>
      </c>
      <c r="O163" s="2" t="s">
        <v>88</v>
      </c>
      <c r="Q163" s="2" t="s">
        <v>50</v>
      </c>
      <c r="S163" s="7" t="s">
        <v>4935</v>
      </c>
      <c r="T163" s="7" t="s">
        <v>5713</v>
      </c>
      <c r="U163" s="2" t="s">
        <v>5876</v>
      </c>
    </row>
    <row r="164" spans="1:21" ht="12.75" x14ac:dyDescent="0.2">
      <c r="A164" s="1">
        <v>44342.732572569439</v>
      </c>
      <c r="B164" s="2" t="s">
        <v>848</v>
      </c>
      <c r="C164" s="2" t="s">
        <v>849</v>
      </c>
      <c r="D164" s="2" t="s">
        <v>333</v>
      </c>
      <c r="E164" s="3">
        <v>43983</v>
      </c>
      <c r="F164" s="4">
        <v>5250</v>
      </c>
      <c r="G164" s="2" t="s">
        <v>143</v>
      </c>
      <c r="H164" s="2" t="s">
        <v>43</v>
      </c>
      <c r="K164" s="2" t="s">
        <v>850</v>
      </c>
      <c r="L164" s="2" t="s">
        <v>851</v>
      </c>
      <c r="M164" s="2" t="s">
        <v>852</v>
      </c>
      <c r="N164" s="2" t="s">
        <v>337</v>
      </c>
      <c r="O164" s="2" t="s">
        <v>853</v>
      </c>
      <c r="Q164" s="2" t="s">
        <v>50</v>
      </c>
      <c r="S164" s="7" t="s">
        <v>4936</v>
      </c>
      <c r="T164" s="7" t="s">
        <v>5713</v>
      </c>
      <c r="U164" s="2" t="s">
        <v>5877</v>
      </c>
    </row>
    <row r="165" spans="1:21" ht="12.75" x14ac:dyDescent="0.2">
      <c r="A165" s="1">
        <v>44342.734347233796</v>
      </c>
      <c r="B165" s="2" t="s">
        <v>234</v>
      </c>
      <c r="C165" s="2" t="s">
        <v>854</v>
      </c>
      <c r="D165" s="2" t="s">
        <v>41</v>
      </c>
      <c r="E165" s="3">
        <v>43273</v>
      </c>
      <c r="F165" s="4">
        <v>16000</v>
      </c>
      <c r="G165" s="2" t="s">
        <v>143</v>
      </c>
      <c r="H165" s="2" t="s">
        <v>43</v>
      </c>
      <c r="K165" s="2" t="s">
        <v>855</v>
      </c>
      <c r="L165" s="2" t="s">
        <v>856</v>
      </c>
      <c r="M165" s="2" t="s">
        <v>857</v>
      </c>
      <c r="N165" s="2" t="s">
        <v>48</v>
      </c>
      <c r="O165" s="2" t="s">
        <v>240</v>
      </c>
      <c r="Q165" s="2" t="s">
        <v>50</v>
      </c>
      <c r="S165" s="7" t="s">
        <v>4937</v>
      </c>
      <c r="T165" s="7" t="s">
        <v>5713</v>
      </c>
      <c r="U165" s="2" t="s">
        <v>5878</v>
      </c>
    </row>
    <row r="166" spans="1:21" ht="12.75" x14ac:dyDescent="0.2">
      <c r="A166" s="1">
        <v>44342.734363807875</v>
      </c>
      <c r="B166" s="2" t="s">
        <v>858</v>
      </c>
      <c r="C166" s="2" t="s">
        <v>859</v>
      </c>
      <c r="D166" s="2" t="s">
        <v>333</v>
      </c>
      <c r="E166" s="3">
        <v>44070</v>
      </c>
      <c r="F166" s="4">
        <v>19200</v>
      </c>
      <c r="G166" s="2" t="s">
        <v>143</v>
      </c>
      <c r="H166" s="2" t="s">
        <v>43</v>
      </c>
      <c r="K166" s="2" t="s">
        <v>860</v>
      </c>
      <c r="L166" s="2" t="s">
        <v>861</v>
      </c>
      <c r="M166" s="2" t="s">
        <v>862</v>
      </c>
      <c r="N166" s="2" t="s">
        <v>337</v>
      </c>
      <c r="O166" s="2" t="s">
        <v>863</v>
      </c>
      <c r="Q166" s="2" t="s">
        <v>50</v>
      </c>
      <c r="S166" s="7" t="s">
        <v>4938</v>
      </c>
      <c r="T166" s="7" t="s">
        <v>5713</v>
      </c>
      <c r="U166" s="2" t="s">
        <v>5879</v>
      </c>
    </row>
    <row r="167" spans="1:21" ht="12.75" x14ac:dyDescent="0.2">
      <c r="A167" s="1">
        <v>44342.734380104172</v>
      </c>
      <c r="B167" s="2" t="s">
        <v>468</v>
      </c>
      <c r="C167" s="2" t="s">
        <v>864</v>
      </c>
      <c r="D167" s="2" t="s">
        <v>333</v>
      </c>
      <c r="E167" s="3">
        <v>43878</v>
      </c>
      <c r="F167" s="4">
        <v>25200</v>
      </c>
      <c r="G167" s="2" t="s">
        <v>42</v>
      </c>
      <c r="H167" s="2" t="s">
        <v>43</v>
      </c>
      <c r="K167" s="2" t="s">
        <v>865</v>
      </c>
      <c r="L167" s="2" t="s">
        <v>866</v>
      </c>
      <c r="M167" s="2" t="s">
        <v>867</v>
      </c>
      <c r="N167" s="2" t="s">
        <v>337</v>
      </c>
      <c r="O167" s="2" t="s">
        <v>476</v>
      </c>
      <c r="Q167" s="2" t="s">
        <v>50</v>
      </c>
      <c r="S167" s="7" t="s">
        <v>4939</v>
      </c>
      <c r="T167" s="7" t="s">
        <v>5713</v>
      </c>
      <c r="U167" s="2" t="s">
        <v>5880</v>
      </c>
    </row>
    <row r="168" spans="1:21" ht="12.75" x14ac:dyDescent="0.2">
      <c r="A168" s="1">
        <v>44342.734397256943</v>
      </c>
      <c r="B168" s="2" t="s">
        <v>468</v>
      </c>
      <c r="C168" s="2" t="s">
        <v>868</v>
      </c>
      <c r="D168" s="2" t="s">
        <v>333</v>
      </c>
      <c r="E168" s="3">
        <v>44005</v>
      </c>
      <c r="F168" s="4">
        <v>6800</v>
      </c>
      <c r="G168" s="2" t="s">
        <v>143</v>
      </c>
      <c r="H168" s="2" t="s">
        <v>43</v>
      </c>
      <c r="K168" s="2" t="s">
        <v>869</v>
      </c>
      <c r="L168" s="2" t="s">
        <v>870</v>
      </c>
      <c r="M168" s="2" t="s">
        <v>871</v>
      </c>
      <c r="N168" s="2" t="s">
        <v>337</v>
      </c>
      <c r="O168" s="2" t="s">
        <v>476</v>
      </c>
      <c r="Q168" s="2" t="s">
        <v>50</v>
      </c>
      <c r="S168" s="7" t="s">
        <v>4940</v>
      </c>
      <c r="T168" s="7" t="s">
        <v>5713</v>
      </c>
      <c r="U168" s="2" t="s">
        <v>5881</v>
      </c>
    </row>
    <row r="169" spans="1:21" ht="12.75" x14ac:dyDescent="0.2">
      <c r="A169" s="1">
        <v>44342.734415381943</v>
      </c>
      <c r="B169" s="2" t="s">
        <v>872</v>
      </c>
      <c r="C169" s="2" t="s">
        <v>873</v>
      </c>
      <c r="D169" s="2" t="s">
        <v>333</v>
      </c>
      <c r="E169" s="3">
        <v>43902</v>
      </c>
      <c r="F169" s="4">
        <v>22240</v>
      </c>
      <c r="G169" s="2" t="s">
        <v>143</v>
      </c>
      <c r="H169" s="2" t="s">
        <v>43</v>
      </c>
      <c r="K169" s="2" t="s">
        <v>874</v>
      </c>
      <c r="L169" s="2" t="s">
        <v>875</v>
      </c>
      <c r="M169" s="2" t="s">
        <v>876</v>
      </c>
      <c r="N169" s="2" t="s">
        <v>337</v>
      </c>
      <c r="O169" s="2" t="s">
        <v>877</v>
      </c>
      <c r="Q169" s="2" t="s">
        <v>50</v>
      </c>
      <c r="S169" s="7" t="s">
        <v>4941</v>
      </c>
      <c r="T169" s="7" t="s">
        <v>5713</v>
      </c>
      <c r="U169" s="2" t="s">
        <v>5882</v>
      </c>
    </row>
    <row r="170" spans="1:21" ht="12.75" x14ac:dyDescent="0.2">
      <c r="A170" s="1">
        <v>44342.734430983794</v>
      </c>
      <c r="B170" s="2" t="s">
        <v>878</v>
      </c>
      <c r="C170" s="2" t="s">
        <v>879</v>
      </c>
      <c r="D170" s="2" t="s">
        <v>333</v>
      </c>
      <c r="E170" s="3">
        <v>44062</v>
      </c>
      <c r="F170" s="4">
        <v>7350</v>
      </c>
      <c r="G170" s="2" t="s">
        <v>42</v>
      </c>
      <c r="H170" s="2" t="s">
        <v>43</v>
      </c>
      <c r="J170" s="2" t="s">
        <v>880</v>
      </c>
      <c r="K170" s="2" t="s">
        <v>881</v>
      </c>
      <c r="L170" s="2" t="s">
        <v>882</v>
      </c>
      <c r="M170" s="2" t="s">
        <v>883</v>
      </c>
      <c r="N170" s="2" t="s">
        <v>337</v>
      </c>
      <c r="O170" s="2" t="s">
        <v>884</v>
      </c>
      <c r="Q170" s="2" t="s">
        <v>50</v>
      </c>
      <c r="S170" s="7" t="s">
        <v>4942</v>
      </c>
      <c r="T170" s="7" t="s">
        <v>5713</v>
      </c>
      <c r="U170" s="2" t="s">
        <v>5883</v>
      </c>
    </row>
    <row r="171" spans="1:21" ht="12.75" x14ac:dyDescent="0.2">
      <c r="A171" s="1">
        <v>44342.734446458329</v>
      </c>
      <c r="B171" s="2" t="s">
        <v>468</v>
      </c>
      <c r="C171" s="2" t="s">
        <v>885</v>
      </c>
      <c r="D171" s="2" t="s">
        <v>333</v>
      </c>
      <c r="E171" s="3">
        <v>44084</v>
      </c>
      <c r="F171" s="4">
        <v>1150</v>
      </c>
      <c r="G171" s="2" t="s">
        <v>143</v>
      </c>
      <c r="H171" s="2" t="s">
        <v>43</v>
      </c>
      <c r="K171" s="2" t="s">
        <v>886</v>
      </c>
      <c r="L171" s="2" t="s">
        <v>887</v>
      </c>
      <c r="M171" s="2" t="s">
        <v>888</v>
      </c>
      <c r="N171" s="2" t="s">
        <v>337</v>
      </c>
      <c r="O171" s="2" t="s">
        <v>476</v>
      </c>
      <c r="Q171" s="2" t="s">
        <v>50</v>
      </c>
      <c r="S171" s="7" t="s">
        <v>4943</v>
      </c>
      <c r="T171" s="7" t="s">
        <v>5713</v>
      </c>
      <c r="U171" s="2" t="s">
        <v>5884</v>
      </c>
    </row>
    <row r="172" spans="1:21" ht="12.75" x14ac:dyDescent="0.2">
      <c r="A172" s="1">
        <v>44342.734461574073</v>
      </c>
      <c r="B172" s="2" t="s">
        <v>889</v>
      </c>
      <c r="C172" s="2" t="s">
        <v>890</v>
      </c>
      <c r="D172" s="2" t="s">
        <v>333</v>
      </c>
      <c r="E172" s="3">
        <v>44091</v>
      </c>
      <c r="F172" s="4">
        <v>6000</v>
      </c>
      <c r="G172" s="2" t="s">
        <v>143</v>
      </c>
      <c r="H172" s="2" t="s">
        <v>43</v>
      </c>
      <c r="K172" s="2" t="s">
        <v>891</v>
      </c>
      <c r="L172" s="2" t="s">
        <v>892</v>
      </c>
      <c r="M172" s="2" t="s">
        <v>893</v>
      </c>
      <c r="N172" s="2" t="s">
        <v>337</v>
      </c>
      <c r="O172" s="2" t="s">
        <v>894</v>
      </c>
      <c r="Q172" s="2" t="s">
        <v>50</v>
      </c>
      <c r="S172" s="7" t="s">
        <v>4944</v>
      </c>
      <c r="T172" s="7" t="s">
        <v>5713</v>
      </c>
      <c r="U172" s="2" t="s">
        <v>5885</v>
      </c>
    </row>
    <row r="173" spans="1:21" ht="12.75" x14ac:dyDescent="0.2">
      <c r="A173" s="1">
        <v>44342.73447703704</v>
      </c>
      <c r="B173" s="2" t="s">
        <v>895</v>
      </c>
      <c r="C173" s="2" t="s">
        <v>896</v>
      </c>
      <c r="D173" s="2" t="s">
        <v>333</v>
      </c>
      <c r="E173" s="3">
        <v>44063</v>
      </c>
      <c r="F173" s="4">
        <v>824</v>
      </c>
      <c r="G173" s="2" t="s">
        <v>326</v>
      </c>
      <c r="H173" s="2" t="s">
        <v>43</v>
      </c>
      <c r="K173" s="2" t="s">
        <v>897</v>
      </c>
      <c r="L173" s="2" t="s">
        <v>898</v>
      </c>
      <c r="M173" s="2" t="s">
        <v>899</v>
      </c>
      <c r="N173" s="2" t="s">
        <v>337</v>
      </c>
      <c r="O173" s="2" t="s">
        <v>900</v>
      </c>
      <c r="Q173" s="2" t="s">
        <v>50</v>
      </c>
      <c r="S173" s="7" t="s">
        <v>4945</v>
      </c>
      <c r="T173" s="7" t="s">
        <v>5713</v>
      </c>
      <c r="U173" s="2" t="s">
        <v>5886</v>
      </c>
    </row>
    <row r="174" spans="1:21" ht="12.75" x14ac:dyDescent="0.2">
      <c r="A174" s="1">
        <v>44342.734492199073</v>
      </c>
      <c r="B174" s="2" t="s">
        <v>363</v>
      </c>
      <c r="C174" s="2" t="s">
        <v>901</v>
      </c>
      <c r="D174" s="2" t="s">
        <v>333</v>
      </c>
      <c r="E174" s="3">
        <v>44095</v>
      </c>
      <c r="F174" s="4">
        <v>2458.27</v>
      </c>
      <c r="G174" s="2" t="s">
        <v>42</v>
      </c>
      <c r="H174" s="2" t="s">
        <v>43</v>
      </c>
      <c r="K174" s="2" t="s">
        <v>902</v>
      </c>
      <c r="L174" s="2" t="s">
        <v>903</v>
      </c>
      <c r="M174" s="2" t="s">
        <v>904</v>
      </c>
      <c r="N174" s="2" t="s">
        <v>337</v>
      </c>
      <c r="O174" s="2" t="s">
        <v>368</v>
      </c>
      <c r="Q174" s="2" t="s">
        <v>50</v>
      </c>
      <c r="S174" s="7" t="s">
        <v>4946</v>
      </c>
      <c r="T174" s="7" t="s">
        <v>5713</v>
      </c>
      <c r="U174" s="2" t="s">
        <v>5887</v>
      </c>
    </row>
    <row r="175" spans="1:21" ht="12.75" x14ac:dyDescent="0.2">
      <c r="A175" s="1">
        <v>44342.734507326386</v>
      </c>
      <c r="B175" s="2" t="s">
        <v>468</v>
      </c>
      <c r="C175" s="2" t="s">
        <v>905</v>
      </c>
      <c r="D175" s="2" t="s">
        <v>333</v>
      </c>
      <c r="E175" s="3">
        <v>44091</v>
      </c>
      <c r="F175" s="4">
        <v>12410</v>
      </c>
      <c r="G175" s="2" t="s">
        <v>42</v>
      </c>
      <c r="H175" s="2" t="s">
        <v>43</v>
      </c>
      <c r="K175" s="2" t="s">
        <v>906</v>
      </c>
      <c r="L175" s="2" t="s">
        <v>907</v>
      </c>
      <c r="M175" s="2" t="s">
        <v>908</v>
      </c>
      <c r="N175" s="2" t="s">
        <v>337</v>
      </c>
      <c r="O175" s="2" t="s">
        <v>476</v>
      </c>
      <c r="Q175" s="2" t="s">
        <v>50</v>
      </c>
      <c r="S175" s="7" t="s">
        <v>4947</v>
      </c>
      <c r="T175" s="7" t="s">
        <v>5713</v>
      </c>
      <c r="U175" s="2" t="s">
        <v>5888</v>
      </c>
    </row>
    <row r="176" spans="1:21" ht="12.75" x14ac:dyDescent="0.2">
      <c r="A176" s="1">
        <v>44342.734523703708</v>
      </c>
      <c r="B176" s="2" t="s">
        <v>878</v>
      </c>
      <c r="C176" s="2" t="s">
        <v>909</v>
      </c>
      <c r="D176" s="2" t="s">
        <v>910</v>
      </c>
      <c r="E176" s="3">
        <v>44102</v>
      </c>
      <c r="F176" s="4">
        <v>7600</v>
      </c>
      <c r="G176" s="2" t="s">
        <v>143</v>
      </c>
      <c r="H176" s="2" t="s">
        <v>43</v>
      </c>
      <c r="J176" s="2" t="s">
        <v>911</v>
      </c>
      <c r="K176" s="2" t="s">
        <v>912</v>
      </c>
      <c r="L176" s="2" t="s">
        <v>913</v>
      </c>
      <c r="M176" s="2" t="s">
        <v>914</v>
      </c>
      <c r="N176" s="2" t="s">
        <v>915</v>
      </c>
      <c r="O176" s="2" t="s">
        <v>884</v>
      </c>
      <c r="Q176" s="2" t="s">
        <v>50</v>
      </c>
      <c r="S176" s="7" t="s">
        <v>4948</v>
      </c>
      <c r="T176" s="7" t="s">
        <v>5713</v>
      </c>
      <c r="U176" s="2" t="s">
        <v>5889</v>
      </c>
    </row>
    <row r="177" spans="1:21" ht="12.75" x14ac:dyDescent="0.2">
      <c r="A177" s="1">
        <v>44342.734538923614</v>
      </c>
      <c r="B177" s="2" t="s">
        <v>255</v>
      </c>
      <c r="C177" s="2" t="s">
        <v>916</v>
      </c>
      <c r="D177" s="2" t="s">
        <v>41</v>
      </c>
      <c r="E177" s="3">
        <v>44060</v>
      </c>
      <c r="F177" s="4">
        <v>65300</v>
      </c>
      <c r="G177" s="2" t="s">
        <v>42</v>
      </c>
      <c r="H177" s="2" t="s">
        <v>43</v>
      </c>
      <c r="J177" s="2" t="s">
        <v>917</v>
      </c>
      <c r="K177" s="2" t="s">
        <v>918</v>
      </c>
      <c r="L177" s="2" t="s">
        <v>919</v>
      </c>
      <c r="M177" s="2" t="s">
        <v>920</v>
      </c>
      <c r="N177" s="2" t="s">
        <v>48</v>
      </c>
      <c r="O177" s="2" t="s">
        <v>260</v>
      </c>
      <c r="Q177" s="2" t="s">
        <v>50</v>
      </c>
      <c r="S177" s="7" t="s">
        <v>4949</v>
      </c>
      <c r="T177" s="7" t="s">
        <v>5713</v>
      </c>
      <c r="U177" s="2" t="s">
        <v>5890</v>
      </c>
    </row>
    <row r="178" spans="1:21" ht="12.75" x14ac:dyDescent="0.2">
      <c r="A178" s="1">
        <v>44342.734554074079</v>
      </c>
      <c r="B178" s="2" t="s">
        <v>102</v>
      </c>
      <c r="C178" s="2" t="s">
        <v>921</v>
      </c>
      <c r="D178" s="2" t="s">
        <v>223</v>
      </c>
      <c r="E178" s="3">
        <v>44102</v>
      </c>
      <c r="F178" s="4">
        <v>800</v>
      </c>
      <c r="G178" s="2" t="s">
        <v>42</v>
      </c>
      <c r="H178" s="2" t="s">
        <v>43</v>
      </c>
      <c r="K178" s="2" t="s">
        <v>922</v>
      </c>
      <c r="L178" s="2" t="s">
        <v>923</v>
      </c>
      <c r="M178" s="2" t="s">
        <v>924</v>
      </c>
      <c r="N178" s="2" t="s">
        <v>228</v>
      </c>
      <c r="O178" s="2" t="s">
        <v>107</v>
      </c>
      <c r="Q178" s="2" t="s">
        <v>50</v>
      </c>
      <c r="S178" s="7" t="s">
        <v>4950</v>
      </c>
      <c r="T178" s="7" t="s">
        <v>5713</v>
      </c>
      <c r="U178" s="2" t="s">
        <v>5891</v>
      </c>
    </row>
    <row r="179" spans="1:21" ht="12.75" x14ac:dyDescent="0.2">
      <c r="A179" s="1">
        <v>44342.73456946759</v>
      </c>
      <c r="B179" s="2" t="s">
        <v>363</v>
      </c>
      <c r="C179" s="2" t="s">
        <v>925</v>
      </c>
      <c r="D179" s="2" t="s">
        <v>333</v>
      </c>
      <c r="E179" s="3">
        <v>44105</v>
      </c>
      <c r="F179" s="4">
        <v>51684.38</v>
      </c>
      <c r="G179" s="2" t="s">
        <v>326</v>
      </c>
      <c r="H179" s="2" t="s">
        <v>43</v>
      </c>
      <c r="K179" s="2" t="s">
        <v>926</v>
      </c>
      <c r="L179" s="2" t="s">
        <v>927</v>
      </c>
      <c r="M179" s="2" t="s">
        <v>928</v>
      </c>
      <c r="N179" s="2" t="s">
        <v>337</v>
      </c>
      <c r="O179" s="2" t="s">
        <v>368</v>
      </c>
      <c r="Q179" s="2" t="s">
        <v>50</v>
      </c>
      <c r="S179" s="7" t="s">
        <v>4951</v>
      </c>
      <c r="T179" s="7" t="s">
        <v>5713</v>
      </c>
      <c r="U179" s="2" t="s">
        <v>5892</v>
      </c>
    </row>
    <row r="180" spans="1:21" ht="12.75" x14ac:dyDescent="0.2">
      <c r="A180" s="1"/>
      <c r="B180" s="2"/>
      <c r="C180" s="2"/>
      <c r="D180" s="2"/>
      <c r="E180" s="3"/>
      <c r="F180" s="4"/>
      <c r="G180" s="2"/>
      <c r="H180" s="2"/>
      <c r="J180" s="2"/>
      <c r="K180" s="2"/>
      <c r="L180" s="2"/>
      <c r="M180" s="2"/>
      <c r="N180" s="2"/>
      <c r="O180" s="2"/>
      <c r="Q180" s="2"/>
      <c r="R180" s="2"/>
      <c r="S180" s="7"/>
      <c r="T180" s="7"/>
      <c r="U180" s="2"/>
    </row>
    <row r="181" spans="1:21" ht="12.75" x14ac:dyDescent="0.2">
      <c r="A181" s="1">
        <v>44342.734601956021</v>
      </c>
      <c r="B181" s="2" t="s">
        <v>878</v>
      </c>
      <c r="C181" s="2" t="s">
        <v>934</v>
      </c>
      <c r="D181" s="2" t="s">
        <v>223</v>
      </c>
      <c r="E181" s="3">
        <v>43998</v>
      </c>
      <c r="F181" s="4">
        <v>600</v>
      </c>
      <c r="G181" s="2" t="s">
        <v>143</v>
      </c>
      <c r="H181" s="2" t="s">
        <v>43</v>
      </c>
      <c r="K181" s="2" t="s">
        <v>935</v>
      </c>
      <c r="L181" s="2" t="s">
        <v>936</v>
      </c>
      <c r="M181" s="2" t="s">
        <v>937</v>
      </c>
      <c r="N181" s="2" t="s">
        <v>228</v>
      </c>
      <c r="O181" s="2" t="s">
        <v>884</v>
      </c>
      <c r="Q181" s="2" t="s">
        <v>50</v>
      </c>
      <c r="S181" s="7" t="s">
        <v>4953</v>
      </c>
      <c r="T181" s="7" t="s">
        <v>5713</v>
      </c>
      <c r="U181" s="2" t="s">
        <v>5893</v>
      </c>
    </row>
    <row r="182" spans="1:21" ht="12.75" x14ac:dyDescent="0.2">
      <c r="A182" s="1">
        <v>44342.734617627313</v>
      </c>
      <c r="B182" s="2" t="s">
        <v>938</v>
      </c>
      <c r="C182" s="2" t="s">
        <v>313</v>
      </c>
      <c r="D182" s="2" t="s">
        <v>41</v>
      </c>
      <c r="E182" s="3">
        <v>43518</v>
      </c>
      <c r="F182" s="4">
        <v>31350</v>
      </c>
      <c r="G182" s="2" t="s">
        <v>42</v>
      </c>
      <c r="H182" s="2" t="s">
        <v>43</v>
      </c>
      <c r="K182" s="2" t="s">
        <v>939</v>
      </c>
      <c r="L182" s="2" t="s">
        <v>940</v>
      </c>
      <c r="M182" s="2" t="s">
        <v>941</v>
      </c>
      <c r="N182" s="2" t="s">
        <v>48</v>
      </c>
      <c r="O182" s="2" t="s">
        <v>942</v>
      </c>
      <c r="Q182" s="2" t="s">
        <v>50</v>
      </c>
      <c r="S182" s="7" t="s">
        <v>4954</v>
      </c>
      <c r="T182" s="7" t="s">
        <v>5713</v>
      </c>
      <c r="U182" s="2" t="s">
        <v>5894</v>
      </c>
    </row>
    <row r="183" spans="1:21" ht="12.75" x14ac:dyDescent="0.2">
      <c r="A183" s="1">
        <v>44342.734634513894</v>
      </c>
      <c r="B183" s="2" t="s">
        <v>943</v>
      </c>
      <c r="C183" s="2" t="s">
        <v>944</v>
      </c>
      <c r="D183" s="2" t="s">
        <v>333</v>
      </c>
      <c r="E183" s="3">
        <v>44099</v>
      </c>
      <c r="F183" s="4">
        <v>5700</v>
      </c>
      <c r="G183" s="2" t="s">
        <v>42</v>
      </c>
      <c r="H183" s="2" t="s">
        <v>43</v>
      </c>
      <c r="K183" s="2" t="s">
        <v>945</v>
      </c>
      <c r="L183" s="2" t="s">
        <v>946</v>
      </c>
      <c r="M183" s="2" t="s">
        <v>947</v>
      </c>
      <c r="N183" s="2" t="s">
        <v>337</v>
      </c>
      <c r="O183" s="2" t="s">
        <v>948</v>
      </c>
      <c r="Q183" s="2" t="s">
        <v>50</v>
      </c>
      <c r="S183" s="7" t="s">
        <v>4955</v>
      </c>
      <c r="T183" s="7" t="s">
        <v>5713</v>
      </c>
      <c r="U183" s="2" t="s">
        <v>5895</v>
      </c>
    </row>
    <row r="184" spans="1:21" ht="12.75" x14ac:dyDescent="0.2">
      <c r="A184" s="1">
        <v>44342.734649618054</v>
      </c>
      <c r="B184" s="2" t="s">
        <v>889</v>
      </c>
      <c r="C184" s="2" t="s">
        <v>949</v>
      </c>
      <c r="D184" s="2" t="s">
        <v>333</v>
      </c>
      <c r="E184" s="3">
        <v>44114</v>
      </c>
      <c r="F184" s="4">
        <v>2260</v>
      </c>
      <c r="G184" s="2" t="s">
        <v>143</v>
      </c>
      <c r="H184" s="2" t="s">
        <v>43</v>
      </c>
      <c r="K184" s="2" t="s">
        <v>950</v>
      </c>
      <c r="L184" s="2" t="s">
        <v>951</v>
      </c>
      <c r="M184" s="2" t="s">
        <v>952</v>
      </c>
      <c r="N184" s="2" t="s">
        <v>337</v>
      </c>
      <c r="O184" s="2" t="s">
        <v>894</v>
      </c>
      <c r="Q184" s="2" t="s">
        <v>50</v>
      </c>
      <c r="S184" s="7" t="s">
        <v>4956</v>
      </c>
      <c r="T184" s="7" t="s">
        <v>5713</v>
      </c>
      <c r="U184" s="2" t="s">
        <v>5896</v>
      </c>
    </row>
    <row r="185" spans="1:21" ht="12.75" x14ac:dyDescent="0.2">
      <c r="A185" s="1">
        <v>44342.734664837961</v>
      </c>
      <c r="B185" s="2" t="s">
        <v>318</v>
      </c>
      <c r="C185" s="2" t="s">
        <v>953</v>
      </c>
      <c r="D185" s="2" t="s">
        <v>333</v>
      </c>
      <c r="E185" s="3">
        <v>44117</v>
      </c>
      <c r="F185" s="4">
        <v>2640</v>
      </c>
      <c r="G185" s="2" t="s">
        <v>143</v>
      </c>
      <c r="H185" s="2" t="s">
        <v>43</v>
      </c>
      <c r="K185" s="2" t="s">
        <v>954</v>
      </c>
      <c r="L185" s="2" t="s">
        <v>955</v>
      </c>
      <c r="M185" s="2" t="s">
        <v>956</v>
      </c>
      <c r="N185" s="2" t="s">
        <v>337</v>
      </c>
      <c r="O185" s="2" t="s">
        <v>323</v>
      </c>
      <c r="Q185" s="2" t="s">
        <v>50</v>
      </c>
      <c r="S185" s="7" t="s">
        <v>4957</v>
      </c>
      <c r="T185" s="7" t="s">
        <v>5713</v>
      </c>
      <c r="U185" s="2" t="s">
        <v>5897</v>
      </c>
    </row>
    <row r="186" spans="1:21" ht="12.75" x14ac:dyDescent="0.2">
      <c r="A186" s="1">
        <v>44342.734680138892</v>
      </c>
      <c r="B186" s="2" t="s">
        <v>957</v>
      </c>
      <c r="C186" s="2" t="s">
        <v>890</v>
      </c>
      <c r="D186" s="2" t="s">
        <v>333</v>
      </c>
      <c r="E186" s="3">
        <v>44116</v>
      </c>
      <c r="F186" s="4">
        <v>10420</v>
      </c>
      <c r="G186" s="2" t="s">
        <v>143</v>
      </c>
      <c r="H186" s="2" t="s">
        <v>43</v>
      </c>
      <c r="J186" s="2" t="s">
        <v>958</v>
      </c>
      <c r="K186" s="2" t="s">
        <v>959</v>
      </c>
      <c r="L186" s="2" t="s">
        <v>960</v>
      </c>
      <c r="M186" s="2" t="s">
        <v>961</v>
      </c>
      <c r="N186" s="2" t="s">
        <v>337</v>
      </c>
      <c r="O186" s="2" t="s">
        <v>962</v>
      </c>
      <c r="Q186" s="2" t="s">
        <v>50</v>
      </c>
      <c r="S186" s="7" t="s">
        <v>4958</v>
      </c>
      <c r="T186" s="7" t="s">
        <v>5713</v>
      </c>
      <c r="U186" s="2" t="s">
        <v>5898</v>
      </c>
    </row>
    <row r="187" spans="1:21" ht="12.75" x14ac:dyDescent="0.2">
      <c r="A187" s="1">
        <v>44342.734695648149</v>
      </c>
      <c r="B187" s="2" t="s">
        <v>963</v>
      </c>
      <c r="C187" s="2" t="s">
        <v>964</v>
      </c>
      <c r="D187" s="2" t="s">
        <v>41</v>
      </c>
      <c r="E187" s="3">
        <v>44118</v>
      </c>
      <c r="F187" s="4">
        <v>449870</v>
      </c>
      <c r="G187" s="2" t="s">
        <v>42</v>
      </c>
      <c r="H187" s="2" t="s">
        <v>43</v>
      </c>
      <c r="I187" s="2" t="s">
        <v>965</v>
      </c>
      <c r="J187" s="2" t="s">
        <v>966</v>
      </c>
      <c r="K187" s="2" t="s">
        <v>967</v>
      </c>
      <c r="L187" s="2" t="s">
        <v>968</v>
      </c>
      <c r="M187" s="2" t="s">
        <v>969</v>
      </c>
      <c r="N187" s="2" t="s">
        <v>48</v>
      </c>
      <c r="O187" s="2" t="s">
        <v>970</v>
      </c>
      <c r="P187" s="2" t="s">
        <v>971</v>
      </c>
      <c r="Q187" s="2" t="s">
        <v>50</v>
      </c>
      <c r="S187" s="7" t="s">
        <v>4959</v>
      </c>
      <c r="T187" s="7" t="s">
        <v>5713</v>
      </c>
      <c r="U187" s="2" t="s">
        <v>5899</v>
      </c>
    </row>
    <row r="188" spans="1:21" ht="12.75" x14ac:dyDescent="0.2">
      <c r="A188" s="1">
        <v>44342.734711354162</v>
      </c>
      <c r="B188" s="2" t="s">
        <v>972</v>
      </c>
      <c r="C188" s="2" t="s">
        <v>973</v>
      </c>
      <c r="D188" s="2" t="s">
        <v>333</v>
      </c>
      <c r="E188" s="3">
        <v>44127</v>
      </c>
      <c r="F188" s="4">
        <v>2720</v>
      </c>
      <c r="G188" s="2" t="s">
        <v>143</v>
      </c>
      <c r="H188" s="2" t="s">
        <v>43</v>
      </c>
      <c r="K188" s="2" t="s">
        <v>974</v>
      </c>
      <c r="L188" s="2" t="s">
        <v>975</v>
      </c>
      <c r="M188" s="2" t="s">
        <v>976</v>
      </c>
      <c r="N188" s="2" t="s">
        <v>337</v>
      </c>
      <c r="O188" s="2" t="s">
        <v>977</v>
      </c>
      <c r="Q188" s="2" t="s">
        <v>50</v>
      </c>
      <c r="S188" s="7" t="s">
        <v>4960</v>
      </c>
      <c r="T188" s="7" t="s">
        <v>5713</v>
      </c>
      <c r="U188" s="2" t="s">
        <v>5900</v>
      </c>
    </row>
    <row r="189" spans="1:21" ht="12.75" x14ac:dyDescent="0.2">
      <c r="A189" s="1">
        <v>44342.734729305557</v>
      </c>
      <c r="B189" s="2" t="s">
        <v>810</v>
      </c>
      <c r="C189" s="2" t="s">
        <v>978</v>
      </c>
      <c r="D189" s="2" t="s">
        <v>333</v>
      </c>
      <c r="E189" s="3">
        <v>44127</v>
      </c>
      <c r="F189" s="4">
        <v>5670</v>
      </c>
      <c r="G189" s="2" t="s">
        <v>143</v>
      </c>
      <c r="H189" s="2" t="s">
        <v>43</v>
      </c>
      <c r="K189" s="2" t="s">
        <v>979</v>
      </c>
      <c r="L189" s="2" t="s">
        <v>980</v>
      </c>
      <c r="M189" s="2" t="s">
        <v>981</v>
      </c>
      <c r="N189" s="2" t="s">
        <v>337</v>
      </c>
      <c r="O189" s="2" t="s">
        <v>815</v>
      </c>
      <c r="Q189" s="2" t="s">
        <v>50</v>
      </c>
      <c r="S189" s="7" t="s">
        <v>4961</v>
      </c>
      <c r="T189" s="7" t="s">
        <v>5713</v>
      </c>
      <c r="U189" s="2" t="s">
        <v>5901</v>
      </c>
    </row>
    <row r="190" spans="1:21" ht="12.75" x14ac:dyDescent="0.2">
      <c r="A190" s="1">
        <v>44342.734744525464</v>
      </c>
      <c r="B190" s="2" t="s">
        <v>438</v>
      </c>
      <c r="C190" s="2" t="s">
        <v>982</v>
      </c>
      <c r="D190" s="2" t="s">
        <v>333</v>
      </c>
      <c r="E190" s="3">
        <v>44120</v>
      </c>
      <c r="F190" s="4">
        <v>7320</v>
      </c>
      <c r="G190" s="2" t="s">
        <v>143</v>
      </c>
      <c r="H190" s="2" t="s">
        <v>43</v>
      </c>
      <c r="I190" s="2" t="s">
        <v>983</v>
      </c>
      <c r="K190" s="2" t="s">
        <v>984</v>
      </c>
      <c r="L190" s="2" t="s">
        <v>985</v>
      </c>
      <c r="M190" s="2" t="s">
        <v>986</v>
      </c>
      <c r="N190" s="2" t="s">
        <v>337</v>
      </c>
      <c r="O190" s="2" t="s">
        <v>443</v>
      </c>
      <c r="P190" s="2" t="s">
        <v>987</v>
      </c>
      <c r="Q190" s="2" t="s">
        <v>50</v>
      </c>
      <c r="S190" s="7" t="s">
        <v>4962</v>
      </c>
      <c r="T190" s="7" t="s">
        <v>5713</v>
      </c>
      <c r="U190" s="2" t="s">
        <v>5902</v>
      </c>
    </row>
    <row r="191" spans="1:21" ht="12.75" x14ac:dyDescent="0.2">
      <c r="A191" s="1">
        <v>44342.734759583334</v>
      </c>
      <c r="B191" s="2" t="s">
        <v>988</v>
      </c>
      <c r="C191" s="2" t="s">
        <v>989</v>
      </c>
      <c r="D191" s="2" t="s">
        <v>910</v>
      </c>
      <c r="E191" s="3">
        <v>44078</v>
      </c>
      <c r="F191" s="4">
        <v>2000</v>
      </c>
      <c r="G191" s="2" t="s">
        <v>326</v>
      </c>
      <c r="H191" s="2" t="s">
        <v>43</v>
      </c>
      <c r="I191" s="2" t="s">
        <v>990</v>
      </c>
      <c r="K191" s="2" t="s">
        <v>991</v>
      </c>
      <c r="L191" s="2" t="s">
        <v>992</v>
      </c>
      <c r="M191" s="2" t="s">
        <v>993</v>
      </c>
      <c r="N191" s="2" t="s">
        <v>915</v>
      </c>
      <c r="O191" s="2" t="s">
        <v>994</v>
      </c>
      <c r="P191" s="2" t="s">
        <v>995</v>
      </c>
      <c r="Q191" s="2" t="s">
        <v>50</v>
      </c>
      <c r="S191" s="7" t="s">
        <v>4963</v>
      </c>
      <c r="T191" s="7" t="s">
        <v>5713</v>
      </c>
      <c r="U191" s="2" t="s">
        <v>5903</v>
      </c>
    </row>
    <row r="192" spans="1:21" ht="12.75" x14ac:dyDescent="0.2">
      <c r="A192" s="1">
        <v>44342.734774942131</v>
      </c>
      <c r="B192" s="2" t="s">
        <v>996</v>
      </c>
      <c r="C192" s="2" t="s">
        <v>997</v>
      </c>
      <c r="D192" s="2" t="s">
        <v>333</v>
      </c>
      <c r="E192" s="3">
        <v>43798</v>
      </c>
      <c r="F192" s="4">
        <v>1180</v>
      </c>
      <c r="G192" s="2" t="s">
        <v>143</v>
      </c>
      <c r="H192" s="2" t="s">
        <v>43</v>
      </c>
      <c r="I192" s="2" t="s">
        <v>983</v>
      </c>
      <c r="K192" s="2" t="s">
        <v>998</v>
      </c>
      <c r="L192" s="2" t="s">
        <v>999</v>
      </c>
      <c r="M192" s="2" t="s">
        <v>1000</v>
      </c>
      <c r="N192" s="2" t="s">
        <v>337</v>
      </c>
      <c r="O192" s="2" t="s">
        <v>1001</v>
      </c>
      <c r="P192" s="2" t="s">
        <v>987</v>
      </c>
      <c r="Q192" s="2" t="s">
        <v>50</v>
      </c>
      <c r="S192" s="7" t="s">
        <v>4964</v>
      </c>
      <c r="T192" s="7" t="s">
        <v>5713</v>
      </c>
      <c r="U192" s="2" t="s">
        <v>5904</v>
      </c>
    </row>
    <row r="193" spans="1:21" ht="12.75" x14ac:dyDescent="0.2">
      <c r="A193" s="1">
        <v>44342.734790393515</v>
      </c>
      <c r="B193" s="2" t="s">
        <v>957</v>
      </c>
      <c r="C193" s="2" t="s">
        <v>1002</v>
      </c>
      <c r="D193" s="2" t="s">
        <v>333</v>
      </c>
      <c r="E193" s="3">
        <v>44116</v>
      </c>
      <c r="F193" s="4">
        <v>10420</v>
      </c>
      <c r="G193" s="2" t="s">
        <v>143</v>
      </c>
      <c r="H193" s="2" t="s">
        <v>43</v>
      </c>
      <c r="I193" s="2" t="s">
        <v>1003</v>
      </c>
      <c r="K193" s="2" t="s">
        <v>959</v>
      </c>
      <c r="L193" s="2" t="s">
        <v>1004</v>
      </c>
      <c r="M193" s="2" t="s">
        <v>1005</v>
      </c>
      <c r="N193" s="2" t="s">
        <v>337</v>
      </c>
      <c r="O193" s="2" t="s">
        <v>962</v>
      </c>
      <c r="P193" s="2" t="s">
        <v>1006</v>
      </c>
      <c r="Q193" s="2" t="s">
        <v>50</v>
      </c>
      <c r="S193" s="7" t="s">
        <v>4965</v>
      </c>
      <c r="T193" s="7" t="s">
        <v>5713</v>
      </c>
      <c r="U193" s="2" t="s">
        <v>5905</v>
      </c>
    </row>
    <row r="194" spans="1:21" ht="12.75" x14ac:dyDescent="0.2">
      <c r="A194" s="1">
        <v>44342.734805810185</v>
      </c>
      <c r="B194" s="2" t="s">
        <v>1007</v>
      </c>
      <c r="C194" s="2" t="s">
        <v>1008</v>
      </c>
      <c r="D194" s="2" t="s">
        <v>672</v>
      </c>
      <c r="E194" s="3">
        <v>44130</v>
      </c>
      <c r="F194" s="4">
        <v>200</v>
      </c>
      <c r="G194" s="2" t="s">
        <v>143</v>
      </c>
      <c r="H194" s="2" t="s">
        <v>43</v>
      </c>
      <c r="I194" s="2" t="s">
        <v>1009</v>
      </c>
      <c r="J194" s="2" t="s">
        <v>464</v>
      </c>
      <c r="K194" s="2" t="s">
        <v>1010</v>
      </c>
      <c r="L194" s="2" t="s">
        <v>1011</v>
      </c>
      <c r="M194" s="2" t="s">
        <v>1012</v>
      </c>
      <c r="N194" s="2" t="s">
        <v>676</v>
      </c>
      <c r="O194" s="2" t="s">
        <v>1013</v>
      </c>
      <c r="P194" s="2" t="s">
        <v>1014</v>
      </c>
      <c r="Q194" s="2" t="s">
        <v>50</v>
      </c>
      <c r="S194" s="7" t="s">
        <v>4966</v>
      </c>
      <c r="T194" s="7" t="s">
        <v>5713</v>
      </c>
      <c r="U194" s="2" t="s">
        <v>5906</v>
      </c>
    </row>
    <row r="195" spans="1:21" ht="12.75" x14ac:dyDescent="0.2">
      <c r="A195" s="1">
        <v>44342.734821134261</v>
      </c>
      <c r="B195" s="2" t="s">
        <v>324</v>
      </c>
      <c r="C195" s="2" t="s">
        <v>1015</v>
      </c>
      <c r="D195" s="2" t="s">
        <v>333</v>
      </c>
      <c r="E195" s="3">
        <v>44132</v>
      </c>
      <c r="F195" s="4">
        <v>3849</v>
      </c>
      <c r="G195" s="2" t="s">
        <v>143</v>
      </c>
      <c r="H195" s="2" t="s">
        <v>43</v>
      </c>
      <c r="I195" s="2" t="s">
        <v>990</v>
      </c>
      <c r="K195" s="2" t="s">
        <v>1016</v>
      </c>
      <c r="L195" s="2" t="s">
        <v>1017</v>
      </c>
      <c r="M195" s="2" t="s">
        <v>1018</v>
      </c>
      <c r="N195" s="2" t="s">
        <v>337</v>
      </c>
      <c r="O195" s="2" t="s">
        <v>330</v>
      </c>
      <c r="P195" s="2" t="s">
        <v>995</v>
      </c>
      <c r="Q195" s="2" t="s">
        <v>50</v>
      </c>
      <c r="S195" s="7" t="s">
        <v>4967</v>
      </c>
      <c r="T195" s="7" t="s">
        <v>5713</v>
      </c>
      <c r="U195" s="2" t="s">
        <v>5907</v>
      </c>
    </row>
    <row r="196" spans="1:21" ht="12.75" x14ac:dyDescent="0.2">
      <c r="A196" s="1">
        <v>44342.734837604163</v>
      </c>
      <c r="B196" s="2" t="s">
        <v>83</v>
      </c>
      <c r="C196" s="2" t="s">
        <v>1019</v>
      </c>
      <c r="D196" s="2" t="s">
        <v>41</v>
      </c>
      <c r="E196" s="3">
        <v>44097</v>
      </c>
      <c r="F196" s="4">
        <v>23000</v>
      </c>
      <c r="G196" s="2" t="s">
        <v>42</v>
      </c>
      <c r="H196" s="2" t="s">
        <v>43</v>
      </c>
      <c r="I196" s="2" t="s">
        <v>965</v>
      </c>
      <c r="K196" s="2" t="s">
        <v>1020</v>
      </c>
      <c r="L196" s="2" t="s">
        <v>1021</v>
      </c>
      <c r="M196" s="2" t="s">
        <v>1022</v>
      </c>
      <c r="N196" s="2" t="s">
        <v>48</v>
      </c>
      <c r="O196" s="2" t="s">
        <v>88</v>
      </c>
      <c r="P196" s="2" t="s">
        <v>971</v>
      </c>
      <c r="Q196" s="2" t="s">
        <v>50</v>
      </c>
      <c r="S196" s="7" t="s">
        <v>4968</v>
      </c>
      <c r="T196" s="7" t="s">
        <v>5713</v>
      </c>
      <c r="U196" s="2" t="s">
        <v>5908</v>
      </c>
    </row>
    <row r="197" spans="1:21" ht="12.75" x14ac:dyDescent="0.2">
      <c r="A197" s="1">
        <v>44342.734852824069</v>
      </c>
      <c r="B197" s="2" t="s">
        <v>438</v>
      </c>
      <c r="C197" s="2" t="s">
        <v>1023</v>
      </c>
      <c r="D197" s="2" t="s">
        <v>333</v>
      </c>
      <c r="E197" s="3">
        <v>44140</v>
      </c>
      <c r="F197" s="4">
        <v>1180</v>
      </c>
      <c r="G197" s="2" t="s">
        <v>42</v>
      </c>
      <c r="H197" s="2" t="s">
        <v>43</v>
      </c>
      <c r="K197" s="2" t="s">
        <v>1024</v>
      </c>
      <c r="L197" s="2" t="s">
        <v>1025</v>
      </c>
      <c r="M197" s="2" t="s">
        <v>1026</v>
      </c>
      <c r="N197" s="2" t="s">
        <v>337</v>
      </c>
      <c r="O197" s="2" t="s">
        <v>443</v>
      </c>
      <c r="Q197" s="2" t="s">
        <v>50</v>
      </c>
      <c r="S197" s="7" t="s">
        <v>4969</v>
      </c>
      <c r="T197" s="7" t="s">
        <v>5713</v>
      </c>
      <c r="U197" s="2" t="s">
        <v>5909</v>
      </c>
    </row>
    <row r="198" spans="1:21" ht="12.75" x14ac:dyDescent="0.2">
      <c r="A198" s="1">
        <v>44342.734869930558</v>
      </c>
      <c r="B198" s="2" t="s">
        <v>318</v>
      </c>
      <c r="C198" s="2" t="s">
        <v>1027</v>
      </c>
      <c r="D198" s="2" t="s">
        <v>333</v>
      </c>
      <c r="E198" s="3">
        <v>44126</v>
      </c>
      <c r="F198" s="4">
        <v>500</v>
      </c>
      <c r="G198" s="2" t="s">
        <v>42</v>
      </c>
      <c r="H198" s="2" t="s">
        <v>43</v>
      </c>
      <c r="I198" s="2" t="s">
        <v>990</v>
      </c>
      <c r="K198" s="2" t="s">
        <v>1028</v>
      </c>
      <c r="L198" s="2" t="s">
        <v>1029</v>
      </c>
      <c r="M198" s="2" t="s">
        <v>1030</v>
      </c>
      <c r="N198" s="2" t="s">
        <v>337</v>
      </c>
      <c r="O198" s="2" t="s">
        <v>323</v>
      </c>
      <c r="P198" s="2" t="s">
        <v>995</v>
      </c>
      <c r="Q198" s="2" t="s">
        <v>50</v>
      </c>
      <c r="S198" s="7" t="s">
        <v>4970</v>
      </c>
      <c r="T198" s="7" t="s">
        <v>5713</v>
      </c>
      <c r="U198" s="2" t="s">
        <v>5910</v>
      </c>
    </row>
    <row r="199" spans="1:21" ht="12.75" x14ac:dyDescent="0.2">
      <c r="A199" s="1">
        <v>44342.734885914353</v>
      </c>
      <c r="B199" s="2" t="s">
        <v>318</v>
      </c>
      <c r="C199" s="2" t="s">
        <v>1031</v>
      </c>
      <c r="D199" s="2" t="s">
        <v>333</v>
      </c>
      <c r="E199" s="3">
        <v>44152</v>
      </c>
      <c r="F199" s="4">
        <v>5500</v>
      </c>
      <c r="G199" s="2" t="s">
        <v>143</v>
      </c>
      <c r="H199" s="2" t="s">
        <v>43</v>
      </c>
      <c r="I199" s="2" t="s">
        <v>1003</v>
      </c>
      <c r="K199" s="2" t="s">
        <v>1032</v>
      </c>
      <c r="L199" s="2" t="s">
        <v>1033</v>
      </c>
      <c r="M199" s="2" t="s">
        <v>1034</v>
      </c>
      <c r="N199" s="2" t="s">
        <v>337</v>
      </c>
      <c r="O199" s="2" t="s">
        <v>323</v>
      </c>
      <c r="P199" s="2" t="s">
        <v>1006</v>
      </c>
      <c r="Q199" s="2" t="s">
        <v>50</v>
      </c>
      <c r="S199" s="7" t="s">
        <v>4971</v>
      </c>
      <c r="T199" s="7" t="s">
        <v>5713</v>
      </c>
      <c r="U199" s="2" t="s">
        <v>5911</v>
      </c>
    </row>
    <row r="200" spans="1:21" ht="12.75" x14ac:dyDescent="0.2">
      <c r="A200" s="1">
        <v>44342.734900717594</v>
      </c>
      <c r="B200" s="2" t="s">
        <v>1035</v>
      </c>
      <c r="C200" s="2" t="s">
        <v>1036</v>
      </c>
      <c r="D200" s="2" t="s">
        <v>333</v>
      </c>
      <c r="E200" s="3">
        <v>44151</v>
      </c>
      <c r="F200" s="4">
        <v>3965</v>
      </c>
      <c r="G200" s="2" t="s">
        <v>42</v>
      </c>
      <c r="H200" s="2" t="s">
        <v>43</v>
      </c>
      <c r="I200" s="2" t="s">
        <v>990</v>
      </c>
      <c r="K200" s="2" t="s">
        <v>1037</v>
      </c>
      <c r="L200" s="2" t="s">
        <v>1038</v>
      </c>
      <c r="M200" s="2" t="s">
        <v>1039</v>
      </c>
      <c r="N200" s="2" t="s">
        <v>337</v>
      </c>
      <c r="O200" s="2" t="s">
        <v>1040</v>
      </c>
      <c r="P200" s="2" t="s">
        <v>995</v>
      </c>
      <c r="Q200" s="2" t="s">
        <v>1041</v>
      </c>
      <c r="S200" s="7" t="s">
        <v>4972</v>
      </c>
      <c r="T200" s="7" t="s">
        <v>5713</v>
      </c>
      <c r="U200" s="2" t="s">
        <v>5912</v>
      </c>
    </row>
    <row r="201" spans="1:21" ht="12.75" x14ac:dyDescent="0.2">
      <c r="A201" s="1">
        <v>44342.734915879628</v>
      </c>
      <c r="B201" s="2" t="s">
        <v>318</v>
      </c>
      <c r="C201" s="2" t="s">
        <v>1042</v>
      </c>
      <c r="D201" s="2" t="s">
        <v>333</v>
      </c>
      <c r="E201" s="3">
        <v>44138</v>
      </c>
      <c r="F201" s="4">
        <v>14728.5</v>
      </c>
      <c r="G201" s="2" t="s">
        <v>143</v>
      </c>
      <c r="H201" s="2" t="s">
        <v>43</v>
      </c>
      <c r="K201" s="2" t="s">
        <v>1043</v>
      </c>
      <c r="L201" s="2" t="s">
        <v>1044</v>
      </c>
      <c r="M201" s="2" t="s">
        <v>1045</v>
      </c>
      <c r="N201" s="2" t="s">
        <v>337</v>
      </c>
      <c r="O201" s="2" t="s">
        <v>323</v>
      </c>
      <c r="Q201" s="2" t="s">
        <v>50</v>
      </c>
      <c r="S201" s="7" t="s">
        <v>4973</v>
      </c>
      <c r="T201" s="7" t="s">
        <v>5713</v>
      </c>
      <c r="U201" s="2" t="s">
        <v>5913</v>
      </c>
    </row>
    <row r="202" spans="1:21" ht="12.75" x14ac:dyDescent="0.2">
      <c r="A202" s="1">
        <v>44342.734932650463</v>
      </c>
      <c r="B202" s="2" t="s">
        <v>357</v>
      </c>
      <c r="C202" s="2" t="s">
        <v>1046</v>
      </c>
      <c r="D202" s="2" t="s">
        <v>41</v>
      </c>
      <c r="E202" s="3">
        <v>44112</v>
      </c>
      <c r="F202" s="4">
        <v>6000</v>
      </c>
      <c r="G202" s="2" t="s">
        <v>143</v>
      </c>
      <c r="H202" s="2" t="s">
        <v>43</v>
      </c>
      <c r="J202" s="2" t="s">
        <v>1047</v>
      </c>
      <c r="K202" s="2" t="s">
        <v>1048</v>
      </c>
      <c r="L202" s="2" t="s">
        <v>1049</v>
      </c>
      <c r="M202" s="2" t="s">
        <v>1050</v>
      </c>
      <c r="N202" s="2" t="s">
        <v>48</v>
      </c>
      <c r="O202" s="2" t="s">
        <v>362</v>
      </c>
      <c r="Q202" s="2" t="s">
        <v>50</v>
      </c>
      <c r="S202" s="7" t="s">
        <v>4974</v>
      </c>
      <c r="T202" s="7" t="s">
        <v>5713</v>
      </c>
      <c r="U202" s="2" t="s">
        <v>5914</v>
      </c>
    </row>
    <row r="203" spans="1:21" ht="12.75" x14ac:dyDescent="0.2">
      <c r="A203" s="1">
        <v>44342.73494829861</v>
      </c>
      <c r="B203" s="2" t="s">
        <v>1051</v>
      </c>
      <c r="C203" s="2" t="s">
        <v>1052</v>
      </c>
      <c r="D203" s="2" t="s">
        <v>41</v>
      </c>
      <c r="E203" s="3">
        <v>44183</v>
      </c>
      <c r="F203" s="4">
        <v>1</v>
      </c>
      <c r="G203" s="2" t="s">
        <v>143</v>
      </c>
      <c r="H203" s="2" t="s">
        <v>43</v>
      </c>
      <c r="J203" s="2" t="s">
        <v>1053</v>
      </c>
      <c r="K203" s="2" t="s">
        <v>1054</v>
      </c>
      <c r="L203" s="2" t="s">
        <v>1055</v>
      </c>
      <c r="M203" s="2" t="s">
        <v>1056</v>
      </c>
      <c r="N203" s="2" t="s">
        <v>48</v>
      </c>
      <c r="O203" s="2" t="s">
        <v>1057</v>
      </c>
      <c r="Q203" s="2" t="s">
        <v>50</v>
      </c>
      <c r="S203" s="7" t="s">
        <v>4975</v>
      </c>
      <c r="T203" s="7" t="s">
        <v>5713</v>
      </c>
      <c r="U203" s="2" t="s">
        <v>5915</v>
      </c>
    </row>
    <row r="204" spans="1:21" ht="12.75" x14ac:dyDescent="0.2">
      <c r="A204" s="1">
        <v>44342.734963460651</v>
      </c>
      <c r="B204" s="2" t="s">
        <v>810</v>
      </c>
      <c r="C204" s="2" t="s">
        <v>1058</v>
      </c>
      <c r="D204" s="2" t="s">
        <v>333</v>
      </c>
      <c r="E204" s="3">
        <v>44183</v>
      </c>
      <c r="F204" s="4">
        <v>800</v>
      </c>
      <c r="G204" s="2" t="s">
        <v>42</v>
      </c>
      <c r="H204" s="2" t="s">
        <v>43</v>
      </c>
      <c r="K204" s="2" t="s">
        <v>1059</v>
      </c>
      <c r="L204" s="2" t="s">
        <v>1060</v>
      </c>
      <c r="M204" s="2" t="s">
        <v>1061</v>
      </c>
      <c r="N204" s="2" t="s">
        <v>337</v>
      </c>
      <c r="O204" s="2" t="s">
        <v>815</v>
      </c>
      <c r="Q204" s="2" t="s">
        <v>50</v>
      </c>
      <c r="S204" s="7" t="s">
        <v>4976</v>
      </c>
      <c r="T204" s="7" t="s">
        <v>5713</v>
      </c>
      <c r="U204" s="2" t="s">
        <v>5916</v>
      </c>
    </row>
    <row r="205" spans="1:21" ht="12.75" x14ac:dyDescent="0.2">
      <c r="A205" s="1">
        <v>44342.734978993059</v>
      </c>
      <c r="B205" s="2" t="s">
        <v>438</v>
      </c>
      <c r="C205" s="2" t="s">
        <v>1062</v>
      </c>
      <c r="D205" s="2" t="s">
        <v>333</v>
      </c>
      <c r="E205" s="3">
        <v>44154</v>
      </c>
      <c r="F205" s="4">
        <v>1735</v>
      </c>
      <c r="G205" s="2" t="s">
        <v>42</v>
      </c>
      <c r="H205" s="2" t="s">
        <v>43</v>
      </c>
      <c r="I205" s="2" t="s">
        <v>983</v>
      </c>
      <c r="K205" s="2" t="s">
        <v>1063</v>
      </c>
      <c r="L205" s="2" t="s">
        <v>1064</v>
      </c>
      <c r="M205" s="2" t="s">
        <v>1065</v>
      </c>
      <c r="N205" s="2" t="s">
        <v>337</v>
      </c>
      <c r="O205" s="2" t="s">
        <v>443</v>
      </c>
      <c r="P205" s="2" t="s">
        <v>987</v>
      </c>
      <c r="Q205" s="2" t="s">
        <v>50</v>
      </c>
      <c r="S205" s="7" t="s">
        <v>4977</v>
      </c>
      <c r="T205" s="7" t="s">
        <v>5713</v>
      </c>
      <c r="U205" s="2" t="s">
        <v>5917</v>
      </c>
    </row>
    <row r="206" spans="1:21" ht="12.75" x14ac:dyDescent="0.2">
      <c r="A206" s="1">
        <v>44342.734994178245</v>
      </c>
      <c r="B206" s="2" t="s">
        <v>1007</v>
      </c>
      <c r="C206" s="2" t="s">
        <v>1066</v>
      </c>
      <c r="D206" s="2" t="s">
        <v>672</v>
      </c>
      <c r="E206" s="3">
        <v>44159</v>
      </c>
      <c r="F206" s="4">
        <v>600</v>
      </c>
      <c r="G206" s="2" t="s">
        <v>42</v>
      </c>
      <c r="H206" s="2" t="s">
        <v>43</v>
      </c>
      <c r="I206" s="2" t="s">
        <v>1009</v>
      </c>
      <c r="K206" s="2" t="s">
        <v>1067</v>
      </c>
      <c r="L206" s="2" t="s">
        <v>1068</v>
      </c>
      <c r="M206" s="2" t="s">
        <v>1069</v>
      </c>
      <c r="N206" s="2" t="s">
        <v>676</v>
      </c>
      <c r="O206" s="2" t="s">
        <v>1013</v>
      </c>
      <c r="P206" s="2" t="s">
        <v>1014</v>
      </c>
      <c r="Q206" s="2" t="s">
        <v>1041</v>
      </c>
      <c r="S206" s="7" t="s">
        <v>4978</v>
      </c>
      <c r="T206" s="7" t="s">
        <v>5713</v>
      </c>
      <c r="U206" s="2" t="s">
        <v>5918</v>
      </c>
    </row>
    <row r="207" spans="1:21" ht="12.75" x14ac:dyDescent="0.2">
      <c r="A207" s="1">
        <v>44342.735009305557</v>
      </c>
      <c r="B207" s="2" t="s">
        <v>102</v>
      </c>
      <c r="C207" s="2" t="s">
        <v>1070</v>
      </c>
      <c r="D207" s="2" t="s">
        <v>672</v>
      </c>
      <c r="E207" s="3">
        <v>44106</v>
      </c>
      <c r="F207" s="4">
        <v>800</v>
      </c>
      <c r="G207" s="2" t="s">
        <v>42</v>
      </c>
      <c r="H207" s="2" t="s">
        <v>43</v>
      </c>
      <c r="K207" s="2" t="s">
        <v>1071</v>
      </c>
      <c r="L207" s="2" t="s">
        <v>1072</v>
      </c>
      <c r="M207" s="2" t="s">
        <v>1073</v>
      </c>
      <c r="N207" s="2" t="s">
        <v>676</v>
      </c>
      <c r="O207" s="2" t="s">
        <v>107</v>
      </c>
      <c r="Q207" s="2" t="s">
        <v>1041</v>
      </c>
      <c r="S207" s="7" t="s">
        <v>4979</v>
      </c>
      <c r="T207" s="7" t="s">
        <v>5713</v>
      </c>
      <c r="U207" s="2" t="s">
        <v>5919</v>
      </c>
    </row>
    <row r="208" spans="1:21" ht="12.75" x14ac:dyDescent="0.2">
      <c r="A208" s="1">
        <v>44342.735024791662</v>
      </c>
      <c r="B208" s="2" t="s">
        <v>1074</v>
      </c>
      <c r="C208" s="2" t="s">
        <v>1075</v>
      </c>
      <c r="D208" s="2" t="s">
        <v>333</v>
      </c>
      <c r="E208" s="3">
        <v>44187</v>
      </c>
      <c r="F208" s="4">
        <v>18970</v>
      </c>
      <c r="G208" s="2" t="s">
        <v>42</v>
      </c>
      <c r="H208" s="2" t="s">
        <v>43</v>
      </c>
      <c r="I208" s="2"/>
      <c r="J208" s="8" t="s">
        <v>1076</v>
      </c>
      <c r="K208" s="2" t="s">
        <v>1077</v>
      </c>
      <c r="L208" s="2" t="s">
        <v>1078</v>
      </c>
      <c r="M208" s="2" t="s">
        <v>1079</v>
      </c>
      <c r="N208" s="2" t="s">
        <v>337</v>
      </c>
      <c r="O208" s="2" t="s">
        <v>1080</v>
      </c>
      <c r="Q208" s="2" t="s">
        <v>1041</v>
      </c>
      <c r="S208" s="7" t="s">
        <v>4980</v>
      </c>
      <c r="T208" s="7" t="s">
        <v>5713</v>
      </c>
      <c r="U208" s="2" t="s">
        <v>5920</v>
      </c>
    </row>
    <row r="209" spans="1:21" ht="12.75" x14ac:dyDescent="0.2">
      <c r="A209" s="1">
        <v>44342.735040474538</v>
      </c>
      <c r="B209" s="2" t="s">
        <v>1081</v>
      </c>
      <c r="C209" s="2" t="s">
        <v>1082</v>
      </c>
      <c r="D209" s="2" t="s">
        <v>333</v>
      </c>
      <c r="E209" s="3">
        <v>44162</v>
      </c>
      <c r="F209" s="4">
        <v>17000</v>
      </c>
      <c r="G209" s="2" t="s">
        <v>42</v>
      </c>
      <c r="H209" s="2" t="s">
        <v>43</v>
      </c>
      <c r="I209" s="2" t="s">
        <v>990</v>
      </c>
      <c r="J209" s="2" t="s">
        <v>1083</v>
      </c>
      <c r="K209" s="2" t="s">
        <v>1084</v>
      </c>
      <c r="L209" s="2" t="s">
        <v>1085</v>
      </c>
      <c r="M209" s="2" t="s">
        <v>1086</v>
      </c>
      <c r="N209" s="2" t="s">
        <v>337</v>
      </c>
      <c r="O209" s="2" t="s">
        <v>1087</v>
      </c>
      <c r="P209" s="2" t="s">
        <v>995</v>
      </c>
      <c r="Q209" s="2" t="s">
        <v>1041</v>
      </c>
      <c r="S209" s="7" t="s">
        <v>4981</v>
      </c>
      <c r="T209" s="7" t="s">
        <v>5713</v>
      </c>
      <c r="U209" s="2" t="s">
        <v>5921</v>
      </c>
    </row>
    <row r="210" spans="1:21" ht="12.75" x14ac:dyDescent="0.2">
      <c r="A210" s="1">
        <v>44342.73505643518</v>
      </c>
      <c r="B210" s="2" t="s">
        <v>1088</v>
      </c>
      <c r="C210" s="2" t="s">
        <v>1089</v>
      </c>
      <c r="D210" s="2" t="s">
        <v>333</v>
      </c>
      <c r="E210" s="3">
        <v>44166</v>
      </c>
      <c r="F210" s="4">
        <v>1900</v>
      </c>
      <c r="G210" s="2" t="s">
        <v>42</v>
      </c>
      <c r="H210" s="2" t="s">
        <v>43</v>
      </c>
      <c r="I210" s="2" t="s">
        <v>990</v>
      </c>
      <c r="K210" s="2" t="s">
        <v>1090</v>
      </c>
      <c r="L210" s="2" t="s">
        <v>1091</v>
      </c>
      <c r="M210" s="2" t="s">
        <v>1092</v>
      </c>
      <c r="N210" s="2" t="s">
        <v>337</v>
      </c>
      <c r="O210" s="2" t="s">
        <v>1093</v>
      </c>
      <c r="P210" s="2" t="s">
        <v>995</v>
      </c>
      <c r="Q210" s="2" t="s">
        <v>50</v>
      </c>
      <c r="S210" s="7" t="s">
        <v>4982</v>
      </c>
      <c r="T210" s="7" t="s">
        <v>5713</v>
      </c>
      <c r="U210" s="2" t="s">
        <v>5922</v>
      </c>
    </row>
    <row r="211" spans="1:21" ht="12.75" x14ac:dyDescent="0.2">
      <c r="A211" s="1">
        <v>44342.735072175929</v>
      </c>
      <c r="B211" s="2" t="s">
        <v>1088</v>
      </c>
      <c r="C211" s="2" t="s">
        <v>1094</v>
      </c>
      <c r="D211" s="2" t="s">
        <v>333</v>
      </c>
      <c r="E211" s="3">
        <v>44166</v>
      </c>
      <c r="F211" s="4">
        <v>150</v>
      </c>
      <c r="G211" s="2" t="s">
        <v>143</v>
      </c>
      <c r="H211" s="2" t="s">
        <v>43</v>
      </c>
      <c r="I211" s="2" t="s">
        <v>990</v>
      </c>
      <c r="K211" s="2" t="s">
        <v>1090</v>
      </c>
      <c r="L211" s="2" t="s">
        <v>1095</v>
      </c>
      <c r="M211" s="2" t="s">
        <v>1096</v>
      </c>
      <c r="N211" s="2" t="s">
        <v>337</v>
      </c>
      <c r="O211" s="2" t="s">
        <v>1093</v>
      </c>
      <c r="P211" s="2" t="s">
        <v>995</v>
      </c>
      <c r="Q211" s="2" t="s">
        <v>50</v>
      </c>
      <c r="S211" s="7" t="s">
        <v>4983</v>
      </c>
      <c r="T211" s="7" t="s">
        <v>5713</v>
      </c>
      <c r="U211" s="2" t="s">
        <v>5923</v>
      </c>
    </row>
    <row r="212" spans="1:21" ht="12.75" x14ac:dyDescent="0.2">
      <c r="A212" s="1">
        <v>44342.735088831017</v>
      </c>
      <c r="B212" s="2" t="s">
        <v>1051</v>
      </c>
      <c r="C212" s="2" t="s">
        <v>1097</v>
      </c>
      <c r="D212" s="2" t="s">
        <v>41</v>
      </c>
      <c r="E212" s="3">
        <v>40544</v>
      </c>
      <c r="F212" s="4">
        <v>1</v>
      </c>
      <c r="G212" s="2" t="s">
        <v>143</v>
      </c>
      <c r="H212" s="2" t="s">
        <v>43</v>
      </c>
      <c r="J212" s="2" t="s">
        <v>1053</v>
      </c>
      <c r="K212" s="2" t="s">
        <v>1054</v>
      </c>
      <c r="L212" s="2" t="s">
        <v>1098</v>
      </c>
      <c r="M212" s="2" t="s">
        <v>1099</v>
      </c>
      <c r="N212" s="2" t="s">
        <v>48</v>
      </c>
      <c r="O212" s="2" t="s">
        <v>1057</v>
      </c>
      <c r="Q212" s="2" t="s">
        <v>50</v>
      </c>
      <c r="S212" s="7" t="s">
        <v>4984</v>
      </c>
      <c r="T212" s="7" t="s">
        <v>5713</v>
      </c>
      <c r="U212" s="2" t="s">
        <v>5924</v>
      </c>
    </row>
    <row r="213" spans="1:21" ht="12.75" x14ac:dyDescent="0.2">
      <c r="A213" s="1">
        <v>44342.735105810185</v>
      </c>
      <c r="B213" s="2" t="s">
        <v>1051</v>
      </c>
      <c r="C213" s="2" t="s">
        <v>1100</v>
      </c>
      <c r="D213" s="2" t="s">
        <v>41</v>
      </c>
      <c r="E213" s="3">
        <v>40544</v>
      </c>
      <c r="F213" s="4">
        <v>1</v>
      </c>
      <c r="G213" s="2" t="s">
        <v>143</v>
      </c>
      <c r="H213" s="2" t="s">
        <v>43</v>
      </c>
      <c r="J213" s="2" t="s">
        <v>1053</v>
      </c>
      <c r="K213" s="2" t="s">
        <v>1054</v>
      </c>
      <c r="L213" s="2" t="s">
        <v>1101</v>
      </c>
      <c r="M213" s="2" t="s">
        <v>1102</v>
      </c>
      <c r="N213" s="2" t="s">
        <v>48</v>
      </c>
      <c r="O213" s="2" t="s">
        <v>1057</v>
      </c>
      <c r="Q213" s="2" t="s">
        <v>50</v>
      </c>
      <c r="S213" s="7" t="s">
        <v>4985</v>
      </c>
      <c r="T213" s="7" t="s">
        <v>5713</v>
      </c>
      <c r="U213" s="2" t="s">
        <v>5925</v>
      </c>
    </row>
    <row r="214" spans="1:21" ht="12.75" x14ac:dyDescent="0.2">
      <c r="A214" s="1">
        <v>44342.735122141203</v>
      </c>
      <c r="B214" s="2" t="s">
        <v>1103</v>
      </c>
      <c r="C214" s="2" t="s">
        <v>488</v>
      </c>
      <c r="D214" s="2" t="s">
        <v>223</v>
      </c>
      <c r="E214" s="3">
        <v>44211</v>
      </c>
      <c r="F214" s="4">
        <v>350</v>
      </c>
      <c r="G214" s="2" t="s">
        <v>143</v>
      </c>
      <c r="H214" s="2" t="s">
        <v>43</v>
      </c>
      <c r="I214" s="2" t="s">
        <v>1009</v>
      </c>
      <c r="J214" s="2" t="s">
        <v>1104</v>
      </c>
      <c r="K214" s="2" t="s">
        <v>1105</v>
      </c>
      <c r="L214" s="2" t="s">
        <v>1106</v>
      </c>
      <c r="M214" s="2" t="s">
        <v>1107</v>
      </c>
      <c r="N214" s="2" t="s">
        <v>228</v>
      </c>
      <c r="O214" s="2" t="s">
        <v>1108</v>
      </c>
      <c r="P214" s="2" t="s">
        <v>1014</v>
      </c>
      <c r="Q214" s="2" t="s">
        <v>50</v>
      </c>
      <c r="S214" s="7" t="s">
        <v>4986</v>
      </c>
      <c r="T214" s="7" t="s">
        <v>5713</v>
      </c>
      <c r="U214" s="2" t="s">
        <v>5926</v>
      </c>
    </row>
    <row r="215" spans="1:21" ht="12.75" x14ac:dyDescent="0.2">
      <c r="A215" s="1">
        <v>44342.735138020835</v>
      </c>
      <c r="B215" s="2" t="s">
        <v>438</v>
      </c>
      <c r="C215" s="2" t="s">
        <v>1109</v>
      </c>
      <c r="D215" s="2" t="s">
        <v>333</v>
      </c>
      <c r="E215" s="3">
        <v>44195</v>
      </c>
      <c r="F215" s="4">
        <v>60886</v>
      </c>
      <c r="G215" s="2" t="s">
        <v>42</v>
      </c>
      <c r="H215" s="2" t="s">
        <v>43</v>
      </c>
      <c r="I215" s="2" t="s">
        <v>983</v>
      </c>
      <c r="K215" s="2" t="s">
        <v>1110</v>
      </c>
      <c r="L215" s="2" t="s">
        <v>1111</v>
      </c>
      <c r="M215" s="2" t="s">
        <v>1112</v>
      </c>
      <c r="N215" s="2" t="s">
        <v>337</v>
      </c>
      <c r="O215" s="2" t="s">
        <v>443</v>
      </c>
      <c r="P215" s="2" t="s">
        <v>987</v>
      </c>
      <c r="Q215" s="2" t="s">
        <v>1041</v>
      </c>
      <c r="S215" s="7" t="s">
        <v>4987</v>
      </c>
      <c r="T215" s="7" t="s">
        <v>5713</v>
      </c>
      <c r="U215" s="2" t="s">
        <v>5927</v>
      </c>
    </row>
    <row r="216" spans="1:21" ht="12.75" x14ac:dyDescent="0.2">
      <c r="A216" s="1">
        <v>44342.735154560185</v>
      </c>
      <c r="B216" s="2" t="s">
        <v>929</v>
      </c>
      <c r="C216" s="2" t="s">
        <v>1113</v>
      </c>
      <c r="D216" s="2" t="s">
        <v>41</v>
      </c>
      <c r="E216" s="3">
        <v>44075</v>
      </c>
      <c r="F216" s="4">
        <v>29270</v>
      </c>
      <c r="G216" s="2" t="s">
        <v>326</v>
      </c>
      <c r="H216" s="2" t="s">
        <v>43</v>
      </c>
      <c r="J216" s="2" t="s">
        <v>1114</v>
      </c>
      <c r="K216" s="2" t="s">
        <v>1115</v>
      </c>
      <c r="L216" s="2" t="s">
        <v>1116</v>
      </c>
      <c r="M216" s="2" t="s">
        <v>1117</v>
      </c>
      <c r="N216" s="2" t="s">
        <v>48</v>
      </c>
      <c r="O216" s="2" t="s">
        <v>933</v>
      </c>
      <c r="Q216" s="2" t="s">
        <v>50</v>
      </c>
      <c r="S216" s="7" t="s">
        <v>4988</v>
      </c>
      <c r="T216" s="7" t="s">
        <v>5713</v>
      </c>
      <c r="U216" s="2" t="s">
        <v>5928</v>
      </c>
    </row>
    <row r="217" spans="1:21" ht="12.75" x14ac:dyDescent="0.2">
      <c r="A217" s="1">
        <v>44342.73517028935</v>
      </c>
      <c r="B217" s="2" t="s">
        <v>438</v>
      </c>
      <c r="C217" s="2" t="s">
        <v>463</v>
      </c>
      <c r="D217" s="2" t="s">
        <v>672</v>
      </c>
      <c r="E217" s="3">
        <v>44173</v>
      </c>
      <c r="F217" s="4">
        <v>2585.4</v>
      </c>
      <c r="G217" s="2" t="s">
        <v>42</v>
      </c>
      <c r="H217" s="2" t="s">
        <v>43</v>
      </c>
      <c r="I217" s="2" t="s">
        <v>1009</v>
      </c>
      <c r="K217" s="2" t="s">
        <v>1118</v>
      </c>
      <c r="L217" s="2" t="s">
        <v>1119</v>
      </c>
      <c r="M217" s="2" t="s">
        <v>1120</v>
      </c>
      <c r="N217" s="2" t="s">
        <v>676</v>
      </c>
      <c r="O217" s="2" t="s">
        <v>443</v>
      </c>
      <c r="P217" s="2" t="s">
        <v>1014</v>
      </c>
      <c r="Q217" s="2" t="s">
        <v>50</v>
      </c>
      <c r="S217" s="7" t="s">
        <v>4989</v>
      </c>
      <c r="T217" s="7" t="s">
        <v>5713</v>
      </c>
      <c r="U217" s="2" t="s">
        <v>5929</v>
      </c>
    </row>
    <row r="218" spans="1:21" ht="12.75" x14ac:dyDescent="0.2">
      <c r="A218" s="1">
        <v>44342.735189629631</v>
      </c>
      <c r="B218" s="2" t="s">
        <v>1121</v>
      </c>
      <c r="C218" s="2" t="s">
        <v>1122</v>
      </c>
      <c r="D218" s="2" t="s">
        <v>333</v>
      </c>
      <c r="E218" s="3">
        <v>44239</v>
      </c>
      <c r="F218" s="4">
        <v>1550</v>
      </c>
      <c r="G218" s="2" t="s">
        <v>143</v>
      </c>
      <c r="H218" s="2" t="s">
        <v>43</v>
      </c>
      <c r="K218" s="2" t="s">
        <v>1123</v>
      </c>
      <c r="L218" s="2" t="s">
        <v>1124</v>
      </c>
      <c r="M218" s="2" t="s">
        <v>1125</v>
      </c>
      <c r="N218" s="2" t="s">
        <v>337</v>
      </c>
      <c r="O218" s="2" t="s">
        <v>1126</v>
      </c>
      <c r="Q218" s="2" t="s">
        <v>50</v>
      </c>
      <c r="S218" s="7" t="s">
        <v>4990</v>
      </c>
      <c r="T218" s="7" t="s">
        <v>5713</v>
      </c>
      <c r="U218" s="2" t="s">
        <v>5930</v>
      </c>
    </row>
    <row r="219" spans="1:21" ht="12.75" x14ac:dyDescent="0.2">
      <c r="A219" s="1">
        <v>44342.735205173609</v>
      </c>
      <c r="B219" s="2" t="s">
        <v>438</v>
      </c>
      <c r="C219" s="2" t="s">
        <v>1127</v>
      </c>
      <c r="D219" s="2" t="s">
        <v>333</v>
      </c>
      <c r="E219" s="3">
        <v>44236</v>
      </c>
      <c r="F219" s="4">
        <v>6950</v>
      </c>
      <c r="G219" s="2" t="s">
        <v>42</v>
      </c>
      <c r="H219" s="2" t="s">
        <v>43</v>
      </c>
      <c r="I219" s="2" t="s">
        <v>983</v>
      </c>
      <c r="K219" s="2" t="s">
        <v>1128</v>
      </c>
      <c r="L219" s="2" t="s">
        <v>1129</v>
      </c>
      <c r="M219" s="2" t="s">
        <v>1130</v>
      </c>
      <c r="N219" s="2" t="s">
        <v>337</v>
      </c>
      <c r="O219" s="2" t="s">
        <v>443</v>
      </c>
      <c r="P219" s="2" t="s">
        <v>987</v>
      </c>
      <c r="Q219" s="2" t="s">
        <v>50</v>
      </c>
      <c r="S219" s="7" t="s">
        <v>4991</v>
      </c>
      <c r="T219" s="7" t="s">
        <v>5713</v>
      </c>
      <c r="U219" s="2" t="s">
        <v>5931</v>
      </c>
    </row>
    <row r="220" spans="1:21" ht="12.75" x14ac:dyDescent="0.2">
      <c r="A220" s="1">
        <v>44342.735221145835</v>
      </c>
      <c r="B220" s="2" t="s">
        <v>1007</v>
      </c>
      <c r="C220" s="2" t="s">
        <v>1131</v>
      </c>
      <c r="D220" s="2" t="s">
        <v>672</v>
      </c>
      <c r="E220" s="3">
        <v>44068</v>
      </c>
      <c r="F220" s="4">
        <v>7335</v>
      </c>
      <c r="G220" s="2" t="s">
        <v>42</v>
      </c>
      <c r="H220" s="2" t="s">
        <v>43</v>
      </c>
      <c r="I220" s="2" t="s">
        <v>1009</v>
      </c>
      <c r="K220" s="2" t="s">
        <v>1132</v>
      </c>
      <c r="L220" s="2" t="s">
        <v>1133</v>
      </c>
      <c r="M220" s="2" t="s">
        <v>1134</v>
      </c>
      <c r="N220" s="2" t="s">
        <v>676</v>
      </c>
      <c r="O220" s="2" t="s">
        <v>1013</v>
      </c>
      <c r="P220" s="2" t="s">
        <v>1014</v>
      </c>
      <c r="Q220" s="2" t="s">
        <v>50</v>
      </c>
      <c r="S220" s="7" t="s">
        <v>4992</v>
      </c>
      <c r="T220" s="7" t="s">
        <v>5713</v>
      </c>
      <c r="U220" s="2" t="s">
        <v>5932</v>
      </c>
    </row>
    <row r="221" spans="1:21" ht="12.75" x14ac:dyDescent="0.2">
      <c r="A221" s="1">
        <v>44342.735236898152</v>
      </c>
      <c r="B221" s="2" t="s">
        <v>1007</v>
      </c>
      <c r="C221" s="2" t="s">
        <v>1135</v>
      </c>
      <c r="D221" s="2" t="s">
        <v>672</v>
      </c>
      <c r="E221" s="3">
        <v>44243</v>
      </c>
      <c r="F221" s="4">
        <v>3420</v>
      </c>
      <c r="G221" s="2" t="s">
        <v>42</v>
      </c>
      <c r="H221" s="2" t="s">
        <v>43</v>
      </c>
      <c r="I221" s="2" t="s">
        <v>1009</v>
      </c>
      <c r="K221" s="2" t="s">
        <v>1136</v>
      </c>
      <c r="L221" s="2" t="s">
        <v>1137</v>
      </c>
      <c r="M221" s="2" t="s">
        <v>1138</v>
      </c>
      <c r="N221" s="2" t="s">
        <v>676</v>
      </c>
      <c r="O221" s="2" t="s">
        <v>1013</v>
      </c>
      <c r="Q221" s="2" t="s">
        <v>1041</v>
      </c>
      <c r="S221" s="7" t="s">
        <v>4993</v>
      </c>
      <c r="T221" s="7" t="s">
        <v>5713</v>
      </c>
      <c r="U221" s="2" t="s">
        <v>5933</v>
      </c>
    </row>
    <row r="222" spans="1:21" ht="12.75" x14ac:dyDescent="0.2">
      <c r="A222" s="1">
        <v>44342.735253599538</v>
      </c>
      <c r="B222" s="2" t="s">
        <v>1139</v>
      </c>
      <c r="C222" s="2" t="s">
        <v>1140</v>
      </c>
      <c r="D222" s="2" t="s">
        <v>41</v>
      </c>
      <c r="E222" s="3">
        <v>44165</v>
      </c>
      <c r="F222" s="4">
        <v>220000</v>
      </c>
      <c r="G222" s="2" t="s">
        <v>42</v>
      </c>
      <c r="H222" s="2" t="s">
        <v>43</v>
      </c>
      <c r="J222" s="2" t="s">
        <v>1141</v>
      </c>
      <c r="K222" s="2" t="s">
        <v>1142</v>
      </c>
      <c r="L222" s="2" t="s">
        <v>1143</v>
      </c>
      <c r="M222" s="2" t="s">
        <v>1144</v>
      </c>
      <c r="N222" s="2" t="s">
        <v>48</v>
      </c>
      <c r="O222" s="2" t="s">
        <v>1145</v>
      </c>
      <c r="Q222" s="2" t="s">
        <v>50</v>
      </c>
      <c r="S222" s="7" t="s">
        <v>4994</v>
      </c>
      <c r="T222" s="7" t="s">
        <v>5713</v>
      </c>
      <c r="U222" s="2" t="s">
        <v>5934</v>
      </c>
    </row>
    <row r="223" spans="1:21" ht="12.75" x14ac:dyDescent="0.2">
      <c r="A223" s="1"/>
      <c r="B223" s="2"/>
      <c r="C223" s="2"/>
      <c r="D223" s="2"/>
      <c r="E223" s="3"/>
      <c r="F223" s="4"/>
      <c r="G223" s="2"/>
      <c r="H223" s="2"/>
      <c r="K223" s="2"/>
      <c r="L223" s="2"/>
      <c r="M223" s="2"/>
      <c r="N223" s="2"/>
      <c r="O223" s="2"/>
      <c r="Q223" s="2"/>
      <c r="R223" s="2"/>
      <c r="S223" s="7"/>
      <c r="T223" s="7"/>
      <c r="U223" s="2"/>
    </row>
    <row r="224" spans="1:21" ht="12.75" x14ac:dyDescent="0.2">
      <c r="A224" s="1">
        <v>44342.735286238429</v>
      </c>
      <c r="B224" s="2" t="s">
        <v>1146</v>
      </c>
      <c r="C224" s="2" t="s">
        <v>1147</v>
      </c>
      <c r="D224" s="2" t="s">
        <v>41</v>
      </c>
      <c r="E224" s="3">
        <v>44185</v>
      </c>
      <c r="F224" s="4">
        <v>126360</v>
      </c>
      <c r="G224" s="2" t="s">
        <v>42</v>
      </c>
      <c r="H224" s="2" t="s">
        <v>43</v>
      </c>
      <c r="J224" s="2" t="s">
        <v>1148</v>
      </c>
      <c r="K224" s="2" t="s">
        <v>1149</v>
      </c>
      <c r="L224" s="2" t="s">
        <v>1150</v>
      </c>
      <c r="M224" s="2" t="s">
        <v>1151</v>
      </c>
      <c r="N224" s="2" t="s">
        <v>48</v>
      </c>
      <c r="O224" s="2" t="s">
        <v>1152</v>
      </c>
      <c r="Q224" s="2" t="s">
        <v>50</v>
      </c>
      <c r="S224" s="7" t="s">
        <v>4995</v>
      </c>
      <c r="T224" s="7" t="s">
        <v>5713</v>
      </c>
      <c r="U224" s="2" t="s">
        <v>5935</v>
      </c>
    </row>
    <row r="225" spans="1:21" ht="12.75" x14ac:dyDescent="0.2">
      <c r="A225" s="1">
        <v>44342.735301863431</v>
      </c>
      <c r="B225" s="2" t="s">
        <v>1153</v>
      </c>
      <c r="C225" s="2" t="s">
        <v>1154</v>
      </c>
      <c r="D225" s="2" t="s">
        <v>41</v>
      </c>
      <c r="E225" s="3">
        <v>44185</v>
      </c>
      <c r="F225" s="4">
        <v>30140</v>
      </c>
      <c r="G225" s="2" t="s">
        <v>42</v>
      </c>
      <c r="H225" s="2" t="s">
        <v>43</v>
      </c>
      <c r="J225" s="2" t="s">
        <v>1155</v>
      </c>
      <c r="K225" s="2" t="s">
        <v>1156</v>
      </c>
      <c r="L225" s="2" t="s">
        <v>1157</v>
      </c>
      <c r="M225" s="2" t="s">
        <v>1158</v>
      </c>
      <c r="N225" s="2" t="s">
        <v>48</v>
      </c>
      <c r="O225" s="2" t="s">
        <v>1159</v>
      </c>
      <c r="Q225" s="2" t="s">
        <v>50</v>
      </c>
      <c r="S225" s="7" t="s">
        <v>4996</v>
      </c>
      <c r="T225" s="7" t="s">
        <v>5713</v>
      </c>
      <c r="U225" s="2" t="s">
        <v>5936</v>
      </c>
    </row>
    <row r="226" spans="1:21" ht="12.75" x14ac:dyDescent="0.2">
      <c r="A226" s="1">
        <v>44342.735318495368</v>
      </c>
      <c r="B226" s="2" t="s">
        <v>438</v>
      </c>
      <c r="C226" s="2" t="s">
        <v>1160</v>
      </c>
      <c r="D226" s="2" t="s">
        <v>41</v>
      </c>
      <c r="E226" s="3">
        <v>44166</v>
      </c>
      <c r="F226" s="4">
        <v>53260</v>
      </c>
      <c r="G226" s="2" t="s">
        <v>42</v>
      </c>
      <c r="H226" s="2" t="s">
        <v>43</v>
      </c>
      <c r="J226" s="2" t="s">
        <v>1161</v>
      </c>
      <c r="K226" s="2" t="s">
        <v>1162</v>
      </c>
      <c r="L226" s="2" t="s">
        <v>1163</v>
      </c>
      <c r="M226" s="2" t="s">
        <v>1164</v>
      </c>
      <c r="N226" s="2" t="s">
        <v>48</v>
      </c>
      <c r="O226" s="2" t="s">
        <v>443</v>
      </c>
      <c r="Q226" s="2" t="s">
        <v>50</v>
      </c>
      <c r="S226" s="7" t="s">
        <v>4997</v>
      </c>
      <c r="T226" s="7" t="s">
        <v>5713</v>
      </c>
      <c r="U226" s="2" t="s">
        <v>5937</v>
      </c>
    </row>
    <row r="227" spans="1:21" ht="12.75" x14ac:dyDescent="0.2">
      <c r="A227" s="1">
        <v>44342.735336134254</v>
      </c>
      <c r="B227" s="2" t="s">
        <v>468</v>
      </c>
      <c r="C227" s="2" t="s">
        <v>1165</v>
      </c>
      <c r="D227" s="2" t="s">
        <v>333</v>
      </c>
      <c r="E227" s="3">
        <v>44244</v>
      </c>
      <c r="F227" s="4">
        <v>680</v>
      </c>
      <c r="G227" s="2" t="s">
        <v>42</v>
      </c>
      <c r="H227" s="2" t="s">
        <v>43</v>
      </c>
      <c r="K227" s="2" t="s">
        <v>1166</v>
      </c>
      <c r="L227" s="2" t="s">
        <v>1167</v>
      </c>
      <c r="M227" s="2" t="s">
        <v>1168</v>
      </c>
      <c r="N227" s="2" t="s">
        <v>337</v>
      </c>
      <c r="O227" s="2" t="s">
        <v>476</v>
      </c>
      <c r="Q227" s="2" t="s">
        <v>50</v>
      </c>
      <c r="S227" s="7" t="s">
        <v>4998</v>
      </c>
      <c r="T227" s="7" t="s">
        <v>5713</v>
      </c>
      <c r="U227" s="2" t="s">
        <v>5938</v>
      </c>
    </row>
    <row r="228" spans="1:21" ht="12.75" x14ac:dyDescent="0.2">
      <c r="A228" s="1">
        <v>44342.735352557866</v>
      </c>
      <c r="B228" s="2" t="s">
        <v>363</v>
      </c>
      <c r="C228" s="2" t="s">
        <v>1169</v>
      </c>
      <c r="D228" s="2" t="s">
        <v>1170</v>
      </c>
      <c r="E228" s="3">
        <v>44245</v>
      </c>
      <c r="F228" s="4">
        <v>22373</v>
      </c>
      <c r="G228" s="2" t="s">
        <v>143</v>
      </c>
      <c r="H228" s="2" t="s">
        <v>43</v>
      </c>
      <c r="K228" s="2" t="s">
        <v>1171</v>
      </c>
      <c r="L228" s="2" t="s">
        <v>1172</v>
      </c>
      <c r="M228" s="2" t="s">
        <v>1173</v>
      </c>
      <c r="N228" s="2" t="s">
        <v>1174</v>
      </c>
      <c r="O228" s="2" t="s">
        <v>368</v>
      </c>
      <c r="Q228" s="2" t="s">
        <v>50</v>
      </c>
      <c r="S228" s="7" t="s">
        <v>4999</v>
      </c>
      <c r="T228" s="7" t="s">
        <v>5713</v>
      </c>
      <c r="U228" s="2" t="s">
        <v>5939</v>
      </c>
    </row>
    <row r="229" spans="1:21" ht="12.75" x14ac:dyDescent="0.2">
      <c r="A229" s="1">
        <v>44342.735368333335</v>
      </c>
      <c r="B229" s="2" t="s">
        <v>1175</v>
      </c>
      <c r="C229" s="2" t="s">
        <v>1176</v>
      </c>
      <c r="D229" s="2" t="s">
        <v>333</v>
      </c>
      <c r="E229" s="3">
        <v>43922</v>
      </c>
      <c r="F229" s="4">
        <v>1</v>
      </c>
      <c r="G229" s="2" t="s">
        <v>143</v>
      </c>
      <c r="H229" s="2" t="s">
        <v>43</v>
      </c>
      <c r="K229" s="2" t="s">
        <v>1177</v>
      </c>
      <c r="L229" s="2" t="s">
        <v>1178</v>
      </c>
      <c r="M229" s="2" t="s">
        <v>1179</v>
      </c>
      <c r="N229" s="2" t="s">
        <v>337</v>
      </c>
      <c r="O229" s="2" t="s">
        <v>1180</v>
      </c>
      <c r="Q229" s="2" t="s">
        <v>50</v>
      </c>
      <c r="S229" s="7" t="s">
        <v>5000</v>
      </c>
      <c r="T229" s="7" t="s">
        <v>5713</v>
      </c>
      <c r="U229" s="2" t="s">
        <v>5940</v>
      </c>
    </row>
    <row r="230" spans="1:21" ht="12.75" x14ac:dyDescent="0.2">
      <c r="A230" s="1">
        <v>44342.735384664353</v>
      </c>
      <c r="B230" s="2" t="s">
        <v>1181</v>
      </c>
      <c r="C230" s="2" t="s">
        <v>1182</v>
      </c>
      <c r="D230" s="2" t="s">
        <v>41</v>
      </c>
      <c r="E230" s="3">
        <v>44124</v>
      </c>
      <c r="F230" s="4">
        <v>2399130</v>
      </c>
      <c r="G230" s="2" t="s">
        <v>42</v>
      </c>
      <c r="H230" s="2" t="s">
        <v>43</v>
      </c>
      <c r="K230" s="2" t="s">
        <v>1183</v>
      </c>
      <c r="L230" s="2" t="s">
        <v>1184</v>
      </c>
      <c r="M230" s="2" t="s">
        <v>1185</v>
      </c>
      <c r="N230" s="2" t="s">
        <v>48</v>
      </c>
      <c r="O230" s="2" t="s">
        <v>1186</v>
      </c>
      <c r="Q230" s="2" t="s">
        <v>50</v>
      </c>
      <c r="S230" s="7" t="s">
        <v>5001</v>
      </c>
      <c r="T230" s="7" t="s">
        <v>5713</v>
      </c>
      <c r="U230" s="2" t="s">
        <v>5941</v>
      </c>
    </row>
    <row r="231" spans="1:21" ht="12.75" x14ac:dyDescent="0.2">
      <c r="A231" s="1">
        <v>44342.735401006939</v>
      </c>
      <c r="B231" s="2" t="s">
        <v>331</v>
      </c>
      <c r="C231" s="2" t="s">
        <v>194</v>
      </c>
      <c r="D231" s="2" t="s">
        <v>672</v>
      </c>
      <c r="E231" s="3">
        <v>44251</v>
      </c>
      <c r="F231" s="4">
        <v>600</v>
      </c>
      <c r="G231" s="2" t="s">
        <v>42</v>
      </c>
      <c r="H231" s="2" t="s">
        <v>43</v>
      </c>
      <c r="I231" s="2" t="s">
        <v>1009</v>
      </c>
      <c r="K231" s="2" t="s">
        <v>1187</v>
      </c>
      <c r="L231" s="2" t="s">
        <v>1188</v>
      </c>
      <c r="M231" s="2" t="s">
        <v>1189</v>
      </c>
      <c r="N231" s="2" t="s">
        <v>676</v>
      </c>
      <c r="O231" s="2" t="s">
        <v>338</v>
      </c>
      <c r="P231" s="2" t="s">
        <v>1014</v>
      </c>
      <c r="Q231" s="2" t="s">
        <v>50</v>
      </c>
      <c r="S231" s="7" t="s">
        <v>5002</v>
      </c>
      <c r="T231" s="7" t="s">
        <v>5713</v>
      </c>
      <c r="U231" s="2" t="s">
        <v>5942</v>
      </c>
    </row>
    <row r="232" spans="1:21" ht="12.75" x14ac:dyDescent="0.2">
      <c r="A232" s="1">
        <v>44342.735417013886</v>
      </c>
      <c r="B232" s="2" t="s">
        <v>331</v>
      </c>
      <c r="C232" s="2" t="s">
        <v>1190</v>
      </c>
      <c r="D232" s="2" t="s">
        <v>672</v>
      </c>
      <c r="E232" s="3">
        <v>44252</v>
      </c>
      <c r="F232" s="4">
        <v>250</v>
      </c>
      <c r="G232" s="2" t="s">
        <v>42</v>
      </c>
      <c r="H232" s="2" t="s">
        <v>43</v>
      </c>
      <c r="I232" s="2" t="s">
        <v>1009</v>
      </c>
      <c r="K232" s="2" t="s">
        <v>1191</v>
      </c>
      <c r="L232" s="2" t="s">
        <v>1192</v>
      </c>
      <c r="M232" s="2" t="s">
        <v>1193</v>
      </c>
      <c r="N232" s="2" t="s">
        <v>676</v>
      </c>
      <c r="O232" s="2" t="s">
        <v>338</v>
      </c>
      <c r="P232" s="2" t="s">
        <v>1014</v>
      </c>
      <c r="Q232" s="2" t="s">
        <v>1041</v>
      </c>
      <c r="S232" s="7" t="s">
        <v>5003</v>
      </c>
      <c r="T232" s="7" t="s">
        <v>5713</v>
      </c>
      <c r="U232" s="2" t="s">
        <v>5943</v>
      </c>
    </row>
    <row r="233" spans="1:21" ht="12.75" x14ac:dyDescent="0.2">
      <c r="A233" s="1">
        <v>44342.735433101851</v>
      </c>
      <c r="B233" s="2" t="s">
        <v>1194</v>
      </c>
      <c r="C233" s="2" t="s">
        <v>982</v>
      </c>
      <c r="D233" s="2" t="s">
        <v>333</v>
      </c>
      <c r="E233" s="3">
        <v>44252</v>
      </c>
      <c r="F233" s="4">
        <v>2450</v>
      </c>
      <c r="G233" s="2" t="s">
        <v>143</v>
      </c>
      <c r="H233" s="2" t="s">
        <v>43</v>
      </c>
      <c r="J233" s="2" t="s">
        <v>1195</v>
      </c>
      <c r="K233" s="2" t="s">
        <v>1196</v>
      </c>
      <c r="L233" s="2" t="s">
        <v>1197</v>
      </c>
      <c r="M233" s="2" t="s">
        <v>1198</v>
      </c>
      <c r="N233" s="2" t="s">
        <v>337</v>
      </c>
      <c r="O233" s="2" t="s">
        <v>1199</v>
      </c>
      <c r="Q233" s="2" t="s">
        <v>50</v>
      </c>
      <c r="S233" s="7" t="s">
        <v>5004</v>
      </c>
      <c r="T233" s="7" t="s">
        <v>5713</v>
      </c>
      <c r="U233" s="2" t="s">
        <v>5944</v>
      </c>
    </row>
    <row r="234" spans="1:21" ht="12.75" x14ac:dyDescent="0.2">
      <c r="A234" s="1">
        <v>44342.735448935186</v>
      </c>
      <c r="B234" s="2" t="s">
        <v>419</v>
      </c>
      <c r="C234" s="2" t="s">
        <v>1200</v>
      </c>
      <c r="D234" s="2" t="s">
        <v>672</v>
      </c>
      <c r="E234" s="3">
        <v>44258</v>
      </c>
      <c r="F234" s="4">
        <v>576.79999999999995</v>
      </c>
      <c r="G234" s="2" t="s">
        <v>42</v>
      </c>
      <c r="H234" s="2" t="s">
        <v>43</v>
      </c>
      <c r="K234" s="2" t="s">
        <v>1201</v>
      </c>
      <c r="L234" s="2" t="s">
        <v>1202</v>
      </c>
      <c r="M234" s="2" t="s">
        <v>1203</v>
      </c>
      <c r="N234" s="2" t="s">
        <v>676</v>
      </c>
      <c r="O234" s="2" t="s">
        <v>424</v>
      </c>
      <c r="Q234" s="2" t="s">
        <v>50</v>
      </c>
      <c r="S234" s="7" t="s">
        <v>5005</v>
      </c>
      <c r="T234" s="7" t="s">
        <v>5713</v>
      </c>
      <c r="U234" s="2" t="s">
        <v>5945</v>
      </c>
    </row>
    <row r="235" spans="1:21" ht="12.75" x14ac:dyDescent="0.2">
      <c r="A235" s="1">
        <v>44342.735465069447</v>
      </c>
      <c r="B235" s="2" t="s">
        <v>419</v>
      </c>
      <c r="C235" s="2" t="s">
        <v>420</v>
      </c>
      <c r="D235" s="2" t="s">
        <v>672</v>
      </c>
      <c r="E235" s="3">
        <v>44258</v>
      </c>
      <c r="F235" s="4">
        <v>576.79999999999995</v>
      </c>
      <c r="G235" s="2" t="s">
        <v>42</v>
      </c>
      <c r="H235" s="2" t="s">
        <v>43</v>
      </c>
      <c r="K235" s="2" t="s">
        <v>1201</v>
      </c>
      <c r="L235" s="2" t="s">
        <v>1204</v>
      </c>
      <c r="M235" s="2" t="s">
        <v>1205</v>
      </c>
      <c r="N235" s="2" t="s">
        <v>676</v>
      </c>
      <c r="O235" s="2" t="s">
        <v>424</v>
      </c>
      <c r="Q235" s="2" t="s">
        <v>50</v>
      </c>
      <c r="S235" s="7" t="s">
        <v>5006</v>
      </c>
      <c r="T235" s="7" t="s">
        <v>5713</v>
      </c>
      <c r="U235" s="2" t="s">
        <v>5946</v>
      </c>
    </row>
    <row r="236" spans="1:21" ht="12.75" x14ac:dyDescent="0.2">
      <c r="A236" s="1">
        <v>44342.735480671297</v>
      </c>
      <c r="B236" s="2" t="s">
        <v>58</v>
      </c>
      <c r="C236" s="2" t="s">
        <v>281</v>
      </c>
      <c r="D236" s="2" t="s">
        <v>672</v>
      </c>
      <c r="E236" s="3">
        <v>44258</v>
      </c>
      <c r="F236" s="4">
        <v>1440</v>
      </c>
      <c r="G236" s="2" t="s">
        <v>42</v>
      </c>
      <c r="H236" s="2" t="s">
        <v>43</v>
      </c>
      <c r="K236" s="2" t="s">
        <v>1206</v>
      </c>
      <c r="L236" s="2" t="s">
        <v>1207</v>
      </c>
      <c r="M236" s="2" t="s">
        <v>1208</v>
      </c>
      <c r="N236" s="2" t="s">
        <v>676</v>
      </c>
      <c r="O236" s="2" t="s">
        <v>63</v>
      </c>
      <c r="Q236" s="2" t="s">
        <v>50</v>
      </c>
      <c r="S236" s="7" t="s">
        <v>5007</v>
      </c>
      <c r="T236" s="7" t="s">
        <v>5713</v>
      </c>
      <c r="U236" s="2" t="s">
        <v>5947</v>
      </c>
    </row>
    <row r="237" spans="1:21" ht="12.75" x14ac:dyDescent="0.2">
      <c r="A237" s="1">
        <v>44342.735496446759</v>
      </c>
      <c r="B237" s="2" t="s">
        <v>120</v>
      </c>
      <c r="C237" s="2" t="s">
        <v>121</v>
      </c>
      <c r="D237" s="2" t="s">
        <v>672</v>
      </c>
      <c r="E237" s="3">
        <v>44249</v>
      </c>
      <c r="F237" s="4">
        <v>1214</v>
      </c>
      <c r="G237" s="2" t="s">
        <v>42</v>
      </c>
      <c r="H237" s="2" t="s">
        <v>43</v>
      </c>
      <c r="I237" s="2" t="s">
        <v>1009</v>
      </c>
      <c r="J237" s="2" t="s">
        <v>667</v>
      </c>
      <c r="K237" s="2" t="s">
        <v>1209</v>
      </c>
      <c r="L237" s="2" t="s">
        <v>1210</v>
      </c>
      <c r="M237" s="2" t="s">
        <v>1211</v>
      </c>
      <c r="N237" s="2" t="s">
        <v>676</v>
      </c>
      <c r="O237" s="2" t="s">
        <v>126</v>
      </c>
      <c r="P237" s="2" t="s">
        <v>1014</v>
      </c>
      <c r="Q237" s="2" t="s">
        <v>50</v>
      </c>
      <c r="S237" s="7" t="s">
        <v>5008</v>
      </c>
      <c r="T237" s="7" t="s">
        <v>5713</v>
      </c>
      <c r="U237" s="2" t="s">
        <v>5948</v>
      </c>
    </row>
    <row r="238" spans="1:21" ht="12.75" x14ac:dyDescent="0.2">
      <c r="A238" s="1">
        <v>44342.735512037034</v>
      </c>
      <c r="B238" s="2" t="s">
        <v>102</v>
      </c>
      <c r="C238" s="2" t="s">
        <v>444</v>
      </c>
      <c r="D238" s="2" t="s">
        <v>672</v>
      </c>
      <c r="E238" s="3">
        <v>44249</v>
      </c>
      <c r="F238" s="4">
        <v>773</v>
      </c>
      <c r="G238" s="2" t="s">
        <v>42</v>
      </c>
      <c r="H238" s="2" t="s">
        <v>43</v>
      </c>
      <c r="I238" s="2" t="s">
        <v>1009</v>
      </c>
      <c r="K238" s="2" t="s">
        <v>1212</v>
      </c>
      <c r="L238" s="2" t="s">
        <v>1213</v>
      </c>
      <c r="M238" s="2" t="s">
        <v>1214</v>
      </c>
      <c r="N238" s="2" t="s">
        <v>676</v>
      </c>
      <c r="O238" s="2" t="s">
        <v>107</v>
      </c>
      <c r="P238" s="2" t="s">
        <v>1014</v>
      </c>
      <c r="Q238" s="2" t="s">
        <v>50</v>
      </c>
      <c r="S238" s="7" t="s">
        <v>5009</v>
      </c>
      <c r="T238" s="7" t="s">
        <v>5713</v>
      </c>
      <c r="U238" s="2" t="s">
        <v>5949</v>
      </c>
    </row>
    <row r="239" spans="1:21" ht="12.75" x14ac:dyDescent="0.2">
      <c r="A239" s="1">
        <v>44342.735527870369</v>
      </c>
      <c r="B239" s="2" t="s">
        <v>234</v>
      </c>
      <c r="C239" s="2" t="s">
        <v>235</v>
      </c>
      <c r="D239" s="2" t="s">
        <v>672</v>
      </c>
      <c r="E239" s="3">
        <v>44234</v>
      </c>
      <c r="F239" s="4">
        <v>4009</v>
      </c>
      <c r="G239" s="2" t="s">
        <v>42</v>
      </c>
      <c r="H239" s="2" t="s">
        <v>43</v>
      </c>
      <c r="I239" s="2" t="s">
        <v>1009</v>
      </c>
      <c r="K239" s="2" t="s">
        <v>1215</v>
      </c>
      <c r="L239" s="2" t="s">
        <v>1216</v>
      </c>
      <c r="M239" s="2" t="s">
        <v>1217</v>
      </c>
      <c r="N239" s="2" t="s">
        <v>676</v>
      </c>
      <c r="O239" s="2" t="s">
        <v>240</v>
      </c>
      <c r="P239" s="2" t="s">
        <v>1014</v>
      </c>
      <c r="Q239" s="2" t="s">
        <v>50</v>
      </c>
      <c r="S239" s="7" t="s">
        <v>5010</v>
      </c>
      <c r="T239" s="7" t="s">
        <v>5713</v>
      </c>
      <c r="U239" s="2" t="s">
        <v>5950</v>
      </c>
    </row>
    <row r="240" spans="1:21" ht="12.75" x14ac:dyDescent="0.2">
      <c r="A240" s="1">
        <v>44342.735545740739</v>
      </c>
      <c r="B240" s="2" t="s">
        <v>357</v>
      </c>
      <c r="C240" s="2" t="s">
        <v>358</v>
      </c>
      <c r="D240" s="2" t="s">
        <v>672</v>
      </c>
      <c r="E240" s="3">
        <v>44234</v>
      </c>
      <c r="F240" s="4">
        <v>840</v>
      </c>
      <c r="G240" s="2" t="s">
        <v>42</v>
      </c>
      <c r="H240" s="2" t="s">
        <v>43</v>
      </c>
      <c r="I240" s="2" t="s">
        <v>1009</v>
      </c>
      <c r="K240" s="2" t="s">
        <v>1218</v>
      </c>
      <c r="L240" s="2" t="s">
        <v>1219</v>
      </c>
      <c r="M240" s="2" t="s">
        <v>1220</v>
      </c>
      <c r="N240" s="2" t="s">
        <v>676</v>
      </c>
      <c r="O240" s="2" t="s">
        <v>362</v>
      </c>
      <c r="P240" s="2" t="s">
        <v>1014</v>
      </c>
      <c r="Q240" s="2" t="s">
        <v>1041</v>
      </c>
      <c r="S240" s="7" t="s">
        <v>5011</v>
      </c>
      <c r="T240" s="7" t="s">
        <v>5713</v>
      </c>
      <c r="U240" s="2" t="s">
        <v>5951</v>
      </c>
    </row>
    <row r="241" spans="1:21" ht="12.75" x14ac:dyDescent="0.2">
      <c r="A241" s="1">
        <v>44342.735561562498</v>
      </c>
      <c r="B241" s="2" t="s">
        <v>730</v>
      </c>
      <c r="C241" s="2" t="s">
        <v>731</v>
      </c>
      <c r="D241" s="2" t="s">
        <v>41</v>
      </c>
      <c r="E241" s="3">
        <v>43768</v>
      </c>
      <c r="F241" s="4">
        <v>163727</v>
      </c>
      <c r="G241" s="2" t="s">
        <v>42</v>
      </c>
      <c r="H241" s="2" t="s">
        <v>43</v>
      </c>
      <c r="I241" s="2" t="s">
        <v>1221</v>
      </c>
      <c r="J241" s="2" t="s">
        <v>1222</v>
      </c>
      <c r="K241" s="2" t="s">
        <v>1223</v>
      </c>
      <c r="L241" s="2" t="s">
        <v>1224</v>
      </c>
      <c r="M241" s="2" t="s">
        <v>1225</v>
      </c>
      <c r="N241" s="2" t="s">
        <v>48</v>
      </c>
      <c r="O241" s="2" t="s">
        <v>735</v>
      </c>
      <c r="P241" s="2" t="s">
        <v>1226</v>
      </c>
      <c r="Q241" s="2" t="s">
        <v>50</v>
      </c>
      <c r="S241" s="7" t="s">
        <v>5012</v>
      </c>
      <c r="T241" s="7" t="s">
        <v>5713</v>
      </c>
      <c r="U241" s="2" t="s">
        <v>5952</v>
      </c>
    </row>
    <row r="242" spans="1:21" ht="12.75" x14ac:dyDescent="0.2">
      <c r="A242" s="1">
        <v>44342.735578217587</v>
      </c>
      <c r="B242" s="2" t="s">
        <v>302</v>
      </c>
      <c r="C242" s="2" t="s">
        <v>1227</v>
      </c>
      <c r="D242" s="2" t="s">
        <v>41</v>
      </c>
      <c r="E242" s="3">
        <v>44077</v>
      </c>
      <c r="F242" s="4">
        <v>366050</v>
      </c>
      <c r="G242" s="2" t="s">
        <v>42</v>
      </c>
      <c r="H242" s="2" t="s">
        <v>43</v>
      </c>
      <c r="I242" s="2" t="s">
        <v>1228</v>
      </c>
      <c r="J242" s="2" t="s">
        <v>1229</v>
      </c>
      <c r="K242" s="2" t="s">
        <v>1230</v>
      </c>
      <c r="L242" s="2" t="s">
        <v>1231</v>
      </c>
      <c r="M242" s="2" t="s">
        <v>1232</v>
      </c>
      <c r="N242" s="2" t="s">
        <v>48</v>
      </c>
      <c r="O242" s="2" t="s">
        <v>307</v>
      </c>
      <c r="P242" s="2" t="s">
        <v>1233</v>
      </c>
      <c r="Q242" s="2" t="s">
        <v>50</v>
      </c>
      <c r="S242" s="7" t="s">
        <v>5013</v>
      </c>
      <c r="T242" s="7" t="s">
        <v>5713</v>
      </c>
      <c r="U242" s="2" t="s">
        <v>5953</v>
      </c>
    </row>
    <row r="243" spans="1:21" ht="12.75" x14ac:dyDescent="0.2">
      <c r="A243" s="1">
        <v>44342.735594143523</v>
      </c>
      <c r="B243" s="2" t="s">
        <v>724</v>
      </c>
      <c r="C243" s="2" t="s">
        <v>725</v>
      </c>
      <c r="D243" s="2" t="s">
        <v>41</v>
      </c>
      <c r="E243" s="3">
        <v>43824</v>
      </c>
      <c r="F243" s="4">
        <v>23750</v>
      </c>
      <c r="G243" s="2" t="s">
        <v>42</v>
      </c>
      <c r="H243" s="2" t="s">
        <v>43</v>
      </c>
      <c r="I243" s="2" t="s">
        <v>1234</v>
      </c>
      <c r="K243" s="2" t="s">
        <v>1235</v>
      </c>
      <c r="L243" s="2" t="s">
        <v>1236</v>
      </c>
      <c r="M243" s="2" t="s">
        <v>1237</v>
      </c>
      <c r="N243" s="2" t="s">
        <v>48</v>
      </c>
      <c r="O243" s="2" t="s">
        <v>729</v>
      </c>
      <c r="P243" s="2" t="s">
        <v>1238</v>
      </c>
      <c r="Q243" s="2" t="s">
        <v>50</v>
      </c>
      <c r="S243" s="7" t="s">
        <v>5014</v>
      </c>
      <c r="T243" s="7" t="s">
        <v>5713</v>
      </c>
      <c r="U243" s="2" t="s">
        <v>5954</v>
      </c>
    </row>
    <row r="244" spans="1:21" ht="12.75" x14ac:dyDescent="0.2">
      <c r="A244" s="1">
        <v>44342.735610312498</v>
      </c>
      <c r="B244" s="2" t="s">
        <v>1239</v>
      </c>
      <c r="C244" s="2" t="s">
        <v>1240</v>
      </c>
      <c r="D244" s="2" t="s">
        <v>333</v>
      </c>
      <c r="E244" s="3">
        <v>44283</v>
      </c>
      <c r="F244" s="4">
        <v>17882</v>
      </c>
      <c r="G244" s="2" t="s">
        <v>42</v>
      </c>
      <c r="H244" s="2" t="s">
        <v>43</v>
      </c>
      <c r="K244" s="2" t="s">
        <v>1241</v>
      </c>
      <c r="L244" s="2" t="s">
        <v>1242</v>
      </c>
      <c r="M244" s="2" t="s">
        <v>1243</v>
      </c>
      <c r="N244" s="2" t="s">
        <v>337</v>
      </c>
      <c r="O244" s="2" t="s">
        <v>1244</v>
      </c>
      <c r="Q244" s="2" t="s">
        <v>50</v>
      </c>
      <c r="S244" s="7" t="s">
        <v>5015</v>
      </c>
      <c r="T244" s="7" t="s">
        <v>5713</v>
      </c>
      <c r="U244" s="2" t="s">
        <v>5955</v>
      </c>
    </row>
    <row r="245" spans="1:21" ht="12.75" x14ac:dyDescent="0.2">
      <c r="A245" s="1">
        <v>44342.735626064816</v>
      </c>
      <c r="B245" s="2" t="s">
        <v>318</v>
      </c>
      <c r="C245" s="2" t="s">
        <v>1245</v>
      </c>
      <c r="D245" s="2" t="s">
        <v>333</v>
      </c>
      <c r="E245" s="3">
        <v>44278</v>
      </c>
      <c r="F245" s="4">
        <v>1380</v>
      </c>
      <c r="G245" s="2" t="s">
        <v>143</v>
      </c>
      <c r="H245" s="2" t="s">
        <v>43</v>
      </c>
      <c r="K245" s="2" t="s">
        <v>1246</v>
      </c>
      <c r="L245" s="2" t="s">
        <v>1247</v>
      </c>
      <c r="M245" s="2" t="s">
        <v>1248</v>
      </c>
      <c r="N245" s="2" t="s">
        <v>337</v>
      </c>
      <c r="O245" s="2" t="s">
        <v>323</v>
      </c>
      <c r="Q245" s="2" t="s">
        <v>50</v>
      </c>
      <c r="S245" s="7" t="s">
        <v>5016</v>
      </c>
      <c r="T245" s="7" t="s">
        <v>5713</v>
      </c>
      <c r="U245" s="2" t="s">
        <v>5956</v>
      </c>
    </row>
    <row r="246" spans="1:21" ht="12.75" x14ac:dyDescent="0.2">
      <c r="A246" s="1">
        <v>44342.735641770836</v>
      </c>
      <c r="B246" s="2" t="s">
        <v>1249</v>
      </c>
      <c r="C246" s="2" t="s">
        <v>1250</v>
      </c>
      <c r="D246" s="2" t="s">
        <v>333</v>
      </c>
      <c r="E246" s="3">
        <v>44284</v>
      </c>
      <c r="F246" s="4">
        <v>2800</v>
      </c>
      <c r="G246" s="2" t="s">
        <v>143</v>
      </c>
      <c r="H246" s="2" t="s">
        <v>43</v>
      </c>
      <c r="J246" s="2" t="s">
        <v>1251</v>
      </c>
      <c r="K246" s="2" t="s">
        <v>1252</v>
      </c>
      <c r="L246" s="2" t="s">
        <v>1253</v>
      </c>
      <c r="M246" s="2" t="s">
        <v>1254</v>
      </c>
      <c r="N246" s="2" t="s">
        <v>337</v>
      </c>
      <c r="O246" s="2" t="s">
        <v>1255</v>
      </c>
      <c r="Q246" s="2" t="s">
        <v>50</v>
      </c>
      <c r="S246" s="7" t="s">
        <v>5017</v>
      </c>
      <c r="T246" s="7" t="s">
        <v>5713</v>
      </c>
      <c r="U246" s="2" t="s">
        <v>5957</v>
      </c>
    </row>
    <row r="247" spans="1:21" ht="12.75" x14ac:dyDescent="0.2">
      <c r="A247" s="1">
        <v>44342.735658506943</v>
      </c>
      <c r="B247" s="2" t="s">
        <v>1256</v>
      </c>
      <c r="C247" s="2" t="s">
        <v>1257</v>
      </c>
      <c r="D247" s="2" t="s">
        <v>1258</v>
      </c>
      <c r="E247" s="3">
        <v>44278</v>
      </c>
      <c r="F247" s="4">
        <v>6913.5</v>
      </c>
      <c r="G247" s="2" t="s">
        <v>42</v>
      </c>
      <c r="H247" s="2" t="s">
        <v>43</v>
      </c>
      <c r="J247" s="2" t="s">
        <v>1259</v>
      </c>
      <c r="K247" s="2" t="s">
        <v>1260</v>
      </c>
      <c r="L247" s="2" t="s">
        <v>1261</v>
      </c>
      <c r="M247" s="2" t="s">
        <v>1262</v>
      </c>
      <c r="N247" s="2" t="s">
        <v>1263</v>
      </c>
      <c r="O247" s="2" t="s">
        <v>1264</v>
      </c>
      <c r="Q247" s="2" t="s">
        <v>50</v>
      </c>
      <c r="S247" s="7" t="s">
        <v>5018</v>
      </c>
      <c r="T247" s="7" t="s">
        <v>5713</v>
      </c>
      <c r="U247" s="2" t="s">
        <v>5958</v>
      </c>
    </row>
    <row r="248" spans="1:21" ht="12.75" x14ac:dyDescent="0.2">
      <c r="A248" s="1">
        <v>44342.735674583339</v>
      </c>
      <c r="B248" s="2" t="s">
        <v>1139</v>
      </c>
      <c r="C248" s="2" t="s">
        <v>1265</v>
      </c>
      <c r="D248" s="2" t="s">
        <v>910</v>
      </c>
      <c r="E248" s="3">
        <v>44179</v>
      </c>
      <c r="F248" s="4">
        <v>181545</v>
      </c>
      <c r="G248" s="2" t="s">
        <v>143</v>
      </c>
      <c r="H248" s="2" t="s">
        <v>43</v>
      </c>
      <c r="I248" s="2" t="s">
        <v>990</v>
      </c>
      <c r="J248" s="2" t="s">
        <v>1266</v>
      </c>
      <c r="K248" s="2" t="s">
        <v>1267</v>
      </c>
      <c r="L248" s="2" t="s">
        <v>1268</v>
      </c>
      <c r="M248" s="2" t="s">
        <v>1269</v>
      </c>
      <c r="N248" s="2" t="s">
        <v>915</v>
      </c>
      <c r="O248" s="2" t="s">
        <v>1145</v>
      </c>
      <c r="P248" s="2" t="s">
        <v>995</v>
      </c>
      <c r="Q248" s="2" t="s">
        <v>50</v>
      </c>
      <c r="S248" s="7" t="s">
        <v>5019</v>
      </c>
      <c r="T248" s="7" t="s">
        <v>5713</v>
      </c>
      <c r="U248" s="2" t="s">
        <v>5959</v>
      </c>
    </row>
    <row r="249" spans="1:21" ht="12.75" x14ac:dyDescent="0.2">
      <c r="A249" s="1">
        <v>44342.735690844907</v>
      </c>
      <c r="B249" s="2" t="s">
        <v>1239</v>
      </c>
      <c r="C249" s="2" t="s">
        <v>1270</v>
      </c>
      <c r="D249" s="2" t="s">
        <v>333</v>
      </c>
      <c r="E249" s="3">
        <v>44291</v>
      </c>
      <c r="F249" s="4">
        <v>227761</v>
      </c>
      <c r="G249" s="2" t="s">
        <v>42</v>
      </c>
      <c r="H249" s="2" t="s">
        <v>43</v>
      </c>
      <c r="K249" s="2" t="s">
        <v>1271</v>
      </c>
      <c r="L249" s="2" t="s">
        <v>1272</v>
      </c>
      <c r="M249" s="2" t="s">
        <v>1273</v>
      </c>
      <c r="N249" s="2" t="s">
        <v>337</v>
      </c>
      <c r="O249" s="2" t="s">
        <v>1244</v>
      </c>
      <c r="Q249" s="2" t="s">
        <v>50</v>
      </c>
      <c r="S249" s="7" t="s">
        <v>5020</v>
      </c>
      <c r="T249" s="7" t="s">
        <v>5713</v>
      </c>
      <c r="U249" s="2" t="s">
        <v>5960</v>
      </c>
    </row>
    <row r="250" spans="1:21" ht="12.75" x14ac:dyDescent="0.2">
      <c r="A250" s="1">
        <v>44342.735706400461</v>
      </c>
      <c r="B250" s="2" t="s">
        <v>1274</v>
      </c>
      <c r="C250" s="2" t="s">
        <v>1275</v>
      </c>
      <c r="D250" s="2" t="s">
        <v>333</v>
      </c>
      <c r="E250" s="3">
        <v>44280</v>
      </c>
      <c r="F250" s="4">
        <v>10708</v>
      </c>
      <c r="G250" s="2" t="s">
        <v>326</v>
      </c>
      <c r="H250" s="2" t="s">
        <v>43</v>
      </c>
      <c r="K250" s="2" t="s">
        <v>1276</v>
      </c>
      <c r="L250" s="2" t="s">
        <v>1277</v>
      </c>
      <c r="M250" s="2" t="s">
        <v>1278</v>
      </c>
      <c r="N250" s="2" t="s">
        <v>337</v>
      </c>
      <c r="O250" s="2" t="s">
        <v>1279</v>
      </c>
      <c r="Q250" s="2" t="s">
        <v>50</v>
      </c>
      <c r="S250" s="7" t="s">
        <v>5021</v>
      </c>
      <c r="T250" s="7" t="s">
        <v>5713</v>
      </c>
      <c r="U250" s="2" t="s">
        <v>5961</v>
      </c>
    </row>
    <row r="251" spans="1:21" ht="12.75" x14ac:dyDescent="0.2">
      <c r="A251" s="1">
        <v>44342.735721874997</v>
      </c>
      <c r="B251" s="2" t="s">
        <v>559</v>
      </c>
      <c r="C251" s="2" t="s">
        <v>1280</v>
      </c>
      <c r="D251" s="2" t="s">
        <v>672</v>
      </c>
      <c r="E251" s="3">
        <v>44298</v>
      </c>
      <c r="F251" s="4">
        <v>1290</v>
      </c>
      <c r="G251" s="2" t="s">
        <v>42</v>
      </c>
      <c r="H251" s="2" t="s">
        <v>43</v>
      </c>
      <c r="I251" s="2" t="s">
        <v>1009</v>
      </c>
      <c r="K251" s="2" t="s">
        <v>1281</v>
      </c>
      <c r="L251" s="2" t="s">
        <v>1282</v>
      </c>
      <c r="M251" s="2" t="s">
        <v>1283</v>
      </c>
      <c r="N251" s="2" t="s">
        <v>676</v>
      </c>
      <c r="O251" s="2" t="s">
        <v>565</v>
      </c>
      <c r="P251" s="2" t="s">
        <v>1014</v>
      </c>
      <c r="Q251" s="2" t="s">
        <v>50</v>
      </c>
      <c r="S251" s="7" t="s">
        <v>5022</v>
      </c>
      <c r="T251" s="7" t="s">
        <v>5713</v>
      </c>
      <c r="U251" s="2" t="s">
        <v>5962</v>
      </c>
    </row>
    <row r="252" spans="1:21" ht="12.75" x14ac:dyDescent="0.2">
      <c r="A252" s="1">
        <v>44342.735737673611</v>
      </c>
      <c r="B252" s="2" t="s">
        <v>438</v>
      </c>
      <c r="C252" s="2" t="s">
        <v>1284</v>
      </c>
      <c r="D252" s="2" t="s">
        <v>333</v>
      </c>
      <c r="E252" s="3">
        <v>44280</v>
      </c>
      <c r="F252" s="4">
        <v>2545</v>
      </c>
      <c r="G252" s="2" t="s">
        <v>42</v>
      </c>
      <c r="H252" s="2" t="s">
        <v>43</v>
      </c>
      <c r="K252" s="2" t="s">
        <v>1285</v>
      </c>
      <c r="L252" s="2" t="s">
        <v>1286</v>
      </c>
      <c r="M252" s="2" t="s">
        <v>1287</v>
      </c>
      <c r="N252" s="2" t="s">
        <v>337</v>
      </c>
      <c r="O252" s="2" t="s">
        <v>443</v>
      </c>
      <c r="Q252" s="2" t="s">
        <v>50</v>
      </c>
      <c r="S252" s="7" t="s">
        <v>5023</v>
      </c>
      <c r="T252" s="7" t="s">
        <v>5713</v>
      </c>
      <c r="U252" s="2" t="s">
        <v>5963</v>
      </c>
    </row>
    <row r="253" spans="1:21" ht="12.75" x14ac:dyDescent="0.2">
      <c r="A253" s="1">
        <v>44342.735753703702</v>
      </c>
      <c r="B253" s="2" t="s">
        <v>438</v>
      </c>
      <c r="C253" s="2" t="s">
        <v>1288</v>
      </c>
      <c r="D253" s="2" t="s">
        <v>333</v>
      </c>
      <c r="E253" s="3">
        <v>44301</v>
      </c>
      <c r="F253" s="4">
        <v>2340</v>
      </c>
      <c r="G253" s="2" t="s">
        <v>143</v>
      </c>
      <c r="H253" s="2" t="s">
        <v>43</v>
      </c>
      <c r="I253" s="2" t="s">
        <v>983</v>
      </c>
      <c r="K253" s="2" t="s">
        <v>1289</v>
      </c>
      <c r="L253" s="2" t="s">
        <v>1290</v>
      </c>
      <c r="M253" s="2" t="s">
        <v>1291</v>
      </c>
      <c r="N253" s="2" t="s">
        <v>337</v>
      </c>
      <c r="O253" s="2" t="s">
        <v>443</v>
      </c>
      <c r="P253" s="2" t="s">
        <v>987</v>
      </c>
      <c r="Q253" s="2" t="s">
        <v>50</v>
      </c>
      <c r="S253" s="7" t="s">
        <v>5024</v>
      </c>
      <c r="T253" s="7" t="s">
        <v>5713</v>
      </c>
      <c r="U253" s="2" t="s">
        <v>5964</v>
      </c>
    </row>
    <row r="254" spans="1:21" ht="12.75" x14ac:dyDescent="0.2">
      <c r="A254" s="1">
        <v>44342.735771296298</v>
      </c>
      <c r="B254" s="2" t="s">
        <v>1292</v>
      </c>
      <c r="C254" s="2" t="s">
        <v>1293</v>
      </c>
      <c r="D254" s="2" t="s">
        <v>333</v>
      </c>
      <c r="E254" s="3">
        <v>44315</v>
      </c>
      <c r="F254" s="4">
        <v>5350</v>
      </c>
      <c r="G254" s="2" t="s">
        <v>42</v>
      </c>
      <c r="H254" s="2" t="s">
        <v>43</v>
      </c>
      <c r="I254" s="2" t="s">
        <v>990</v>
      </c>
      <c r="J254" s="2" t="s">
        <v>1294</v>
      </c>
      <c r="K254" s="2" t="s">
        <v>1295</v>
      </c>
      <c r="L254" s="2" t="s">
        <v>1296</v>
      </c>
      <c r="M254" s="2" t="s">
        <v>1297</v>
      </c>
      <c r="N254" s="2" t="s">
        <v>337</v>
      </c>
      <c r="O254" s="2" t="s">
        <v>1298</v>
      </c>
      <c r="P254" s="2" t="s">
        <v>995</v>
      </c>
      <c r="Q254" s="2" t="s">
        <v>50</v>
      </c>
      <c r="S254" s="7" t="s">
        <v>5025</v>
      </c>
      <c r="T254" s="7" t="s">
        <v>5713</v>
      </c>
      <c r="U254" s="2" t="s">
        <v>5965</v>
      </c>
    </row>
    <row r="255" spans="1:21" ht="12.75" x14ac:dyDescent="0.2">
      <c r="A255" s="1">
        <v>44342.735786770834</v>
      </c>
      <c r="B255" s="2" t="s">
        <v>1299</v>
      </c>
      <c r="C255" s="2" t="s">
        <v>1300</v>
      </c>
      <c r="D255" s="2" t="s">
        <v>333</v>
      </c>
      <c r="E255" s="3">
        <v>44329</v>
      </c>
      <c r="F255" s="4">
        <v>4420</v>
      </c>
      <c r="G255" s="2" t="s">
        <v>143</v>
      </c>
      <c r="H255" s="2" t="s">
        <v>43</v>
      </c>
      <c r="I255" s="2" t="s">
        <v>983</v>
      </c>
      <c r="K255" s="2" t="s">
        <v>1301</v>
      </c>
      <c r="L255" s="2" t="s">
        <v>1302</v>
      </c>
      <c r="M255" s="2" t="s">
        <v>1303</v>
      </c>
      <c r="N255" s="2" t="s">
        <v>337</v>
      </c>
      <c r="O255" s="2" t="s">
        <v>1304</v>
      </c>
      <c r="P255" s="2" t="s">
        <v>987</v>
      </c>
      <c r="Q255" s="2" t="s">
        <v>50</v>
      </c>
      <c r="S255" s="7" t="s">
        <v>5026</v>
      </c>
      <c r="T255" s="7" t="s">
        <v>5713</v>
      </c>
      <c r="U255" s="2" t="s">
        <v>5966</v>
      </c>
    </row>
    <row r="256" spans="1:21" ht="12.75" x14ac:dyDescent="0.2">
      <c r="A256" s="1">
        <v>44342.735803634263</v>
      </c>
      <c r="B256" s="2" t="s">
        <v>1305</v>
      </c>
      <c r="C256" s="2" t="s">
        <v>1306</v>
      </c>
      <c r="D256" s="2" t="s">
        <v>333</v>
      </c>
      <c r="E256" s="3">
        <v>44208</v>
      </c>
      <c r="F256" s="4">
        <v>11441</v>
      </c>
      <c r="G256" s="2" t="s">
        <v>42</v>
      </c>
      <c r="H256" s="2" t="s">
        <v>43</v>
      </c>
      <c r="J256" s="2" t="s">
        <v>1307</v>
      </c>
      <c r="K256" s="2" t="s">
        <v>1308</v>
      </c>
      <c r="L256" s="2" t="s">
        <v>1309</v>
      </c>
      <c r="M256" s="2" t="s">
        <v>1310</v>
      </c>
      <c r="N256" s="2" t="s">
        <v>337</v>
      </c>
      <c r="O256" s="2" t="s">
        <v>1311</v>
      </c>
      <c r="Q256" s="2" t="s">
        <v>50</v>
      </c>
      <c r="S256" s="7" t="s">
        <v>5027</v>
      </c>
      <c r="T256" s="7" t="s">
        <v>5713</v>
      </c>
      <c r="U256" s="2" t="s">
        <v>5967</v>
      </c>
    </row>
    <row r="257" spans="1:21" ht="12.75" x14ac:dyDescent="0.2">
      <c r="A257" s="1">
        <v>44342.735819537033</v>
      </c>
      <c r="B257" s="2" t="s">
        <v>1312</v>
      </c>
      <c r="C257" s="2" t="s">
        <v>1313</v>
      </c>
      <c r="D257" s="2" t="s">
        <v>333</v>
      </c>
      <c r="E257" s="3">
        <v>44287</v>
      </c>
      <c r="F257" s="4">
        <v>271416.96000000002</v>
      </c>
      <c r="G257" s="2" t="s">
        <v>143</v>
      </c>
      <c r="H257" s="2" t="s">
        <v>43</v>
      </c>
      <c r="J257" s="2" t="s">
        <v>1314</v>
      </c>
      <c r="K257" s="2" t="s">
        <v>1315</v>
      </c>
      <c r="L257" s="2" t="s">
        <v>1316</v>
      </c>
      <c r="M257" s="2" t="s">
        <v>1317</v>
      </c>
      <c r="N257" s="2" t="s">
        <v>337</v>
      </c>
      <c r="O257" s="2" t="s">
        <v>1318</v>
      </c>
      <c r="Q257" s="2" t="s">
        <v>50</v>
      </c>
      <c r="S257" s="7" t="s">
        <v>5028</v>
      </c>
      <c r="T257" s="7" t="s">
        <v>5713</v>
      </c>
      <c r="U257" s="2" t="s">
        <v>5968</v>
      </c>
    </row>
    <row r="258" spans="1:21" ht="12.75" x14ac:dyDescent="0.2">
      <c r="A258" s="1">
        <v>44342.735835069441</v>
      </c>
      <c r="B258" s="2" t="s">
        <v>858</v>
      </c>
      <c r="C258" s="2" t="s">
        <v>1319</v>
      </c>
      <c r="D258" s="2" t="s">
        <v>333</v>
      </c>
      <c r="E258" s="3">
        <v>44336</v>
      </c>
      <c r="F258" s="4">
        <v>31200</v>
      </c>
      <c r="G258" s="2" t="s">
        <v>143</v>
      </c>
      <c r="H258" s="2" t="s">
        <v>43</v>
      </c>
      <c r="I258" s="2" t="s">
        <v>990</v>
      </c>
      <c r="K258" s="2" t="s">
        <v>1320</v>
      </c>
      <c r="L258" s="2" t="s">
        <v>1321</v>
      </c>
      <c r="M258" s="2" t="s">
        <v>1322</v>
      </c>
      <c r="N258" s="2" t="s">
        <v>337</v>
      </c>
      <c r="O258" s="2" t="s">
        <v>863</v>
      </c>
      <c r="P258" s="2" t="s">
        <v>995</v>
      </c>
      <c r="Q258" s="2" t="s">
        <v>50</v>
      </c>
      <c r="S258" s="7" t="s">
        <v>5029</v>
      </c>
      <c r="T258" s="7" t="s">
        <v>5713</v>
      </c>
      <c r="U258" s="2" t="s">
        <v>5969</v>
      </c>
    </row>
    <row r="259" spans="1:21" ht="12.75" x14ac:dyDescent="0.2">
      <c r="A259" s="1">
        <v>44342.735850578705</v>
      </c>
      <c r="B259" s="2" t="s">
        <v>363</v>
      </c>
      <c r="C259" s="2" t="s">
        <v>1323</v>
      </c>
      <c r="D259" s="2" t="s">
        <v>333</v>
      </c>
      <c r="E259" s="3">
        <v>44256</v>
      </c>
      <c r="F259" s="4">
        <v>678014.84</v>
      </c>
      <c r="G259" s="2" t="s">
        <v>42</v>
      </c>
      <c r="H259" s="2" t="s">
        <v>43</v>
      </c>
      <c r="K259" s="2" t="s">
        <v>1324</v>
      </c>
      <c r="L259" s="2" t="s">
        <v>1325</v>
      </c>
      <c r="M259" s="2" t="s">
        <v>1326</v>
      </c>
      <c r="N259" s="2" t="s">
        <v>337</v>
      </c>
      <c r="O259" s="2" t="s">
        <v>368</v>
      </c>
      <c r="Q259" s="2" t="s">
        <v>50</v>
      </c>
      <c r="S259" s="7" t="s">
        <v>5030</v>
      </c>
      <c r="T259" s="7" t="s">
        <v>5713</v>
      </c>
      <c r="U259" s="2" t="s">
        <v>5970</v>
      </c>
    </row>
    <row r="260" spans="1:21" ht="12.75" x14ac:dyDescent="0.2">
      <c r="A260" s="1">
        <v>44342.735866192132</v>
      </c>
      <c r="B260" s="2" t="s">
        <v>1327</v>
      </c>
      <c r="C260" s="2" t="s">
        <v>1328</v>
      </c>
      <c r="D260" s="2" t="s">
        <v>333</v>
      </c>
      <c r="E260" s="3">
        <v>44336</v>
      </c>
      <c r="F260" s="4">
        <v>4320</v>
      </c>
      <c r="G260" s="2" t="s">
        <v>143</v>
      </c>
      <c r="H260" s="2" t="s">
        <v>43</v>
      </c>
      <c r="I260" s="2" t="s">
        <v>990</v>
      </c>
      <c r="J260" s="2" t="s">
        <v>1329</v>
      </c>
      <c r="K260" s="2" t="s">
        <v>1330</v>
      </c>
      <c r="L260" s="2" t="s">
        <v>1331</v>
      </c>
      <c r="M260" s="2" t="s">
        <v>1332</v>
      </c>
      <c r="N260" s="2" t="s">
        <v>337</v>
      </c>
      <c r="O260" s="2" t="s">
        <v>1333</v>
      </c>
      <c r="P260" s="2" t="s">
        <v>995</v>
      </c>
      <c r="Q260" s="2" t="s">
        <v>50</v>
      </c>
      <c r="S260" s="7" t="s">
        <v>5031</v>
      </c>
      <c r="T260" s="7" t="s">
        <v>5713</v>
      </c>
      <c r="U260" s="2" t="s">
        <v>5971</v>
      </c>
    </row>
    <row r="261" spans="1:21" ht="12.75" x14ac:dyDescent="0.2">
      <c r="A261" s="1">
        <v>44342.735882048612</v>
      </c>
      <c r="B261" s="2" t="s">
        <v>1327</v>
      </c>
      <c r="C261" s="2" t="s">
        <v>1328</v>
      </c>
      <c r="D261" s="2" t="s">
        <v>470</v>
      </c>
      <c r="E261" s="3">
        <v>44341</v>
      </c>
      <c r="F261" s="4">
        <v>1</v>
      </c>
      <c r="G261" s="2" t="s">
        <v>326</v>
      </c>
      <c r="H261" s="2" t="s">
        <v>43</v>
      </c>
      <c r="I261" s="2" t="s">
        <v>990</v>
      </c>
      <c r="K261" s="2" t="s">
        <v>1334</v>
      </c>
      <c r="L261" s="2" t="s">
        <v>1335</v>
      </c>
      <c r="M261" s="2" t="s">
        <v>1336</v>
      </c>
      <c r="N261" s="2" t="s">
        <v>475</v>
      </c>
      <c r="O261" s="2" t="s">
        <v>1333</v>
      </c>
      <c r="P261" s="2" t="s">
        <v>995</v>
      </c>
      <c r="Q261" s="2" t="s">
        <v>50</v>
      </c>
      <c r="S261" s="7" t="s">
        <v>5032</v>
      </c>
      <c r="T261" s="7" t="s">
        <v>5713</v>
      </c>
      <c r="U261" s="2" t="s">
        <v>5972</v>
      </c>
    </row>
    <row r="262" spans="1:21" ht="12.75" x14ac:dyDescent="0.2">
      <c r="A262" s="1">
        <v>44342.735897222221</v>
      </c>
      <c r="B262" s="2" t="s">
        <v>1327</v>
      </c>
      <c r="C262" s="2" t="s">
        <v>1328</v>
      </c>
      <c r="D262" s="2" t="s">
        <v>910</v>
      </c>
      <c r="E262" s="3">
        <v>44336</v>
      </c>
      <c r="F262" s="4">
        <v>6000</v>
      </c>
      <c r="G262" s="2" t="s">
        <v>143</v>
      </c>
      <c r="H262" s="2" t="s">
        <v>43</v>
      </c>
      <c r="I262" s="2" t="s">
        <v>990</v>
      </c>
      <c r="J262" s="2" t="s">
        <v>1329</v>
      </c>
      <c r="K262" s="2" t="s">
        <v>1337</v>
      </c>
      <c r="L262" s="2" t="s">
        <v>1338</v>
      </c>
      <c r="M262" s="2" t="s">
        <v>1339</v>
      </c>
      <c r="N262" s="2" t="s">
        <v>915</v>
      </c>
      <c r="O262" s="2" t="s">
        <v>1333</v>
      </c>
      <c r="P262" s="2" t="s">
        <v>995</v>
      </c>
      <c r="Q262" s="2" t="s">
        <v>1041</v>
      </c>
      <c r="S262" s="7" t="s">
        <v>5033</v>
      </c>
      <c r="T262" s="7" t="s">
        <v>5713</v>
      </c>
      <c r="U262" s="2" t="s">
        <v>5973</v>
      </c>
    </row>
    <row r="263" spans="1:21" ht="12.75" x14ac:dyDescent="0.2">
      <c r="A263" s="1">
        <v>44355.708194687497</v>
      </c>
      <c r="B263" s="2" t="s">
        <v>1340</v>
      </c>
      <c r="C263" s="2" t="s">
        <v>1341</v>
      </c>
      <c r="D263" s="2" t="s">
        <v>333</v>
      </c>
      <c r="E263" s="3">
        <v>44333</v>
      </c>
      <c r="F263" s="4">
        <v>2035</v>
      </c>
      <c r="G263" s="2" t="s">
        <v>42</v>
      </c>
      <c r="H263" s="2" t="s">
        <v>43</v>
      </c>
      <c r="K263" s="2" t="s">
        <v>1342</v>
      </c>
      <c r="L263" s="2" t="s">
        <v>1343</v>
      </c>
      <c r="M263" s="2" t="s">
        <v>1344</v>
      </c>
      <c r="N263" s="2" t="s">
        <v>337</v>
      </c>
      <c r="O263" s="2" t="s">
        <v>1345</v>
      </c>
      <c r="Q263" s="2" t="s">
        <v>50</v>
      </c>
      <c r="S263" s="7" t="s">
        <v>5034</v>
      </c>
      <c r="T263" s="7" t="s">
        <v>5713</v>
      </c>
      <c r="U263" s="2" t="s">
        <v>5974</v>
      </c>
    </row>
    <row r="264" spans="1:21" ht="12.75" x14ac:dyDescent="0.2">
      <c r="A264" s="1">
        <v>44357.509632615736</v>
      </c>
      <c r="B264" s="2" t="s">
        <v>438</v>
      </c>
      <c r="C264" s="2" t="s">
        <v>1346</v>
      </c>
      <c r="D264" s="2" t="s">
        <v>41</v>
      </c>
      <c r="E264" s="3">
        <v>44075</v>
      </c>
      <c r="F264" s="4">
        <v>54510</v>
      </c>
      <c r="G264" s="2" t="s">
        <v>42</v>
      </c>
      <c r="H264" s="2" t="s">
        <v>43</v>
      </c>
      <c r="J264" s="2" t="s">
        <v>1161</v>
      </c>
      <c r="K264" s="2" t="s">
        <v>1347</v>
      </c>
      <c r="L264" s="2" t="s">
        <v>1348</v>
      </c>
      <c r="M264" s="2" t="s">
        <v>1349</v>
      </c>
      <c r="N264" s="2" t="s">
        <v>48</v>
      </c>
      <c r="O264" s="2" t="s">
        <v>443</v>
      </c>
      <c r="Q264" s="2" t="s">
        <v>50</v>
      </c>
      <c r="S264" s="7" t="s">
        <v>5035</v>
      </c>
      <c r="T264" s="7" t="s">
        <v>5713</v>
      </c>
      <c r="U264" s="2" t="s">
        <v>5975</v>
      </c>
    </row>
    <row r="265" spans="1:21" ht="12.75" x14ac:dyDescent="0.2">
      <c r="A265" s="1">
        <v>44357.620967314811</v>
      </c>
      <c r="B265" s="2" t="s">
        <v>1350</v>
      </c>
      <c r="C265" s="2" t="s">
        <v>1351</v>
      </c>
      <c r="D265" s="2" t="s">
        <v>333</v>
      </c>
      <c r="E265" s="3">
        <v>44349</v>
      </c>
      <c r="F265" s="4">
        <v>2900</v>
      </c>
      <c r="G265" s="2" t="s">
        <v>143</v>
      </c>
      <c r="H265" s="2" t="s">
        <v>43</v>
      </c>
      <c r="I265" s="2" t="s">
        <v>983</v>
      </c>
      <c r="K265" s="2" t="s">
        <v>1352</v>
      </c>
      <c r="L265" s="2" t="s">
        <v>1353</v>
      </c>
      <c r="M265" s="2" t="s">
        <v>1354</v>
      </c>
      <c r="N265" s="2" t="s">
        <v>337</v>
      </c>
      <c r="O265" s="2" t="s">
        <v>1355</v>
      </c>
      <c r="P265" s="2" t="s">
        <v>987</v>
      </c>
      <c r="Q265" s="2" t="s">
        <v>1041</v>
      </c>
      <c r="S265" s="7" t="s">
        <v>5036</v>
      </c>
      <c r="T265" s="7" t="s">
        <v>5713</v>
      </c>
      <c r="U265" s="2" t="s">
        <v>5976</v>
      </c>
    </row>
    <row r="266" spans="1:21" ht="12.75" x14ac:dyDescent="0.2">
      <c r="A266" s="1">
        <v>44357.669417986108</v>
      </c>
      <c r="B266" s="2" t="s">
        <v>848</v>
      </c>
      <c r="C266" s="2" t="s">
        <v>1356</v>
      </c>
      <c r="D266" s="2" t="s">
        <v>333</v>
      </c>
      <c r="E266" s="3">
        <v>44356</v>
      </c>
      <c r="F266" s="4">
        <v>3600</v>
      </c>
      <c r="G266" s="2" t="s">
        <v>143</v>
      </c>
      <c r="H266" s="2" t="s">
        <v>43</v>
      </c>
      <c r="I266" s="2" t="s">
        <v>990</v>
      </c>
      <c r="K266" s="2" t="s">
        <v>1357</v>
      </c>
      <c r="L266" s="2" t="s">
        <v>1358</v>
      </c>
      <c r="M266" s="2" t="s">
        <v>1359</v>
      </c>
      <c r="N266" s="2" t="s">
        <v>337</v>
      </c>
      <c r="O266" s="2" t="s">
        <v>853</v>
      </c>
      <c r="P266" s="2" t="s">
        <v>995</v>
      </c>
      <c r="Q266" s="2" t="s">
        <v>50</v>
      </c>
      <c r="S266" s="7" t="s">
        <v>5037</v>
      </c>
      <c r="T266" s="7" t="s">
        <v>5713</v>
      </c>
      <c r="U266" s="2" t="s">
        <v>5977</v>
      </c>
    </row>
    <row r="267" spans="1:21" ht="12.75" x14ac:dyDescent="0.2">
      <c r="A267" s="1">
        <v>44363.522823946754</v>
      </c>
      <c r="B267" s="2" t="s">
        <v>1360</v>
      </c>
      <c r="C267" s="2" t="s">
        <v>1361</v>
      </c>
      <c r="D267" s="2" t="s">
        <v>333</v>
      </c>
      <c r="E267" s="3">
        <v>44363</v>
      </c>
      <c r="F267" s="4">
        <v>2260</v>
      </c>
      <c r="G267" s="2" t="s">
        <v>143</v>
      </c>
      <c r="H267" s="2" t="s">
        <v>43</v>
      </c>
      <c r="I267" s="2" t="s">
        <v>983</v>
      </c>
      <c r="K267" s="2" t="s">
        <v>1362</v>
      </c>
      <c r="L267" s="2" t="s">
        <v>1363</v>
      </c>
      <c r="M267" s="2" t="s">
        <v>1364</v>
      </c>
      <c r="N267" s="2" t="s">
        <v>337</v>
      </c>
      <c r="O267" s="2" t="s">
        <v>1365</v>
      </c>
      <c r="P267" s="2" t="s">
        <v>987</v>
      </c>
      <c r="Q267" s="2" t="s">
        <v>50</v>
      </c>
      <c r="S267" s="7" t="s">
        <v>5038</v>
      </c>
      <c r="T267" s="7" t="s">
        <v>5713</v>
      </c>
      <c r="U267" s="2" t="s">
        <v>5978</v>
      </c>
    </row>
    <row r="268" spans="1:21" ht="12.75" x14ac:dyDescent="0.2">
      <c r="A268" s="1">
        <v>44364.748700810189</v>
      </c>
      <c r="B268" s="2" t="s">
        <v>1366</v>
      </c>
      <c r="C268" s="2" t="s">
        <v>1367</v>
      </c>
      <c r="D268" s="2" t="s">
        <v>41</v>
      </c>
      <c r="E268" s="3">
        <v>44253</v>
      </c>
      <c r="F268" s="4">
        <v>29415</v>
      </c>
      <c r="G268" s="2" t="s">
        <v>42</v>
      </c>
      <c r="H268" s="2" t="s">
        <v>43</v>
      </c>
      <c r="J268" s="2" t="s">
        <v>1368</v>
      </c>
      <c r="K268" s="2" t="s">
        <v>1369</v>
      </c>
      <c r="L268" s="2" t="s">
        <v>1370</v>
      </c>
      <c r="M268" s="2" t="s">
        <v>1371</v>
      </c>
      <c r="N268" s="2" t="s">
        <v>48</v>
      </c>
      <c r="O268" s="2" t="s">
        <v>1372</v>
      </c>
      <c r="Q268" s="2" t="s">
        <v>1041</v>
      </c>
      <c r="S268" s="7" t="s">
        <v>5039</v>
      </c>
      <c r="T268" s="7" t="s">
        <v>5713</v>
      </c>
      <c r="U268" s="2" t="s">
        <v>5979</v>
      </c>
    </row>
    <row r="269" spans="1:21" ht="12.75" x14ac:dyDescent="0.2">
      <c r="A269" s="1">
        <v>44364.765452465275</v>
      </c>
      <c r="B269" s="2" t="s">
        <v>1366</v>
      </c>
      <c r="C269" s="2" t="s">
        <v>1373</v>
      </c>
      <c r="D269" s="2" t="s">
        <v>333</v>
      </c>
      <c r="E269" s="3">
        <v>44309</v>
      </c>
      <c r="F269" s="4">
        <v>22060</v>
      </c>
      <c r="G269" s="2" t="s">
        <v>42</v>
      </c>
      <c r="H269" s="2" t="s">
        <v>43</v>
      </c>
      <c r="K269" s="2" t="s">
        <v>1374</v>
      </c>
      <c r="L269" s="2" t="s">
        <v>1375</v>
      </c>
      <c r="M269" s="2" t="s">
        <v>1376</v>
      </c>
      <c r="N269" s="2" t="s">
        <v>337</v>
      </c>
      <c r="O269" s="2" t="s">
        <v>1372</v>
      </c>
      <c r="Q269" s="2" t="s">
        <v>50</v>
      </c>
      <c r="S269" s="7" t="s">
        <v>5040</v>
      </c>
      <c r="T269" s="7" t="s">
        <v>5713</v>
      </c>
      <c r="U269" s="2" t="s">
        <v>5980</v>
      </c>
    </row>
    <row r="270" spans="1:21" ht="12.75" x14ac:dyDescent="0.2">
      <c r="A270" s="1">
        <v>44369.574418171294</v>
      </c>
      <c r="B270" s="2" t="s">
        <v>1360</v>
      </c>
      <c r="C270" s="2" t="s">
        <v>1377</v>
      </c>
      <c r="D270" s="2" t="s">
        <v>333</v>
      </c>
      <c r="E270" s="3">
        <v>44368</v>
      </c>
      <c r="F270" s="4">
        <v>2260</v>
      </c>
      <c r="G270" s="2" t="s">
        <v>143</v>
      </c>
      <c r="H270" s="2" t="s">
        <v>43</v>
      </c>
      <c r="I270" s="2" t="s">
        <v>983</v>
      </c>
      <c r="K270" s="2" t="s">
        <v>1378</v>
      </c>
      <c r="L270" s="2" t="s">
        <v>1379</v>
      </c>
      <c r="M270" s="2" t="s">
        <v>1380</v>
      </c>
      <c r="N270" s="2" t="s">
        <v>337</v>
      </c>
      <c r="O270" s="2" t="s">
        <v>1365</v>
      </c>
      <c r="P270" s="2" t="s">
        <v>987</v>
      </c>
      <c r="Q270" s="2" t="s">
        <v>50</v>
      </c>
      <c r="S270" s="7" t="s">
        <v>5041</v>
      </c>
      <c r="T270" s="7" t="s">
        <v>5713</v>
      </c>
      <c r="U270" s="2" t="s">
        <v>5981</v>
      </c>
    </row>
    <row r="271" spans="1:21" ht="12.75" x14ac:dyDescent="0.2">
      <c r="A271" s="1">
        <v>44369.647306701387</v>
      </c>
      <c r="B271" s="2" t="s">
        <v>1381</v>
      </c>
      <c r="C271" s="2" t="s">
        <v>1382</v>
      </c>
      <c r="D271" s="2" t="s">
        <v>333</v>
      </c>
      <c r="E271" s="3">
        <v>44369</v>
      </c>
      <c r="F271" s="4">
        <v>3000</v>
      </c>
      <c r="G271" s="2" t="s">
        <v>143</v>
      </c>
      <c r="H271" s="2" t="s">
        <v>43</v>
      </c>
      <c r="I271" s="2" t="s">
        <v>983</v>
      </c>
      <c r="J271" s="2" t="s">
        <v>1383</v>
      </c>
      <c r="K271" s="2" t="s">
        <v>1384</v>
      </c>
      <c r="L271" s="2" t="s">
        <v>1385</v>
      </c>
      <c r="M271" s="2" t="s">
        <v>1386</v>
      </c>
      <c r="N271" s="2" t="s">
        <v>337</v>
      </c>
      <c r="O271" s="2" t="s">
        <v>1387</v>
      </c>
      <c r="P271" s="2" t="s">
        <v>987</v>
      </c>
      <c r="Q271" s="2" t="s">
        <v>50</v>
      </c>
      <c r="S271" s="7" t="s">
        <v>5042</v>
      </c>
      <c r="T271" s="7" t="s">
        <v>5713</v>
      </c>
      <c r="U271" s="2" t="s">
        <v>5982</v>
      </c>
    </row>
    <row r="272" spans="1:21" ht="12.75" x14ac:dyDescent="0.2">
      <c r="A272" s="1">
        <v>44369.680562766203</v>
      </c>
      <c r="B272" s="2" t="s">
        <v>1388</v>
      </c>
      <c r="C272" s="2" t="s">
        <v>1389</v>
      </c>
      <c r="D272" s="2" t="s">
        <v>333</v>
      </c>
      <c r="E272" s="3">
        <v>44369</v>
      </c>
      <c r="F272" s="4">
        <v>3350</v>
      </c>
      <c r="G272" s="2" t="s">
        <v>143</v>
      </c>
      <c r="H272" s="2" t="s">
        <v>43</v>
      </c>
      <c r="I272" s="2" t="s">
        <v>1390</v>
      </c>
      <c r="J272" s="2" t="s">
        <v>1391</v>
      </c>
      <c r="K272" s="2" t="s">
        <v>1392</v>
      </c>
      <c r="L272" s="2" t="s">
        <v>1393</v>
      </c>
      <c r="M272" s="2" t="s">
        <v>1394</v>
      </c>
      <c r="N272" s="2" t="s">
        <v>337</v>
      </c>
      <c r="O272" s="2" t="s">
        <v>1395</v>
      </c>
      <c r="P272" s="2" t="s">
        <v>1396</v>
      </c>
      <c r="Q272" s="2" t="s">
        <v>50</v>
      </c>
      <c r="S272" s="7" t="s">
        <v>5043</v>
      </c>
      <c r="T272" s="7" t="s">
        <v>5713</v>
      </c>
      <c r="U272" s="2" t="s">
        <v>5983</v>
      </c>
    </row>
    <row r="273" spans="1:21" ht="12.75" x14ac:dyDescent="0.2">
      <c r="A273" s="1">
        <v>44369.746874976852</v>
      </c>
      <c r="B273" s="2" t="s">
        <v>1388</v>
      </c>
      <c r="C273" s="2" t="s">
        <v>1397</v>
      </c>
      <c r="D273" s="2" t="s">
        <v>333</v>
      </c>
      <c r="E273" s="3">
        <v>44369</v>
      </c>
      <c r="F273" s="4">
        <v>500</v>
      </c>
      <c r="G273" s="2" t="s">
        <v>143</v>
      </c>
      <c r="H273" s="2" t="s">
        <v>43</v>
      </c>
      <c r="I273" s="2" t="s">
        <v>1390</v>
      </c>
      <c r="K273" s="2" t="s">
        <v>1392</v>
      </c>
      <c r="L273" s="2" t="s">
        <v>1398</v>
      </c>
      <c r="M273" s="2" t="s">
        <v>1399</v>
      </c>
      <c r="N273" s="2" t="s">
        <v>337</v>
      </c>
      <c r="O273" s="2" t="s">
        <v>1395</v>
      </c>
      <c r="P273" s="2" t="s">
        <v>1396</v>
      </c>
      <c r="Q273" s="2" t="s">
        <v>50</v>
      </c>
      <c r="S273" s="7" t="s">
        <v>5044</v>
      </c>
      <c r="T273" s="7" t="s">
        <v>5713</v>
      </c>
      <c r="U273" s="2" t="s">
        <v>5984</v>
      </c>
    </row>
    <row r="274" spans="1:21" ht="12.75" x14ac:dyDescent="0.2">
      <c r="A274" s="1">
        <v>44371.507570844908</v>
      </c>
      <c r="B274" s="2" t="s">
        <v>878</v>
      </c>
      <c r="C274" s="2" t="s">
        <v>1400</v>
      </c>
      <c r="D274" s="2" t="s">
        <v>470</v>
      </c>
      <c r="E274" s="3">
        <v>44368</v>
      </c>
      <c r="F274" s="4">
        <v>12000</v>
      </c>
      <c r="G274" s="2" t="s">
        <v>143</v>
      </c>
      <c r="H274" s="2" t="s">
        <v>43</v>
      </c>
      <c r="I274" s="2" t="s">
        <v>990</v>
      </c>
      <c r="J274" s="2" t="s">
        <v>911</v>
      </c>
      <c r="K274" s="2" t="s">
        <v>1401</v>
      </c>
      <c r="L274" s="2" t="s">
        <v>1402</v>
      </c>
      <c r="M274" s="2" t="s">
        <v>1403</v>
      </c>
      <c r="N274" s="2" t="s">
        <v>475</v>
      </c>
      <c r="O274" s="2" t="s">
        <v>884</v>
      </c>
      <c r="P274" s="2" t="s">
        <v>995</v>
      </c>
      <c r="Q274" s="2" t="s">
        <v>50</v>
      </c>
      <c r="S274" s="7" t="s">
        <v>5045</v>
      </c>
      <c r="T274" s="7" t="s">
        <v>5713</v>
      </c>
      <c r="U274" s="2" t="s">
        <v>5985</v>
      </c>
    </row>
    <row r="275" spans="1:21" ht="12.75" x14ac:dyDescent="0.2">
      <c r="A275" s="1">
        <v>44376.552847071755</v>
      </c>
      <c r="B275" s="2" t="s">
        <v>1404</v>
      </c>
      <c r="C275" s="2" t="s">
        <v>1405</v>
      </c>
      <c r="D275" s="2" t="s">
        <v>333</v>
      </c>
      <c r="E275" s="3">
        <v>44372</v>
      </c>
      <c r="F275" s="4">
        <v>13800</v>
      </c>
      <c r="G275" s="2" t="s">
        <v>143</v>
      </c>
      <c r="H275" s="2" t="s">
        <v>43</v>
      </c>
      <c r="K275" s="2" t="s">
        <v>1406</v>
      </c>
      <c r="L275" s="2" t="s">
        <v>1407</v>
      </c>
      <c r="M275" s="2" t="s">
        <v>1408</v>
      </c>
      <c r="N275" s="2" t="s">
        <v>337</v>
      </c>
      <c r="O275" s="2" t="s">
        <v>1409</v>
      </c>
      <c r="Q275" s="2" t="s">
        <v>50</v>
      </c>
      <c r="S275" s="7" t="s">
        <v>5046</v>
      </c>
      <c r="T275" s="7" t="s">
        <v>5713</v>
      </c>
      <c r="U275" s="2" t="s">
        <v>5986</v>
      </c>
    </row>
    <row r="276" spans="1:21" ht="12.75" x14ac:dyDescent="0.2">
      <c r="A276" s="1">
        <v>44376.555384826388</v>
      </c>
      <c r="B276" s="2" t="s">
        <v>1410</v>
      </c>
      <c r="C276" s="2" t="s">
        <v>1411</v>
      </c>
      <c r="D276" s="2" t="s">
        <v>333</v>
      </c>
      <c r="E276" s="3">
        <v>44375</v>
      </c>
      <c r="F276" s="4">
        <v>3590</v>
      </c>
      <c r="G276" s="2" t="s">
        <v>143</v>
      </c>
      <c r="H276" s="2" t="s">
        <v>43</v>
      </c>
      <c r="I276" s="2" t="s">
        <v>983</v>
      </c>
      <c r="K276" s="2" t="s">
        <v>1412</v>
      </c>
      <c r="L276" s="2" t="s">
        <v>1413</v>
      </c>
      <c r="M276" s="2" t="s">
        <v>1414</v>
      </c>
      <c r="N276" s="2" t="s">
        <v>337</v>
      </c>
      <c r="O276" s="2" t="s">
        <v>1415</v>
      </c>
      <c r="P276" s="2" t="s">
        <v>987</v>
      </c>
      <c r="Q276" s="2" t="s">
        <v>1041</v>
      </c>
      <c r="S276" s="7" t="s">
        <v>5047</v>
      </c>
      <c r="T276" s="7" t="s">
        <v>5713</v>
      </c>
      <c r="U276" s="2" t="s">
        <v>5987</v>
      </c>
    </row>
    <row r="277" spans="1:21" ht="12.75" x14ac:dyDescent="0.2">
      <c r="A277" s="1">
        <v>44378.598386412035</v>
      </c>
      <c r="B277" s="2" t="s">
        <v>1416</v>
      </c>
      <c r="C277" s="2" t="s">
        <v>1417</v>
      </c>
      <c r="D277" s="2" t="s">
        <v>333</v>
      </c>
      <c r="E277" s="3">
        <v>44378</v>
      </c>
      <c r="F277" s="4">
        <v>1860</v>
      </c>
      <c r="G277" s="2" t="s">
        <v>143</v>
      </c>
      <c r="H277" s="2" t="s">
        <v>43</v>
      </c>
      <c r="I277" s="2" t="s">
        <v>983</v>
      </c>
      <c r="K277" s="2" t="s">
        <v>1418</v>
      </c>
      <c r="L277" s="2" t="s">
        <v>1419</v>
      </c>
      <c r="M277" s="2" t="s">
        <v>1420</v>
      </c>
      <c r="N277" s="2" t="s">
        <v>337</v>
      </c>
      <c r="O277" s="2" t="s">
        <v>1421</v>
      </c>
      <c r="P277" s="2" t="s">
        <v>987</v>
      </c>
      <c r="Q277" s="2" t="s">
        <v>50</v>
      </c>
      <c r="S277" s="7" t="s">
        <v>5048</v>
      </c>
      <c r="T277" s="7" t="s">
        <v>5713</v>
      </c>
      <c r="U277" s="2" t="s">
        <v>5988</v>
      </c>
    </row>
    <row r="278" spans="1:21" ht="12.75" x14ac:dyDescent="0.2">
      <c r="A278" s="1">
        <v>44378.614551863429</v>
      </c>
      <c r="B278" s="2" t="s">
        <v>1422</v>
      </c>
      <c r="C278" s="2" t="s">
        <v>1423</v>
      </c>
      <c r="D278" s="2" t="s">
        <v>333</v>
      </c>
      <c r="E278" s="3">
        <v>44378</v>
      </c>
      <c r="F278" s="4">
        <v>3000</v>
      </c>
      <c r="G278" s="2" t="s">
        <v>143</v>
      </c>
      <c r="H278" s="2" t="s">
        <v>43</v>
      </c>
      <c r="I278" s="2" t="s">
        <v>983</v>
      </c>
      <c r="K278" s="2" t="s">
        <v>1424</v>
      </c>
      <c r="L278" s="2" t="s">
        <v>1425</v>
      </c>
      <c r="M278" s="2" t="s">
        <v>1426</v>
      </c>
      <c r="N278" s="2" t="s">
        <v>337</v>
      </c>
      <c r="O278" s="2" t="s">
        <v>1427</v>
      </c>
      <c r="P278" s="2" t="s">
        <v>987</v>
      </c>
      <c r="Q278" s="2" t="s">
        <v>50</v>
      </c>
      <c r="S278" s="7" t="s">
        <v>5049</v>
      </c>
      <c r="T278" s="7" t="s">
        <v>5713</v>
      </c>
      <c r="U278" s="2" t="s">
        <v>5989</v>
      </c>
    </row>
    <row r="279" spans="1:21" ht="12.75" x14ac:dyDescent="0.2">
      <c r="A279" s="1">
        <v>44379.545123541669</v>
      </c>
      <c r="B279" s="2" t="s">
        <v>1428</v>
      </c>
      <c r="C279" s="2" t="s">
        <v>1429</v>
      </c>
      <c r="D279" s="2" t="s">
        <v>333</v>
      </c>
      <c r="E279" s="3">
        <v>44379</v>
      </c>
      <c r="F279" s="4">
        <v>4690</v>
      </c>
      <c r="G279" s="2" t="s">
        <v>143</v>
      </c>
      <c r="H279" s="2" t="s">
        <v>43</v>
      </c>
      <c r="I279" s="2" t="s">
        <v>983</v>
      </c>
      <c r="K279" s="2" t="s">
        <v>1430</v>
      </c>
      <c r="L279" s="2" t="s">
        <v>1431</v>
      </c>
      <c r="M279" s="2" t="s">
        <v>1432</v>
      </c>
      <c r="N279" s="2" t="s">
        <v>337</v>
      </c>
      <c r="O279" s="2" t="s">
        <v>1433</v>
      </c>
      <c r="P279" s="2" t="s">
        <v>987</v>
      </c>
      <c r="Q279" s="2" t="s">
        <v>50</v>
      </c>
      <c r="S279" s="7" t="s">
        <v>5050</v>
      </c>
      <c r="T279" s="7" t="s">
        <v>5713</v>
      </c>
      <c r="U279" s="2" t="s">
        <v>5990</v>
      </c>
    </row>
    <row r="280" spans="1:21" ht="12.75" x14ac:dyDescent="0.2">
      <c r="A280" s="1">
        <v>44379.575572592592</v>
      </c>
      <c r="B280" s="2" t="s">
        <v>1366</v>
      </c>
      <c r="C280" s="2" t="s">
        <v>1434</v>
      </c>
      <c r="D280" s="2" t="s">
        <v>333</v>
      </c>
      <c r="E280" s="3">
        <v>44379</v>
      </c>
      <c r="F280" s="4">
        <v>3720</v>
      </c>
      <c r="G280" s="2" t="s">
        <v>143</v>
      </c>
      <c r="H280" s="2" t="s">
        <v>43</v>
      </c>
      <c r="I280" s="2" t="s">
        <v>983</v>
      </c>
      <c r="J280" s="2" t="s">
        <v>1435</v>
      </c>
      <c r="K280" s="2" t="s">
        <v>1436</v>
      </c>
      <c r="L280" s="2" t="s">
        <v>1437</v>
      </c>
      <c r="M280" s="2" t="s">
        <v>1438</v>
      </c>
      <c r="N280" s="2" t="s">
        <v>337</v>
      </c>
      <c r="O280" s="2" t="s">
        <v>1372</v>
      </c>
      <c r="P280" s="2" t="s">
        <v>987</v>
      </c>
      <c r="Q280" s="2" t="s">
        <v>50</v>
      </c>
      <c r="S280" s="7" t="s">
        <v>5051</v>
      </c>
      <c r="T280" s="7" t="s">
        <v>5713</v>
      </c>
      <c r="U280" s="2" t="s">
        <v>5991</v>
      </c>
    </row>
    <row r="281" spans="1:21" ht="12.75" x14ac:dyDescent="0.2">
      <c r="A281" s="1">
        <v>44383.650732800925</v>
      </c>
      <c r="B281" s="2" t="s">
        <v>1439</v>
      </c>
      <c r="C281" s="2" t="s">
        <v>1440</v>
      </c>
      <c r="D281" s="2" t="s">
        <v>333</v>
      </c>
      <c r="E281" s="3">
        <v>44383</v>
      </c>
      <c r="F281" s="4">
        <v>1380</v>
      </c>
      <c r="G281" s="2" t="s">
        <v>143</v>
      </c>
      <c r="H281" s="2" t="s">
        <v>43</v>
      </c>
      <c r="I281" s="2" t="s">
        <v>983</v>
      </c>
      <c r="K281" s="2" t="s">
        <v>1441</v>
      </c>
      <c r="L281" s="2" t="s">
        <v>1442</v>
      </c>
      <c r="M281" s="2" t="s">
        <v>1443</v>
      </c>
      <c r="N281" s="2" t="s">
        <v>337</v>
      </c>
      <c r="O281" s="2" t="s">
        <v>1444</v>
      </c>
      <c r="P281" s="2" t="s">
        <v>987</v>
      </c>
      <c r="Q281" s="2" t="s">
        <v>50</v>
      </c>
      <c r="S281" s="7" t="s">
        <v>5052</v>
      </c>
      <c r="T281" s="7" t="s">
        <v>5713</v>
      </c>
      <c r="U281" s="2" t="s">
        <v>5992</v>
      </c>
    </row>
    <row r="282" spans="1:21" ht="12.75" x14ac:dyDescent="0.2">
      <c r="A282" s="1">
        <v>44397.783558171301</v>
      </c>
      <c r="B282" s="2" t="s">
        <v>1445</v>
      </c>
      <c r="C282" s="2" t="s">
        <v>1446</v>
      </c>
      <c r="D282" s="2" t="s">
        <v>333</v>
      </c>
      <c r="E282" s="3">
        <v>44386</v>
      </c>
      <c r="F282" s="4">
        <v>6505</v>
      </c>
      <c r="G282" s="2" t="s">
        <v>42</v>
      </c>
      <c r="H282" s="2" t="s">
        <v>43</v>
      </c>
      <c r="J282" s="2" t="s">
        <v>1447</v>
      </c>
      <c r="K282" s="2" t="s">
        <v>1448</v>
      </c>
      <c r="L282" s="2" t="s">
        <v>1449</v>
      </c>
      <c r="M282" s="2" t="s">
        <v>1450</v>
      </c>
      <c r="N282" s="2" t="s">
        <v>337</v>
      </c>
      <c r="O282" s="2" t="s">
        <v>1451</v>
      </c>
      <c r="Q282" s="2" t="s">
        <v>50</v>
      </c>
      <c r="S282" s="7" t="s">
        <v>5053</v>
      </c>
      <c r="T282" s="7" t="s">
        <v>5713</v>
      </c>
      <c r="U282" s="2" t="s">
        <v>5993</v>
      </c>
    </row>
    <row r="283" spans="1:21" ht="12.75" x14ac:dyDescent="0.2">
      <c r="A283" s="1">
        <v>44397.786996134259</v>
      </c>
      <c r="B283" s="2" t="s">
        <v>1452</v>
      </c>
      <c r="C283" s="2" t="s">
        <v>1453</v>
      </c>
      <c r="D283" s="2" t="s">
        <v>333</v>
      </c>
      <c r="E283" s="3">
        <v>44385</v>
      </c>
      <c r="F283" s="4">
        <v>7575</v>
      </c>
      <c r="G283" s="2" t="s">
        <v>42</v>
      </c>
      <c r="H283" s="2" t="s">
        <v>43</v>
      </c>
      <c r="I283" s="2" t="s">
        <v>990</v>
      </c>
      <c r="K283" s="2" t="s">
        <v>1454</v>
      </c>
      <c r="L283" s="2" t="s">
        <v>1455</v>
      </c>
      <c r="M283" s="2" t="s">
        <v>1456</v>
      </c>
      <c r="N283" s="2" t="s">
        <v>337</v>
      </c>
      <c r="O283" s="2" t="s">
        <v>1457</v>
      </c>
      <c r="P283" s="2" t="s">
        <v>995</v>
      </c>
      <c r="Q283" s="2" t="s">
        <v>50</v>
      </c>
      <c r="S283" s="7" t="s">
        <v>5054</v>
      </c>
      <c r="T283" s="7" t="s">
        <v>5713</v>
      </c>
      <c r="U283" s="2" t="s">
        <v>5994</v>
      </c>
    </row>
    <row r="284" spans="1:21" ht="12.75" x14ac:dyDescent="0.2">
      <c r="A284" s="1">
        <v>44398.72578173611</v>
      </c>
      <c r="B284" s="2" t="s">
        <v>468</v>
      </c>
      <c r="C284" s="2" t="s">
        <v>1458</v>
      </c>
      <c r="D284" s="2" t="s">
        <v>333</v>
      </c>
      <c r="E284" s="3">
        <v>44389</v>
      </c>
      <c r="F284" s="4">
        <v>5920</v>
      </c>
      <c r="G284" s="2" t="s">
        <v>42</v>
      </c>
      <c r="H284" s="2" t="s">
        <v>43</v>
      </c>
      <c r="J284" s="2" t="s">
        <v>1459</v>
      </c>
      <c r="K284" s="2" t="s">
        <v>1460</v>
      </c>
      <c r="L284" s="2" t="s">
        <v>1461</v>
      </c>
      <c r="M284" s="2" t="s">
        <v>1462</v>
      </c>
      <c r="N284" s="2" t="s">
        <v>337</v>
      </c>
      <c r="O284" s="2" t="s">
        <v>476</v>
      </c>
      <c r="Q284" s="2" t="s">
        <v>50</v>
      </c>
      <c r="S284" s="7" t="s">
        <v>5055</v>
      </c>
      <c r="T284" s="7" t="s">
        <v>5713</v>
      </c>
      <c r="U284" s="2" t="s">
        <v>5995</v>
      </c>
    </row>
    <row r="285" spans="1:21" ht="12.75" x14ac:dyDescent="0.2">
      <c r="A285" s="1">
        <v>44399.539062418982</v>
      </c>
      <c r="B285" s="2" t="s">
        <v>1463</v>
      </c>
      <c r="C285" s="2" t="s">
        <v>1464</v>
      </c>
      <c r="D285" s="2" t="s">
        <v>41</v>
      </c>
      <c r="E285" s="3">
        <v>44317</v>
      </c>
      <c r="F285" s="4">
        <v>31500</v>
      </c>
      <c r="G285" s="2" t="s">
        <v>143</v>
      </c>
      <c r="H285" s="2" t="s">
        <v>43</v>
      </c>
      <c r="J285" s="2" t="s">
        <v>1465</v>
      </c>
      <c r="K285" s="2" t="s">
        <v>1466</v>
      </c>
      <c r="L285" s="2" t="s">
        <v>1467</v>
      </c>
      <c r="M285" s="2" t="s">
        <v>1468</v>
      </c>
      <c r="N285" s="2" t="s">
        <v>48</v>
      </c>
      <c r="O285" s="2" t="s">
        <v>1469</v>
      </c>
      <c r="Q285" s="2" t="s">
        <v>50</v>
      </c>
      <c r="S285" s="7" t="s">
        <v>5056</v>
      </c>
      <c r="T285" s="7" t="s">
        <v>5713</v>
      </c>
      <c r="U285" s="2" t="s">
        <v>5996</v>
      </c>
    </row>
    <row r="286" spans="1:21" ht="12.75" x14ac:dyDescent="0.2">
      <c r="A286" s="1">
        <v>44399.577121284718</v>
      </c>
      <c r="B286" s="2" t="s">
        <v>1470</v>
      </c>
      <c r="C286" s="2" t="s">
        <v>1471</v>
      </c>
      <c r="D286" s="2" t="s">
        <v>333</v>
      </c>
      <c r="E286" s="3">
        <v>44348</v>
      </c>
      <c r="F286" s="4">
        <v>1</v>
      </c>
      <c r="G286" s="2" t="s">
        <v>143</v>
      </c>
      <c r="H286" s="2" t="s">
        <v>43</v>
      </c>
      <c r="K286" s="2" t="s">
        <v>1472</v>
      </c>
      <c r="L286" s="2" t="s">
        <v>1473</v>
      </c>
      <c r="M286" s="2" t="s">
        <v>1474</v>
      </c>
      <c r="N286" s="2" t="s">
        <v>337</v>
      </c>
      <c r="O286" s="2" t="s">
        <v>1475</v>
      </c>
      <c r="Q286" s="2" t="s">
        <v>50</v>
      </c>
      <c r="S286" s="7" t="s">
        <v>5057</v>
      </c>
      <c r="T286" s="7" t="s">
        <v>5713</v>
      </c>
      <c r="U286" s="2" t="s">
        <v>5997</v>
      </c>
    </row>
    <row r="287" spans="1:21" ht="12.75" x14ac:dyDescent="0.2">
      <c r="A287" s="1">
        <v>44399.643660277783</v>
      </c>
      <c r="B287" s="2" t="s">
        <v>102</v>
      </c>
      <c r="C287" s="2" t="s">
        <v>1476</v>
      </c>
      <c r="D287" s="2" t="s">
        <v>672</v>
      </c>
      <c r="E287" s="3">
        <v>44329</v>
      </c>
      <c r="F287" s="4">
        <v>1150</v>
      </c>
      <c r="G287" s="2" t="s">
        <v>42</v>
      </c>
      <c r="H287" s="2" t="s">
        <v>43</v>
      </c>
      <c r="I287" s="2" t="s">
        <v>1009</v>
      </c>
      <c r="J287" s="2" t="s">
        <v>445</v>
      </c>
      <c r="K287" s="2" t="s">
        <v>1477</v>
      </c>
      <c r="L287" s="2" t="s">
        <v>1478</v>
      </c>
      <c r="M287" s="2" t="s">
        <v>1479</v>
      </c>
      <c r="N287" s="2" t="s">
        <v>676</v>
      </c>
      <c r="O287" s="2" t="s">
        <v>107</v>
      </c>
      <c r="P287" s="2" t="s">
        <v>1014</v>
      </c>
      <c r="Q287" s="2" t="s">
        <v>50</v>
      </c>
      <c r="S287" s="7" t="s">
        <v>5058</v>
      </c>
      <c r="T287" s="7" t="s">
        <v>5713</v>
      </c>
      <c r="U287" s="2" t="s">
        <v>5998</v>
      </c>
    </row>
    <row r="288" spans="1:21" ht="12.75" x14ac:dyDescent="0.2">
      <c r="A288" s="1">
        <v>44413.723399606482</v>
      </c>
      <c r="B288" s="2" t="s">
        <v>302</v>
      </c>
      <c r="C288" s="2" t="s">
        <v>1480</v>
      </c>
      <c r="D288" s="2" t="s">
        <v>41</v>
      </c>
      <c r="E288" s="3">
        <v>44392</v>
      </c>
      <c r="F288" s="4">
        <v>62500</v>
      </c>
      <c r="G288" s="2" t="s">
        <v>42</v>
      </c>
      <c r="H288" s="2" t="s">
        <v>43</v>
      </c>
      <c r="J288" s="2" t="s">
        <v>1481</v>
      </c>
      <c r="K288" s="2" t="s">
        <v>1482</v>
      </c>
      <c r="L288" s="2" t="s">
        <v>1483</v>
      </c>
      <c r="M288" s="2" t="s">
        <v>1484</v>
      </c>
      <c r="N288" s="2" t="s">
        <v>48</v>
      </c>
      <c r="O288" s="2" t="s">
        <v>307</v>
      </c>
      <c r="Q288" s="2" t="s">
        <v>50</v>
      </c>
      <c r="S288" s="7" t="s">
        <v>5059</v>
      </c>
      <c r="T288" s="7" t="s">
        <v>5713</v>
      </c>
      <c r="U288" s="2" t="s">
        <v>5999</v>
      </c>
    </row>
    <row r="289" spans="1:21" ht="12.75" x14ac:dyDescent="0.2">
      <c r="A289" s="1">
        <v>44413.741467708329</v>
      </c>
      <c r="B289" s="2" t="s">
        <v>1485</v>
      </c>
      <c r="C289" s="2" t="s">
        <v>1486</v>
      </c>
      <c r="D289" s="2" t="s">
        <v>41</v>
      </c>
      <c r="E289" s="3">
        <v>44398</v>
      </c>
      <c r="F289" s="4">
        <v>575281.93000000005</v>
      </c>
      <c r="G289" s="2" t="s">
        <v>42</v>
      </c>
      <c r="H289" s="2" t="s">
        <v>43</v>
      </c>
      <c r="J289" s="2" t="s">
        <v>1487</v>
      </c>
      <c r="K289" s="2" t="s">
        <v>1488</v>
      </c>
      <c r="L289" s="2" t="s">
        <v>1489</v>
      </c>
      <c r="M289" s="2" t="s">
        <v>1490</v>
      </c>
      <c r="N289" s="2" t="s">
        <v>48</v>
      </c>
      <c r="O289" s="2" t="s">
        <v>1491</v>
      </c>
      <c r="Q289" s="2" t="s">
        <v>50</v>
      </c>
      <c r="S289" s="7" t="s">
        <v>5060</v>
      </c>
      <c r="T289" s="7" t="s">
        <v>5713</v>
      </c>
      <c r="U289" s="2" t="s">
        <v>6000</v>
      </c>
    </row>
    <row r="290" spans="1:21" ht="12.75" x14ac:dyDescent="0.2">
      <c r="A290" s="1">
        <v>44419.645701585643</v>
      </c>
      <c r="B290" s="2" t="s">
        <v>468</v>
      </c>
      <c r="C290" s="2" t="s">
        <v>1492</v>
      </c>
      <c r="D290" s="2" t="s">
        <v>333</v>
      </c>
      <c r="E290" s="3">
        <v>44413</v>
      </c>
      <c r="F290" s="4">
        <v>34060</v>
      </c>
      <c r="G290" s="2" t="s">
        <v>42</v>
      </c>
      <c r="H290" s="2" t="s">
        <v>43</v>
      </c>
      <c r="I290" s="2" t="s">
        <v>990</v>
      </c>
      <c r="J290" s="2" t="s">
        <v>1459</v>
      </c>
      <c r="K290" s="2" t="s">
        <v>1493</v>
      </c>
      <c r="L290" s="2" t="s">
        <v>1494</v>
      </c>
      <c r="M290" s="2" t="s">
        <v>1495</v>
      </c>
      <c r="N290" s="2" t="s">
        <v>337</v>
      </c>
      <c r="O290" s="2" t="s">
        <v>476</v>
      </c>
      <c r="P290" s="2" t="s">
        <v>995</v>
      </c>
      <c r="Q290" s="2" t="s">
        <v>50</v>
      </c>
      <c r="S290" s="7" t="s">
        <v>5061</v>
      </c>
      <c r="T290" s="7" t="s">
        <v>5713</v>
      </c>
      <c r="U290" s="2" t="s">
        <v>6001</v>
      </c>
    </row>
    <row r="291" spans="1:21" ht="12.75" x14ac:dyDescent="0.2">
      <c r="A291" s="1">
        <v>44419.662645752316</v>
      </c>
      <c r="B291" s="2" t="s">
        <v>1496</v>
      </c>
      <c r="C291" s="2" t="s">
        <v>1497</v>
      </c>
      <c r="D291" s="2" t="s">
        <v>41</v>
      </c>
      <c r="E291" s="3">
        <v>44414</v>
      </c>
      <c r="F291" s="4">
        <v>55690</v>
      </c>
      <c r="G291" s="2" t="s">
        <v>42</v>
      </c>
      <c r="H291" s="2" t="s">
        <v>43</v>
      </c>
      <c r="J291" s="2" t="s">
        <v>1498</v>
      </c>
      <c r="K291" s="2" t="s">
        <v>1499</v>
      </c>
      <c r="L291" s="2" t="s">
        <v>1500</v>
      </c>
      <c r="M291" s="2" t="s">
        <v>1501</v>
      </c>
      <c r="N291" s="2" t="s">
        <v>48</v>
      </c>
      <c r="O291" s="2" t="s">
        <v>1502</v>
      </c>
      <c r="Q291" s="2" t="s">
        <v>50</v>
      </c>
      <c r="S291" s="7" t="s">
        <v>5062</v>
      </c>
      <c r="T291" s="7" t="s">
        <v>5713</v>
      </c>
      <c r="U291" s="2" t="s">
        <v>6002</v>
      </c>
    </row>
    <row r="292" spans="1:21" ht="12.75" x14ac:dyDescent="0.2">
      <c r="A292" s="1">
        <v>44421.737764687496</v>
      </c>
      <c r="B292" s="2" t="s">
        <v>1503</v>
      </c>
      <c r="C292" s="2" t="s">
        <v>1504</v>
      </c>
      <c r="D292" s="2" t="s">
        <v>41</v>
      </c>
      <c r="E292" s="3">
        <v>44326</v>
      </c>
      <c r="F292" s="4">
        <v>11800</v>
      </c>
      <c r="G292" s="2" t="s">
        <v>42</v>
      </c>
      <c r="H292" s="2" t="s">
        <v>43</v>
      </c>
      <c r="J292" s="2" t="s">
        <v>1505</v>
      </c>
      <c r="K292" s="2" t="s">
        <v>1506</v>
      </c>
      <c r="L292" s="2" t="s">
        <v>1507</v>
      </c>
      <c r="M292" s="2" t="s">
        <v>1508</v>
      </c>
      <c r="N292" s="2" t="s">
        <v>48</v>
      </c>
      <c r="O292" s="2" t="s">
        <v>1509</v>
      </c>
      <c r="Q292" s="2" t="s">
        <v>50</v>
      </c>
      <c r="S292" s="7" t="s">
        <v>5063</v>
      </c>
      <c r="T292" s="7" t="s">
        <v>5713</v>
      </c>
      <c r="U292" s="2" t="s">
        <v>6003</v>
      </c>
    </row>
    <row r="293" spans="1:21" ht="12.75" x14ac:dyDescent="0.2">
      <c r="A293" s="1">
        <v>44421.764394594909</v>
      </c>
      <c r="B293" s="2" t="s">
        <v>438</v>
      </c>
      <c r="C293" s="2" t="s">
        <v>1510</v>
      </c>
      <c r="D293" s="2" t="s">
        <v>333</v>
      </c>
      <c r="E293" s="3">
        <v>44420</v>
      </c>
      <c r="F293" s="4">
        <v>7600</v>
      </c>
      <c r="G293" s="2" t="s">
        <v>42</v>
      </c>
      <c r="H293" s="2" t="s">
        <v>43</v>
      </c>
      <c r="I293" s="2" t="s">
        <v>983</v>
      </c>
      <c r="K293" s="2" t="s">
        <v>1511</v>
      </c>
      <c r="L293" s="2" t="s">
        <v>1512</v>
      </c>
      <c r="M293" s="2" t="s">
        <v>1513</v>
      </c>
      <c r="N293" s="2" t="s">
        <v>337</v>
      </c>
      <c r="O293" s="2" t="s">
        <v>443</v>
      </c>
      <c r="P293" s="2" t="s">
        <v>987</v>
      </c>
      <c r="Q293" s="2" t="s">
        <v>50</v>
      </c>
      <c r="S293" s="7" t="s">
        <v>5064</v>
      </c>
      <c r="T293" s="7" t="s">
        <v>5713</v>
      </c>
      <c r="U293" s="2" t="s">
        <v>6004</v>
      </c>
    </row>
    <row r="294" spans="1:21" ht="12.75" x14ac:dyDescent="0.2">
      <c r="A294" s="1">
        <v>44421.76649454861</v>
      </c>
      <c r="B294" s="2" t="s">
        <v>438</v>
      </c>
      <c r="C294" s="2" t="s">
        <v>1514</v>
      </c>
      <c r="D294" s="2" t="s">
        <v>333</v>
      </c>
      <c r="E294" s="3">
        <v>44230</v>
      </c>
      <c r="F294" s="4">
        <v>3100</v>
      </c>
      <c r="G294" s="2" t="s">
        <v>42</v>
      </c>
      <c r="H294" s="2" t="s">
        <v>43</v>
      </c>
      <c r="I294" s="2" t="s">
        <v>983</v>
      </c>
      <c r="K294" s="2" t="s">
        <v>1515</v>
      </c>
      <c r="L294" s="2" t="s">
        <v>1516</v>
      </c>
      <c r="M294" s="2" t="s">
        <v>1517</v>
      </c>
      <c r="N294" s="2" t="s">
        <v>337</v>
      </c>
      <c r="O294" s="2" t="s">
        <v>443</v>
      </c>
      <c r="P294" s="2" t="s">
        <v>987</v>
      </c>
      <c r="Q294" s="2" t="s">
        <v>1041</v>
      </c>
      <c r="S294" s="7" t="s">
        <v>5065</v>
      </c>
      <c r="T294" s="7" t="s">
        <v>5713</v>
      </c>
      <c r="U294" s="2" t="s">
        <v>6005</v>
      </c>
    </row>
    <row r="295" spans="1:21" ht="12.75" x14ac:dyDescent="0.2">
      <c r="A295" s="1">
        <v>44435.565167210647</v>
      </c>
      <c r="B295" s="2" t="s">
        <v>1518</v>
      </c>
      <c r="C295" s="2" t="s">
        <v>1519</v>
      </c>
      <c r="D295" s="2" t="s">
        <v>333</v>
      </c>
      <c r="E295" s="3">
        <v>44434</v>
      </c>
      <c r="F295" s="4">
        <v>320</v>
      </c>
      <c r="G295" s="2" t="s">
        <v>42</v>
      </c>
      <c r="H295" s="2" t="s">
        <v>43</v>
      </c>
      <c r="I295" s="2" t="s">
        <v>983</v>
      </c>
      <c r="K295" s="2" t="s">
        <v>1520</v>
      </c>
      <c r="L295" s="2" t="s">
        <v>1521</v>
      </c>
      <c r="M295" s="2" t="s">
        <v>1522</v>
      </c>
      <c r="N295" s="2" t="s">
        <v>337</v>
      </c>
      <c r="O295" s="2" t="s">
        <v>1523</v>
      </c>
      <c r="P295" s="2" t="s">
        <v>987</v>
      </c>
      <c r="Q295" s="2" t="s">
        <v>50</v>
      </c>
      <c r="S295" s="7" t="s">
        <v>5066</v>
      </c>
      <c r="T295" s="7" t="s">
        <v>5713</v>
      </c>
      <c r="U295" s="2" t="s">
        <v>6006</v>
      </c>
    </row>
    <row r="296" spans="1:21" ht="12.75" x14ac:dyDescent="0.2">
      <c r="A296" s="1">
        <v>44446.479319444443</v>
      </c>
      <c r="B296" s="2" t="s">
        <v>1524</v>
      </c>
      <c r="C296" s="2" t="s">
        <v>1525</v>
      </c>
      <c r="D296" s="2" t="s">
        <v>333</v>
      </c>
      <c r="E296" s="3">
        <v>44424</v>
      </c>
      <c r="F296" s="4">
        <v>2675</v>
      </c>
      <c r="G296" s="2" t="s">
        <v>42</v>
      </c>
      <c r="H296" s="2" t="s">
        <v>43</v>
      </c>
      <c r="I296" s="2" t="s">
        <v>983</v>
      </c>
      <c r="K296" s="2" t="s">
        <v>1526</v>
      </c>
      <c r="L296" s="2" t="s">
        <v>1527</v>
      </c>
      <c r="M296" s="2" t="s">
        <v>1528</v>
      </c>
      <c r="N296" s="2" t="s">
        <v>337</v>
      </c>
      <c r="O296" s="2" t="s">
        <v>1529</v>
      </c>
      <c r="P296" s="2" t="s">
        <v>987</v>
      </c>
      <c r="Q296" s="2" t="s">
        <v>50</v>
      </c>
      <c r="S296" s="7" t="s">
        <v>5067</v>
      </c>
      <c r="T296" s="7" t="s">
        <v>5713</v>
      </c>
      <c r="U296" s="2" t="s">
        <v>6007</v>
      </c>
    </row>
    <row r="297" spans="1:21" ht="12.75" x14ac:dyDescent="0.2">
      <c r="A297" s="1">
        <v>44446.482498993057</v>
      </c>
      <c r="B297" s="2" t="s">
        <v>438</v>
      </c>
      <c r="C297" s="2" t="s">
        <v>1530</v>
      </c>
      <c r="D297" s="2" t="s">
        <v>333</v>
      </c>
      <c r="E297" s="3">
        <v>44427</v>
      </c>
      <c r="F297" s="4">
        <v>8805</v>
      </c>
      <c r="G297" s="2" t="s">
        <v>42</v>
      </c>
      <c r="H297" s="2" t="s">
        <v>43</v>
      </c>
      <c r="K297" s="2" t="s">
        <v>1531</v>
      </c>
      <c r="L297" s="2" t="s">
        <v>1532</v>
      </c>
      <c r="M297" s="2" t="s">
        <v>1533</v>
      </c>
      <c r="N297" s="2" t="s">
        <v>337</v>
      </c>
      <c r="O297" s="2" t="s">
        <v>443</v>
      </c>
      <c r="Q297" s="2" t="s">
        <v>1041</v>
      </c>
      <c r="S297" s="7" t="s">
        <v>5068</v>
      </c>
      <c r="T297" s="7" t="s">
        <v>5713</v>
      </c>
      <c r="U297" s="2" t="s">
        <v>6008</v>
      </c>
    </row>
    <row r="298" spans="1:21" ht="12.75" x14ac:dyDescent="0.2">
      <c r="A298" s="1">
        <v>44463.606748761573</v>
      </c>
      <c r="B298" s="2" t="s">
        <v>1534</v>
      </c>
      <c r="C298" s="2" t="s">
        <v>1535</v>
      </c>
      <c r="D298" s="2" t="s">
        <v>333</v>
      </c>
      <c r="E298" s="3">
        <v>44383</v>
      </c>
      <c r="F298" s="4">
        <v>4681</v>
      </c>
      <c r="G298" s="2" t="s">
        <v>42</v>
      </c>
      <c r="H298" s="2" t="s">
        <v>43</v>
      </c>
      <c r="K298" s="2" t="s">
        <v>1536</v>
      </c>
      <c r="L298" s="2" t="s">
        <v>1537</v>
      </c>
      <c r="M298" s="2" t="s">
        <v>1538</v>
      </c>
      <c r="N298" s="2" t="s">
        <v>337</v>
      </c>
      <c r="O298" s="2" t="s">
        <v>1539</v>
      </c>
      <c r="Q298" s="2" t="s">
        <v>50</v>
      </c>
      <c r="S298" s="7" t="s">
        <v>5069</v>
      </c>
      <c r="T298" s="7" t="s">
        <v>5713</v>
      </c>
      <c r="U298" s="2" t="s">
        <v>6009</v>
      </c>
    </row>
    <row r="299" spans="1:21" ht="12.75" x14ac:dyDescent="0.2">
      <c r="A299" s="1">
        <v>44467.578502812496</v>
      </c>
      <c r="B299" s="2" t="s">
        <v>1540</v>
      </c>
      <c r="C299" s="2" t="s">
        <v>1541</v>
      </c>
      <c r="D299" s="2" t="s">
        <v>333</v>
      </c>
      <c r="E299" s="3">
        <v>44467</v>
      </c>
      <c r="F299" s="4">
        <v>2975</v>
      </c>
      <c r="G299" s="2" t="s">
        <v>42</v>
      </c>
      <c r="H299" s="2" t="s">
        <v>43</v>
      </c>
      <c r="I299" s="2" t="s">
        <v>983</v>
      </c>
      <c r="K299" s="2" t="s">
        <v>1542</v>
      </c>
      <c r="L299" s="2" t="s">
        <v>1543</v>
      </c>
      <c r="M299" s="2" t="s">
        <v>1544</v>
      </c>
      <c r="N299" s="2" t="s">
        <v>337</v>
      </c>
      <c r="O299" s="2" t="s">
        <v>1545</v>
      </c>
      <c r="P299" s="2" t="s">
        <v>987</v>
      </c>
      <c r="Q299" s="2" t="s">
        <v>50</v>
      </c>
      <c r="S299" s="7" t="s">
        <v>5070</v>
      </c>
      <c r="T299" s="7" t="s">
        <v>5713</v>
      </c>
      <c r="U299" s="2" t="s">
        <v>6010</v>
      </c>
    </row>
    <row r="300" spans="1:21" ht="12.75" x14ac:dyDescent="0.2">
      <c r="A300" s="1">
        <v>44468.706410810184</v>
      </c>
      <c r="B300" s="2" t="s">
        <v>1452</v>
      </c>
      <c r="C300" s="2" t="s">
        <v>1546</v>
      </c>
      <c r="D300" s="2" t="s">
        <v>910</v>
      </c>
      <c r="E300" s="3">
        <v>44400</v>
      </c>
      <c r="F300" s="4">
        <v>2650</v>
      </c>
      <c r="G300" s="2" t="s">
        <v>42</v>
      </c>
      <c r="H300" s="2" t="s">
        <v>43</v>
      </c>
      <c r="I300" s="2" t="s">
        <v>990</v>
      </c>
      <c r="J300" s="2" t="s">
        <v>1547</v>
      </c>
      <c r="K300" s="2" t="s">
        <v>1548</v>
      </c>
      <c r="L300" s="2" t="s">
        <v>1549</v>
      </c>
      <c r="M300" s="2" t="s">
        <v>1550</v>
      </c>
      <c r="N300" s="2" t="s">
        <v>915</v>
      </c>
      <c r="O300" s="2" t="s">
        <v>1457</v>
      </c>
      <c r="P300" s="2" t="s">
        <v>995</v>
      </c>
      <c r="Q300" s="2" t="s">
        <v>50</v>
      </c>
      <c r="S300" s="7" t="s">
        <v>5071</v>
      </c>
      <c r="T300" s="7" t="s">
        <v>5713</v>
      </c>
      <c r="U300" s="2" t="s">
        <v>6011</v>
      </c>
    </row>
    <row r="301" spans="1:21" ht="12.75" x14ac:dyDescent="0.2">
      <c r="A301" s="1">
        <v>44475.723430798607</v>
      </c>
      <c r="B301" s="2" t="s">
        <v>302</v>
      </c>
      <c r="C301" s="2" t="s">
        <v>1551</v>
      </c>
      <c r="D301" s="2" t="s">
        <v>41</v>
      </c>
      <c r="E301" s="3">
        <v>44474</v>
      </c>
      <c r="F301" s="4">
        <v>1158300</v>
      </c>
      <c r="G301" s="2" t="s">
        <v>42</v>
      </c>
      <c r="H301" s="2" t="s">
        <v>43</v>
      </c>
      <c r="I301" s="2" t="s">
        <v>1221</v>
      </c>
      <c r="J301" s="2" t="s">
        <v>1552</v>
      </c>
      <c r="K301" s="2" t="s">
        <v>1553</v>
      </c>
      <c r="L301" s="2" t="s">
        <v>1554</v>
      </c>
      <c r="M301" s="2" t="s">
        <v>1555</v>
      </c>
      <c r="N301" s="2" t="s">
        <v>48</v>
      </c>
      <c r="O301" s="2" t="s">
        <v>307</v>
      </c>
      <c r="Q301" s="2" t="s">
        <v>50</v>
      </c>
      <c r="S301" s="7" t="s">
        <v>5072</v>
      </c>
      <c r="T301" s="7" t="s">
        <v>5713</v>
      </c>
      <c r="U301" s="2" t="s">
        <v>6012</v>
      </c>
    </row>
    <row r="302" spans="1:21" ht="12.75" x14ac:dyDescent="0.2">
      <c r="A302" s="1">
        <v>44496.591088842593</v>
      </c>
      <c r="B302" s="2" t="s">
        <v>1556</v>
      </c>
      <c r="C302" s="2" t="s">
        <v>1557</v>
      </c>
      <c r="D302" s="2" t="s">
        <v>333</v>
      </c>
      <c r="E302" s="3">
        <v>44428</v>
      </c>
      <c r="F302" s="4">
        <v>6890</v>
      </c>
      <c r="G302" s="2" t="s">
        <v>42</v>
      </c>
      <c r="H302" s="2" t="s">
        <v>43</v>
      </c>
      <c r="J302" s="2" t="s">
        <v>1558</v>
      </c>
      <c r="K302" s="2" t="s">
        <v>1559</v>
      </c>
      <c r="L302" s="2" t="s">
        <v>1560</v>
      </c>
      <c r="M302" s="2" t="s">
        <v>1561</v>
      </c>
      <c r="N302" s="2" t="s">
        <v>337</v>
      </c>
      <c r="O302" s="2" t="s">
        <v>1562</v>
      </c>
      <c r="Q302" s="2" t="s">
        <v>50</v>
      </c>
      <c r="S302" s="7" t="s">
        <v>5073</v>
      </c>
      <c r="T302" s="7" t="s">
        <v>5713</v>
      </c>
      <c r="U302" s="2" t="s">
        <v>6013</v>
      </c>
    </row>
    <row r="303" spans="1:21" ht="12.75" x14ac:dyDescent="0.2">
      <c r="A303" s="1">
        <v>44496.654135833334</v>
      </c>
      <c r="B303" s="2" t="s">
        <v>1563</v>
      </c>
      <c r="C303" s="2" t="s">
        <v>1564</v>
      </c>
      <c r="D303" s="2" t="s">
        <v>41</v>
      </c>
      <c r="E303" s="3">
        <v>44466</v>
      </c>
      <c r="F303" s="4">
        <v>29850</v>
      </c>
      <c r="G303" s="2" t="s">
        <v>42</v>
      </c>
      <c r="H303" s="2" t="s">
        <v>43</v>
      </c>
      <c r="J303" s="2" t="s">
        <v>1565</v>
      </c>
      <c r="K303" s="2" t="s">
        <v>1566</v>
      </c>
      <c r="L303" s="2" t="s">
        <v>1567</v>
      </c>
      <c r="M303" s="2" t="s">
        <v>1568</v>
      </c>
      <c r="N303" s="2" t="s">
        <v>48</v>
      </c>
      <c r="O303" s="2" t="s">
        <v>1569</v>
      </c>
      <c r="Q303" s="2" t="s">
        <v>50</v>
      </c>
      <c r="S303" s="7" t="s">
        <v>5074</v>
      </c>
      <c r="T303" s="7" t="s">
        <v>5713</v>
      </c>
      <c r="U303" s="2" t="s">
        <v>6014</v>
      </c>
    </row>
    <row r="304" spans="1:21" ht="12.75" x14ac:dyDescent="0.2">
      <c r="A304" s="1">
        <v>44496.703856874999</v>
      </c>
      <c r="B304" s="2" t="s">
        <v>1570</v>
      </c>
      <c r="C304" s="2" t="s">
        <v>1571</v>
      </c>
      <c r="D304" s="2" t="s">
        <v>333</v>
      </c>
      <c r="E304" s="3">
        <v>44470</v>
      </c>
      <c r="F304" s="4">
        <v>13930</v>
      </c>
      <c r="G304" s="2" t="s">
        <v>42</v>
      </c>
      <c r="H304" s="2" t="s">
        <v>43</v>
      </c>
      <c r="J304" s="2" t="s">
        <v>1572</v>
      </c>
      <c r="K304" s="2" t="s">
        <v>1573</v>
      </c>
      <c r="L304" s="2" t="s">
        <v>1574</v>
      </c>
      <c r="M304" s="2" t="s">
        <v>1575</v>
      </c>
      <c r="N304" s="2" t="s">
        <v>337</v>
      </c>
      <c r="O304" s="2" t="s">
        <v>1576</v>
      </c>
      <c r="Q304" s="2" t="s">
        <v>50</v>
      </c>
      <c r="S304" s="7" t="s">
        <v>5075</v>
      </c>
      <c r="T304" s="7" t="s">
        <v>5713</v>
      </c>
      <c r="U304" s="2" t="s">
        <v>6015</v>
      </c>
    </row>
    <row r="305" spans="1:21" ht="12.75" x14ac:dyDescent="0.2">
      <c r="A305" s="1">
        <v>44503.652833194443</v>
      </c>
      <c r="B305" s="2" t="s">
        <v>1577</v>
      </c>
      <c r="C305" s="2" t="s">
        <v>1578</v>
      </c>
      <c r="D305" s="2" t="s">
        <v>333</v>
      </c>
      <c r="E305" s="3">
        <v>44484</v>
      </c>
      <c r="F305" s="4">
        <v>3505</v>
      </c>
      <c r="G305" s="2" t="s">
        <v>42</v>
      </c>
      <c r="H305" s="2" t="s">
        <v>43</v>
      </c>
      <c r="I305" s="2" t="s">
        <v>983</v>
      </c>
      <c r="K305" s="2" t="s">
        <v>1579</v>
      </c>
      <c r="L305" s="2" t="s">
        <v>1580</v>
      </c>
      <c r="M305" s="2" t="s">
        <v>1581</v>
      </c>
      <c r="N305" s="2" t="s">
        <v>337</v>
      </c>
      <c r="O305" s="2" t="s">
        <v>1582</v>
      </c>
      <c r="P305" s="2" t="s">
        <v>987</v>
      </c>
      <c r="Q305" s="2" t="s">
        <v>1041</v>
      </c>
      <c r="S305" s="7" t="s">
        <v>5076</v>
      </c>
      <c r="T305" s="7" t="s">
        <v>5713</v>
      </c>
      <c r="U305" s="2" t="s">
        <v>6016</v>
      </c>
    </row>
    <row r="306" spans="1:21" ht="12.75" x14ac:dyDescent="0.2">
      <c r="A306" s="1">
        <v>44506.644104606487</v>
      </c>
      <c r="B306" s="2" t="s">
        <v>1583</v>
      </c>
      <c r="C306" s="2" t="s">
        <v>308</v>
      </c>
      <c r="D306" s="2" t="s">
        <v>223</v>
      </c>
      <c r="E306" s="3">
        <v>44476</v>
      </c>
      <c r="F306" s="4">
        <v>43200</v>
      </c>
      <c r="G306" s="2" t="s">
        <v>143</v>
      </c>
      <c r="H306" s="2" t="s">
        <v>43</v>
      </c>
      <c r="I306" s="2" t="s">
        <v>1009</v>
      </c>
      <c r="J306" s="2" t="s">
        <v>1584</v>
      </c>
      <c r="K306" s="2" t="s">
        <v>1585</v>
      </c>
      <c r="L306" s="2" t="s">
        <v>1586</v>
      </c>
      <c r="M306" s="2" t="s">
        <v>1587</v>
      </c>
      <c r="N306" s="2" t="s">
        <v>228</v>
      </c>
      <c r="O306" s="2" t="s">
        <v>1588</v>
      </c>
      <c r="P306" s="2" t="s">
        <v>1014</v>
      </c>
      <c r="Q306" s="2" t="s">
        <v>50</v>
      </c>
      <c r="S306" s="7" t="s">
        <v>5077</v>
      </c>
      <c r="T306" s="7" t="s">
        <v>5713</v>
      </c>
      <c r="U306" s="2" t="s">
        <v>6017</v>
      </c>
    </row>
    <row r="307" spans="1:21" ht="12.75" x14ac:dyDescent="0.2">
      <c r="A307" s="1">
        <v>44517.565841111107</v>
      </c>
      <c r="B307" s="2" t="s">
        <v>1589</v>
      </c>
      <c r="C307" s="2" t="s">
        <v>1590</v>
      </c>
      <c r="D307" s="2" t="s">
        <v>333</v>
      </c>
      <c r="E307" s="3">
        <v>44511</v>
      </c>
      <c r="F307" s="4">
        <v>1870</v>
      </c>
      <c r="G307" s="2" t="s">
        <v>143</v>
      </c>
      <c r="H307" s="2" t="s">
        <v>43</v>
      </c>
      <c r="I307" s="2" t="s">
        <v>983</v>
      </c>
      <c r="K307" s="2" t="s">
        <v>1591</v>
      </c>
      <c r="L307" s="2" t="s">
        <v>1592</v>
      </c>
      <c r="M307" s="2" t="s">
        <v>1593</v>
      </c>
      <c r="N307" s="2" t="s">
        <v>337</v>
      </c>
      <c r="O307" s="2" t="s">
        <v>1594</v>
      </c>
      <c r="P307" s="2" t="s">
        <v>987</v>
      </c>
      <c r="Q307" s="2" t="s">
        <v>50</v>
      </c>
      <c r="S307" s="7" t="s">
        <v>5078</v>
      </c>
      <c r="T307" s="7" t="s">
        <v>5713</v>
      </c>
      <c r="U307" s="2" t="s">
        <v>6018</v>
      </c>
    </row>
    <row r="308" spans="1:21" ht="12.75" x14ac:dyDescent="0.2">
      <c r="A308" s="1">
        <v>44526.645232604162</v>
      </c>
      <c r="B308" s="2" t="s">
        <v>1595</v>
      </c>
      <c r="C308" s="2" t="s">
        <v>1596</v>
      </c>
      <c r="D308" s="2" t="s">
        <v>223</v>
      </c>
      <c r="E308" s="3">
        <v>44317</v>
      </c>
      <c r="F308" s="4">
        <v>450</v>
      </c>
      <c r="G308" s="2" t="s">
        <v>143</v>
      </c>
      <c r="H308" s="2" t="s">
        <v>43</v>
      </c>
      <c r="I308" s="2" t="s">
        <v>1009</v>
      </c>
      <c r="J308" s="2" t="s">
        <v>1597</v>
      </c>
      <c r="K308" s="2" t="s">
        <v>1598</v>
      </c>
      <c r="L308" s="2" t="s">
        <v>1599</v>
      </c>
      <c r="M308" s="2" t="s">
        <v>1600</v>
      </c>
      <c r="N308" s="2" t="s">
        <v>228</v>
      </c>
      <c r="O308" s="2" t="s">
        <v>1601</v>
      </c>
      <c r="P308" s="2" t="s">
        <v>1014</v>
      </c>
      <c r="Q308" s="2" t="s">
        <v>50</v>
      </c>
      <c r="S308" s="7" t="s">
        <v>5079</v>
      </c>
      <c r="T308" s="7" t="s">
        <v>5713</v>
      </c>
      <c r="U308" s="2" t="s">
        <v>6019</v>
      </c>
    </row>
    <row r="309" spans="1:21" ht="12.75" x14ac:dyDescent="0.2">
      <c r="A309" s="1">
        <v>44529.515777997687</v>
      </c>
      <c r="B309" s="2" t="s">
        <v>858</v>
      </c>
      <c r="C309" s="2" t="s">
        <v>1602</v>
      </c>
      <c r="D309" s="2" t="s">
        <v>333</v>
      </c>
      <c r="E309" s="3">
        <v>44529</v>
      </c>
      <c r="F309" s="4">
        <v>22250</v>
      </c>
      <c r="G309" s="2" t="s">
        <v>326</v>
      </c>
      <c r="H309" s="2" t="s">
        <v>43</v>
      </c>
      <c r="I309" s="2" t="s">
        <v>990</v>
      </c>
      <c r="K309" s="2" t="s">
        <v>1603</v>
      </c>
      <c r="L309" s="2" t="s">
        <v>1604</v>
      </c>
      <c r="M309" s="2" t="s">
        <v>1605</v>
      </c>
      <c r="N309" s="2" t="s">
        <v>337</v>
      </c>
      <c r="O309" s="2" t="s">
        <v>863</v>
      </c>
      <c r="P309" s="2" t="s">
        <v>995</v>
      </c>
      <c r="Q309" s="2" t="s">
        <v>1041</v>
      </c>
      <c r="S309" s="7" t="s">
        <v>5080</v>
      </c>
      <c r="T309" s="7" t="s">
        <v>5713</v>
      </c>
      <c r="U309" s="2" t="s">
        <v>6020</v>
      </c>
    </row>
    <row r="310" spans="1:21" ht="12.75" x14ac:dyDescent="0.2">
      <c r="A310" s="1">
        <v>44536.595580555557</v>
      </c>
      <c r="B310" s="2" t="s">
        <v>1606</v>
      </c>
      <c r="C310" s="2" t="s">
        <v>1607</v>
      </c>
      <c r="D310" s="2" t="s">
        <v>333</v>
      </c>
      <c r="E310" s="3">
        <v>44536</v>
      </c>
      <c r="F310" s="4">
        <v>6600</v>
      </c>
      <c r="G310" s="2" t="s">
        <v>143</v>
      </c>
      <c r="H310" s="2" t="s">
        <v>43</v>
      </c>
      <c r="I310" s="2" t="s">
        <v>990</v>
      </c>
      <c r="J310" s="2" t="s">
        <v>1608</v>
      </c>
      <c r="K310" s="2" t="s">
        <v>1609</v>
      </c>
      <c r="L310" s="2" t="s">
        <v>1610</v>
      </c>
      <c r="M310" s="2" t="s">
        <v>1611</v>
      </c>
      <c r="N310" s="2" t="s">
        <v>337</v>
      </c>
      <c r="O310" s="2" t="s">
        <v>1612</v>
      </c>
      <c r="P310" s="2" t="s">
        <v>995</v>
      </c>
      <c r="Q310" s="2" t="s">
        <v>50</v>
      </c>
      <c r="S310" s="7" t="s">
        <v>5081</v>
      </c>
      <c r="T310" s="7" t="s">
        <v>5713</v>
      </c>
      <c r="U310" s="2" t="s">
        <v>6021</v>
      </c>
    </row>
    <row r="311" spans="1:21" ht="12.75" x14ac:dyDescent="0.2">
      <c r="A311" s="1">
        <v>44537.562901712961</v>
      </c>
      <c r="B311" s="2" t="s">
        <v>1088</v>
      </c>
      <c r="C311" s="2" t="s">
        <v>1613</v>
      </c>
      <c r="D311" s="2" t="s">
        <v>333</v>
      </c>
      <c r="E311" s="3">
        <v>44531</v>
      </c>
      <c r="F311" s="4">
        <v>9500</v>
      </c>
      <c r="G311" s="2" t="s">
        <v>42</v>
      </c>
      <c r="H311" s="2" t="s">
        <v>43</v>
      </c>
      <c r="I311" s="2" t="s">
        <v>990</v>
      </c>
      <c r="K311" s="2" t="s">
        <v>1614</v>
      </c>
      <c r="L311" s="2" t="s">
        <v>1615</v>
      </c>
      <c r="M311" s="2" t="s">
        <v>1616</v>
      </c>
      <c r="N311" s="2" t="s">
        <v>337</v>
      </c>
      <c r="O311" s="2" t="s">
        <v>1093</v>
      </c>
      <c r="P311" s="2" t="s">
        <v>995</v>
      </c>
      <c r="Q311" s="2" t="s">
        <v>50</v>
      </c>
      <c r="S311" s="7" t="s">
        <v>5082</v>
      </c>
      <c r="T311" s="7" t="s">
        <v>5713</v>
      </c>
      <c r="U311" s="2" t="s">
        <v>6022</v>
      </c>
    </row>
    <row r="312" spans="1:21" ht="12.75" x14ac:dyDescent="0.2">
      <c r="A312" s="1">
        <v>44558.618883287039</v>
      </c>
      <c r="B312" s="2" t="s">
        <v>1617</v>
      </c>
      <c r="C312" s="2" t="s">
        <v>1618</v>
      </c>
      <c r="D312" s="2" t="s">
        <v>41</v>
      </c>
      <c r="E312" s="3">
        <v>44554</v>
      </c>
      <c r="F312" s="4">
        <v>400000</v>
      </c>
      <c r="G312" s="2" t="s">
        <v>42</v>
      </c>
      <c r="H312" s="2" t="s">
        <v>43</v>
      </c>
      <c r="J312" s="2" t="s">
        <v>1619</v>
      </c>
      <c r="K312" s="2" t="s">
        <v>1620</v>
      </c>
      <c r="L312" s="2" t="s">
        <v>1621</v>
      </c>
      <c r="M312" s="2" t="s">
        <v>1622</v>
      </c>
      <c r="N312" s="2" t="s">
        <v>48</v>
      </c>
      <c r="O312" s="2" t="s">
        <v>1623</v>
      </c>
      <c r="Q312" s="2" t="s">
        <v>50</v>
      </c>
      <c r="S312" s="7" t="s">
        <v>5083</v>
      </c>
      <c r="T312" s="7" t="s">
        <v>5713</v>
      </c>
      <c r="U312" s="2" t="s">
        <v>6023</v>
      </c>
    </row>
    <row r="313" spans="1:21" ht="12.75" x14ac:dyDescent="0.2">
      <c r="A313" s="1">
        <v>44572.604781377318</v>
      </c>
      <c r="B313" s="2" t="s">
        <v>1624</v>
      </c>
      <c r="C313" s="2" t="s">
        <v>1625</v>
      </c>
      <c r="D313" s="2" t="s">
        <v>910</v>
      </c>
      <c r="E313" s="3">
        <v>44571</v>
      </c>
      <c r="F313" s="4">
        <v>3000</v>
      </c>
      <c r="G313" s="2" t="s">
        <v>143</v>
      </c>
      <c r="H313" s="2" t="s">
        <v>43</v>
      </c>
      <c r="I313" s="2" t="s">
        <v>990</v>
      </c>
      <c r="K313" s="2" t="s">
        <v>1626</v>
      </c>
      <c r="L313" s="2" t="s">
        <v>1627</v>
      </c>
      <c r="M313" s="2" t="s">
        <v>1628</v>
      </c>
      <c r="N313" s="2" t="s">
        <v>915</v>
      </c>
      <c r="O313" s="2" t="s">
        <v>1629</v>
      </c>
      <c r="P313" s="2" t="s">
        <v>995</v>
      </c>
      <c r="Q313" s="2" t="s">
        <v>50</v>
      </c>
      <c r="S313" s="7" t="s">
        <v>5084</v>
      </c>
      <c r="T313" s="7" t="s">
        <v>5713</v>
      </c>
      <c r="U313" s="2" t="s">
        <v>6024</v>
      </c>
    </row>
    <row r="314" spans="1:21" ht="12.75" x14ac:dyDescent="0.2">
      <c r="A314" s="1">
        <v>44575.584016875</v>
      </c>
      <c r="B314" s="2" t="s">
        <v>357</v>
      </c>
      <c r="C314" s="2" t="s">
        <v>1630</v>
      </c>
      <c r="D314" s="2" t="s">
        <v>41</v>
      </c>
      <c r="E314" s="3">
        <v>44293</v>
      </c>
      <c r="F314" s="4">
        <v>429922</v>
      </c>
      <c r="G314" s="2" t="s">
        <v>42</v>
      </c>
      <c r="H314" s="2" t="s">
        <v>43</v>
      </c>
      <c r="K314" s="2" t="s">
        <v>1631</v>
      </c>
      <c r="L314" s="2" t="s">
        <v>1632</v>
      </c>
      <c r="M314" s="2" t="s">
        <v>1633</v>
      </c>
      <c r="N314" s="2" t="s">
        <v>48</v>
      </c>
      <c r="O314" s="2" t="s">
        <v>362</v>
      </c>
      <c r="Q314" s="2" t="s">
        <v>50</v>
      </c>
      <c r="S314" s="7" t="s">
        <v>5085</v>
      </c>
      <c r="T314" s="7" t="s">
        <v>5713</v>
      </c>
      <c r="U314" s="2" t="s">
        <v>6025</v>
      </c>
    </row>
    <row r="315" spans="1:21" ht="12.75" x14ac:dyDescent="0.2">
      <c r="A315" s="1">
        <v>44587.534105069441</v>
      </c>
      <c r="B315" s="2" t="s">
        <v>1634</v>
      </c>
      <c r="C315" s="2" t="s">
        <v>1635</v>
      </c>
      <c r="D315" s="2" t="s">
        <v>333</v>
      </c>
      <c r="E315" s="3">
        <v>44585</v>
      </c>
      <c r="F315" s="4">
        <v>9000</v>
      </c>
      <c r="G315" s="2" t="s">
        <v>143</v>
      </c>
      <c r="H315" s="2" t="s">
        <v>43</v>
      </c>
      <c r="K315" s="2" t="s">
        <v>1636</v>
      </c>
      <c r="L315" s="2" t="s">
        <v>1637</v>
      </c>
      <c r="M315" s="2" t="s">
        <v>1638</v>
      </c>
      <c r="N315" s="2" t="s">
        <v>337</v>
      </c>
      <c r="O315" s="2" t="s">
        <v>1639</v>
      </c>
      <c r="Q315" s="2" t="s">
        <v>50</v>
      </c>
      <c r="S315" s="7" t="s">
        <v>5086</v>
      </c>
      <c r="T315" s="7" t="s">
        <v>5713</v>
      </c>
      <c r="U315" s="2" t="s">
        <v>6026</v>
      </c>
    </row>
    <row r="316" spans="1:21" ht="12.75" x14ac:dyDescent="0.2">
      <c r="A316" s="1">
        <v>44588.512184699073</v>
      </c>
      <c r="B316" s="2" t="s">
        <v>1305</v>
      </c>
      <c r="C316" s="2" t="s">
        <v>1640</v>
      </c>
      <c r="D316" s="2" t="s">
        <v>333</v>
      </c>
      <c r="E316" s="3">
        <v>44357</v>
      </c>
      <c r="F316" s="4">
        <v>5352</v>
      </c>
      <c r="G316" s="2" t="s">
        <v>42</v>
      </c>
      <c r="H316" s="2" t="s">
        <v>43</v>
      </c>
      <c r="I316" s="2" t="s">
        <v>1003</v>
      </c>
      <c r="J316" s="2" t="s">
        <v>1307</v>
      </c>
      <c r="K316" s="2" t="s">
        <v>1641</v>
      </c>
      <c r="L316" s="2" t="s">
        <v>1642</v>
      </c>
      <c r="M316" s="2" t="s">
        <v>1643</v>
      </c>
      <c r="N316" s="2" t="s">
        <v>337</v>
      </c>
      <c r="O316" s="2" t="s">
        <v>1311</v>
      </c>
      <c r="P316" s="2" t="s">
        <v>1006</v>
      </c>
      <c r="Q316" s="2" t="s">
        <v>50</v>
      </c>
      <c r="S316" s="7" t="s">
        <v>5087</v>
      </c>
      <c r="T316" s="7" t="s">
        <v>5713</v>
      </c>
      <c r="U316" s="2" t="s">
        <v>6027</v>
      </c>
    </row>
    <row r="317" spans="1:21" ht="12.75" x14ac:dyDescent="0.2">
      <c r="A317" s="1">
        <v>44589.700603391204</v>
      </c>
      <c r="B317" s="2" t="s">
        <v>1644</v>
      </c>
      <c r="C317" s="2" t="s">
        <v>1645</v>
      </c>
      <c r="D317" s="2" t="s">
        <v>223</v>
      </c>
      <c r="E317" s="3">
        <v>44562</v>
      </c>
      <c r="F317" s="4">
        <v>200</v>
      </c>
      <c r="G317" s="2" t="s">
        <v>42</v>
      </c>
      <c r="H317" s="2" t="s">
        <v>43</v>
      </c>
      <c r="J317" s="2" t="s">
        <v>1646</v>
      </c>
      <c r="K317" s="2" t="s">
        <v>1647</v>
      </c>
      <c r="L317" s="2" t="s">
        <v>1648</v>
      </c>
      <c r="M317" s="2" t="s">
        <v>1649</v>
      </c>
      <c r="N317" s="2" t="s">
        <v>228</v>
      </c>
      <c r="O317" s="2" t="s">
        <v>1650</v>
      </c>
      <c r="Q317" s="2" t="s">
        <v>50</v>
      </c>
      <c r="S317" s="7" t="s">
        <v>5088</v>
      </c>
      <c r="T317" s="7" t="s">
        <v>5713</v>
      </c>
      <c r="U317" s="2" t="s">
        <v>6028</v>
      </c>
    </row>
    <row r="318" spans="1:21" ht="12.75" x14ac:dyDescent="0.2">
      <c r="A318" s="1">
        <v>44615.733154074071</v>
      </c>
      <c r="B318" s="2" t="s">
        <v>1651</v>
      </c>
      <c r="C318" s="2" t="s">
        <v>1652</v>
      </c>
      <c r="D318" s="2" t="s">
        <v>333</v>
      </c>
      <c r="E318" s="3">
        <v>44614</v>
      </c>
      <c r="F318" s="4">
        <v>60000</v>
      </c>
      <c r="G318" s="2" t="s">
        <v>42</v>
      </c>
      <c r="H318" s="2" t="s">
        <v>43</v>
      </c>
      <c r="I318" s="2" t="s">
        <v>990</v>
      </c>
      <c r="J318" s="2" t="s">
        <v>1653</v>
      </c>
      <c r="K318" s="2" t="s">
        <v>1654</v>
      </c>
      <c r="L318" s="2" t="s">
        <v>1655</v>
      </c>
      <c r="M318" s="2" t="s">
        <v>1656</v>
      </c>
      <c r="N318" s="2" t="s">
        <v>337</v>
      </c>
      <c r="O318" s="2" t="s">
        <v>1657</v>
      </c>
      <c r="P318" s="2" t="s">
        <v>995</v>
      </c>
      <c r="Q318" s="2" t="s">
        <v>50</v>
      </c>
      <c r="S318" s="7" t="s">
        <v>5089</v>
      </c>
      <c r="T318" s="7" t="s">
        <v>5713</v>
      </c>
      <c r="U318" s="2" t="s">
        <v>6029</v>
      </c>
    </row>
    <row r="319" spans="1:21" ht="12.75" x14ac:dyDescent="0.2">
      <c r="A319" s="1">
        <v>44627.635741851853</v>
      </c>
      <c r="B319" s="2" t="s">
        <v>1658</v>
      </c>
      <c r="C319" s="2" t="s">
        <v>1659</v>
      </c>
      <c r="D319" s="2" t="s">
        <v>333</v>
      </c>
      <c r="E319" s="3">
        <v>44595</v>
      </c>
      <c r="F319" s="4">
        <v>9140</v>
      </c>
      <c r="G319" s="2" t="s">
        <v>42</v>
      </c>
      <c r="H319" s="2" t="s">
        <v>43</v>
      </c>
      <c r="I319" s="2" t="s">
        <v>990</v>
      </c>
      <c r="K319" s="2" t="s">
        <v>1660</v>
      </c>
      <c r="L319" s="2" t="s">
        <v>1661</v>
      </c>
      <c r="M319" s="2" t="s">
        <v>1662</v>
      </c>
      <c r="N319" s="2" t="s">
        <v>337</v>
      </c>
      <c r="O319" s="2" t="s">
        <v>1663</v>
      </c>
      <c r="P319" s="2" t="s">
        <v>995</v>
      </c>
      <c r="Q319" s="2" t="s">
        <v>50</v>
      </c>
      <c r="S319" s="7" t="s">
        <v>5090</v>
      </c>
      <c r="T319" s="7" t="s">
        <v>5713</v>
      </c>
      <c r="U319" s="2" t="s">
        <v>6030</v>
      </c>
    </row>
    <row r="320" spans="1:21" ht="12.75" x14ac:dyDescent="0.2">
      <c r="A320" s="1">
        <v>44634.621416493057</v>
      </c>
      <c r="B320" s="2" t="s">
        <v>1007</v>
      </c>
      <c r="C320" s="2" t="s">
        <v>1664</v>
      </c>
      <c r="D320" s="2" t="s">
        <v>672</v>
      </c>
      <c r="E320" s="3">
        <v>44523</v>
      </c>
      <c r="F320" s="4">
        <v>660</v>
      </c>
      <c r="G320" s="2" t="s">
        <v>42</v>
      </c>
      <c r="H320" s="2" t="s">
        <v>1665</v>
      </c>
      <c r="K320" s="2" t="s">
        <v>1666</v>
      </c>
      <c r="L320" s="2" t="s">
        <v>1667</v>
      </c>
      <c r="M320" s="2" t="s">
        <v>1668</v>
      </c>
      <c r="N320" s="2" t="s">
        <v>676</v>
      </c>
      <c r="O320" s="2" t="s">
        <v>1013</v>
      </c>
      <c r="Q320" s="2" t="s">
        <v>50</v>
      </c>
      <c r="S320" s="7" t="s">
        <v>5091</v>
      </c>
      <c r="T320" s="7" t="s">
        <v>5713</v>
      </c>
      <c r="U320" s="2" t="s">
        <v>6031</v>
      </c>
    </row>
    <row r="321" spans="1:21" ht="12.75" x14ac:dyDescent="0.2">
      <c r="A321" s="1">
        <v>44637.607691886573</v>
      </c>
      <c r="B321" s="2" t="s">
        <v>234</v>
      </c>
      <c r="C321" s="2" t="s">
        <v>1669</v>
      </c>
      <c r="D321" s="2" t="s">
        <v>41</v>
      </c>
      <c r="E321" s="3">
        <v>44546</v>
      </c>
      <c r="F321" s="4">
        <v>1161507</v>
      </c>
      <c r="G321" s="2" t="s">
        <v>42</v>
      </c>
      <c r="H321" s="2" t="s">
        <v>43</v>
      </c>
      <c r="J321" s="2" t="s">
        <v>1670</v>
      </c>
      <c r="K321" s="2" t="s">
        <v>1671</v>
      </c>
      <c r="L321" s="2" t="s">
        <v>1672</v>
      </c>
      <c r="M321" s="2" t="s">
        <v>1673</v>
      </c>
      <c r="N321" s="2" t="s">
        <v>48</v>
      </c>
      <c r="O321" s="2" t="s">
        <v>240</v>
      </c>
      <c r="Q321" s="2" t="s">
        <v>50</v>
      </c>
      <c r="S321" s="7" t="s">
        <v>5092</v>
      </c>
      <c r="T321" s="7" t="s">
        <v>5713</v>
      </c>
      <c r="U321" s="2" t="s">
        <v>6032</v>
      </c>
    </row>
    <row r="322" spans="1:21" ht="12.75" x14ac:dyDescent="0.2">
      <c r="A322" s="1">
        <v>44637.661186365745</v>
      </c>
      <c r="B322" s="2" t="s">
        <v>234</v>
      </c>
      <c r="C322" s="2" t="s">
        <v>1674</v>
      </c>
      <c r="D322" s="2" t="s">
        <v>41</v>
      </c>
      <c r="E322" s="3">
        <v>44424</v>
      </c>
      <c r="F322" s="4">
        <v>1161507.82</v>
      </c>
      <c r="G322" s="2" t="s">
        <v>42</v>
      </c>
      <c r="H322" s="2" t="s">
        <v>43</v>
      </c>
      <c r="J322" s="2" t="s">
        <v>1675</v>
      </c>
      <c r="K322" s="2" t="s">
        <v>1676</v>
      </c>
      <c r="L322" s="2" t="s">
        <v>1677</v>
      </c>
      <c r="M322" s="2" t="s">
        <v>1678</v>
      </c>
      <c r="N322" s="2" t="s">
        <v>48</v>
      </c>
      <c r="O322" s="2" t="s">
        <v>240</v>
      </c>
      <c r="Q322" s="2" t="s">
        <v>50</v>
      </c>
      <c r="S322" s="7" t="s">
        <v>5093</v>
      </c>
      <c r="T322" s="7" t="s">
        <v>5713</v>
      </c>
      <c r="U322" s="2" t="s">
        <v>6033</v>
      </c>
    </row>
    <row r="323" spans="1:21" ht="12.75" x14ac:dyDescent="0.2">
      <c r="A323" s="1">
        <v>44642.637129872688</v>
      </c>
      <c r="B323" s="2" t="s">
        <v>357</v>
      </c>
      <c r="C323" s="2" t="s">
        <v>1679</v>
      </c>
      <c r="D323" s="2" t="s">
        <v>41</v>
      </c>
      <c r="E323" s="3">
        <v>44581</v>
      </c>
      <c r="F323" s="4">
        <v>24000</v>
      </c>
      <c r="G323" s="2" t="s">
        <v>42</v>
      </c>
      <c r="H323" s="2" t="s">
        <v>43</v>
      </c>
      <c r="K323" s="2" t="s">
        <v>1680</v>
      </c>
      <c r="L323" s="2" t="s">
        <v>1681</v>
      </c>
      <c r="M323" s="2" t="s">
        <v>1682</v>
      </c>
      <c r="N323" s="2" t="s">
        <v>48</v>
      </c>
      <c r="O323" s="2" t="s">
        <v>362</v>
      </c>
      <c r="Q323" s="2" t="s">
        <v>50</v>
      </c>
      <c r="S323" s="7" t="s">
        <v>5094</v>
      </c>
      <c r="T323" s="7" t="s">
        <v>5713</v>
      </c>
      <c r="U323" s="2" t="s">
        <v>6034</v>
      </c>
    </row>
    <row r="324" spans="1:21" ht="12.75" x14ac:dyDescent="0.2">
      <c r="A324" s="1">
        <v>44644.715204293985</v>
      </c>
      <c r="B324" s="2" t="s">
        <v>1683</v>
      </c>
      <c r="C324" s="2" t="s">
        <v>1684</v>
      </c>
      <c r="D324" s="2" t="s">
        <v>333</v>
      </c>
      <c r="E324" s="3">
        <v>44644</v>
      </c>
      <c r="F324" s="4">
        <v>1250</v>
      </c>
      <c r="G324" s="2" t="s">
        <v>42</v>
      </c>
      <c r="H324" s="2" t="s">
        <v>43</v>
      </c>
      <c r="I324" s="2" t="s">
        <v>983</v>
      </c>
      <c r="K324" s="2" t="s">
        <v>1685</v>
      </c>
      <c r="L324" s="2" t="s">
        <v>1686</v>
      </c>
      <c r="M324" s="2" t="s">
        <v>1687</v>
      </c>
      <c r="N324" s="2" t="s">
        <v>337</v>
      </c>
      <c r="O324" s="2" t="s">
        <v>1688</v>
      </c>
      <c r="P324" s="2" t="s">
        <v>987</v>
      </c>
      <c r="Q324" s="2" t="s">
        <v>50</v>
      </c>
      <c r="S324" s="7" t="s">
        <v>5095</v>
      </c>
      <c r="T324" s="7" t="s">
        <v>5713</v>
      </c>
      <c r="U324" s="2" t="s">
        <v>6035</v>
      </c>
    </row>
    <row r="325" spans="1:21" ht="12.75" x14ac:dyDescent="0.2">
      <c r="A325" s="1">
        <v>44645.711357418986</v>
      </c>
      <c r="B325" s="2" t="s">
        <v>1689</v>
      </c>
      <c r="C325" s="2" t="s">
        <v>1690</v>
      </c>
      <c r="D325" s="2" t="s">
        <v>333</v>
      </c>
      <c r="E325" s="3">
        <v>44480</v>
      </c>
      <c r="F325" s="4">
        <v>870</v>
      </c>
      <c r="G325" s="2" t="s">
        <v>42</v>
      </c>
      <c r="H325" s="2" t="s">
        <v>43</v>
      </c>
      <c r="K325" s="2" t="s">
        <v>1691</v>
      </c>
      <c r="L325" s="2" t="s">
        <v>1692</v>
      </c>
      <c r="M325" s="2" t="s">
        <v>1693</v>
      </c>
      <c r="N325" s="2" t="s">
        <v>337</v>
      </c>
      <c r="O325" s="2" t="s">
        <v>1694</v>
      </c>
      <c r="Q325" s="2" t="s">
        <v>50</v>
      </c>
      <c r="S325" s="7" t="s">
        <v>5096</v>
      </c>
      <c r="T325" s="7" t="s">
        <v>5713</v>
      </c>
      <c r="U325" s="2" t="s">
        <v>6036</v>
      </c>
    </row>
    <row r="326" spans="1:21" ht="12.75" x14ac:dyDescent="0.2">
      <c r="A326" s="1">
        <v>44648.509517442129</v>
      </c>
      <c r="B326" s="2" t="s">
        <v>1695</v>
      </c>
      <c r="C326" s="2" t="s">
        <v>1696</v>
      </c>
      <c r="D326" s="2" t="s">
        <v>333</v>
      </c>
      <c r="E326" s="3">
        <v>44645</v>
      </c>
      <c r="F326" s="4">
        <v>1420</v>
      </c>
      <c r="G326" s="2" t="s">
        <v>143</v>
      </c>
      <c r="H326" s="2" t="s">
        <v>43</v>
      </c>
      <c r="I326" s="2" t="s">
        <v>983</v>
      </c>
      <c r="K326" s="2" t="s">
        <v>1697</v>
      </c>
      <c r="L326" s="2" t="s">
        <v>1698</v>
      </c>
      <c r="M326" s="2" t="s">
        <v>1699</v>
      </c>
      <c r="N326" s="2" t="s">
        <v>337</v>
      </c>
      <c r="O326" s="2" t="s">
        <v>1700</v>
      </c>
      <c r="P326" s="2" t="s">
        <v>987</v>
      </c>
      <c r="Q326" s="2" t="s">
        <v>50</v>
      </c>
      <c r="S326" s="7" t="s">
        <v>5097</v>
      </c>
      <c r="T326" s="7" t="s">
        <v>5713</v>
      </c>
      <c r="U326" s="2" t="s">
        <v>6037</v>
      </c>
    </row>
    <row r="327" spans="1:21" ht="12.75" x14ac:dyDescent="0.2">
      <c r="A327" s="1">
        <v>44648.535637002315</v>
      </c>
      <c r="B327" s="2" t="s">
        <v>1701</v>
      </c>
      <c r="C327" s="2" t="s">
        <v>1702</v>
      </c>
      <c r="D327" s="2" t="s">
        <v>41</v>
      </c>
      <c r="E327" s="3">
        <v>44582</v>
      </c>
      <c r="F327" s="4">
        <v>2281058</v>
      </c>
      <c r="G327" s="2" t="s">
        <v>42</v>
      </c>
      <c r="H327" s="2" t="s">
        <v>43</v>
      </c>
      <c r="J327" s="2" t="s">
        <v>1703</v>
      </c>
      <c r="K327" s="2" t="s">
        <v>1704</v>
      </c>
      <c r="L327" s="2" t="s">
        <v>1705</v>
      </c>
      <c r="M327" s="2" t="s">
        <v>1706</v>
      </c>
      <c r="N327" s="2" t="s">
        <v>48</v>
      </c>
      <c r="O327" s="2" t="s">
        <v>1707</v>
      </c>
      <c r="Q327" s="2" t="s">
        <v>50</v>
      </c>
      <c r="S327" s="7" t="s">
        <v>5098</v>
      </c>
      <c r="T327" s="7" t="s">
        <v>5713</v>
      </c>
      <c r="U327" s="2" t="s">
        <v>6038</v>
      </c>
    </row>
    <row r="328" spans="1:21" ht="12.75" x14ac:dyDescent="0.2">
      <c r="A328" s="1">
        <v>44657.693486180557</v>
      </c>
      <c r="B328" s="2" t="s">
        <v>345</v>
      </c>
      <c r="C328" s="2" t="s">
        <v>1708</v>
      </c>
      <c r="D328" s="2" t="s">
        <v>672</v>
      </c>
      <c r="E328" s="3">
        <v>44643</v>
      </c>
      <c r="F328" s="4">
        <v>501</v>
      </c>
      <c r="G328" s="2" t="s">
        <v>42</v>
      </c>
      <c r="H328" s="2" t="s">
        <v>43</v>
      </c>
      <c r="I328" s="2" t="s">
        <v>965</v>
      </c>
      <c r="K328" s="2" t="s">
        <v>1709</v>
      </c>
      <c r="L328" s="2" t="s">
        <v>1710</v>
      </c>
      <c r="M328" s="2" t="s">
        <v>1711</v>
      </c>
      <c r="N328" s="2" t="s">
        <v>676</v>
      </c>
      <c r="O328" s="2" t="s">
        <v>350</v>
      </c>
      <c r="P328" s="2" t="s">
        <v>971</v>
      </c>
      <c r="Q328" s="2" t="s">
        <v>50</v>
      </c>
      <c r="S328" s="7" t="s">
        <v>5099</v>
      </c>
      <c r="T328" s="7" t="s">
        <v>5713</v>
      </c>
      <c r="U328" s="2" t="s">
        <v>6039</v>
      </c>
    </row>
    <row r="329" spans="1:21" ht="12.75" x14ac:dyDescent="0.2">
      <c r="A329" s="1">
        <v>44663.617765300922</v>
      </c>
      <c r="B329" s="2" t="s">
        <v>1712</v>
      </c>
      <c r="C329" s="2" t="s">
        <v>1713</v>
      </c>
      <c r="D329" s="2" t="s">
        <v>333</v>
      </c>
      <c r="E329" s="3">
        <v>44644</v>
      </c>
      <c r="F329" s="4">
        <v>4750</v>
      </c>
      <c r="G329" s="2" t="s">
        <v>143</v>
      </c>
      <c r="H329" s="2" t="s">
        <v>43</v>
      </c>
      <c r="I329" s="2" t="s">
        <v>983</v>
      </c>
      <c r="K329" s="2" t="s">
        <v>1714</v>
      </c>
      <c r="L329" s="2" t="s">
        <v>1715</v>
      </c>
      <c r="M329" s="2" t="s">
        <v>1716</v>
      </c>
      <c r="N329" s="2" t="s">
        <v>337</v>
      </c>
      <c r="O329" s="2" t="s">
        <v>1717</v>
      </c>
      <c r="P329" s="2" t="s">
        <v>987</v>
      </c>
      <c r="Q329" s="2" t="s">
        <v>50</v>
      </c>
      <c r="S329" s="7" t="s">
        <v>5100</v>
      </c>
      <c r="T329" s="7" t="s">
        <v>5713</v>
      </c>
      <c r="U329" s="2" t="s">
        <v>6040</v>
      </c>
    </row>
    <row r="330" spans="1:21" ht="12.75" x14ac:dyDescent="0.2">
      <c r="A330" s="1">
        <v>44664.791233877317</v>
      </c>
      <c r="B330" s="2" t="s">
        <v>1540</v>
      </c>
      <c r="C330" s="2" t="s">
        <v>1718</v>
      </c>
      <c r="D330" s="2" t="s">
        <v>333</v>
      </c>
      <c r="E330" s="3">
        <v>44547</v>
      </c>
      <c r="F330" s="4">
        <v>1895</v>
      </c>
      <c r="G330" s="2" t="s">
        <v>42</v>
      </c>
      <c r="H330" s="2" t="s">
        <v>43</v>
      </c>
      <c r="K330" s="2" t="s">
        <v>1719</v>
      </c>
      <c r="L330" s="2" t="s">
        <v>1720</v>
      </c>
      <c r="M330" s="2" t="s">
        <v>1721</v>
      </c>
      <c r="N330" s="2" t="s">
        <v>337</v>
      </c>
      <c r="O330" s="2" t="s">
        <v>1545</v>
      </c>
      <c r="Q330" s="2" t="s">
        <v>50</v>
      </c>
      <c r="S330" s="7" t="s">
        <v>5101</v>
      </c>
      <c r="T330" s="7" t="s">
        <v>5713</v>
      </c>
      <c r="U330" s="2" t="s">
        <v>6041</v>
      </c>
    </row>
    <row r="331" spans="1:21" ht="12.75" x14ac:dyDescent="0.2">
      <c r="A331" s="1">
        <v>44665.663262187503</v>
      </c>
      <c r="B331" s="2" t="s">
        <v>1722</v>
      </c>
      <c r="C331" s="2" t="s">
        <v>1723</v>
      </c>
      <c r="D331" s="2" t="s">
        <v>333</v>
      </c>
      <c r="E331" s="3">
        <v>44665</v>
      </c>
      <c r="F331" s="4">
        <v>7600</v>
      </c>
      <c r="G331" s="2" t="s">
        <v>143</v>
      </c>
      <c r="H331" s="2" t="s">
        <v>43</v>
      </c>
      <c r="I331" s="2" t="s">
        <v>1003</v>
      </c>
      <c r="K331" s="2" t="s">
        <v>1724</v>
      </c>
      <c r="L331" s="2" t="s">
        <v>1725</v>
      </c>
      <c r="M331" s="2" t="s">
        <v>1726</v>
      </c>
      <c r="N331" s="2" t="s">
        <v>337</v>
      </c>
      <c r="O331" s="2" t="s">
        <v>1727</v>
      </c>
      <c r="P331" s="2" t="s">
        <v>1006</v>
      </c>
      <c r="Q331" s="2" t="s">
        <v>50</v>
      </c>
      <c r="S331" s="7" t="s">
        <v>5102</v>
      </c>
      <c r="T331" s="7" t="s">
        <v>5713</v>
      </c>
      <c r="U331" s="2" t="s">
        <v>6042</v>
      </c>
    </row>
    <row r="332" spans="1:21" ht="12.75" x14ac:dyDescent="0.2">
      <c r="A332" s="1">
        <v>44678.630718472225</v>
      </c>
      <c r="B332" s="2" t="s">
        <v>1728</v>
      </c>
      <c r="C332" s="2" t="s">
        <v>1729</v>
      </c>
      <c r="D332" s="2" t="s">
        <v>333</v>
      </c>
      <c r="E332" s="3">
        <v>44669</v>
      </c>
      <c r="F332" s="4">
        <v>6250</v>
      </c>
      <c r="G332" s="2" t="s">
        <v>143</v>
      </c>
      <c r="H332" s="2" t="s">
        <v>43</v>
      </c>
      <c r="K332" s="2" t="s">
        <v>1730</v>
      </c>
      <c r="L332" s="2" t="s">
        <v>1731</v>
      </c>
      <c r="M332" s="2" t="s">
        <v>1732</v>
      </c>
      <c r="N332" s="2" t="s">
        <v>337</v>
      </c>
      <c r="O332" s="2" t="s">
        <v>1733</v>
      </c>
      <c r="Q332" s="2" t="s">
        <v>50</v>
      </c>
      <c r="S332" s="7" t="s">
        <v>5103</v>
      </c>
      <c r="T332" s="7" t="s">
        <v>5713</v>
      </c>
      <c r="U332" s="2" t="s">
        <v>6043</v>
      </c>
    </row>
    <row r="333" spans="1:21" ht="12.75" x14ac:dyDescent="0.2">
      <c r="A333" s="1">
        <v>44683.647764988425</v>
      </c>
      <c r="B333" s="2" t="s">
        <v>929</v>
      </c>
      <c r="C333" s="2" t="s">
        <v>1734</v>
      </c>
      <c r="D333" s="2" t="s">
        <v>333</v>
      </c>
      <c r="E333" s="3">
        <v>44683</v>
      </c>
      <c r="F333" s="4">
        <v>1280</v>
      </c>
      <c r="G333" s="2" t="s">
        <v>42</v>
      </c>
      <c r="H333" s="2" t="s">
        <v>43</v>
      </c>
      <c r="K333" s="2" t="s">
        <v>1735</v>
      </c>
      <c r="L333" s="2" t="s">
        <v>1736</v>
      </c>
      <c r="M333" s="2" t="s">
        <v>1737</v>
      </c>
      <c r="N333" s="2" t="s">
        <v>337</v>
      </c>
      <c r="O333" s="2" t="s">
        <v>933</v>
      </c>
      <c r="Q333" s="2" t="s">
        <v>50</v>
      </c>
      <c r="S333" s="7" t="s">
        <v>5104</v>
      </c>
      <c r="T333" s="7" t="s">
        <v>5713</v>
      </c>
      <c r="U333" s="2" t="s">
        <v>6044</v>
      </c>
    </row>
    <row r="334" spans="1:21" ht="12.75" x14ac:dyDescent="0.2">
      <c r="A334" s="1">
        <v>44685.500825995376</v>
      </c>
      <c r="B334" s="2" t="s">
        <v>331</v>
      </c>
      <c r="C334" s="2" t="s">
        <v>1738</v>
      </c>
      <c r="D334" s="2" t="s">
        <v>223</v>
      </c>
      <c r="E334" s="3">
        <v>43586</v>
      </c>
      <c r="F334" s="4">
        <v>1</v>
      </c>
      <c r="G334" s="2" t="s">
        <v>42</v>
      </c>
      <c r="H334" s="2" t="s">
        <v>43</v>
      </c>
      <c r="K334" s="2" t="s">
        <v>657</v>
      </c>
      <c r="L334" s="2" t="s">
        <v>1739</v>
      </c>
      <c r="M334" s="2" t="s">
        <v>1740</v>
      </c>
      <c r="N334" s="2" t="s">
        <v>228</v>
      </c>
      <c r="O334" s="2" t="s">
        <v>338</v>
      </c>
      <c r="Q334" s="2" t="s">
        <v>50</v>
      </c>
      <c r="S334" s="7" t="s">
        <v>5105</v>
      </c>
      <c r="T334" s="7" t="s">
        <v>5713</v>
      </c>
      <c r="U334" s="2" t="s">
        <v>6045</v>
      </c>
    </row>
    <row r="335" spans="1:21" ht="12.75" x14ac:dyDescent="0.2">
      <c r="A335" s="1">
        <v>44685.60383393518</v>
      </c>
      <c r="B335" s="2" t="s">
        <v>120</v>
      </c>
      <c r="C335" s="2" t="s">
        <v>1741</v>
      </c>
      <c r="D335" s="2" t="s">
        <v>223</v>
      </c>
      <c r="E335" s="3">
        <v>44409</v>
      </c>
      <c r="F335" s="4">
        <v>250</v>
      </c>
      <c r="G335" s="2" t="s">
        <v>143</v>
      </c>
      <c r="H335" s="2" t="s">
        <v>43</v>
      </c>
      <c r="K335" s="2" t="s">
        <v>1742</v>
      </c>
      <c r="L335" s="2" t="s">
        <v>1743</v>
      </c>
      <c r="M335" s="2" t="s">
        <v>1744</v>
      </c>
      <c r="N335" s="2" t="s">
        <v>228</v>
      </c>
      <c r="O335" s="2" t="s">
        <v>126</v>
      </c>
      <c r="Q335" s="2" t="s">
        <v>1041</v>
      </c>
      <c r="S335" s="7" t="s">
        <v>5106</v>
      </c>
      <c r="T335" s="7" t="s">
        <v>5713</v>
      </c>
      <c r="U335" s="2" t="s">
        <v>6046</v>
      </c>
    </row>
    <row r="336" spans="1:21" ht="12.75" x14ac:dyDescent="0.2">
      <c r="A336" s="1"/>
      <c r="B336" s="2"/>
      <c r="C336" s="2"/>
      <c r="D336" s="2"/>
      <c r="E336" s="3"/>
      <c r="F336" s="4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7"/>
      <c r="T336" s="7"/>
      <c r="U336" s="2"/>
    </row>
    <row r="337" spans="1:21" ht="12.75" x14ac:dyDescent="0.2">
      <c r="A337" s="1">
        <v>44687.690136620367</v>
      </c>
      <c r="B337" s="2" t="s">
        <v>1750</v>
      </c>
      <c r="C337" s="2" t="s">
        <v>1751</v>
      </c>
      <c r="D337" s="2" t="s">
        <v>223</v>
      </c>
      <c r="E337" s="3">
        <v>44652</v>
      </c>
      <c r="F337" s="4">
        <v>1500</v>
      </c>
      <c r="G337" s="2" t="s">
        <v>143</v>
      </c>
      <c r="H337" s="2" t="s">
        <v>43</v>
      </c>
      <c r="J337" s="2" t="s">
        <v>1752</v>
      </c>
      <c r="K337" s="2" t="s">
        <v>1753</v>
      </c>
      <c r="L337" s="2" t="s">
        <v>1754</v>
      </c>
      <c r="M337" s="2" t="s">
        <v>1755</v>
      </c>
      <c r="N337" s="2" t="s">
        <v>228</v>
      </c>
      <c r="O337" s="2" t="s">
        <v>1756</v>
      </c>
      <c r="Q337" s="2" t="s">
        <v>50</v>
      </c>
      <c r="S337" s="7" t="s">
        <v>5108</v>
      </c>
      <c r="T337" s="7" t="s">
        <v>5713</v>
      </c>
      <c r="U337" s="2" t="s">
        <v>6047</v>
      </c>
    </row>
    <row r="338" spans="1:21" ht="12.75" x14ac:dyDescent="0.2">
      <c r="A338" s="1">
        <v>44687.691224016206</v>
      </c>
      <c r="B338" s="2" t="s">
        <v>1750</v>
      </c>
      <c r="C338" s="2" t="s">
        <v>1757</v>
      </c>
      <c r="D338" s="2" t="s">
        <v>223</v>
      </c>
      <c r="E338" s="3">
        <v>44652</v>
      </c>
      <c r="F338" s="4">
        <v>350</v>
      </c>
      <c r="G338" s="2" t="s">
        <v>143</v>
      </c>
      <c r="H338" s="2" t="s">
        <v>43</v>
      </c>
      <c r="J338" s="2" t="s">
        <v>1752</v>
      </c>
      <c r="K338" s="2" t="s">
        <v>1753</v>
      </c>
      <c r="L338" s="2" t="s">
        <v>1758</v>
      </c>
      <c r="M338" s="2" t="s">
        <v>1759</v>
      </c>
      <c r="N338" s="2" t="s">
        <v>228</v>
      </c>
      <c r="O338" s="2" t="s">
        <v>1756</v>
      </c>
      <c r="Q338" s="2" t="s">
        <v>1041</v>
      </c>
      <c r="S338" s="7" t="s">
        <v>5109</v>
      </c>
      <c r="T338" s="7" t="s">
        <v>5713</v>
      </c>
      <c r="U338" s="2" t="s">
        <v>6048</v>
      </c>
    </row>
    <row r="339" spans="1:21" ht="12.75" x14ac:dyDescent="0.2">
      <c r="A339" s="1">
        <v>44687.740022638885</v>
      </c>
      <c r="B339" s="2" t="s">
        <v>1760</v>
      </c>
      <c r="C339" s="2" t="s">
        <v>1761</v>
      </c>
      <c r="D339" s="2" t="s">
        <v>223</v>
      </c>
      <c r="E339" s="3">
        <v>44474</v>
      </c>
      <c r="F339" s="4">
        <v>900</v>
      </c>
      <c r="G339" s="2" t="s">
        <v>42</v>
      </c>
      <c r="H339" s="2" t="s">
        <v>43</v>
      </c>
      <c r="J339" s="2" t="s">
        <v>1762</v>
      </c>
      <c r="K339" s="2" t="s">
        <v>1763</v>
      </c>
      <c r="L339" s="2" t="s">
        <v>1764</v>
      </c>
      <c r="M339" s="2" t="s">
        <v>1765</v>
      </c>
      <c r="N339" s="2" t="s">
        <v>228</v>
      </c>
      <c r="O339" s="2" t="s">
        <v>1766</v>
      </c>
      <c r="Q339" s="2" t="s">
        <v>50</v>
      </c>
      <c r="S339" s="7" t="s">
        <v>5110</v>
      </c>
      <c r="T339" s="7" t="s">
        <v>5713</v>
      </c>
      <c r="U339" s="2" t="s">
        <v>6049</v>
      </c>
    </row>
    <row r="340" spans="1:21" ht="12.75" x14ac:dyDescent="0.2">
      <c r="A340" s="1">
        <v>44687.746730173611</v>
      </c>
      <c r="B340" s="2" t="s">
        <v>1760</v>
      </c>
      <c r="C340" s="2" t="s">
        <v>1767</v>
      </c>
      <c r="D340" s="2" t="s">
        <v>223</v>
      </c>
      <c r="E340" s="3">
        <v>44691</v>
      </c>
      <c r="F340" s="4">
        <v>400</v>
      </c>
      <c r="G340" s="2" t="s">
        <v>42</v>
      </c>
      <c r="H340" s="2" t="s">
        <v>43</v>
      </c>
      <c r="K340" s="2" t="s">
        <v>1768</v>
      </c>
      <c r="L340" s="2" t="s">
        <v>1769</v>
      </c>
      <c r="M340" s="2" t="s">
        <v>1770</v>
      </c>
      <c r="N340" s="2" t="s">
        <v>228</v>
      </c>
      <c r="O340" s="2" t="s">
        <v>1766</v>
      </c>
      <c r="Q340" s="2" t="s">
        <v>1041</v>
      </c>
      <c r="S340" s="7" t="s">
        <v>5111</v>
      </c>
      <c r="T340" s="7" t="s">
        <v>5713</v>
      </c>
      <c r="U340" s="2" t="s">
        <v>6050</v>
      </c>
    </row>
    <row r="341" spans="1:21" ht="12.75" x14ac:dyDescent="0.2">
      <c r="A341" s="1">
        <v>44687.765015439814</v>
      </c>
      <c r="B341" s="2" t="s">
        <v>438</v>
      </c>
      <c r="C341" s="2" t="s">
        <v>1771</v>
      </c>
      <c r="D341" s="2" t="s">
        <v>223</v>
      </c>
      <c r="E341" s="3">
        <v>44075</v>
      </c>
      <c r="F341" s="4">
        <v>1</v>
      </c>
      <c r="G341" s="2" t="s">
        <v>143</v>
      </c>
      <c r="H341" s="2" t="s">
        <v>43</v>
      </c>
      <c r="K341" s="2" t="s">
        <v>1772</v>
      </c>
      <c r="L341" s="2" t="s">
        <v>1773</v>
      </c>
      <c r="M341" s="2" t="s">
        <v>1774</v>
      </c>
      <c r="N341" s="2" t="s">
        <v>228</v>
      </c>
      <c r="O341" s="2" t="s">
        <v>443</v>
      </c>
      <c r="Q341" s="2" t="s">
        <v>50</v>
      </c>
      <c r="S341" s="7" t="s">
        <v>5112</v>
      </c>
      <c r="T341" s="7" t="s">
        <v>5713</v>
      </c>
      <c r="U341" s="2" t="s">
        <v>6051</v>
      </c>
    </row>
    <row r="342" spans="1:21" ht="12.75" x14ac:dyDescent="0.2">
      <c r="A342" s="1">
        <v>44692.590917870373</v>
      </c>
      <c r="B342" s="2" t="s">
        <v>438</v>
      </c>
      <c r="C342" s="2" t="s">
        <v>1775</v>
      </c>
      <c r="D342" s="2" t="s">
        <v>223</v>
      </c>
      <c r="E342" s="3">
        <v>43466</v>
      </c>
      <c r="F342" s="4">
        <v>250</v>
      </c>
      <c r="G342" s="2" t="s">
        <v>143</v>
      </c>
      <c r="H342" s="2" t="s">
        <v>43</v>
      </c>
      <c r="K342" s="2" t="s">
        <v>1776</v>
      </c>
      <c r="L342" s="2" t="s">
        <v>1777</v>
      </c>
      <c r="M342" s="2" t="s">
        <v>1778</v>
      </c>
      <c r="N342" s="2" t="s">
        <v>228</v>
      </c>
      <c r="O342" s="2" t="s">
        <v>443</v>
      </c>
      <c r="Q342" s="2" t="s">
        <v>50</v>
      </c>
      <c r="S342" s="7" t="s">
        <v>5113</v>
      </c>
      <c r="T342" s="7" t="s">
        <v>5713</v>
      </c>
      <c r="U342" s="2" t="s">
        <v>6052</v>
      </c>
    </row>
    <row r="343" spans="1:21" ht="12.75" x14ac:dyDescent="0.2">
      <c r="A343" s="1">
        <v>44692.591743969911</v>
      </c>
      <c r="B343" s="2" t="s">
        <v>438</v>
      </c>
      <c r="C343" s="2" t="s">
        <v>1779</v>
      </c>
      <c r="D343" s="2" t="s">
        <v>223</v>
      </c>
      <c r="E343" s="3">
        <v>43466</v>
      </c>
      <c r="F343" s="4">
        <v>250</v>
      </c>
      <c r="G343" s="2" t="s">
        <v>143</v>
      </c>
      <c r="H343" s="2" t="s">
        <v>43</v>
      </c>
      <c r="K343" s="2" t="s">
        <v>1776</v>
      </c>
      <c r="L343" s="2" t="s">
        <v>1780</v>
      </c>
      <c r="M343" s="2" t="s">
        <v>1781</v>
      </c>
      <c r="N343" s="2" t="s">
        <v>228</v>
      </c>
      <c r="O343" s="2" t="s">
        <v>443</v>
      </c>
      <c r="Q343" s="2" t="s">
        <v>1041</v>
      </c>
      <c r="S343" s="7" t="s">
        <v>5114</v>
      </c>
      <c r="T343" s="7" t="s">
        <v>5713</v>
      </c>
      <c r="U343" s="2" t="s">
        <v>6053</v>
      </c>
    </row>
    <row r="344" spans="1:21" ht="12.75" x14ac:dyDescent="0.2">
      <c r="A344" s="1">
        <v>44692.66919763889</v>
      </c>
      <c r="B344" s="2" t="s">
        <v>234</v>
      </c>
      <c r="C344" s="2" t="s">
        <v>1782</v>
      </c>
      <c r="D344" s="2" t="s">
        <v>223</v>
      </c>
      <c r="E344" s="3">
        <v>44562</v>
      </c>
      <c r="F344" s="4">
        <v>225</v>
      </c>
      <c r="G344" s="2" t="s">
        <v>42</v>
      </c>
      <c r="H344" s="2" t="s">
        <v>43</v>
      </c>
      <c r="J344" s="2" t="s">
        <v>754</v>
      </c>
      <c r="K344" s="2" t="s">
        <v>1783</v>
      </c>
      <c r="L344" s="2" t="s">
        <v>1784</v>
      </c>
      <c r="M344" s="2" t="s">
        <v>1785</v>
      </c>
      <c r="N344" s="2" t="s">
        <v>228</v>
      </c>
      <c r="O344" s="2" t="s">
        <v>240</v>
      </c>
      <c r="Q344" s="2" t="s">
        <v>50</v>
      </c>
      <c r="S344" s="7" t="s">
        <v>5115</v>
      </c>
      <c r="T344" s="7" t="s">
        <v>5713</v>
      </c>
      <c r="U344" s="2" t="s">
        <v>6054</v>
      </c>
    </row>
    <row r="345" spans="1:21" ht="12.75" x14ac:dyDescent="0.2">
      <c r="A345" s="1">
        <v>44692.701555335647</v>
      </c>
      <c r="B345" s="2" t="s">
        <v>1786</v>
      </c>
      <c r="C345" s="2" t="s">
        <v>1787</v>
      </c>
      <c r="D345" s="2" t="s">
        <v>223</v>
      </c>
      <c r="E345" s="3">
        <v>44089</v>
      </c>
      <c r="F345" s="4">
        <v>1200</v>
      </c>
      <c r="G345" s="2" t="s">
        <v>143</v>
      </c>
      <c r="H345" s="2" t="s">
        <v>43</v>
      </c>
      <c r="K345" s="2" t="s">
        <v>1788</v>
      </c>
      <c r="L345" s="2" t="s">
        <v>1789</v>
      </c>
      <c r="M345" s="2" t="s">
        <v>1790</v>
      </c>
      <c r="N345" s="2" t="s">
        <v>228</v>
      </c>
      <c r="O345" s="2" t="s">
        <v>1791</v>
      </c>
      <c r="Q345" s="2" t="s">
        <v>50</v>
      </c>
      <c r="S345" s="7" t="s">
        <v>5116</v>
      </c>
      <c r="T345" s="7" t="s">
        <v>5713</v>
      </c>
      <c r="U345" s="2" t="s">
        <v>6055</v>
      </c>
    </row>
    <row r="346" spans="1:21" ht="12.75" x14ac:dyDescent="0.2">
      <c r="A346" s="1">
        <v>44692.808048657404</v>
      </c>
      <c r="B346" s="2" t="s">
        <v>1792</v>
      </c>
      <c r="C346" s="2" t="s">
        <v>1793</v>
      </c>
      <c r="D346" s="2" t="s">
        <v>223</v>
      </c>
      <c r="E346" s="3">
        <v>43466</v>
      </c>
      <c r="F346" s="4">
        <v>1200</v>
      </c>
      <c r="G346" s="2" t="s">
        <v>143</v>
      </c>
      <c r="H346" s="2" t="s">
        <v>43</v>
      </c>
      <c r="K346" s="2" t="s">
        <v>1794</v>
      </c>
      <c r="L346" s="2" t="s">
        <v>1795</v>
      </c>
      <c r="M346" s="2" t="s">
        <v>1796</v>
      </c>
      <c r="N346" s="2" t="s">
        <v>228</v>
      </c>
      <c r="O346" s="2" t="s">
        <v>1797</v>
      </c>
      <c r="Q346" s="2" t="s">
        <v>50</v>
      </c>
      <c r="S346" s="7" t="s">
        <v>5117</v>
      </c>
      <c r="T346" s="7" t="s">
        <v>5713</v>
      </c>
      <c r="U346" s="2" t="s">
        <v>6056</v>
      </c>
    </row>
    <row r="347" spans="1:21" ht="12.75" x14ac:dyDescent="0.2">
      <c r="A347" s="1">
        <v>44692.809343333334</v>
      </c>
      <c r="B347" s="2" t="s">
        <v>1798</v>
      </c>
      <c r="C347" s="2" t="s">
        <v>1799</v>
      </c>
      <c r="D347" s="2" t="s">
        <v>223</v>
      </c>
      <c r="E347" s="3">
        <v>43466</v>
      </c>
      <c r="F347" s="4">
        <v>1500</v>
      </c>
      <c r="G347" s="2" t="s">
        <v>143</v>
      </c>
      <c r="H347" s="2" t="s">
        <v>43</v>
      </c>
      <c r="J347" s="2" t="s">
        <v>1800</v>
      </c>
      <c r="K347" s="2" t="s">
        <v>1801</v>
      </c>
      <c r="L347" s="2" t="s">
        <v>1802</v>
      </c>
      <c r="M347" s="2" t="s">
        <v>1803</v>
      </c>
      <c r="N347" s="2" t="s">
        <v>228</v>
      </c>
      <c r="O347" s="2" t="s">
        <v>1804</v>
      </c>
      <c r="Q347" s="2" t="s">
        <v>50</v>
      </c>
      <c r="S347" s="7" t="s">
        <v>5118</v>
      </c>
      <c r="T347" s="7" t="s">
        <v>5713</v>
      </c>
      <c r="U347" s="2" t="s">
        <v>6057</v>
      </c>
    </row>
    <row r="348" spans="1:21" ht="12.75" x14ac:dyDescent="0.2">
      <c r="A348" s="1">
        <v>44694.527349571756</v>
      </c>
      <c r="B348" s="2" t="s">
        <v>1805</v>
      </c>
      <c r="C348" s="2" t="s">
        <v>1806</v>
      </c>
      <c r="D348" s="2" t="s">
        <v>223</v>
      </c>
      <c r="E348" s="3">
        <v>44501</v>
      </c>
      <c r="F348" s="4">
        <v>900</v>
      </c>
      <c r="G348" s="2" t="s">
        <v>143</v>
      </c>
      <c r="H348" s="2" t="s">
        <v>43</v>
      </c>
      <c r="I348" s="2" t="s">
        <v>1807</v>
      </c>
      <c r="K348" s="2" t="s">
        <v>1808</v>
      </c>
      <c r="L348" s="2" t="s">
        <v>1809</v>
      </c>
      <c r="M348" s="2" t="s">
        <v>1810</v>
      </c>
      <c r="N348" s="2" t="s">
        <v>228</v>
      </c>
      <c r="O348" s="2" t="s">
        <v>1811</v>
      </c>
      <c r="P348" s="2" t="s">
        <v>1812</v>
      </c>
      <c r="Q348" s="2" t="s">
        <v>50</v>
      </c>
      <c r="S348" s="7" t="s">
        <v>5119</v>
      </c>
      <c r="T348" s="7" t="s">
        <v>5713</v>
      </c>
      <c r="U348" s="2" t="s">
        <v>6058</v>
      </c>
    </row>
    <row r="349" spans="1:21" ht="12.75" x14ac:dyDescent="0.2">
      <c r="A349" s="1">
        <v>44694.555071493058</v>
      </c>
      <c r="B349" s="2" t="s">
        <v>1813</v>
      </c>
      <c r="C349" s="2" t="s">
        <v>1814</v>
      </c>
      <c r="D349" s="2" t="s">
        <v>223</v>
      </c>
      <c r="E349" s="3">
        <v>44651</v>
      </c>
      <c r="F349" s="4">
        <v>600</v>
      </c>
      <c r="G349" s="2" t="s">
        <v>143</v>
      </c>
      <c r="H349" s="2" t="s">
        <v>43</v>
      </c>
      <c r="I349" s="2" t="s">
        <v>1009</v>
      </c>
      <c r="J349" s="2" t="s">
        <v>1815</v>
      </c>
      <c r="K349" s="2" t="s">
        <v>1816</v>
      </c>
      <c r="L349" s="2" t="s">
        <v>1817</v>
      </c>
      <c r="M349" s="2" t="s">
        <v>1818</v>
      </c>
      <c r="N349" s="2" t="s">
        <v>228</v>
      </c>
      <c r="O349" s="2" t="s">
        <v>1819</v>
      </c>
      <c r="P349" s="2" t="s">
        <v>1014</v>
      </c>
      <c r="Q349" s="2" t="s">
        <v>50</v>
      </c>
      <c r="S349" s="7" t="s">
        <v>5120</v>
      </c>
      <c r="T349" s="7" t="s">
        <v>5713</v>
      </c>
      <c r="U349" s="2" t="s">
        <v>6059</v>
      </c>
    </row>
    <row r="350" spans="1:21" ht="12.75" x14ac:dyDescent="0.2">
      <c r="A350" s="1">
        <v>44697.478749166665</v>
      </c>
      <c r="B350" s="2" t="s">
        <v>1563</v>
      </c>
      <c r="C350" s="2" t="s">
        <v>1564</v>
      </c>
      <c r="D350" s="2" t="s">
        <v>223</v>
      </c>
      <c r="E350" s="3">
        <v>44682</v>
      </c>
      <c r="F350" s="4">
        <v>1</v>
      </c>
      <c r="G350" s="2" t="s">
        <v>143</v>
      </c>
      <c r="H350" s="2" t="s">
        <v>43</v>
      </c>
      <c r="J350" s="2" t="s">
        <v>1820</v>
      </c>
      <c r="K350" s="2" t="s">
        <v>1821</v>
      </c>
      <c r="L350" s="2" t="s">
        <v>1822</v>
      </c>
      <c r="M350" s="2" t="s">
        <v>1823</v>
      </c>
      <c r="N350" s="2" t="s">
        <v>228</v>
      </c>
      <c r="O350" s="2" t="s">
        <v>1569</v>
      </c>
      <c r="Q350" s="2" t="s">
        <v>50</v>
      </c>
      <c r="S350" s="7" t="s">
        <v>5121</v>
      </c>
      <c r="T350" s="7" t="s">
        <v>5713</v>
      </c>
      <c r="U350" s="2" t="s">
        <v>6060</v>
      </c>
    </row>
    <row r="351" spans="1:21" ht="12.75" x14ac:dyDescent="0.2">
      <c r="A351" s="1">
        <v>44697.568969120373</v>
      </c>
      <c r="B351" s="2" t="s">
        <v>1824</v>
      </c>
      <c r="C351" s="2" t="s">
        <v>1825</v>
      </c>
      <c r="D351" s="2" t="s">
        <v>333</v>
      </c>
      <c r="E351" s="3">
        <v>44697</v>
      </c>
      <c r="F351" s="4">
        <v>3590</v>
      </c>
      <c r="G351" s="2" t="s">
        <v>143</v>
      </c>
      <c r="H351" s="2" t="s">
        <v>43</v>
      </c>
      <c r="I351" s="2" t="s">
        <v>1003</v>
      </c>
      <c r="K351" s="2" t="s">
        <v>1826</v>
      </c>
      <c r="L351" s="2" t="s">
        <v>1827</v>
      </c>
      <c r="M351" s="2" t="s">
        <v>1828</v>
      </c>
      <c r="N351" s="2" t="s">
        <v>337</v>
      </c>
      <c r="O351" s="2" t="s">
        <v>1829</v>
      </c>
      <c r="P351" s="2" t="s">
        <v>1006</v>
      </c>
      <c r="Q351" s="2" t="s">
        <v>50</v>
      </c>
      <c r="S351" s="7" t="s">
        <v>5122</v>
      </c>
      <c r="T351" s="7" t="s">
        <v>5713</v>
      </c>
      <c r="U351" s="2" t="s">
        <v>6061</v>
      </c>
    </row>
    <row r="352" spans="1:21" ht="12.75" x14ac:dyDescent="0.2">
      <c r="A352" s="1">
        <v>44698.554598194445</v>
      </c>
      <c r="B352" s="2" t="s">
        <v>83</v>
      </c>
      <c r="C352" s="2" t="s">
        <v>1830</v>
      </c>
      <c r="D352" s="2" t="s">
        <v>223</v>
      </c>
      <c r="E352" s="3">
        <v>43466</v>
      </c>
      <c r="F352" s="4">
        <v>200</v>
      </c>
      <c r="G352" s="2" t="s">
        <v>143</v>
      </c>
      <c r="H352" s="2" t="s">
        <v>43</v>
      </c>
      <c r="K352" s="2" t="s">
        <v>1831</v>
      </c>
      <c r="L352" s="2" t="s">
        <v>1832</v>
      </c>
      <c r="M352" s="2" t="s">
        <v>1833</v>
      </c>
      <c r="N352" s="2" t="s">
        <v>228</v>
      </c>
      <c r="O352" s="2" t="s">
        <v>88</v>
      </c>
      <c r="Q352" s="2" t="s">
        <v>50</v>
      </c>
      <c r="S352" s="7" t="s">
        <v>5123</v>
      </c>
      <c r="T352" s="7" t="s">
        <v>5713</v>
      </c>
      <c r="U352" s="2" t="s">
        <v>6062</v>
      </c>
    </row>
    <row r="353" spans="1:21" ht="12.75" x14ac:dyDescent="0.2">
      <c r="A353" s="1">
        <v>44698.747651481477</v>
      </c>
      <c r="B353" s="2" t="s">
        <v>1051</v>
      </c>
      <c r="C353" s="2" t="s">
        <v>1834</v>
      </c>
      <c r="D353" s="2" t="s">
        <v>1170</v>
      </c>
      <c r="E353" s="3">
        <v>44562</v>
      </c>
      <c r="F353" s="4">
        <v>20000</v>
      </c>
      <c r="G353" s="2" t="s">
        <v>143</v>
      </c>
      <c r="H353" s="2" t="s">
        <v>43</v>
      </c>
      <c r="J353" s="9" t="s">
        <v>1835</v>
      </c>
      <c r="K353" s="2" t="s">
        <v>1836</v>
      </c>
      <c r="L353" s="2" t="s">
        <v>1837</v>
      </c>
      <c r="M353" s="2" t="s">
        <v>1838</v>
      </c>
      <c r="N353" s="2" t="s">
        <v>1174</v>
      </c>
      <c r="O353" s="2" t="s">
        <v>1057</v>
      </c>
      <c r="Q353" s="2" t="s">
        <v>1041</v>
      </c>
      <c r="S353" s="7" t="s">
        <v>5124</v>
      </c>
      <c r="T353" s="7" t="s">
        <v>5713</v>
      </c>
      <c r="U353" s="2" t="s">
        <v>6063</v>
      </c>
    </row>
    <row r="354" spans="1:21" ht="12.75" x14ac:dyDescent="0.2">
      <c r="A354" s="1">
        <v>44699.710837037041</v>
      </c>
      <c r="B354" s="2" t="s">
        <v>1839</v>
      </c>
      <c r="C354" s="2" t="s">
        <v>1840</v>
      </c>
      <c r="D354" s="2" t="s">
        <v>333</v>
      </c>
      <c r="E354" s="3">
        <v>44732</v>
      </c>
      <c r="F354" s="4">
        <v>10610</v>
      </c>
      <c r="G354" s="2" t="s">
        <v>42</v>
      </c>
      <c r="H354" s="2" t="s">
        <v>43</v>
      </c>
      <c r="J354" s="2" t="s">
        <v>1841</v>
      </c>
      <c r="K354" s="2" t="s">
        <v>1842</v>
      </c>
      <c r="L354" s="2" t="s">
        <v>1843</v>
      </c>
      <c r="M354" s="2" t="s">
        <v>1844</v>
      </c>
      <c r="N354" s="2" t="s">
        <v>337</v>
      </c>
      <c r="O354" s="2" t="s">
        <v>1845</v>
      </c>
      <c r="Q354" s="2" t="s">
        <v>50</v>
      </c>
      <c r="S354" s="7" t="s">
        <v>5125</v>
      </c>
      <c r="T354" s="7" t="s">
        <v>5713</v>
      </c>
      <c r="U354" s="2" t="s">
        <v>6064</v>
      </c>
    </row>
    <row r="355" spans="1:21" ht="12.75" x14ac:dyDescent="0.2">
      <c r="A355" s="1">
        <v>44700.509558761572</v>
      </c>
      <c r="B355" s="2" t="s">
        <v>1846</v>
      </c>
      <c r="C355" s="2" t="s">
        <v>1847</v>
      </c>
      <c r="D355" s="2" t="s">
        <v>41</v>
      </c>
      <c r="E355" s="3">
        <v>44602</v>
      </c>
      <c r="F355" s="4">
        <v>372497</v>
      </c>
      <c r="G355" s="2" t="s">
        <v>42</v>
      </c>
      <c r="H355" s="2" t="s">
        <v>43</v>
      </c>
      <c r="J355" s="2" t="s">
        <v>1848</v>
      </c>
      <c r="K355" s="2" t="s">
        <v>1849</v>
      </c>
      <c r="L355" s="2" t="s">
        <v>1850</v>
      </c>
      <c r="M355" s="2" t="s">
        <v>1851</v>
      </c>
      <c r="N355" s="2" t="s">
        <v>48</v>
      </c>
      <c r="O355" s="2" t="s">
        <v>1852</v>
      </c>
      <c r="Q355" s="2" t="s">
        <v>50</v>
      </c>
      <c r="S355" s="7" t="s">
        <v>5126</v>
      </c>
      <c r="T355" s="7" t="s">
        <v>5713</v>
      </c>
      <c r="U355" s="2" t="s">
        <v>6065</v>
      </c>
    </row>
    <row r="356" spans="1:21" ht="12.75" x14ac:dyDescent="0.2">
      <c r="A356" s="1">
        <v>44712.734675879634</v>
      </c>
      <c r="B356" s="2" t="s">
        <v>1853</v>
      </c>
      <c r="C356" s="2" t="s">
        <v>1854</v>
      </c>
      <c r="D356" s="2" t="s">
        <v>41</v>
      </c>
      <c r="E356" s="3">
        <v>44701</v>
      </c>
      <c r="F356" s="4">
        <v>626280</v>
      </c>
      <c r="G356" s="2" t="s">
        <v>42</v>
      </c>
      <c r="H356" s="2" t="s">
        <v>43</v>
      </c>
      <c r="J356" s="2" t="s">
        <v>1855</v>
      </c>
      <c r="K356" s="2" t="s">
        <v>1856</v>
      </c>
      <c r="L356" s="2" t="s">
        <v>1857</v>
      </c>
      <c r="M356" s="2" t="s">
        <v>1858</v>
      </c>
      <c r="N356" s="2" t="s">
        <v>48</v>
      </c>
      <c r="O356" s="2" t="s">
        <v>1859</v>
      </c>
      <c r="Q356" s="2" t="s">
        <v>50</v>
      </c>
      <c r="S356" s="7" t="s">
        <v>5127</v>
      </c>
      <c r="T356" s="7" t="s">
        <v>5713</v>
      </c>
      <c r="U356" s="2" t="s">
        <v>6066</v>
      </c>
    </row>
    <row r="357" spans="1:21" ht="12.75" x14ac:dyDescent="0.2">
      <c r="A357" s="1">
        <v>44718.594097766203</v>
      </c>
      <c r="B357" s="2" t="s">
        <v>1556</v>
      </c>
      <c r="C357" s="2" t="s">
        <v>1860</v>
      </c>
      <c r="D357" s="2" t="s">
        <v>910</v>
      </c>
      <c r="E357" s="3">
        <v>44715</v>
      </c>
      <c r="F357" s="4">
        <v>5000</v>
      </c>
      <c r="G357" s="2" t="s">
        <v>143</v>
      </c>
      <c r="H357" s="2" t="s">
        <v>43</v>
      </c>
      <c r="I357" s="2" t="s">
        <v>990</v>
      </c>
      <c r="K357" s="2" t="s">
        <v>1861</v>
      </c>
      <c r="L357" s="2" t="s">
        <v>1862</v>
      </c>
      <c r="M357" s="2" t="s">
        <v>1863</v>
      </c>
      <c r="N357" s="2" t="s">
        <v>915</v>
      </c>
      <c r="O357" s="2" t="s">
        <v>1562</v>
      </c>
      <c r="P357" s="2" t="s">
        <v>995</v>
      </c>
      <c r="Q357" s="2" t="s">
        <v>50</v>
      </c>
      <c r="S357" s="7" t="s">
        <v>5128</v>
      </c>
      <c r="T357" s="7" t="s">
        <v>5713</v>
      </c>
      <c r="U357" s="2" t="s">
        <v>6067</v>
      </c>
    </row>
    <row r="358" spans="1:21" ht="12.75" x14ac:dyDescent="0.2">
      <c r="A358" s="1">
        <v>44720.733578599538</v>
      </c>
      <c r="B358" s="2" t="s">
        <v>1864</v>
      </c>
      <c r="C358" s="2" t="s">
        <v>1865</v>
      </c>
      <c r="D358" s="2" t="s">
        <v>333</v>
      </c>
      <c r="E358" s="3">
        <v>44719</v>
      </c>
      <c r="F358" s="4">
        <v>4050</v>
      </c>
      <c r="G358" s="2" t="s">
        <v>143</v>
      </c>
      <c r="H358" s="2" t="s">
        <v>43</v>
      </c>
      <c r="I358" s="2" t="s">
        <v>1003</v>
      </c>
      <c r="K358" s="2" t="s">
        <v>1866</v>
      </c>
      <c r="L358" s="2" t="s">
        <v>1867</v>
      </c>
      <c r="M358" s="2" t="s">
        <v>1868</v>
      </c>
      <c r="N358" s="2" t="s">
        <v>337</v>
      </c>
      <c r="O358" s="2" t="s">
        <v>1869</v>
      </c>
      <c r="P358" s="2" t="s">
        <v>1006</v>
      </c>
      <c r="Q358" s="2" t="s">
        <v>50</v>
      </c>
      <c r="S358" s="7" t="s">
        <v>5129</v>
      </c>
      <c r="T358" s="7" t="s">
        <v>5713</v>
      </c>
      <c r="U358" s="2" t="s">
        <v>6068</v>
      </c>
    </row>
    <row r="359" spans="1:21" ht="12.75" x14ac:dyDescent="0.2">
      <c r="A359" s="1">
        <v>44727.589015046295</v>
      </c>
      <c r="B359" s="2" t="s">
        <v>1870</v>
      </c>
      <c r="C359" s="2" t="s">
        <v>1871</v>
      </c>
      <c r="D359" s="2" t="s">
        <v>333</v>
      </c>
      <c r="E359" s="3">
        <v>44725</v>
      </c>
      <c r="F359" s="4">
        <v>3370</v>
      </c>
      <c r="G359" s="2" t="s">
        <v>143</v>
      </c>
      <c r="H359" s="2" t="s">
        <v>43</v>
      </c>
      <c r="I359" s="2" t="s">
        <v>1003</v>
      </c>
      <c r="K359" s="2" t="s">
        <v>1872</v>
      </c>
      <c r="L359" s="2" t="s">
        <v>1873</v>
      </c>
      <c r="M359" s="2" t="s">
        <v>1874</v>
      </c>
      <c r="N359" s="2" t="s">
        <v>337</v>
      </c>
      <c r="O359" s="2" t="s">
        <v>1875</v>
      </c>
      <c r="P359" s="2" t="s">
        <v>1006</v>
      </c>
      <c r="Q359" s="2" t="s">
        <v>1041</v>
      </c>
      <c r="S359" s="7" t="s">
        <v>5130</v>
      </c>
      <c r="T359" s="7" t="s">
        <v>5713</v>
      </c>
      <c r="U359" s="2" t="s">
        <v>6069</v>
      </c>
    </row>
    <row r="360" spans="1:21" ht="12.75" x14ac:dyDescent="0.2">
      <c r="A360" s="1">
        <v>44761.722382164357</v>
      </c>
      <c r="B360" s="2" t="s">
        <v>1470</v>
      </c>
      <c r="C360" s="2" t="s">
        <v>1876</v>
      </c>
      <c r="D360" s="2" t="s">
        <v>41</v>
      </c>
      <c r="E360" s="3">
        <v>44755</v>
      </c>
      <c r="F360" s="4">
        <v>1266280</v>
      </c>
      <c r="G360" s="2" t="s">
        <v>42</v>
      </c>
      <c r="H360" s="2" t="s">
        <v>43</v>
      </c>
      <c r="J360" s="2" t="s">
        <v>1877</v>
      </c>
      <c r="K360" s="2" t="s">
        <v>1878</v>
      </c>
      <c r="L360" s="2" t="s">
        <v>1879</v>
      </c>
      <c r="M360" s="2" t="s">
        <v>1880</v>
      </c>
      <c r="N360" s="2" t="s">
        <v>48</v>
      </c>
      <c r="O360" s="2" t="s">
        <v>1475</v>
      </c>
      <c r="Q360" s="2" t="s">
        <v>50</v>
      </c>
      <c r="S360" s="7" t="s">
        <v>5131</v>
      </c>
      <c r="T360" s="7" t="s">
        <v>5713</v>
      </c>
      <c r="U360" s="2" t="s">
        <v>6070</v>
      </c>
    </row>
    <row r="361" spans="1:21" ht="12.75" x14ac:dyDescent="0.2">
      <c r="A361" s="10">
        <v>44762</v>
      </c>
      <c r="B361" s="2" t="s">
        <v>363</v>
      </c>
      <c r="C361" s="2" t="s">
        <v>1881</v>
      </c>
      <c r="D361" s="2" t="s">
        <v>333</v>
      </c>
      <c r="E361" s="3">
        <v>44727</v>
      </c>
      <c r="F361" s="4">
        <v>276034</v>
      </c>
      <c r="G361" s="2" t="s">
        <v>326</v>
      </c>
      <c r="H361" s="2" t="s">
        <v>43</v>
      </c>
      <c r="K361" s="2" t="s">
        <v>1882</v>
      </c>
      <c r="L361" s="2" t="s">
        <v>1883</v>
      </c>
      <c r="M361" s="2" t="s">
        <v>1884</v>
      </c>
      <c r="N361" s="2" t="s">
        <v>337</v>
      </c>
      <c r="O361" s="2" t="s">
        <v>368</v>
      </c>
      <c r="Q361" s="2" t="s">
        <v>1041</v>
      </c>
      <c r="S361" s="7" t="s">
        <v>5132</v>
      </c>
      <c r="T361" s="7" t="s">
        <v>5713</v>
      </c>
      <c r="U361" s="2" t="s">
        <v>6071</v>
      </c>
    </row>
    <row r="362" spans="1:21" ht="12.75" x14ac:dyDescent="0.2">
      <c r="A362" s="1">
        <v>44762.657309270835</v>
      </c>
      <c r="B362" s="2" t="s">
        <v>1885</v>
      </c>
      <c r="C362" s="2" t="s">
        <v>1886</v>
      </c>
      <c r="D362" s="2" t="s">
        <v>910</v>
      </c>
      <c r="E362" s="3">
        <v>44755</v>
      </c>
      <c r="F362" s="4">
        <v>1300</v>
      </c>
      <c r="G362" s="2" t="s">
        <v>143</v>
      </c>
      <c r="H362" s="2" t="s">
        <v>43</v>
      </c>
      <c r="K362" s="2" t="s">
        <v>1887</v>
      </c>
      <c r="L362" s="2" t="s">
        <v>1888</v>
      </c>
      <c r="M362" s="2" t="s">
        <v>1889</v>
      </c>
      <c r="N362" s="2" t="s">
        <v>915</v>
      </c>
      <c r="O362" s="2" t="s">
        <v>1890</v>
      </c>
      <c r="Q362" s="2" t="s">
        <v>1041</v>
      </c>
      <c r="S362" s="7" t="s">
        <v>5133</v>
      </c>
      <c r="T362" s="7" t="s">
        <v>5713</v>
      </c>
      <c r="U362" s="2" t="s">
        <v>6072</v>
      </c>
    </row>
    <row r="363" spans="1:21" ht="12.75" x14ac:dyDescent="0.2">
      <c r="A363" s="1">
        <v>44762.680398912038</v>
      </c>
      <c r="B363" s="2" t="s">
        <v>1891</v>
      </c>
      <c r="C363" s="2" t="s">
        <v>1892</v>
      </c>
      <c r="D363" s="2" t="s">
        <v>910</v>
      </c>
      <c r="E363" s="3">
        <v>44753</v>
      </c>
      <c r="F363" s="4">
        <v>1500</v>
      </c>
      <c r="G363" s="2" t="s">
        <v>143</v>
      </c>
      <c r="H363" s="2" t="s">
        <v>43</v>
      </c>
      <c r="I363" s="2" t="s">
        <v>990</v>
      </c>
      <c r="K363" s="2" t="s">
        <v>1893</v>
      </c>
      <c r="L363" s="2" t="s">
        <v>1894</v>
      </c>
      <c r="M363" s="2" t="s">
        <v>1895</v>
      </c>
      <c r="N363" s="2" t="s">
        <v>915</v>
      </c>
      <c r="O363" s="2" t="s">
        <v>1896</v>
      </c>
      <c r="P363" s="2" t="s">
        <v>995</v>
      </c>
      <c r="Q363" s="2" t="s">
        <v>1041</v>
      </c>
      <c r="S363" s="7" t="s">
        <v>5134</v>
      </c>
      <c r="T363" s="7" t="s">
        <v>5713</v>
      </c>
      <c r="U363" s="2" t="s">
        <v>6073</v>
      </c>
    </row>
    <row r="364" spans="1:21" ht="12.75" x14ac:dyDescent="0.2">
      <c r="A364" s="1">
        <v>44762.694555254631</v>
      </c>
      <c r="B364" s="2" t="s">
        <v>1007</v>
      </c>
      <c r="C364" s="2" t="s">
        <v>1897</v>
      </c>
      <c r="D364" s="2" t="s">
        <v>672</v>
      </c>
      <c r="E364" s="3">
        <v>44747</v>
      </c>
      <c r="F364" s="4">
        <v>2493.56</v>
      </c>
      <c r="G364" s="2" t="s">
        <v>143</v>
      </c>
      <c r="H364" s="2" t="s">
        <v>43</v>
      </c>
      <c r="I364" s="2" t="s">
        <v>1009</v>
      </c>
      <c r="K364" s="2" t="s">
        <v>1898</v>
      </c>
      <c r="L364" s="2" t="s">
        <v>1899</v>
      </c>
      <c r="M364" s="2" t="s">
        <v>1900</v>
      </c>
      <c r="N364" s="2" t="s">
        <v>676</v>
      </c>
      <c r="O364" s="2" t="s">
        <v>1013</v>
      </c>
      <c r="P364" s="2" t="s">
        <v>1014</v>
      </c>
      <c r="Q364" s="2" t="s">
        <v>1041</v>
      </c>
      <c r="S364" s="7" t="s">
        <v>5135</v>
      </c>
      <c r="T364" s="7" t="s">
        <v>5713</v>
      </c>
      <c r="U364" s="2" t="s">
        <v>6074</v>
      </c>
    </row>
    <row r="365" spans="1:21" ht="12.75" x14ac:dyDescent="0.2">
      <c r="A365" s="1">
        <v>44762.711341168979</v>
      </c>
      <c r="B365" s="2" t="s">
        <v>858</v>
      </c>
      <c r="C365" s="2" t="s">
        <v>1901</v>
      </c>
      <c r="D365" s="2" t="s">
        <v>333</v>
      </c>
      <c r="E365" s="3">
        <v>44734</v>
      </c>
      <c r="F365" s="4">
        <v>6300</v>
      </c>
      <c r="G365" s="2" t="s">
        <v>143</v>
      </c>
      <c r="H365" s="2" t="s">
        <v>43</v>
      </c>
      <c r="I365" s="2" t="s">
        <v>990</v>
      </c>
      <c r="K365" s="2" t="s">
        <v>1902</v>
      </c>
      <c r="L365" s="2" t="s">
        <v>1903</v>
      </c>
      <c r="M365" s="2" t="s">
        <v>1904</v>
      </c>
      <c r="N365" s="2" t="s">
        <v>337</v>
      </c>
      <c r="O365" s="2" t="s">
        <v>863</v>
      </c>
      <c r="P365" s="2" t="s">
        <v>995</v>
      </c>
      <c r="Q365" s="2" t="s">
        <v>1041</v>
      </c>
      <c r="S365" s="7" t="s">
        <v>5136</v>
      </c>
      <c r="T365" s="7" t="s">
        <v>5713</v>
      </c>
      <c r="U365" s="2" t="s">
        <v>6075</v>
      </c>
    </row>
    <row r="366" spans="1:21" ht="12.75" x14ac:dyDescent="0.2">
      <c r="A366" s="1">
        <v>44762.745761979168</v>
      </c>
      <c r="B366" s="2" t="s">
        <v>1366</v>
      </c>
      <c r="C366" s="2" t="s">
        <v>1905</v>
      </c>
      <c r="D366" s="2" t="s">
        <v>223</v>
      </c>
      <c r="E366" s="3">
        <v>44713</v>
      </c>
      <c r="F366" s="4">
        <v>100</v>
      </c>
      <c r="G366" s="2" t="s">
        <v>42</v>
      </c>
      <c r="H366" s="2" t="s">
        <v>43</v>
      </c>
      <c r="I366" s="2" t="s">
        <v>1009</v>
      </c>
      <c r="J366" s="2" t="s">
        <v>1906</v>
      </c>
      <c r="K366" s="2" t="s">
        <v>1907</v>
      </c>
      <c r="L366" s="2" t="s">
        <v>1908</v>
      </c>
      <c r="M366" s="2" t="s">
        <v>1909</v>
      </c>
      <c r="N366" s="2" t="s">
        <v>228</v>
      </c>
      <c r="O366" s="2" t="s">
        <v>1372</v>
      </c>
      <c r="P366" s="2" t="s">
        <v>1014</v>
      </c>
      <c r="Q366" s="2" t="s">
        <v>1041</v>
      </c>
      <c r="S366" s="7" t="s">
        <v>5137</v>
      </c>
      <c r="T366" s="7" t="s">
        <v>5713</v>
      </c>
      <c r="U366" s="2" t="s">
        <v>6076</v>
      </c>
    </row>
    <row r="367" spans="1:21" ht="12.75" x14ac:dyDescent="0.2">
      <c r="A367" s="1">
        <v>44762.756815231478</v>
      </c>
      <c r="B367" s="2" t="s">
        <v>1910</v>
      </c>
      <c r="C367" s="2" t="s">
        <v>1911</v>
      </c>
      <c r="D367" s="2" t="s">
        <v>333</v>
      </c>
      <c r="E367" s="3">
        <v>44718</v>
      </c>
      <c r="F367" s="4">
        <v>1380</v>
      </c>
      <c r="G367" s="2" t="s">
        <v>143</v>
      </c>
      <c r="H367" s="2" t="s">
        <v>43</v>
      </c>
      <c r="I367" s="2" t="s">
        <v>983</v>
      </c>
      <c r="K367" s="2" t="s">
        <v>1912</v>
      </c>
      <c r="L367" s="2" t="s">
        <v>1913</v>
      </c>
      <c r="M367" s="2" t="s">
        <v>1914</v>
      </c>
      <c r="N367" s="2" t="s">
        <v>337</v>
      </c>
      <c r="O367" s="2" t="s">
        <v>1915</v>
      </c>
      <c r="P367" s="2" t="s">
        <v>987</v>
      </c>
      <c r="Q367" s="2" t="s">
        <v>1041</v>
      </c>
      <c r="S367" s="7" t="s">
        <v>5138</v>
      </c>
      <c r="T367" s="7" t="s">
        <v>5713</v>
      </c>
      <c r="U367" s="2" t="s">
        <v>6077</v>
      </c>
    </row>
    <row r="368" spans="1:21" ht="12.75" x14ac:dyDescent="0.2">
      <c r="A368" s="1">
        <v>44763.706769004624</v>
      </c>
      <c r="B368" s="2" t="s">
        <v>438</v>
      </c>
      <c r="C368" s="2" t="s">
        <v>1036</v>
      </c>
      <c r="D368" s="2" t="s">
        <v>333</v>
      </c>
      <c r="E368" s="3">
        <v>44705</v>
      </c>
      <c r="F368" s="4">
        <v>8780</v>
      </c>
      <c r="G368" s="2" t="s">
        <v>42</v>
      </c>
      <c r="H368" s="2" t="s">
        <v>43</v>
      </c>
      <c r="I368" s="2" t="s">
        <v>983</v>
      </c>
      <c r="K368" s="2" t="s">
        <v>1916</v>
      </c>
      <c r="L368" s="2" t="s">
        <v>1917</v>
      </c>
      <c r="M368" s="2" t="s">
        <v>1918</v>
      </c>
      <c r="N368" s="2" t="s">
        <v>337</v>
      </c>
      <c r="O368" s="2" t="s">
        <v>443</v>
      </c>
      <c r="P368" s="2" t="s">
        <v>987</v>
      </c>
      <c r="Q368" s="2" t="s">
        <v>1041</v>
      </c>
      <c r="S368" s="7" t="s">
        <v>5139</v>
      </c>
      <c r="T368" s="7" t="s">
        <v>5713</v>
      </c>
      <c r="U368" s="2" t="s">
        <v>6078</v>
      </c>
    </row>
    <row r="369" spans="1:21" ht="12.75" x14ac:dyDescent="0.2">
      <c r="A369" s="1">
        <v>44763.706769004624</v>
      </c>
      <c r="B369" s="2" t="s">
        <v>1919</v>
      </c>
      <c r="C369" s="2" t="s">
        <v>1920</v>
      </c>
      <c r="D369" s="2" t="s">
        <v>333</v>
      </c>
      <c r="E369" s="3">
        <v>44708</v>
      </c>
      <c r="F369" s="4">
        <v>2800</v>
      </c>
      <c r="G369" s="2" t="s">
        <v>42</v>
      </c>
      <c r="H369" s="2" t="s">
        <v>43</v>
      </c>
      <c r="I369" s="2" t="s">
        <v>983</v>
      </c>
      <c r="K369" s="2" t="s">
        <v>1921</v>
      </c>
      <c r="L369" s="2" t="s">
        <v>1922</v>
      </c>
      <c r="M369" s="2" t="s">
        <v>1923</v>
      </c>
      <c r="N369" s="2" t="s">
        <v>337</v>
      </c>
      <c r="O369" s="2" t="s">
        <v>1924</v>
      </c>
      <c r="P369" s="2" t="s">
        <v>987</v>
      </c>
      <c r="Q369" s="2" t="s">
        <v>1041</v>
      </c>
      <c r="S369" s="7" t="s">
        <v>5140</v>
      </c>
      <c r="T369" s="7" t="s">
        <v>5713</v>
      </c>
      <c r="U369" s="2" t="s">
        <v>6079</v>
      </c>
    </row>
    <row r="370" spans="1:21" ht="12.75" x14ac:dyDescent="0.2">
      <c r="A370" s="1"/>
      <c r="B370" s="2"/>
      <c r="C370" s="2"/>
      <c r="D370" s="2"/>
      <c r="E370" s="3"/>
      <c r="F370" s="4"/>
      <c r="G370" s="2"/>
      <c r="H370" s="2"/>
      <c r="K370" s="2"/>
      <c r="L370" s="2"/>
      <c r="M370" s="2"/>
      <c r="N370" s="2"/>
      <c r="O370" s="2"/>
      <c r="Q370" s="2"/>
      <c r="R370" s="2"/>
      <c r="S370" s="7"/>
      <c r="T370" s="7"/>
      <c r="U370" s="2"/>
    </row>
    <row r="371" spans="1:21" ht="12.75" x14ac:dyDescent="0.2">
      <c r="A371" s="1">
        <v>44774.56299554398</v>
      </c>
      <c r="B371" s="2" t="s">
        <v>523</v>
      </c>
      <c r="C371" s="2" t="s">
        <v>1925</v>
      </c>
      <c r="D371" s="2" t="s">
        <v>333</v>
      </c>
      <c r="E371" s="3">
        <v>44768</v>
      </c>
      <c r="F371" s="4">
        <v>545</v>
      </c>
      <c r="G371" s="2" t="s">
        <v>42</v>
      </c>
      <c r="H371" s="2" t="s">
        <v>43</v>
      </c>
      <c r="I371" s="2" t="s">
        <v>990</v>
      </c>
      <c r="K371" s="2" t="s">
        <v>1926</v>
      </c>
      <c r="L371" s="2" t="s">
        <v>1927</v>
      </c>
      <c r="M371" s="2" t="s">
        <v>1928</v>
      </c>
      <c r="N371" s="2" t="s">
        <v>337</v>
      </c>
      <c r="O371" s="2" t="s">
        <v>528</v>
      </c>
      <c r="Q371" s="2" t="s">
        <v>1041</v>
      </c>
      <c r="S371" s="7" t="s">
        <v>5141</v>
      </c>
      <c r="T371" s="7" t="s">
        <v>5713</v>
      </c>
      <c r="U371" s="2" t="s">
        <v>6080</v>
      </c>
    </row>
    <row r="372" spans="1:21" ht="12.75" x14ac:dyDescent="0.2">
      <c r="A372" s="1">
        <v>44774.588365277777</v>
      </c>
      <c r="B372" s="2" t="s">
        <v>1929</v>
      </c>
      <c r="C372" s="2" t="s">
        <v>1930</v>
      </c>
      <c r="D372" s="2" t="s">
        <v>41</v>
      </c>
      <c r="E372" s="3">
        <v>44737</v>
      </c>
      <c r="F372" s="4">
        <f>450470-36816</f>
        <v>413654</v>
      </c>
      <c r="G372" s="2" t="s">
        <v>42</v>
      </c>
      <c r="H372" s="2" t="s">
        <v>43</v>
      </c>
      <c r="J372" s="2" t="s">
        <v>1931</v>
      </c>
      <c r="K372" s="2" t="s">
        <v>1932</v>
      </c>
      <c r="L372" s="2" t="s">
        <v>1933</v>
      </c>
      <c r="M372" s="2" t="s">
        <v>1934</v>
      </c>
      <c r="N372" s="2" t="s">
        <v>48</v>
      </c>
      <c r="O372" s="2" t="s">
        <v>1935</v>
      </c>
      <c r="Q372" s="2" t="s">
        <v>1041</v>
      </c>
      <c r="S372" s="7" t="s">
        <v>5142</v>
      </c>
      <c r="T372" s="7" t="s">
        <v>5713</v>
      </c>
      <c r="U372" s="2" t="s">
        <v>6081</v>
      </c>
    </row>
    <row r="373" spans="1:21" ht="12.75" x14ac:dyDescent="0.2">
      <c r="A373" s="1">
        <v>44778.505614120368</v>
      </c>
      <c r="B373" s="2" t="s">
        <v>1936</v>
      </c>
      <c r="C373" s="2" t="s">
        <v>1937</v>
      </c>
      <c r="D373" s="2" t="s">
        <v>333</v>
      </c>
      <c r="E373" s="3">
        <v>44767</v>
      </c>
      <c r="F373" s="4">
        <v>2855</v>
      </c>
      <c r="G373" s="2" t="s">
        <v>143</v>
      </c>
      <c r="H373" s="2" t="s">
        <v>43</v>
      </c>
      <c r="I373" s="2" t="s">
        <v>983</v>
      </c>
      <c r="K373" s="2" t="s">
        <v>1938</v>
      </c>
      <c r="L373" s="2" t="s">
        <v>1939</v>
      </c>
      <c r="M373" s="2" t="s">
        <v>1940</v>
      </c>
      <c r="N373" s="2" t="s">
        <v>337</v>
      </c>
      <c r="O373" s="2" t="s">
        <v>1941</v>
      </c>
      <c r="Q373" s="2" t="s">
        <v>1041</v>
      </c>
      <c r="S373" s="7" t="s">
        <v>5143</v>
      </c>
      <c r="T373" s="7" t="s">
        <v>5713</v>
      </c>
      <c r="U373" s="2" t="s">
        <v>6082</v>
      </c>
    </row>
    <row r="374" spans="1:21" ht="12.75" x14ac:dyDescent="0.2">
      <c r="A374" s="1">
        <v>44778.739957025464</v>
      </c>
      <c r="B374" s="2" t="s">
        <v>1942</v>
      </c>
      <c r="C374" s="2" t="s">
        <v>1943</v>
      </c>
      <c r="D374" s="2" t="s">
        <v>41</v>
      </c>
      <c r="E374" s="3">
        <v>44774</v>
      </c>
      <c r="F374" s="4">
        <v>610990</v>
      </c>
      <c r="G374" s="2" t="s">
        <v>42</v>
      </c>
      <c r="H374" s="2" t="s">
        <v>43</v>
      </c>
      <c r="J374" s="2" t="s">
        <v>1944</v>
      </c>
      <c r="K374" s="2" t="s">
        <v>1945</v>
      </c>
      <c r="L374" s="2" t="s">
        <v>1946</v>
      </c>
      <c r="M374" s="2" t="s">
        <v>1947</v>
      </c>
      <c r="N374" s="2" t="s">
        <v>48</v>
      </c>
      <c r="O374" s="2" t="s">
        <v>1948</v>
      </c>
      <c r="Q374" s="2" t="s">
        <v>1041</v>
      </c>
      <c r="S374" s="7" t="s">
        <v>5144</v>
      </c>
      <c r="T374" s="7" t="s">
        <v>5713</v>
      </c>
      <c r="U374" s="2" t="s">
        <v>6083</v>
      </c>
    </row>
    <row r="375" spans="1:21" ht="12.75" x14ac:dyDescent="0.2">
      <c r="A375" s="1">
        <v>44781.548929722223</v>
      </c>
      <c r="B375" s="2" t="s">
        <v>1949</v>
      </c>
      <c r="C375" s="2" t="s">
        <v>1950</v>
      </c>
      <c r="D375" s="2" t="s">
        <v>41</v>
      </c>
      <c r="E375" s="3">
        <v>44778</v>
      </c>
      <c r="F375" s="4">
        <v>1036581.96</v>
      </c>
      <c r="G375" s="2" t="s">
        <v>42</v>
      </c>
      <c r="H375" s="2" t="s">
        <v>43</v>
      </c>
      <c r="J375" s="2" t="s">
        <v>1951</v>
      </c>
      <c r="K375" s="2" t="s">
        <v>1952</v>
      </c>
      <c r="L375" s="2" t="s">
        <v>1953</v>
      </c>
      <c r="M375" s="2" t="s">
        <v>1954</v>
      </c>
      <c r="N375" s="2" t="s">
        <v>48</v>
      </c>
      <c r="O375" s="2" t="s">
        <v>1955</v>
      </c>
      <c r="Q375" s="2" t="s">
        <v>1041</v>
      </c>
      <c r="S375" s="7" t="s">
        <v>5145</v>
      </c>
      <c r="T375" s="7" t="s">
        <v>5713</v>
      </c>
      <c r="U375" s="2" t="s">
        <v>6084</v>
      </c>
    </row>
    <row r="376" spans="1:21" ht="12.75" x14ac:dyDescent="0.2">
      <c r="A376" s="1">
        <v>44805.653026840278</v>
      </c>
      <c r="B376" s="2" t="s">
        <v>1956</v>
      </c>
      <c r="C376" s="2" t="s">
        <v>1957</v>
      </c>
      <c r="D376" s="2" t="s">
        <v>223</v>
      </c>
      <c r="E376" s="3">
        <v>44788</v>
      </c>
      <c r="F376" s="4">
        <v>120</v>
      </c>
      <c r="G376" s="2" t="s">
        <v>42</v>
      </c>
      <c r="H376" s="2" t="s">
        <v>43</v>
      </c>
      <c r="I376" s="2" t="s">
        <v>1009</v>
      </c>
      <c r="K376" s="2" t="s">
        <v>1958</v>
      </c>
      <c r="L376" s="2" t="s">
        <v>1959</v>
      </c>
      <c r="M376" s="2" t="s">
        <v>1960</v>
      </c>
      <c r="N376" s="2" t="s">
        <v>228</v>
      </c>
      <c r="O376" s="2" t="s">
        <v>1961</v>
      </c>
      <c r="Q376" s="2" t="s">
        <v>1041</v>
      </c>
      <c r="S376" s="7" t="s">
        <v>5146</v>
      </c>
      <c r="T376" s="7" t="s">
        <v>5713</v>
      </c>
      <c r="U376" s="2" t="s">
        <v>6085</v>
      </c>
    </row>
    <row r="377" spans="1:21" ht="12.75" x14ac:dyDescent="0.2">
      <c r="A377" s="1">
        <v>44823.626322604163</v>
      </c>
      <c r="B377" s="2" t="s">
        <v>468</v>
      </c>
      <c r="C377" s="2" t="s">
        <v>1962</v>
      </c>
      <c r="D377" s="2" t="s">
        <v>333</v>
      </c>
      <c r="E377" s="3">
        <v>44768</v>
      </c>
      <c r="F377" s="4">
        <v>25080</v>
      </c>
      <c r="G377" s="2" t="s">
        <v>42</v>
      </c>
      <c r="H377" s="2" t="s">
        <v>43</v>
      </c>
      <c r="K377" s="2" t="s">
        <v>1963</v>
      </c>
      <c r="L377" s="2" t="s">
        <v>1964</v>
      </c>
      <c r="M377" s="2" t="s">
        <v>1965</v>
      </c>
      <c r="N377" s="2" t="s">
        <v>337</v>
      </c>
      <c r="O377" s="2" t="s">
        <v>476</v>
      </c>
      <c r="Q377" s="2" t="s">
        <v>1041</v>
      </c>
      <c r="S377" s="7" t="s">
        <v>5147</v>
      </c>
      <c r="T377" s="7" t="s">
        <v>5713</v>
      </c>
      <c r="U377" s="2" t="s">
        <v>6086</v>
      </c>
    </row>
    <row r="378" spans="1:21" ht="12.75" x14ac:dyDescent="0.2">
      <c r="A378" s="1">
        <v>44824.661926898145</v>
      </c>
      <c r="B378" s="2" t="s">
        <v>468</v>
      </c>
      <c r="C378" s="2" t="s">
        <v>1966</v>
      </c>
      <c r="D378" s="2" t="s">
        <v>333</v>
      </c>
      <c r="E378" s="3">
        <v>44790</v>
      </c>
      <c r="F378" s="4">
        <v>28800</v>
      </c>
      <c r="G378" s="2" t="s">
        <v>326</v>
      </c>
      <c r="H378" s="2" t="s">
        <v>43</v>
      </c>
      <c r="I378" s="2" t="s">
        <v>990</v>
      </c>
      <c r="K378" s="2" t="s">
        <v>1967</v>
      </c>
      <c r="L378" s="2" t="s">
        <v>1968</v>
      </c>
      <c r="M378" s="2" t="s">
        <v>1969</v>
      </c>
      <c r="N378" s="2" t="s">
        <v>337</v>
      </c>
      <c r="O378" s="2" t="s">
        <v>476</v>
      </c>
      <c r="P378" s="2" t="s">
        <v>995</v>
      </c>
      <c r="Q378" s="2" t="s">
        <v>1041</v>
      </c>
      <c r="S378" s="7" t="s">
        <v>5148</v>
      </c>
      <c r="T378" s="7" t="s">
        <v>5713</v>
      </c>
      <c r="U378" s="2" t="s">
        <v>6087</v>
      </c>
    </row>
    <row r="379" spans="1:21" ht="12.75" x14ac:dyDescent="0.2">
      <c r="A379" s="1">
        <v>44834.597884444447</v>
      </c>
      <c r="B379" s="2" t="s">
        <v>1745</v>
      </c>
      <c r="C379" s="2" t="s">
        <v>40</v>
      </c>
      <c r="D379" s="2" t="s">
        <v>223</v>
      </c>
      <c r="E379" s="3">
        <v>44652</v>
      </c>
      <c r="F379" s="4">
        <v>1500</v>
      </c>
      <c r="G379" s="2" t="s">
        <v>143</v>
      </c>
      <c r="H379" s="2" t="s">
        <v>43</v>
      </c>
      <c r="I379" s="2" t="s">
        <v>1009</v>
      </c>
      <c r="J379" s="2" t="s">
        <v>1746</v>
      </c>
      <c r="K379" s="2" t="s">
        <v>1970</v>
      </c>
      <c r="L379" s="2" t="s">
        <v>1747</v>
      </c>
      <c r="M379" s="2" t="s">
        <v>1748</v>
      </c>
      <c r="N379" s="2" t="s">
        <v>228</v>
      </c>
      <c r="O379" s="2" t="s">
        <v>1749</v>
      </c>
      <c r="P379" s="2" t="s">
        <v>1014</v>
      </c>
      <c r="Q379" s="2" t="s">
        <v>50</v>
      </c>
      <c r="S379" s="7" t="s">
        <v>5107</v>
      </c>
      <c r="T379" s="7" t="s">
        <v>5713</v>
      </c>
      <c r="U379" s="2" t="s">
        <v>6088</v>
      </c>
    </row>
    <row r="380" spans="1:21" ht="12.75" x14ac:dyDescent="0.2">
      <c r="A380" s="1">
        <v>44834.597884444447</v>
      </c>
      <c r="B380" s="2" t="s">
        <v>929</v>
      </c>
      <c r="C380" s="2" t="s">
        <v>930</v>
      </c>
      <c r="D380" s="2" t="s">
        <v>333</v>
      </c>
      <c r="E380" s="3">
        <v>44075</v>
      </c>
      <c r="F380" s="4">
        <v>31550</v>
      </c>
      <c r="G380" s="2" t="s">
        <v>42</v>
      </c>
      <c r="H380" s="2" t="s">
        <v>43</v>
      </c>
      <c r="J380" s="2" t="s">
        <v>1971</v>
      </c>
      <c r="K380" s="2" t="s">
        <v>1972</v>
      </c>
      <c r="L380" s="2" t="s">
        <v>931</v>
      </c>
      <c r="M380" s="2" t="s">
        <v>932</v>
      </c>
      <c r="N380" s="2" t="s">
        <v>337</v>
      </c>
      <c r="O380" s="2" t="s">
        <v>933</v>
      </c>
      <c r="Q380" s="2" t="s">
        <v>50</v>
      </c>
      <c r="S380" s="7" t="s">
        <v>4952</v>
      </c>
      <c r="T380" s="7" t="s">
        <v>5713</v>
      </c>
      <c r="U380" s="2" t="s">
        <v>6089</v>
      </c>
    </row>
    <row r="381" spans="1:21" ht="12.75" x14ac:dyDescent="0.2">
      <c r="A381" s="1">
        <v>44847.576995393523</v>
      </c>
      <c r="B381" s="2" t="s">
        <v>1973</v>
      </c>
      <c r="C381" s="2" t="s">
        <v>1974</v>
      </c>
      <c r="D381" s="2" t="s">
        <v>333</v>
      </c>
      <c r="E381" s="3">
        <v>44758</v>
      </c>
      <c r="F381" s="4">
        <v>2000</v>
      </c>
      <c r="G381" s="2" t="s">
        <v>143</v>
      </c>
      <c r="H381" s="2" t="s">
        <v>43</v>
      </c>
      <c r="I381" s="2" t="s">
        <v>1973</v>
      </c>
      <c r="K381" s="2" t="s">
        <v>1975</v>
      </c>
      <c r="L381" s="2" t="s">
        <v>1976</v>
      </c>
      <c r="M381" s="2" t="s">
        <v>1977</v>
      </c>
      <c r="N381" s="2" t="s">
        <v>337</v>
      </c>
      <c r="O381" s="2" t="s">
        <v>1978</v>
      </c>
      <c r="P381" s="2" t="s">
        <v>1978</v>
      </c>
      <c r="Q381" s="2" t="s">
        <v>50</v>
      </c>
      <c r="S381" s="7" t="s">
        <v>5149</v>
      </c>
      <c r="T381" s="7" t="s">
        <v>5713</v>
      </c>
      <c r="U381" s="2" t="s">
        <v>6090</v>
      </c>
    </row>
    <row r="382" spans="1:21" ht="12.75" x14ac:dyDescent="0.2">
      <c r="A382" s="1">
        <v>44859.598781562498</v>
      </c>
      <c r="B382" s="2" t="s">
        <v>1979</v>
      </c>
      <c r="C382" s="2" t="s">
        <v>1980</v>
      </c>
      <c r="D382" s="2" t="s">
        <v>333</v>
      </c>
      <c r="E382" s="3">
        <v>44852</v>
      </c>
      <c r="F382" s="4">
        <v>35733.599999999999</v>
      </c>
      <c r="G382" s="2" t="s">
        <v>42</v>
      </c>
      <c r="H382" s="2" t="s">
        <v>43</v>
      </c>
      <c r="I382" s="2" t="s">
        <v>990</v>
      </c>
      <c r="J382" s="2" t="s">
        <v>1981</v>
      </c>
      <c r="K382" s="2" t="s">
        <v>1982</v>
      </c>
      <c r="L382" s="2" t="s">
        <v>1983</v>
      </c>
      <c r="M382" s="2" t="s">
        <v>1984</v>
      </c>
      <c r="N382" s="2" t="s">
        <v>337</v>
      </c>
      <c r="O382" s="2" t="s">
        <v>1985</v>
      </c>
      <c r="P382" s="2" t="s">
        <v>995</v>
      </c>
      <c r="Q382" s="2" t="s">
        <v>1041</v>
      </c>
      <c r="S382" s="7" t="s">
        <v>5150</v>
      </c>
      <c r="T382" s="7" t="s">
        <v>5713</v>
      </c>
      <c r="U382" s="2" t="s">
        <v>6091</v>
      </c>
    </row>
    <row r="383" spans="1:21" ht="12.75" x14ac:dyDescent="0.2">
      <c r="A383" s="1"/>
      <c r="B383" s="2"/>
      <c r="C383" s="2"/>
      <c r="D383" s="2"/>
      <c r="E383" s="3"/>
      <c r="F383" s="4"/>
      <c r="G383" s="2"/>
      <c r="H383" s="2"/>
      <c r="I383" s="2"/>
      <c r="K383" s="2"/>
      <c r="L383" s="2"/>
      <c r="M383" s="2"/>
      <c r="N383" s="2"/>
      <c r="O383" s="2"/>
      <c r="P383" s="2"/>
      <c r="Q383" s="2"/>
      <c r="R383" s="2"/>
      <c r="S383" s="7"/>
      <c r="T383" s="7"/>
      <c r="U383" s="2"/>
    </row>
    <row r="384" spans="1:21" ht="12.75" x14ac:dyDescent="0.2">
      <c r="A384" s="1">
        <v>44860.514357662032</v>
      </c>
      <c r="B384" s="2" t="s">
        <v>1885</v>
      </c>
      <c r="C384" s="2" t="s">
        <v>1986</v>
      </c>
      <c r="D384" s="2" t="s">
        <v>910</v>
      </c>
      <c r="E384" s="3">
        <v>44854</v>
      </c>
      <c r="F384" s="4">
        <v>2250</v>
      </c>
      <c r="G384" s="2" t="s">
        <v>143</v>
      </c>
      <c r="H384" s="2" t="s">
        <v>43</v>
      </c>
      <c r="I384" s="2" t="s">
        <v>983</v>
      </c>
      <c r="K384" s="2" t="s">
        <v>1989</v>
      </c>
      <c r="L384" s="2" t="s">
        <v>1987</v>
      </c>
      <c r="M384" s="2" t="s">
        <v>1988</v>
      </c>
      <c r="N384" s="2" t="s">
        <v>915</v>
      </c>
      <c r="O384" s="2" t="s">
        <v>1890</v>
      </c>
      <c r="P384" s="2" t="s">
        <v>987</v>
      </c>
      <c r="Q384" s="2" t="s">
        <v>1041</v>
      </c>
      <c r="S384" s="7" t="s">
        <v>5151</v>
      </c>
      <c r="T384" s="7" t="s">
        <v>5713</v>
      </c>
      <c r="U384" s="2" t="s">
        <v>6092</v>
      </c>
    </row>
    <row r="385" spans="1:21" ht="12.75" x14ac:dyDescent="0.2">
      <c r="A385" s="1">
        <v>44860.586836041664</v>
      </c>
      <c r="B385" s="2" t="s">
        <v>1990</v>
      </c>
      <c r="C385" s="2" t="s">
        <v>1991</v>
      </c>
      <c r="D385" s="2" t="s">
        <v>333</v>
      </c>
      <c r="E385" s="3">
        <v>44859</v>
      </c>
      <c r="F385" s="4">
        <v>8600</v>
      </c>
      <c r="G385" s="2" t="s">
        <v>42</v>
      </c>
      <c r="H385" s="2" t="s">
        <v>43</v>
      </c>
      <c r="I385" s="2" t="s">
        <v>1003</v>
      </c>
      <c r="J385" s="2" t="s">
        <v>1992</v>
      </c>
      <c r="K385" s="2" t="s">
        <v>1993</v>
      </c>
      <c r="L385" s="2" t="s">
        <v>1994</v>
      </c>
      <c r="M385" s="2" t="s">
        <v>1995</v>
      </c>
      <c r="N385" s="2" t="s">
        <v>337</v>
      </c>
      <c r="O385" s="2" t="s">
        <v>1996</v>
      </c>
      <c r="P385" s="2" t="s">
        <v>1006</v>
      </c>
      <c r="Q385" s="2" t="s">
        <v>1041</v>
      </c>
      <c r="S385" s="7" t="s">
        <v>5152</v>
      </c>
      <c r="T385" s="7" t="s">
        <v>5713</v>
      </c>
      <c r="U385" s="2" t="s">
        <v>6093</v>
      </c>
    </row>
    <row r="386" spans="1:21" ht="12.75" x14ac:dyDescent="0.2">
      <c r="A386" s="1">
        <v>44860.702703553237</v>
      </c>
      <c r="B386" s="2" t="s">
        <v>604</v>
      </c>
      <c r="C386" s="2" t="s">
        <v>1997</v>
      </c>
      <c r="D386" s="2" t="s">
        <v>672</v>
      </c>
      <c r="E386" s="3">
        <v>44858</v>
      </c>
      <c r="F386" s="4">
        <v>1000</v>
      </c>
      <c r="G386" s="2" t="s">
        <v>143</v>
      </c>
      <c r="H386" s="2" t="s">
        <v>43</v>
      </c>
      <c r="I386" s="2" t="s">
        <v>1009</v>
      </c>
      <c r="K386" s="2" t="s">
        <v>1998</v>
      </c>
      <c r="L386" s="2" t="s">
        <v>1999</v>
      </c>
      <c r="M386" s="2" t="s">
        <v>2000</v>
      </c>
      <c r="N386" s="2" t="s">
        <v>676</v>
      </c>
      <c r="O386" s="2" t="s">
        <v>609</v>
      </c>
      <c r="P386" s="2" t="s">
        <v>1014</v>
      </c>
      <c r="Q386" s="2" t="s">
        <v>1041</v>
      </c>
      <c r="S386" s="7" t="s">
        <v>5153</v>
      </c>
      <c r="T386" s="7" t="s">
        <v>5713</v>
      </c>
      <c r="U386" s="2" t="s">
        <v>6094</v>
      </c>
    </row>
    <row r="387" spans="1:21" ht="12.75" x14ac:dyDescent="0.2">
      <c r="A387" s="1">
        <v>44862.54178881945</v>
      </c>
      <c r="B387" s="2" t="s">
        <v>2001</v>
      </c>
      <c r="C387" s="2" t="s">
        <v>2002</v>
      </c>
      <c r="D387" s="2" t="s">
        <v>41</v>
      </c>
      <c r="E387" s="3">
        <v>44860</v>
      </c>
      <c r="F387" s="4">
        <v>12000</v>
      </c>
      <c r="G387" s="2" t="s">
        <v>42</v>
      </c>
      <c r="H387" s="2" t="s">
        <v>43</v>
      </c>
      <c r="J387" s="2" t="s">
        <v>2003</v>
      </c>
      <c r="K387" s="2" t="s">
        <v>2004</v>
      </c>
      <c r="L387" s="2" t="s">
        <v>2005</v>
      </c>
      <c r="M387" s="2" t="s">
        <v>2006</v>
      </c>
      <c r="N387" s="2" t="s">
        <v>48</v>
      </c>
      <c r="O387" s="2" t="s">
        <v>2007</v>
      </c>
      <c r="Q387" s="2" t="s">
        <v>1041</v>
      </c>
      <c r="S387" s="7" t="s">
        <v>5154</v>
      </c>
      <c r="T387" s="7" t="s">
        <v>5713</v>
      </c>
      <c r="U387" s="2" t="s">
        <v>6095</v>
      </c>
    </row>
    <row r="388" spans="1:21" ht="12.75" x14ac:dyDescent="0.2">
      <c r="A388" s="1">
        <v>44869.564839328705</v>
      </c>
      <c r="B388" s="2" t="s">
        <v>2008</v>
      </c>
      <c r="C388" s="2" t="s">
        <v>2009</v>
      </c>
      <c r="D388" s="2" t="s">
        <v>672</v>
      </c>
      <c r="E388" s="3">
        <v>44835</v>
      </c>
      <c r="F388" s="4">
        <v>3900</v>
      </c>
      <c r="G388" s="2" t="s">
        <v>143</v>
      </c>
      <c r="H388" s="2" t="s">
        <v>43</v>
      </c>
      <c r="K388" s="2" t="s">
        <v>2010</v>
      </c>
      <c r="L388" s="2" t="s">
        <v>2011</v>
      </c>
      <c r="M388" s="2" t="s">
        <v>2012</v>
      </c>
      <c r="N388" s="2" t="s">
        <v>676</v>
      </c>
      <c r="O388" s="2" t="s">
        <v>2013</v>
      </c>
      <c r="Q388" s="2" t="s">
        <v>1041</v>
      </c>
      <c r="S388" s="7" t="s">
        <v>5155</v>
      </c>
      <c r="T388" s="7" t="s">
        <v>5713</v>
      </c>
      <c r="U388" s="2" t="s">
        <v>6096</v>
      </c>
    </row>
    <row r="389" spans="1:21" ht="12.75" x14ac:dyDescent="0.2">
      <c r="A389" s="1">
        <v>44870.918949861109</v>
      </c>
      <c r="B389" s="2" t="s">
        <v>363</v>
      </c>
      <c r="C389" s="2" t="s">
        <v>2014</v>
      </c>
      <c r="D389" s="2" t="s">
        <v>41</v>
      </c>
      <c r="E389" s="3">
        <v>44870</v>
      </c>
      <c r="F389" s="4">
        <v>1000000</v>
      </c>
      <c r="G389" s="2" t="s">
        <v>42</v>
      </c>
      <c r="H389" s="2" t="s">
        <v>43</v>
      </c>
      <c r="K389" s="2" t="s">
        <v>2015</v>
      </c>
      <c r="L389" s="2" t="s">
        <v>2016</v>
      </c>
      <c r="M389" s="2" t="s">
        <v>2017</v>
      </c>
      <c r="N389" s="2" t="s">
        <v>48</v>
      </c>
      <c r="O389" s="2" t="s">
        <v>368</v>
      </c>
      <c r="Q389" s="2" t="s">
        <v>50</v>
      </c>
      <c r="S389" s="7" t="s">
        <v>5156</v>
      </c>
      <c r="T389" s="7" t="s">
        <v>5713</v>
      </c>
      <c r="U389" s="2" t="s">
        <v>6097</v>
      </c>
    </row>
    <row r="390" spans="1:21" ht="12.75" x14ac:dyDescent="0.2">
      <c r="A390" s="1">
        <v>44875.568886863424</v>
      </c>
      <c r="B390" s="2" t="s">
        <v>2018</v>
      </c>
      <c r="C390" s="2" t="s">
        <v>2019</v>
      </c>
      <c r="D390" s="2" t="s">
        <v>333</v>
      </c>
      <c r="E390" s="3">
        <v>44800</v>
      </c>
      <c r="F390" s="4">
        <v>71023.91</v>
      </c>
      <c r="G390" s="2" t="s">
        <v>326</v>
      </c>
      <c r="H390" s="2" t="s">
        <v>43</v>
      </c>
      <c r="K390" s="2" t="s">
        <v>2020</v>
      </c>
      <c r="L390" s="2" t="s">
        <v>2021</v>
      </c>
      <c r="M390" s="2" t="s">
        <v>2022</v>
      </c>
      <c r="N390" s="2" t="s">
        <v>337</v>
      </c>
      <c r="O390" s="2" t="s">
        <v>2023</v>
      </c>
      <c r="Q390" s="2" t="s">
        <v>1041</v>
      </c>
      <c r="S390" s="7" t="s">
        <v>5157</v>
      </c>
      <c r="T390" s="7" t="s">
        <v>5713</v>
      </c>
      <c r="U390" s="2" t="s">
        <v>6098</v>
      </c>
    </row>
    <row r="391" spans="1:21" ht="12.75" x14ac:dyDescent="0.2">
      <c r="A391" s="1">
        <v>44882.747105069444</v>
      </c>
      <c r="B391" s="2" t="s">
        <v>2024</v>
      </c>
      <c r="C391" s="2" t="s">
        <v>2025</v>
      </c>
      <c r="D391" s="2" t="s">
        <v>333</v>
      </c>
      <c r="E391" s="3">
        <v>44882</v>
      </c>
      <c r="F391" s="4">
        <v>5140</v>
      </c>
      <c r="G391" s="2" t="s">
        <v>143</v>
      </c>
      <c r="H391" s="2" t="s">
        <v>43</v>
      </c>
      <c r="K391" s="2" t="s">
        <v>2026</v>
      </c>
      <c r="L391" s="2" t="s">
        <v>2027</v>
      </c>
      <c r="M391" s="2" t="s">
        <v>2028</v>
      </c>
      <c r="N391" s="2" t="s">
        <v>337</v>
      </c>
      <c r="O391" s="2" t="s">
        <v>2029</v>
      </c>
      <c r="Q391" s="2" t="s">
        <v>1041</v>
      </c>
      <c r="S391" s="7" t="s">
        <v>5158</v>
      </c>
      <c r="T391" s="7" t="s">
        <v>5713</v>
      </c>
      <c r="U391" s="2" t="s">
        <v>6099</v>
      </c>
    </row>
    <row r="392" spans="1:21" ht="12.75" x14ac:dyDescent="0.2">
      <c r="A392" s="1">
        <v>44887.543427974539</v>
      </c>
      <c r="B392" s="2" t="s">
        <v>438</v>
      </c>
      <c r="C392" s="2" t="s">
        <v>2030</v>
      </c>
      <c r="D392" s="2" t="s">
        <v>41</v>
      </c>
      <c r="E392" s="3">
        <v>44866</v>
      </c>
      <c r="F392" s="4">
        <v>199940</v>
      </c>
      <c r="G392" s="2" t="s">
        <v>42</v>
      </c>
      <c r="H392" s="2" t="s">
        <v>43</v>
      </c>
      <c r="J392" s="2" t="s">
        <v>2031</v>
      </c>
      <c r="K392" s="2" t="s">
        <v>2032</v>
      </c>
      <c r="L392" s="2" t="s">
        <v>2033</v>
      </c>
      <c r="M392" s="2" t="s">
        <v>2034</v>
      </c>
      <c r="N392" s="2" t="s">
        <v>48</v>
      </c>
      <c r="O392" s="2" t="s">
        <v>443</v>
      </c>
      <c r="Q392" s="2" t="s">
        <v>50</v>
      </c>
      <c r="S392" s="7" t="s">
        <v>5159</v>
      </c>
      <c r="T392" s="7" t="s">
        <v>5713</v>
      </c>
      <c r="U392" s="2" t="s">
        <v>6100</v>
      </c>
    </row>
    <row r="393" spans="1:21" ht="12.75" x14ac:dyDescent="0.2">
      <c r="A393" s="1">
        <v>44890.702826412038</v>
      </c>
      <c r="B393" s="2" t="s">
        <v>2035</v>
      </c>
      <c r="C393" s="2" t="s">
        <v>2036</v>
      </c>
      <c r="D393" s="2" t="s">
        <v>910</v>
      </c>
      <c r="E393" s="3">
        <v>44859</v>
      </c>
      <c r="F393" s="4">
        <v>1076.2</v>
      </c>
      <c r="G393" s="2" t="s">
        <v>143</v>
      </c>
      <c r="H393" s="2" t="s">
        <v>43</v>
      </c>
      <c r="K393" s="2" t="s">
        <v>2037</v>
      </c>
      <c r="L393" s="2" t="s">
        <v>2038</v>
      </c>
      <c r="M393" s="2" t="s">
        <v>2039</v>
      </c>
      <c r="N393" s="2" t="s">
        <v>915</v>
      </c>
      <c r="O393" s="2" t="s">
        <v>2040</v>
      </c>
      <c r="Q393" s="2" t="s">
        <v>1041</v>
      </c>
      <c r="S393" s="7" t="s">
        <v>5160</v>
      </c>
      <c r="T393" s="7" t="s">
        <v>5713</v>
      </c>
      <c r="U393" s="2" t="s">
        <v>6101</v>
      </c>
    </row>
    <row r="394" spans="1:21" ht="12.75" x14ac:dyDescent="0.2">
      <c r="A394" s="1">
        <v>44893.617842060186</v>
      </c>
      <c r="B394" s="2" t="s">
        <v>2041</v>
      </c>
      <c r="C394" s="2" t="s">
        <v>2042</v>
      </c>
      <c r="D394" s="2" t="s">
        <v>333</v>
      </c>
      <c r="E394" s="3">
        <v>44872</v>
      </c>
      <c r="F394" s="4">
        <v>12060</v>
      </c>
      <c r="G394" s="2" t="s">
        <v>42</v>
      </c>
      <c r="H394" s="2" t="s">
        <v>43</v>
      </c>
      <c r="K394" s="2" t="s">
        <v>2043</v>
      </c>
      <c r="L394" s="2" t="s">
        <v>2044</v>
      </c>
      <c r="M394" s="2" t="s">
        <v>2045</v>
      </c>
      <c r="N394" s="2" t="s">
        <v>337</v>
      </c>
      <c r="O394" s="2" t="s">
        <v>2046</v>
      </c>
      <c r="Q394" s="2" t="s">
        <v>1041</v>
      </c>
      <c r="S394" s="7" t="s">
        <v>5161</v>
      </c>
      <c r="T394" s="7" t="s">
        <v>5713</v>
      </c>
      <c r="U394" s="2" t="s">
        <v>6102</v>
      </c>
    </row>
    <row r="395" spans="1:21" ht="12.75" x14ac:dyDescent="0.2">
      <c r="A395" s="1">
        <v>44893.723386770835</v>
      </c>
      <c r="B395" s="2" t="s">
        <v>438</v>
      </c>
      <c r="C395" s="2" t="s">
        <v>2047</v>
      </c>
      <c r="D395" s="2" t="s">
        <v>470</v>
      </c>
      <c r="E395" s="3">
        <v>44835</v>
      </c>
      <c r="F395" s="4">
        <v>944</v>
      </c>
      <c r="G395" s="2" t="s">
        <v>143</v>
      </c>
      <c r="H395" s="2" t="s">
        <v>43</v>
      </c>
      <c r="K395" s="2" t="s">
        <v>2048</v>
      </c>
      <c r="L395" s="2" t="s">
        <v>2049</v>
      </c>
      <c r="M395" s="2" t="s">
        <v>2050</v>
      </c>
      <c r="N395" s="2" t="s">
        <v>475</v>
      </c>
      <c r="O395" s="2" t="s">
        <v>443</v>
      </c>
      <c r="Q395" s="2" t="s">
        <v>1041</v>
      </c>
      <c r="S395" s="7" t="s">
        <v>5162</v>
      </c>
      <c r="T395" s="7" t="s">
        <v>5713</v>
      </c>
      <c r="U395" s="2" t="s">
        <v>6103</v>
      </c>
    </row>
    <row r="396" spans="1:21" ht="12.75" x14ac:dyDescent="0.2">
      <c r="A396" s="1">
        <v>44893.723386770835</v>
      </c>
      <c r="B396" s="2" t="s">
        <v>438</v>
      </c>
      <c r="C396" s="2" t="s">
        <v>2051</v>
      </c>
      <c r="D396" s="2" t="s">
        <v>470</v>
      </c>
      <c r="E396" s="3">
        <v>44866</v>
      </c>
      <c r="F396" s="4">
        <v>944</v>
      </c>
      <c r="G396" s="2" t="s">
        <v>143</v>
      </c>
      <c r="H396" s="2" t="s">
        <v>43</v>
      </c>
      <c r="K396" s="2" t="s">
        <v>2052</v>
      </c>
      <c r="L396" s="2" t="s">
        <v>2053</v>
      </c>
      <c r="M396" s="2" t="s">
        <v>2054</v>
      </c>
      <c r="N396" s="2" t="s">
        <v>475</v>
      </c>
      <c r="O396" s="2" t="s">
        <v>443</v>
      </c>
      <c r="Q396" s="2" t="s">
        <v>1041</v>
      </c>
      <c r="S396" s="7" t="s">
        <v>5163</v>
      </c>
      <c r="T396" s="7" t="s">
        <v>5713</v>
      </c>
      <c r="U396" s="2" t="s">
        <v>6104</v>
      </c>
    </row>
    <row r="397" spans="1:21" ht="12.75" x14ac:dyDescent="0.2">
      <c r="A397" s="1">
        <v>44894.519541365742</v>
      </c>
      <c r="B397" s="2" t="s">
        <v>468</v>
      </c>
      <c r="C397" s="2" t="s">
        <v>2055</v>
      </c>
      <c r="D397" s="2" t="s">
        <v>333</v>
      </c>
      <c r="E397" s="3">
        <v>44861</v>
      </c>
      <c r="F397" s="4">
        <v>218060</v>
      </c>
      <c r="G397" s="2" t="s">
        <v>42</v>
      </c>
      <c r="H397" s="2" t="s">
        <v>43</v>
      </c>
      <c r="J397" s="2" t="s">
        <v>1459</v>
      </c>
      <c r="K397" s="2" t="s">
        <v>2056</v>
      </c>
      <c r="L397" s="2" t="s">
        <v>2057</v>
      </c>
      <c r="M397" s="2" t="s">
        <v>2058</v>
      </c>
      <c r="N397" s="2" t="s">
        <v>337</v>
      </c>
      <c r="O397" s="2" t="s">
        <v>476</v>
      </c>
      <c r="Q397" s="2" t="s">
        <v>1041</v>
      </c>
      <c r="S397" s="7" t="s">
        <v>5164</v>
      </c>
      <c r="T397" s="7" t="s">
        <v>5713</v>
      </c>
      <c r="U397" s="2" t="s">
        <v>6105</v>
      </c>
    </row>
    <row r="398" spans="1:21" ht="12.75" x14ac:dyDescent="0.2">
      <c r="A398" s="1">
        <v>44894.63975717593</v>
      </c>
      <c r="B398" s="2" t="s">
        <v>1088</v>
      </c>
      <c r="C398" s="2" t="s">
        <v>2059</v>
      </c>
      <c r="D398" s="2" t="s">
        <v>470</v>
      </c>
      <c r="E398" s="3">
        <v>44834</v>
      </c>
      <c r="F398" s="4">
        <v>12850</v>
      </c>
      <c r="G398" s="2" t="s">
        <v>143</v>
      </c>
      <c r="H398" s="2" t="s">
        <v>43</v>
      </c>
      <c r="J398" s="2" t="s">
        <v>1653</v>
      </c>
      <c r="K398" s="2" t="s">
        <v>2060</v>
      </c>
      <c r="L398" s="2" t="s">
        <v>2061</v>
      </c>
      <c r="M398" s="2" t="s">
        <v>2062</v>
      </c>
      <c r="N398" s="2" t="s">
        <v>475</v>
      </c>
      <c r="O398" s="2" t="s">
        <v>1093</v>
      </c>
      <c r="Q398" s="2" t="s">
        <v>1041</v>
      </c>
      <c r="S398" s="7" t="s">
        <v>5165</v>
      </c>
      <c r="T398" s="7" t="s">
        <v>5713</v>
      </c>
      <c r="U398" s="2" t="s">
        <v>6106</v>
      </c>
    </row>
    <row r="399" spans="1:21" ht="12.75" x14ac:dyDescent="0.2">
      <c r="A399" s="1">
        <v>44895.646140034718</v>
      </c>
      <c r="B399" s="2" t="s">
        <v>2063</v>
      </c>
      <c r="C399" s="2" t="s">
        <v>2064</v>
      </c>
      <c r="D399" s="2" t="s">
        <v>333</v>
      </c>
      <c r="E399" s="3">
        <v>44889</v>
      </c>
      <c r="F399" s="4">
        <v>22740</v>
      </c>
      <c r="G399" s="2" t="s">
        <v>42</v>
      </c>
      <c r="H399" s="2" t="s">
        <v>43</v>
      </c>
      <c r="I399" s="2" t="s">
        <v>990</v>
      </c>
      <c r="K399" s="2" t="s">
        <v>2065</v>
      </c>
      <c r="L399" s="2" t="s">
        <v>2066</v>
      </c>
      <c r="M399" s="2" t="s">
        <v>2067</v>
      </c>
      <c r="N399" s="2" t="s">
        <v>337</v>
      </c>
      <c r="O399" s="2" t="s">
        <v>2068</v>
      </c>
      <c r="P399" s="2" t="s">
        <v>995</v>
      </c>
      <c r="Q399" s="2" t="s">
        <v>1041</v>
      </c>
      <c r="S399" s="7" t="s">
        <v>5166</v>
      </c>
      <c r="T399" s="7" t="s">
        <v>5713</v>
      </c>
      <c r="U399" s="2" t="s">
        <v>6107</v>
      </c>
    </row>
    <row r="400" spans="1:21" ht="12.75" x14ac:dyDescent="0.2">
      <c r="A400" s="1">
        <v>44902.518139363427</v>
      </c>
      <c r="B400" s="2" t="s">
        <v>331</v>
      </c>
      <c r="C400" s="2" t="s">
        <v>2069</v>
      </c>
      <c r="D400" s="2" t="s">
        <v>672</v>
      </c>
      <c r="E400" s="3">
        <v>44883</v>
      </c>
      <c r="F400" s="4">
        <v>2400</v>
      </c>
      <c r="G400" s="2" t="s">
        <v>143</v>
      </c>
      <c r="H400" s="2" t="s">
        <v>43</v>
      </c>
      <c r="I400" s="2" t="s">
        <v>1009</v>
      </c>
      <c r="K400" s="2" t="s">
        <v>2070</v>
      </c>
      <c r="L400" s="2" t="s">
        <v>2071</v>
      </c>
      <c r="M400" s="2" t="s">
        <v>2072</v>
      </c>
      <c r="N400" s="2" t="s">
        <v>676</v>
      </c>
      <c r="O400" s="2" t="s">
        <v>338</v>
      </c>
      <c r="P400" s="2" t="s">
        <v>1014</v>
      </c>
      <c r="Q400" s="2" t="s">
        <v>1041</v>
      </c>
      <c r="S400" s="7" t="s">
        <v>5167</v>
      </c>
      <c r="T400" s="7" t="s">
        <v>5713</v>
      </c>
      <c r="U400" s="2" t="s">
        <v>6108</v>
      </c>
    </row>
    <row r="401" spans="1:21" ht="12.75" x14ac:dyDescent="0.2">
      <c r="A401" s="1">
        <v>44921.604728495367</v>
      </c>
      <c r="B401" s="2" t="s">
        <v>2073</v>
      </c>
      <c r="C401" s="2" t="s">
        <v>2074</v>
      </c>
      <c r="D401" s="2" t="s">
        <v>333</v>
      </c>
      <c r="E401" s="3">
        <v>44917</v>
      </c>
      <c r="F401" s="4">
        <v>465028</v>
      </c>
      <c r="G401" s="2" t="s">
        <v>42</v>
      </c>
      <c r="H401" s="2" t="s">
        <v>43</v>
      </c>
      <c r="K401" s="2" t="s">
        <v>2075</v>
      </c>
      <c r="L401" s="2" t="s">
        <v>2076</v>
      </c>
      <c r="M401" s="2" t="s">
        <v>2077</v>
      </c>
      <c r="N401" s="2" t="s">
        <v>337</v>
      </c>
      <c r="O401" s="2" t="s">
        <v>2078</v>
      </c>
      <c r="Q401" s="2" t="s">
        <v>1041</v>
      </c>
      <c r="S401" s="7" t="s">
        <v>5168</v>
      </c>
      <c r="T401" s="7" t="s">
        <v>5713</v>
      </c>
      <c r="U401" s="2" t="s">
        <v>6109</v>
      </c>
    </row>
    <row r="402" spans="1:21" ht="12.75" x14ac:dyDescent="0.2">
      <c r="A402" s="1">
        <v>44921.604728495367</v>
      </c>
      <c r="B402" s="2" t="s">
        <v>2079</v>
      </c>
      <c r="C402" s="2" t="s">
        <v>2080</v>
      </c>
      <c r="D402" s="2" t="s">
        <v>333</v>
      </c>
      <c r="E402" s="3">
        <v>44917</v>
      </c>
      <c r="F402" s="4">
        <v>12390</v>
      </c>
      <c r="G402" s="2" t="s">
        <v>42</v>
      </c>
      <c r="H402" s="2" t="s">
        <v>43</v>
      </c>
      <c r="K402" s="2" t="s">
        <v>2081</v>
      </c>
      <c r="L402" s="2" t="s">
        <v>2082</v>
      </c>
      <c r="M402" s="2" t="s">
        <v>2083</v>
      </c>
      <c r="N402" s="2" t="s">
        <v>337</v>
      </c>
      <c r="O402" s="2" t="s">
        <v>2084</v>
      </c>
      <c r="Q402" s="2" t="s">
        <v>1041</v>
      </c>
      <c r="S402" s="7" t="s">
        <v>5169</v>
      </c>
      <c r="T402" s="7" t="s">
        <v>5713</v>
      </c>
      <c r="U402" s="2" t="s">
        <v>6110</v>
      </c>
    </row>
    <row r="403" spans="1:21" ht="12.75" x14ac:dyDescent="0.2">
      <c r="A403" s="1">
        <v>44921.604728495367</v>
      </c>
      <c r="B403" s="2" t="s">
        <v>2073</v>
      </c>
      <c r="C403" s="2" t="s">
        <v>2085</v>
      </c>
      <c r="D403" s="2" t="s">
        <v>333</v>
      </c>
      <c r="E403" s="3">
        <v>44917</v>
      </c>
      <c r="F403" s="4">
        <v>281128</v>
      </c>
      <c r="G403" s="2" t="s">
        <v>326</v>
      </c>
      <c r="H403" s="2" t="s">
        <v>43</v>
      </c>
      <c r="K403" s="2" t="s">
        <v>2086</v>
      </c>
      <c r="L403" s="2" t="s">
        <v>2087</v>
      </c>
      <c r="M403" s="2" t="s">
        <v>2088</v>
      </c>
      <c r="N403" s="2" t="s">
        <v>337</v>
      </c>
      <c r="O403" s="2" t="s">
        <v>2078</v>
      </c>
      <c r="Q403" s="2" t="s">
        <v>1041</v>
      </c>
      <c r="S403" s="7" t="s">
        <v>5170</v>
      </c>
      <c r="T403" s="7" t="s">
        <v>5713</v>
      </c>
      <c r="U403" s="2" t="s">
        <v>6111</v>
      </c>
    </row>
    <row r="404" spans="1:21" ht="12.75" x14ac:dyDescent="0.2">
      <c r="A404" s="1">
        <v>44921.604728495367</v>
      </c>
      <c r="B404" s="2" t="s">
        <v>2079</v>
      </c>
      <c r="C404" s="2" t="s">
        <v>2089</v>
      </c>
      <c r="D404" s="2" t="s">
        <v>333</v>
      </c>
      <c r="E404" s="3">
        <v>44917</v>
      </c>
      <c r="F404" s="4">
        <v>313042</v>
      </c>
      <c r="G404" s="2" t="s">
        <v>326</v>
      </c>
      <c r="H404" s="2" t="s">
        <v>43</v>
      </c>
      <c r="K404" s="2" t="s">
        <v>2090</v>
      </c>
      <c r="L404" s="2" t="s">
        <v>2091</v>
      </c>
      <c r="M404" s="2" t="s">
        <v>2092</v>
      </c>
      <c r="N404" s="2" t="s">
        <v>337</v>
      </c>
      <c r="O404" s="2" t="s">
        <v>2084</v>
      </c>
      <c r="Q404" s="2" t="s">
        <v>1041</v>
      </c>
      <c r="S404" s="7" t="s">
        <v>5171</v>
      </c>
      <c r="T404" s="7" t="s">
        <v>5713</v>
      </c>
      <c r="U404" s="2" t="s">
        <v>6112</v>
      </c>
    </row>
    <row r="405" spans="1:21" ht="12.75" x14ac:dyDescent="0.2">
      <c r="A405" s="1">
        <v>44921.604728495367</v>
      </c>
      <c r="B405" s="2" t="s">
        <v>51</v>
      </c>
      <c r="C405" s="2" t="s">
        <v>2093</v>
      </c>
      <c r="D405" s="2" t="s">
        <v>41</v>
      </c>
      <c r="E405" s="3">
        <v>44866</v>
      </c>
      <c r="F405" s="4">
        <v>291990</v>
      </c>
      <c r="G405" s="2" t="s">
        <v>42</v>
      </c>
      <c r="H405" s="2" t="s">
        <v>43</v>
      </c>
      <c r="J405" s="2" t="s">
        <v>2094</v>
      </c>
      <c r="K405" s="2" t="s">
        <v>2095</v>
      </c>
      <c r="L405" s="2" t="s">
        <v>2096</v>
      </c>
      <c r="M405" s="2" t="s">
        <v>2097</v>
      </c>
      <c r="N405" s="2" t="s">
        <v>48</v>
      </c>
      <c r="O405" s="2" t="s">
        <v>57</v>
      </c>
      <c r="Q405" s="2" t="s">
        <v>1041</v>
      </c>
      <c r="S405" s="7" t="s">
        <v>5172</v>
      </c>
      <c r="T405" s="7" t="s">
        <v>5713</v>
      </c>
      <c r="U405" s="2" t="s">
        <v>6113</v>
      </c>
    </row>
    <row r="406" spans="1:21" ht="12.75" x14ac:dyDescent="0.2">
      <c r="A406" s="1">
        <v>44921.604728495367</v>
      </c>
      <c r="B406" s="2" t="s">
        <v>2098</v>
      </c>
      <c r="C406" s="2" t="s">
        <v>2099</v>
      </c>
      <c r="D406" s="2" t="s">
        <v>333</v>
      </c>
      <c r="E406" s="3">
        <v>44866</v>
      </c>
      <c r="F406" s="4">
        <v>254269.84</v>
      </c>
      <c r="G406" s="2" t="s">
        <v>42</v>
      </c>
      <c r="H406" s="2" t="s">
        <v>43</v>
      </c>
      <c r="K406" s="2" t="s">
        <v>2100</v>
      </c>
      <c r="L406" s="2" t="s">
        <v>2101</v>
      </c>
      <c r="M406" s="2" t="s">
        <v>2102</v>
      </c>
      <c r="N406" s="2" t="s">
        <v>337</v>
      </c>
      <c r="O406" s="2" t="s">
        <v>2103</v>
      </c>
      <c r="Q406" s="2" t="s">
        <v>1041</v>
      </c>
      <c r="S406" s="7" t="s">
        <v>5173</v>
      </c>
      <c r="T406" s="7" t="s">
        <v>5713</v>
      </c>
      <c r="U406" s="2" t="s">
        <v>6114</v>
      </c>
    </row>
    <row r="407" spans="1:21" ht="12.75" x14ac:dyDescent="0.2">
      <c r="A407" s="1">
        <v>44921.604728495367</v>
      </c>
      <c r="B407" s="2" t="s">
        <v>2098</v>
      </c>
      <c r="C407" s="2" t="s">
        <v>2104</v>
      </c>
      <c r="D407" s="2" t="s">
        <v>333</v>
      </c>
      <c r="E407" s="3">
        <v>44866</v>
      </c>
      <c r="F407" s="4">
        <v>109707</v>
      </c>
      <c r="G407" s="2" t="s">
        <v>326</v>
      </c>
      <c r="H407" s="2" t="s">
        <v>43</v>
      </c>
      <c r="K407" s="2" t="s">
        <v>2105</v>
      </c>
      <c r="L407" s="2" t="s">
        <v>2106</v>
      </c>
      <c r="M407" s="2" t="s">
        <v>2107</v>
      </c>
      <c r="N407" s="2" t="s">
        <v>337</v>
      </c>
      <c r="O407" s="2" t="s">
        <v>2103</v>
      </c>
      <c r="Q407" s="2" t="s">
        <v>1041</v>
      </c>
      <c r="S407" s="7" t="s">
        <v>5174</v>
      </c>
      <c r="T407" s="7" t="s">
        <v>5713</v>
      </c>
      <c r="U407" s="2" t="s">
        <v>6115</v>
      </c>
    </row>
    <row r="408" spans="1:21" ht="12.75" x14ac:dyDescent="0.2">
      <c r="A408" s="1">
        <v>44921.632568368055</v>
      </c>
      <c r="B408" s="2" t="s">
        <v>2108</v>
      </c>
      <c r="C408" s="2" t="s">
        <v>2109</v>
      </c>
      <c r="D408" s="2" t="s">
        <v>41</v>
      </c>
      <c r="E408" s="3">
        <v>44905</v>
      </c>
      <c r="F408" s="4">
        <v>28300</v>
      </c>
      <c r="G408" s="2" t="s">
        <v>42</v>
      </c>
      <c r="H408" s="2" t="s">
        <v>43</v>
      </c>
      <c r="J408" s="2" t="s">
        <v>2110</v>
      </c>
      <c r="K408" s="2" t="s">
        <v>2111</v>
      </c>
      <c r="L408" s="2" t="s">
        <v>2112</v>
      </c>
      <c r="M408" s="2" t="s">
        <v>2113</v>
      </c>
      <c r="N408" s="2" t="s">
        <v>48</v>
      </c>
      <c r="O408" s="2" t="s">
        <v>2114</v>
      </c>
      <c r="Q408" s="2" t="s">
        <v>1041</v>
      </c>
      <c r="S408" s="7" t="s">
        <v>5175</v>
      </c>
      <c r="T408" s="7" t="s">
        <v>5713</v>
      </c>
      <c r="U408" s="2" t="s">
        <v>6116</v>
      </c>
    </row>
    <row r="409" spans="1:21" ht="12.75" x14ac:dyDescent="0.2">
      <c r="A409" s="1">
        <v>44921.68787228009</v>
      </c>
      <c r="B409" s="2" t="s">
        <v>2115</v>
      </c>
      <c r="C409" s="2" t="s">
        <v>2116</v>
      </c>
      <c r="D409" s="2" t="s">
        <v>41</v>
      </c>
      <c r="E409" s="3">
        <v>44896</v>
      </c>
      <c r="F409" s="4">
        <v>139500</v>
      </c>
      <c r="G409" s="2" t="s">
        <v>42</v>
      </c>
      <c r="H409" s="2" t="s">
        <v>43</v>
      </c>
      <c r="J409" s="2" t="s">
        <v>2117</v>
      </c>
      <c r="K409" s="2" t="s">
        <v>2118</v>
      </c>
      <c r="L409" s="2" t="s">
        <v>2119</v>
      </c>
      <c r="M409" s="2" t="s">
        <v>2120</v>
      </c>
      <c r="N409" s="2" t="s">
        <v>48</v>
      </c>
      <c r="O409" s="2" t="s">
        <v>2121</v>
      </c>
      <c r="Q409" s="2" t="s">
        <v>1041</v>
      </c>
      <c r="S409" s="7" t="s">
        <v>5176</v>
      </c>
      <c r="T409" s="7" t="s">
        <v>5713</v>
      </c>
      <c r="U409" s="2" t="s">
        <v>6117</v>
      </c>
    </row>
    <row r="410" spans="1:21" ht="12.75" x14ac:dyDescent="0.2">
      <c r="A410" s="1">
        <v>44922.744344907405</v>
      </c>
      <c r="B410" s="2" t="s">
        <v>2122</v>
      </c>
      <c r="C410" s="2" t="s">
        <v>2123</v>
      </c>
      <c r="D410" s="2" t="s">
        <v>333</v>
      </c>
      <c r="E410" s="3">
        <v>44918</v>
      </c>
      <c r="F410" s="4">
        <v>13090</v>
      </c>
      <c r="G410" s="2" t="s">
        <v>42</v>
      </c>
      <c r="H410" s="2" t="s">
        <v>43</v>
      </c>
      <c r="K410" s="2" t="s">
        <v>2124</v>
      </c>
      <c r="L410" s="2" t="s">
        <v>2125</v>
      </c>
      <c r="M410" s="2" t="s">
        <v>2126</v>
      </c>
      <c r="N410" s="2" t="s">
        <v>337</v>
      </c>
      <c r="O410" s="2" t="s">
        <v>2127</v>
      </c>
      <c r="Q410" s="2" t="s">
        <v>1041</v>
      </c>
      <c r="S410" s="7" t="s">
        <v>5177</v>
      </c>
      <c r="T410" s="7" t="s">
        <v>5713</v>
      </c>
      <c r="U410" s="2" t="s">
        <v>6118</v>
      </c>
    </row>
    <row r="411" spans="1:21" ht="12.75" x14ac:dyDescent="0.2">
      <c r="A411" s="1">
        <v>44935.496840497683</v>
      </c>
      <c r="B411" s="2" t="s">
        <v>1750</v>
      </c>
      <c r="C411" s="2" t="s">
        <v>2128</v>
      </c>
      <c r="D411" s="2" t="s">
        <v>41</v>
      </c>
      <c r="E411" s="3">
        <v>44925</v>
      </c>
      <c r="F411" s="4">
        <v>125000</v>
      </c>
      <c r="G411" s="2" t="s">
        <v>42</v>
      </c>
      <c r="H411" s="2" t="s">
        <v>43</v>
      </c>
      <c r="J411" s="2" t="s">
        <v>2129</v>
      </c>
      <c r="K411" s="2" t="s">
        <v>2130</v>
      </c>
      <c r="L411" s="2" t="s">
        <v>2131</v>
      </c>
      <c r="M411" s="2" t="s">
        <v>2132</v>
      </c>
      <c r="N411" s="2" t="s">
        <v>48</v>
      </c>
      <c r="O411" s="2" t="s">
        <v>1756</v>
      </c>
      <c r="Q411" s="2" t="s">
        <v>1041</v>
      </c>
      <c r="S411" s="7" t="s">
        <v>5178</v>
      </c>
      <c r="T411" s="7" t="s">
        <v>5713</v>
      </c>
      <c r="U411" s="2" t="s">
        <v>6119</v>
      </c>
    </row>
    <row r="412" spans="1:21" ht="12.75" x14ac:dyDescent="0.2">
      <c r="A412" s="1">
        <v>44946.668849456022</v>
      </c>
      <c r="B412" s="2" t="s">
        <v>2133</v>
      </c>
      <c r="C412" s="2" t="s">
        <v>2134</v>
      </c>
      <c r="D412" s="2" t="s">
        <v>333</v>
      </c>
      <c r="E412" s="3">
        <v>44944</v>
      </c>
      <c r="F412" s="4">
        <v>1250</v>
      </c>
      <c r="G412" s="2" t="s">
        <v>42</v>
      </c>
      <c r="H412" s="2" t="s">
        <v>43</v>
      </c>
      <c r="I412" s="2" t="s">
        <v>983</v>
      </c>
      <c r="K412" s="2" t="s">
        <v>2135</v>
      </c>
      <c r="L412" s="2" t="s">
        <v>2136</v>
      </c>
      <c r="M412" s="2" t="s">
        <v>2137</v>
      </c>
      <c r="N412" s="2" t="s">
        <v>337</v>
      </c>
      <c r="O412" s="2" t="s">
        <v>2138</v>
      </c>
      <c r="P412" s="2" t="s">
        <v>987</v>
      </c>
      <c r="Q412" s="2" t="s">
        <v>50</v>
      </c>
      <c r="S412" s="7" t="s">
        <v>5179</v>
      </c>
      <c r="T412" s="7" t="s">
        <v>5713</v>
      </c>
      <c r="U412" s="2" t="s">
        <v>6120</v>
      </c>
    </row>
    <row r="413" spans="1:21" ht="12.75" x14ac:dyDescent="0.2">
      <c r="A413" s="1"/>
      <c r="B413" s="2"/>
      <c r="C413" s="2"/>
      <c r="D413" s="2"/>
      <c r="E413" s="3"/>
      <c r="F413" s="4"/>
      <c r="G413" s="2"/>
      <c r="H413" s="2"/>
      <c r="I413" s="2"/>
      <c r="K413" s="2"/>
      <c r="L413" s="2"/>
      <c r="M413" s="2"/>
      <c r="N413" s="2"/>
      <c r="O413" s="2"/>
      <c r="P413" s="2"/>
      <c r="Q413" s="2"/>
      <c r="R413" s="2"/>
      <c r="S413" s="7"/>
      <c r="T413" s="7"/>
      <c r="U413" s="2"/>
    </row>
    <row r="414" spans="1:21" ht="12.75" x14ac:dyDescent="0.2">
      <c r="A414" s="1">
        <v>44950.74911503472</v>
      </c>
      <c r="B414" s="2" t="s">
        <v>2139</v>
      </c>
      <c r="C414" s="2" t="s">
        <v>2140</v>
      </c>
      <c r="D414" s="2" t="s">
        <v>333</v>
      </c>
      <c r="E414" s="3">
        <v>44946</v>
      </c>
      <c r="F414" s="4">
        <v>9330</v>
      </c>
      <c r="G414" s="2" t="s">
        <v>42</v>
      </c>
      <c r="H414" s="2" t="s">
        <v>43</v>
      </c>
      <c r="I414" s="2" t="s">
        <v>1003</v>
      </c>
      <c r="J414" s="2" t="s">
        <v>2141</v>
      </c>
      <c r="K414" s="2" t="s">
        <v>2142</v>
      </c>
      <c r="L414" s="2" t="s">
        <v>2143</v>
      </c>
      <c r="M414" s="2" t="s">
        <v>2144</v>
      </c>
      <c r="N414" s="2" t="s">
        <v>337</v>
      </c>
      <c r="O414" s="2" t="s">
        <v>2145</v>
      </c>
      <c r="P414" s="2" t="s">
        <v>1006</v>
      </c>
      <c r="Q414" s="2" t="s">
        <v>1041</v>
      </c>
      <c r="S414" s="7" t="s">
        <v>5180</v>
      </c>
      <c r="T414" s="7" t="s">
        <v>5713</v>
      </c>
      <c r="U414" s="2" t="s">
        <v>6121</v>
      </c>
    </row>
    <row r="415" spans="1:21" ht="12.75" x14ac:dyDescent="0.2">
      <c r="A415" s="1">
        <v>44950.74911503472</v>
      </c>
      <c r="B415" s="2" t="s">
        <v>2146</v>
      </c>
      <c r="C415" s="2" t="s">
        <v>2147</v>
      </c>
      <c r="D415" s="2" t="s">
        <v>41</v>
      </c>
      <c r="E415" s="3">
        <v>44585</v>
      </c>
      <c r="F415" s="4">
        <v>328000</v>
      </c>
      <c r="G415" s="2" t="s">
        <v>42</v>
      </c>
      <c r="H415" s="2" t="s">
        <v>43</v>
      </c>
      <c r="J415" s="2" t="s">
        <v>2148</v>
      </c>
      <c r="K415" s="2" t="s">
        <v>2149</v>
      </c>
      <c r="L415" s="2" t="s">
        <v>2150</v>
      </c>
      <c r="M415" s="2" t="s">
        <v>2151</v>
      </c>
      <c r="N415" s="2" t="s">
        <v>48</v>
      </c>
      <c r="O415" s="2" t="s">
        <v>2152</v>
      </c>
      <c r="Q415" s="2" t="s">
        <v>1041</v>
      </c>
      <c r="S415" s="7" t="s">
        <v>5181</v>
      </c>
      <c r="T415" s="7" t="s">
        <v>5713</v>
      </c>
      <c r="U415" s="2" t="s">
        <v>6122</v>
      </c>
    </row>
    <row r="416" spans="1:21" ht="12.75" x14ac:dyDescent="0.2">
      <c r="A416" s="1">
        <v>44953.561668668983</v>
      </c>
      <c r="B416" s="2" t="s">
        <v>1051</v>
      </c>
      <c r="C416" s="2" t="s">
        <v>2153</v>
      </c>
      <c r="D416" s="2" t="s">
        <v>41</v>
      </c>
      <c r="E416" s="3">
        <v>36892</v>
      </c>
      <c r="F416" s="4">
        <v>1</v>
      </c>
      <c r="G416" s="2" t="s">
        <v>143</v>
      </c>
      <c r="H416" s="2" t="s">
        <v>43</v>
      </c>
      <c r="J416" s="2" t="s">
        <v>1053</v>
      </c>
      <c r="K416" s="2" t="s">
        <v>2154</v>
      </c>
      <c r="L416" s="2" t="s">
        <v>2155</v>
      </c>
      <c r="M416" s="2" t="s">
        <v>2156</v>
      </c>
      <c r="N416" s="2" t="s">
        <v>48</v>
      </c>
      <c r="O416" s="2" t="s">
        <v>1057</v>
      </c>
      <c r="Q416" s="2" t="s">
        <v>50</v>
      </c>
      <c r="S416" s="7" t="s">
        <v>5182</v>
      </c>
      <c r="T416" s="7" t="s">
        <v>5713</v>
      </c>
      <c r="U416" s="2" t="s">
        <v>6123</v>
      </c>
    </row>
    <row r="417" spans="1:21" ht="12.75" x14ac:dyDescent="0.2">
      <c r="A417" s="1">
        <v>44953.69285983796</v>
      </c>
      <c r="B417" s="2" t="s">
        <v>120</v>
      </c>
      <c r="C417" s="2" t="s">
        <v>2157</v>
      </c>
      <c r="D417" s="2" t="s">
        <v>41</v>
      </c>
      <c r="E417" s="3">
        <v>44953</v>
      </c>
      <c r="F417" s="4">
        <v>17845</v>
      </c>
      <c r="G417" s="2" t="s">
        <v>143</v>
      </c>
      <c r="H417" s="2" t="s">
        <v>43</v>
      </c>
      <c r="K417" s="2" t="s">
        <v>2158</v>
      </c>
      <c r="L417" s="2" t="s">
        <v>2159</v>
      </c>
      <c r="M417" s="2" t="s">
        <v>2160</v>
      </c>
      <c r="N417" s="2" t="s">
        <v>48</v>
      </c>
      <c r="O417" s="2" t="s">
        <v>126</v>
      </c>
      <c r="Q417" s="2" t="s">
        <v>1041</v>
      </c>
      <c r="S417" s="7" t="s">
        <v>5183</v>
      </c>
      <c r="T417" s="7" t="s">
        <v>5713</v>
      </c>
      <c r="U417" s="2" t="s">
        <v>6124</v>
      </c>
    </row>
    <row r="418" spans="1:21" ht="12.75" x14ac:dyDescent="0.2">
      <c r="A418" s="1">
        <v>44953.742434293978</v>
      </c>
      <c r="B418" s="2" t="s">
        <v>438</v>
      </c>
      <c r="C418" s="2" t="s">
        <v>2161</v>
      </c>
      <c r="D418" s="2" t="s">
        <v>910</v>
      </c>
      <c r="E418" s="3">
        <v>44914</v>
      </c>
      <c r="F418" s="4">
        <v>2500</v>
      </c>
      <c r="G418" s="2" t="s">
        <v>143</v>
      </c>
      <c r="H418" s="2" t="s">
        <v>43</v>
      </c>
      <c r="J418" s="2" t="s">
        <v>2162</v>
      </c>
      <c r="K418" s="2" t="s">
        <v>2163</v>
      </c>
      <c r="L418" s="2" t="s">
        <v>2164</v>
      </c>
      <c r="M418" s="2" t="s">
        <v>2165</v>
      </c>
      <c r="N418" s="2" t="s">
        <v>915</v>
      </c>
      <c r="O418" s="2" t="s">
        <v>443</v>
      </c>
      <c r="Q418" s="2" t="s">
        <v>1041</v>
      </c>
      <c r="S418" s="7" t="s">
        <v>5184</v>
      </c>
      <c r="T418" s="7" t="s">
        <v>5713</v>
      </c>
      <c r="U418" s="2" t="s">
        <v>6125</v>
      </c>
    </row>
    <row r="419" spans="1:21" ht="12.75" x14ac:dyDescent="0.2">
      <c r="A419" s="1">
        <v>44954.619881481485</v>
      </c>
      <c r="B419" s="2" t="s">
        <v>1885</v>
      </c>
      <c r="C419" s="2" t="s">
        <v>2166</v>
      </c>
      <c r="D419" s="2" t="s">
        <v>910</v>
      </c>
      <c r="E419" s="3">
        <v>44949</v>
      </c>
      <c r="F419" s="4">
        <v>1300</v>
      </c>
      <c r="G419" s="2" t="s">
        <v>143</v>
      </c>
      <c r="H419" s="2" t="s">
        <v>43</v>
      </c>
      <c r="I419" s="2" t="s">
        <v>990</v>
      </c>
      <c r="K419" s="2" t="s">
        <v>2167</v>
      </c>
      <c r="L419" s="2" t="s">
        <v>2168</v>
      </c>
      <c r="M419" s="2" t="s">
        <v>2169</v>
      </c>
      <c r="N419" s="2" t="s">
        <v>915</v>
      </c>
      <c r="O419" s="2" t="s">
        <v>1890</v>
      </c>
      <c r="P419" s="2" t="s">
        <v>995</v>
      </c>
      <c r="Q419" s="2" t="s">
        <v>50</v>
      </c>
      <c r="S419" s="7" t="s">
        <v>5185</v>
      </c>
      <c r="T419" s="7" t="s">
        <v>5713</v>
      </c>
      <c r="U419" s="2" t="s">
        <v>6126</v>
      </c>
    </row>
    <row r="420" spans="1:21" ht="12.75" x14ac:dyDescent="0.2">
      <c r="A420" s="1">
        <v>44956.959312951389</v>
      </c>
      <c r="B420" s="2" t="s">
        <v>1051</v>
      </c>
      <c r="C420" s="2" t="s">
        <v>2170</v>
      </c>
      <c r="D420" s="2" t="s">
        <v>1170</v>
      </c>
      <c r="E420" s="3">
        <v>36526</v>
      </c>
      <c r="F420" s="4">
        <v>1</v>
      </c>
      <c r="G420" s="2" t="s">
        <v>143</v>
      </c>
      <c r="H420" s="2" t="s">
        <v>43</v>
      </c>
      <c r="J420" s="2" t="s">
        <v>1053</v>
      </c>
      <c r="K420" s="2" t="s">
        <v>2171</v>
      </c>
      <c r="L420" s="2" t="s">
        <v>2172</v>
      </c>
      <c r="M420" s="2" t="s">
        <v>2173</v>
      </c>
      <c r="N420" s="2" t="s">
        <v>1174</v>
      </c>
      <c r="O420" s="2" t="s">
        <v>1057</v>
      </c>
      <c r="Q420" s="2" t="s">
        <v>50</v>
      </c>
      <c r="S420" s="7" t="s">
        <v>5186</v>
      </c>
      <c r="T420" s="7" t="s">
        <v>5713</v>
      </c>
      <c r="U420" s="2" t="s">
        <v>6127</v>
      </c>
    </row>
    <row r="421" spans="1:21" ht="12.75" x14ac:dyDescent="0.2">
      <c r="A421" s="1">
        <v>44956.959312951389</v>
      </c>
      <c r="B421" s="2" t="s">
        <v>1051</v>
      </c>
      <c r="C421" s="2" t="s">
        <v>2174</v>
      </c>
      <c r="D421" s="2" t="s">
        <v>1170</v>
      </c>
      <c r="E421" s="3">
        <v>36526</v>
      </c>
      <c r="F421" s="4">
        <v>1</v>
      </c>
      <c r="G421" s="2" t="s">
        <v>143</v>
      </c>
      <c r="H421" s="2" t="s">
        <v>43</v>
      </c>
      <c r="J421" s="2" t="s">
        <v>1053</v>
      </c>
      <c r="K421" s="2" t="s">
        <v>2175</v>
      </c>
      <c r="L421" s="2" t="s">
        <v>2176</v>
      </c>
      <c r="M421" s="2" t="s">
        <v>2177</v>
      </c>
      <c r="N421" s="2" t="s">
        <v>1174</v>
      </c>
      <c r="O421" s="2" t="s">
        <v>1057</v>
      </c>
      <c r="Q421" s="2" t="s">
        <v>50</v>
      </c>
      <c r="S421" s="7" t="s">
        <v>5187</v>
      </c>
      <c r="T421" s="7" t="s">
        <v>5713</v>
      </c>
      <c r="U421" s="2" t="s">
        <v>6128</v>
      </c>
    </row>
    <row r="422" spans="1:21" ht="12.75" x14ac:dyDescent="0.2">
      <c r="A422" s="1">
        <v>44957.485045787034</v>
      </c>
      <c r="B422" s="2" t="s">
        <v>2178</v>
      </c>
      <c r="C422" s="2" t="s">
        <v>2179</v>
      </c>
      <c r="D422" s="2" t="s">
        <v>910</v>
      </c>
      <c r="E422" s="3">
        <v>44952</v>
      </c>
      <c r="F422" s="4">
        <v>268</v>
      </c>
      <c r="G422" s="2" t="s">
        <v>42</v>
      </c>
      <c r="H422" s="2" t="s">
        <v>43</v>
      </c>
      <c r="I422" s="2" t="s">
        <v>1009</v>
      </c>
      <c r="K422" s="2" t="s">
        <v>2180</v>
      </c>
      <c r="L422" s="2" t="s">
        <v>2181</v>
      </c>
      <c r="M422" s="2" t="s">
        <v>2182</v>
      </c>
      <c r="N422" s="2" t="s">
        <v>915</v>
      </c>
      <c r="O422" s="2" t="s">
        <v>2183</v>
      </c>
      <c r="P422" s="2" t="s">
        <v>1014</v>
      </c>
      <c r="Q422" s="2" t="s">
        <v>1041</v>
      </c>
      <c r="S422" s="7" t="s">
        <v>5188</v>
      </c>
      <c r="T422" s="7" t="s">
        <v>5713</v>
      </c>
      <c r="U422" s="2" t="s">
        <v>6129</v>
      </c>
    </row>
    <row r="423" spans="1:21" ht="12.75" x14ac:dyDescent="0.2">
      <c r="A423" s="1">
        <v>44957.485045787034</v>
      </c>
      <c r="B423" s="2" t="s">
        <v>438</v>
      </c>
      <c r="C423" s="2" t="s">
        <v>2179</v>
      </c>
      <c r="D423" s="2" t="s">
        <v>672</v>
      </c>
      <c r="E423" s="3">
        <v>44952</v>
      </c>
      <c r="F423" s="4">
        <v>230</v>
      </c>
      <c r="G423" s="2" t="s">
        <v>42</v>
      </c>
      <c r="H423" s="2" t="s">
        <v>43</v>
      </c>
      <c r="I423" s="2" t="s">
        <v>1009</v>
      </c>
      <c r="K423" s="2" t="s">
        <v>2184</v>
      </c>
      <c r="L423" s="2" t="s">
        <v>2185</v>
      </c>
      <c r="M423" s="2" t="s">
        <v>2186</v>
      </c>
      <c r="N423" s="2" t="s">
        <v>676</v>
      </c>
      <c r="O423" s="2" t="s">
        <v>443</v>
      </c>
      <c r="P423" s="2" t="s">
        <v>1014</v>
      </c>
      <c r="Q423" s="2" t="s">
        <v>1041</v>
      </c>
      <c r="S423" s="7" t="s">
        <v>5189</v>
      </c>
      <c r="T423" s="7" t="s">
        <v>5713</v>
      </c>
      <c r="U423" s="2" t="s">
        <v>6130</v>
      </c>
    </row>
    <row r="424" spans="1:21" ht="12.75" x14ac:dyDescent="0.2">
      <c r="A424" s="1">
        <v>44958.710412766202</v>
      </c>
      <c r="B424" s="2" t="s">
        <v>363</v>
      </c>
      <c r="C424" s="2" t="s">
        <v>2187</v>
      </c>
      <c r="D424" s="2" t="s">
        <v>41</v>
      </c>
      <c r="E424" s="3">
        <v>44593</v>
      </c>
      <c r="F424" s="4">
        <v>100000</v>
      </c>
      <c r="G424" s="2" t="s">
        <v>42</v>
      </c>
      <c r="H424" s="2" t="s">
        <v>43</v>
      </c>
      <c r="J424" s="2" t="s">
        <v>402</v>
      </c>
      <c r="K424" s="2" t="s">
        <v>2188</v>
      </c>
      <c r="L424" s="2" t="s">
        <v>2189</v>
      </c>
      <c r="M424" s="2" t="s">
        <v>2190</v>
      </c>
      <c r="N424" s="2" t="s">
        <v>48</v>
      </c>
      <c r="O424" s="2" t="s">
        <v>368</v>
      </c>
      <c r="Q424" s="2" t="s">
        <v>1041</v>
      </c>
      <c r="S424" s="7" t="s">
        <v>5190</v>
      </c>
      <c r="T424" s="7" t="s">
        <v>5713</v>
      </c>
      <c r="U424" s="2" t="s">
        <v>6131</v>
      </c>
    </row>
    <row r="425" spans="1:21" ht="12.75" x14ac:dyDescent="0.2">
      <c r="A425" s="1">
        <v>44960.522372280087</v>
      </c>
      <c r="B425" s="2" t="s">
        <v>2191</v>
      </c>
      <c r="C425" s="2" t="s">
        <v>2192</v>
      </c>
      <c r="D425" s="2" t="s">
        <v>333</v>
      </c>
      <c r="E425" s="3">
        <v>44944</v>
      </c>
      <c r="F425" s="4">
        <v>12050.75</v>
      </c>
      <c r="G425" s="2" t="s">
        <v>42</v>
      </c>
      <c r="H425" s="2" t="s">
        <v>43</v>
      </c>
      <c r="K425" s="2" t="s">
        <v>2193</v>
      </c>
      <c r="L425" s="2" t="s">
        <v>2194</v>
      </c>
      <c r="M425" s="2" t="s">
        <v>2195</v>
      </c>
      <c r="N425" s="2" t="s">
        <v>337</v>
      </c>
      <c r="O425" s="2" t="s">
        <v>2196</v>
      </c>
      <c r="Q425" s="2" t="s">
        <v>1041</v>
      </c>
      <c r="S425" s="7" t="s">
        <v>5191</v>
      </c>
      <c r="T425" s="7" t="s">
        <v>5713</v>
      </c>
      <c r="U425" s="2" t="s">
        <v>6132</v>
      </c>
    </row>
    <row r="426" spans="1:21" ht="12.75" x14ac:dyDescent="0.2">
      <c r="A426" s="1">
        <v>44960.557373587959</v>
      </c>
      <c r="B426" s="2" t="s">
        <v>425</v>
      </c>
      <c r="C426" s="2" t="s">
        <v>2197</v>
      </c>
      <c r="D426" s="2" t="s">
        <v>672</v>
      </c>
      <c r="E426" s="3">
        <v>44909</v>
      </c>
      <c r="F426" s="4">
        <v>2350</v>
      </c>
      <c r="G426" s="2" t="s">
        <v>42</v>
      </c>
      <c r="H426" s="2" t="s">
        <v>43</v>
      </c>
      <c r="I426" s="2" t="s">
        <v>1009</v>
      </c>
      <c r="K426" s="2" t="s">
        <v>2198</v>
      </c>
      <c r="L426" s="2" t="s">
        <v>2199</v>
      </c>
      <c r="M426" s="2" t="s">
        <v>2200</v>
      </c>
      <c r="N426" s="2" t="s">
        <v>676</v>
      </c>
      <c r="O426" s="2" t="s">
        <v>431</v>
      </c>
      <c r="P426" s="2" t="s">
        <v>1014</v>
      </c>
      <c r="Q426" s="2" t="s">
        <v>1041</v>
      </c>
      <c r="S426" s="7" t="s">
        <v>5192</v>
      </c>
      <c r="T426" s="7" t="s">
        <v>5713</v>
      </c>
      <c r="U426" s="2" t="s">
        <v>6133</v>
      </c>
    </row>
    <row r="427" spans="1:21" ht="12.75" x14ac:dyDescent="0.2">
      <c r="A427" s="1">
        <v>44963.716352303236</v>
      </c>
      <c r="B427" s="2" t="s">
        <v>468</v>
      </c>
      <c r="C427" s="2" t="s">
        <v>2201</v>
      </c>
      <c r="D427" s="2" t="s">
        <v>910</v>
      </c>
      <c r="E427" s="3">
        <v>44959</v>
      </c>
      <c r="F427" s="4">
        <v>84897.5</v>
      </c>
      <c r="G427" s="2" t="s">
        <v>42</v>
      </c>
      <c r="H427" s="2" t="s">
        <v>43</v>
      </c>
      <c r="I427" s="2" t="s">
        <v>990</v>
      </c>
      <c r="J427" s="2" t="s">
        <v>1459</v>
      </c>
      <c r="K427" s="2" t="s">
        <v>2202</v>
      </c>
      <c r="L427" s="2" t="s">
        <v>2203</v>
      </c>
      <c r="M427" s="2" t="s">
        <v>2204</v>
      </c>
      <c r="N427" s="2" t="s">
        <v>915</v>
      </c>
      <c r="O427" s="2" t="s">
        <v>476</v>
      </c>
      <c r="P427" s="2" t="s">
        <v>995</v>
      </c>
      <c r="Q427" s="2" t="s">
        <v>1041</v>
      </c>
      <c r="S427" s="7" t="s">
        <v>5193</v>
      </c>
      <c r="T427" s="7" t="s">
        <v>5713</v>
      </c>
      <c r="U427" s="2" t="s">
        <v>6134</v>
      </c>
    </row>
    <row r="428" spans="1:21" ht="12.75" x14ac:dyDescent="0.2">
      <c r="A428" s="1">
        <v>44965.561728564819</v>
      </c>
      <c r="B428" s="2" t="s">
        <v>438</v>
      </c>
      <c r="C428" s="2" t="s">
        <v>2205</v>
      </c>
      <c r="D428" s="2" t="s">
        <v>910</v>
      </c>
      <c r="E428" s="3">
        <v>44826</v>
      </c>
      <c r="F428" s="4">
        <v>2500</v>
      </c>
      <c r="G428" s="2" t="s">
        <v>143</v>
      </c>
      <c r="H428" s="2" t="s">
        <v>43</v>
      </c>
      <c r="I428" s="2" t="s">
        <v>990</v>
      </c>
      <c r="K428" s="2" t="s">
        <v>2206</v>
      </c>
      <c r="L428" s="2" t="s">
        <v>2207</v>
      </c>
      <c r="M428" s="2" t="s">
        <v>2208</v>
      </c>
      <c r="N428" s="2" t="s">
        <v>915</v>
      </c>
      <c r="O428" s="2" t="s">
        <v>443</v>
      </c>
      <c r="P428" s="2" t="s">
        <v>995</v>
      </c>
      <c r="Q428" s="2" t="s">
        <v>1041</v>
      </c>
      <c r="S428" s="7" t="s">
        <v>5194</v>
      </c>
      <c r="T428" s="7" t="s">
        <v>5713</v>
      </c>
      <c r="U428" s="2" t="s">
        <v>6135</v>
      </c>
    </row>
    <row r="429" spans="1:21" ht="12.75" x14ac:dyDescent="0.2">
      <c r="A429" s="1">
        <v>44965.561728564819</v>
      </c>
      <c r="B429" s="2" t="s">
        <v>2139</v>
      </c>
      <c r="C429" s="2" t="s">
        <v>2209</v>
      </c>
      <c r="D429" s="2" t="s">
        <v>333</v>
      </c>
      <c r="E429" s="3">
        <v>44581</v>
      </c>
      <c r="F429" s="4">
        <v>9330</v>
      </c>
      <c r="G429" s="2" t="s">
        <v>42</v>
      </c>
      <c r="H429" s="2" t="s">
        <v>43</v>
      </c>
      <c r="J429" s="2" t="s">
        <v>2141</v>
      </c>
      <c r="K429" s="2" t="s">
        <v>2210</v>
      </c>
      <c r="L429" s="2" t="s">
        <v>2211</v>
      </c>
      <c r="M429" s="2" t="s">
        <v>2212</v>
      </c>
      <c r="N429" s="2" t="s">
        <v>337</v>
      </c>
      <c r="O429" s="2" t="s">
        <v>2145</v>
      </c>
      <c r="Q429" s="2" t="s">
        <v>1041</v>
      </c>
      <c r="S429" s="7" t="s">
        <v>5195</v>
      </c>
      <c r="T429" s="7" t="s">
        <v>5713</v>
      </c>
      <c r="U429" s="2" t="s">
        <v>6136</v>
      </c>
    </row>
    <row r="430" spans="1:21" ht="12.75" x14ac:dyDescent="0.2">
      <c r="A430" s="1">
        <v>44965.561728564819</v>
      </c>
      <c r="B430" s="2" t="s">
        <v>2139</v>
      </c>
      <c r="C430" s="2" t="s">
        <v>2213</v>
      </c>
      <c r="D430" s="2" t="s">
        <v>333</v>
      </c>
      <c r="E430" s="3">
        <v>44964</v>
      </c>
      <c r="F430" s="4">
        <v>3200</v>
      </c>
      <c r="G430" s="2" t="s">
        <v>143</v>
      </c>
      <c r="H430" s="2" t="s">
        <v>43</v>
      </c>
      <c r="J430" s="2" t="s">
        <v>2141</v>
      </c>
      <c r="K430" s="2" t="s">
        <v>2214</v>
      </c>
      <c r="L430" s="2" t="s">
        <v>2215</v>
      </c>
      <c r="M430" s="2" t="s">
        <v>2216</v>
      </c>
      <c r="N430" s="2" t="s">
        <v>337</v>
      </c>
      <c r="O430" s="2" t="s">
        <v>2145</v>
      </c>
      <c r="Q430" s="2" t="s">
        <v>1041</v>
      </c>
      <c r="S430" s="7" t="s">
        <v>5196</v>
      </c>
      <c r="T430" s="7" t="s">
        <v>5713</v>
      </c>
      <c r="U430" s="2" t="s">
        <v>6137</v>
      </c>
    </row>
    <row r="431" spans="1:21" ht="12.75" x14ac:dyDescent="0.2">
      <c r="A431" s="1">
        <v>44970.508224166668</v>
      </c>
      <c r="B431" s="2" t="s">
        <v>1540</v>
      </c>
      <c r="C431" s="2" t="s">
        <v>2217</v>
      </c>
      <c r="D431" s="2" t="s">
        <v>333</v>
      </c>
      <c r="E431" s="3">
        <v>44867</v>
      </c>
      <c r="F431" s="4">
        <v>3700</v>
      </c>
      <c r="G431" s="2" t="s">
        <v>42</v>
      </c>
      <c r="H431" s="2" t="s">
        <v>43</v>
      </c>
      <c r="I431" s="2" t="s">
        <v>983</v>
      </c>
      <c r="K431" s="2" t="s">
        <v>2218</v>
      </c>
      <c r="L431" s="2" t="s">
        <v>2219</v>
      </c>
      <c r="M431" s="2" t="s">
        <v>2220</v>
      </c>
      <c r="N431" s="2" t="s">
        <v>337</v>
      </c>
      <c r="O431" s="2" t="s">
        <v>1545</v>
      </c>
      <c r="P431" s="2" t="s">
        <v>987</v>
      </c>
      <c r="Q431" s="2" t="s">
        <v>1041</v>
      </c>
      <c r="S431" s="7" t="s">
        <v>5197</v>
      </c>
      <c r="T431" s="7" t="s">
        <v>5713</v>
      </c>
      <c r="U431" s="2" t="s">
        <v>6138</v>
      </c>
    </row>
    <row r="432" spans="1:21" ht="12.75" x14ac:dyDescent="0.2">
      <c r="A432" s="1">
        <v>44970.508224166668</v>
      </c>
      <c r="B432" s="2" t="s">
        <v>1540</v>
      </c>
      <c r="C432" s="2" t="s">
        <v>2221</v>
      </c>
      <c r="D432" s="2" t="s">
        <v>333</v>
      </c>
      <c r="E432" s="3">
        <v>44916</v>
      </c>
      <c r="F432" s="4">
        <v>2250</v>
      </c>
      <c r="G432" s="2" t="s">
        <v>42</v>
      </c>
      <c r="H432" s="2" t="s">
        <v>43</v>
      </c>
      <c r="I432" s="2" t="s">
        <v>983</v>
      </c>
      <c r="K432" s="2" t="s">
        <v>2222</v>
      </c>
      <c r="L432" s="2" t="s">
        <v>2223</v>
      </c>
      <c r="M432" s="2" t="s">
        <v>2224</v>
      </c>
      <c r="N432" s="2" t="s">
        <v>337</v>
      </c>
      <c r="O432" s="2" t="s">
        <v>1545</v>
      </c>
      <c r="P432" s="2" t="s">
        <v>987</v>
      </c>
      <c r="Q432" s="2" t="s">
        <v>1041</v>
      </c>
      <c r="S432" s="7" t="s">
        <v>5198</v>
      </c>
      <c r="T432" s="7" t="s">
        <v>5713</v>
      </c>
      <c r="U432" s="2" t="s">
        <v>6139</v>
      </c>
    </row>
    <row r="433" spans="1:21" ht="12.75" x14ac:dyDescent="0.2">
      <c r="A433" s="1">
        <v>44972.724730162037</v>
      </c>
      <c r="B433" s="2" t="s">
        <v>363</v>
      </c>
      <c r="C433" s="2" t="s">
        <v>2225</v>
      </c>
      <c r="D433" s="2" t="s">
        <v>333</v>
      </c>
      <c r="E433" s="3">
        <v>44972</v>
      </c>
      <c r="F433" s="4">
        <v>7830</v>
      </c>
      <c r="G433" s="2" t="s">
        <v>42</v>
      </c>
      <c r="H433" s="2" t="s">
        <v>43</v>
      </c>
      <c r="K433" s="2" t="s">
        <v>2226</v>
      </c>
      <c r="L433" s="2" t="s">
        <v>2227</v>
      </c>
      <c r="M433" s="2" t="s">
        <v>2228</v>
      </c>
      <c r="N433" s="2" t="s">
        <v>337</v>
      </c>
      <c r="O433" s="2" t="s">
        <v>368</v>
      </c>
      <c r="Q433" s="2" t="s">
        <v>1041</v>
      </c>
      <c r="S433" s="7" t="s">
        <v>5199</v>
      </c>
      <c r="T433" s="7" t="s">
        <v>5713</v>
      </c>
      <c r="U433" s="2" t="s">
        <v>6140</v>
      </c>
    </row>
    <row r="434" spans="1:21" ht="12.75" x14ac:dyDescent="0.2">
      <c r="A434" s="1">
        <v>44973.643023321754</v>
      </c>
      <c r="B434" s="2" t="s">
        <v>363</v>
      </c>
      <c r="C434" s="2" t="s">
        <v>2229</v>
      </c>
      <c r="D434" s="2" t="s">
        <v>333</v>
      </c>
      <c r="E434" s="3">
        <v>44972</v>
      </c>
      <c r="F434" s="4">
        <v>2585.8000000000002</v>
      </c>
      <c r="G434" s="2" t="s">
        <v>143</v>
      </c>
      <c r="H434" s="2" t="s">
        <v>43</v>
      </c>
      <c r="K434" s="2" t="s">
        <v>2230</v>
      </c>
      <c r="L434" s="2" t="s">
        <v>2231</v>
      </c>
      <c r="M434" s="2" t="s">
        <v>2232</v>
      </c>
      <c r="N434" s="2" t="s">
        <v>337</v>
      </c>
      <c r="O434" s="2" t="s">
        <v>368</v>
      </c>
      <c r="Q434" s="2" t="s">
        <v>1041</v>
      </c>
      <c r="S434" s="7" t="s">
        <v>5200</v>
      </c>
      <c r="T434" s="7" t="s">
        <v>5713</v>
      </c>
      <c r="U434" s="2" t="s">
        <v>6141</v>
      </c>
    </row>
    <row r="435" spans="1:21" ht="12.75" x14ac:dyDescent="0.2">
      <c r="A435" s="1">
        <v>44977.744515335653</v>
      </c>
      <c r="B435" s="2" t="s">
        <v>1007</v>
      </c>
      <c r="C435" s="2" t="s">
        <v>2233</v>
      </c>
      <c r="D435" s="2" t="s">
        <v>672</v>
      </c>
      <c r="E435" s="3">
        <v>44977</v>
      </c>
      <c r="F435" s="4">
        <v>1500</v>
      </c>
      <c r="G435" s="2" t="s">
        <v>42</v>
      </c>
      <c r="H435" s="2" t="s">
        <v>43</v>
      </c>
      <c r="I435" s="2" t="s">
        <v>1009</v>
      </c>
      <c r="K435" s="2" t="s">
        <v>2234</v>
      </c>
      <c r="L435" s="2" t="s">
        <v>2235</v>
      </c>
      <c r="M435" s="2" t="s">
        <v>2236</v>
      </c>
      <c r="N435" s="2" t="s">
        <v>676</v>
      </c>
      <c r="O435" s="2" t="s">
        <v>1013</v>
      </c>
      <c r="P435" s="2" t="s">
        <v>1014</v>
      </c>
      <c r="Q435" s="2" t="s">
        <v>50</v>
      </c>
      <c r="S435" s="7" t="s">
        <v>5201</v>
      </c>
      <c r="T435" s="7" t="s">
        <v>5713</v>
      </c>
      <c r="U435" s="2" t="s">
        <v>6142</v>
      </c>
    </row>
    <row r="436" spans="1:21" ht="12.75" x14ac:dyDescent="0.2">
      <c r="A436" s="1">
        <v>44978.566800057873</v>
      </c>
      <c r="B436" s="2" t="s">
        <v>2041</v>
      </c>
      <c r="C436" s="2" t="s">
        <v>2237</v>
      </c>
      <c r="D436" s="2" t="s">
        <v>333</v>
      </c>
      <c r="E436" s="3">
        <v>44973</v>
      </c>
      <c r="F436" s="4">
        <v>37410</v>
      </c>
      <c r="G436" s="2" t="s">
        <v>326</v>
      </c>
      <c r="H436" s="2" t="s">
        <v>43</v>
      </c>
      <c r="K436" s="2" t="s">
        <v>2238</v>
      </c>
      <c r="L436" s="2" t="s">
        <v>2239</v>
      </c>
      <c r="M436" s="2" t="s">
        <v>2240</v>
      </c>
      <c r="N436" s="2" t="s">
        <v>337</v>
      </c>
      <c r="O436" s="2" t="s">
        <v>2046</v>
      </c>
      <c r="Q436" s="2" t="s">
        <v>1041</v>
      </c>
      <c r="S436" s="7" t="s">
        <v>5202</v>
      </c>
      <c r="T436" s="7" t="s">
        <v>5713</v>
      </c>
      <c r="U436" s="2" t="s">
        <v>6143</v>
      </c>
    </row>
    <row r="437" spans="1:21" ht="12.75" x14ac:dyDescent="0.2">
      <c r="A437" s="1">
        <v>44978.762649652781</v>
      </c>
      <c r="B437" s="2" t="s">
        <v>438</v>
      </c>
      <c r="C437" s="2" t="s">
        <v>494</v>
      </c>
      <c r="D437" s="2" t="s">
        <v>333</v>
      </c>
      <c r="E437" s="3">
        <v>44978</v>
      </c>
      <c r="F437" s="4">
        <v>1610</v>
      </c>
      <c r="G437" s="2" t="s">
        <v>42</v>
      </c>
      <c r="H437" s="2" t="s">
        <v>43</v>
      </c>
      <c r="I437" s="2" t="s">
        <v>983</v>
      </c>
      <c r="K437" s="2" t="s">
        <v>2241</v>
      </c>
      <c r="L437" s="2" t="s">
        <v>2242</v>
      </c>
      <c r="M437" s="2" t="s">
        <v>2243</v>
      </c>
      <c r="N437" s="2" t="s">
        <v>337</v>
      </c>
      <c r="O437" s="2" t="s">
        <v>443</v>
      </c>
      <c r="P437" s="2" t="s">
        <v>987</v>
      </c>
      <c r="Q437" s="2" t="s">
        <v>50</v>
      </c>
      <c r="S437" s="7" t="s">
        <v>5203</v>
      </c>
      <c r="T437" s="7" t="s">
        <v>5713</v>
      </c>
      <c r="U437" s="2" t="s">
        <v>6144</v>
      </c>
    </row>
    <row r="438" spans="1:21" ht="12.75" x14ac:dyDescent="0.2">
      <c r="A438" s="1">
        <v>44986.682417256947</v>
      </c>
      <c r="B438" s="2" t="s">
        <v>651</v>
      </c>
      <c r="C438" s="2" t="s">
        <v>2244</v>
      </c>
      <c r="D438" s="2" t="s">
        <v>333</v>
      </c>
      <c r="E438" s="3">
        <v>44985</v>
      </c>
      <c r="F438" s="4">
        <v>7600</v>
      </c>
      <c r="G438" s="2" t="s">
        <v>326</v>
      </c>
      <c r="H438" s="2" t="s">
        <v>43</v>
      </c>
      <c r="K438" s="2" t="s">
        <v>2245</v>
      </c>
      <c r="L438" s="2" t="s">
        <v>2246</v>
      </c>
      <c r="M438" s="2" t="s">
        <v>2247</v>
      </c>
      <c r="N438" s="2" t="s">
        <v>337</v>
      </c>
      <c r="O438" s="2" t="s">
        <v>655</v>
      </c>
      <c r="Q438" s="2" t="s">
        <v>1041</v>
      </c>
      <c r="S438" s="7" t="s">
        <v>5204</v>
      </c>
      <c r="T438" s="7" t="s">
        <v>5713</v>
      </c>
      <c r="U438" s="2" t="s">
        <v>6145</v>
      </c>
    </row>
    <row r="439" spans="1:21" ht="12.75" x14ac:dyDescent="0.2">
      <c r="A439" s="1">
        <v>44994.571220613427</v>
      </c>
      <c r="B439" s="2" t="s">
        <v>120</v>
      </c>
      <c r="C439" s="2" t="s">
        <v>2248</v>
      </c>
      <c r="D439" s="2" t="s">
        <v>41</v>
      </c>
      <c r="E439" s="3">
        <v>44455</v>
      </c>
      <c r="F439" s="4">
        <v>31760</v>
      </c>
      <c r="G439" s="2" t="s">
        <v>42</v>
      </c>
      <c r="H439" s="2" t="s">
        <v>43</v>
      </c>
      <c r="J439" s="2" t="s">
        <v>2249</v>
      </c>
      <c r="K439" s="2" t="s">
        <v>2250</v>
      </c>
      <c r="L439" s="2" t="s">
        <v>2251</v>
      </c>
      <c r="M439" s="2" t="s">
        <v>2252</v>
      </c>
      <c r="N439" s="2" t="s">
        <v>48</v>
      </c>
      <c r="O439" s="2" t="s">
        <v>126</v>
      </c>
      <c r="Q439" s="2" t="s">
        <v>50</v>
      </c>
      <c r="S439" s="7" t="s">
        <v>5205</v>
      </c>
      <c r="T439" s="7" t="s">
        <v>5713</v>
      </c>
      <c r="U439" s="2" t="s">
        <v>6146</v>
      </c>
    </row>
    <row r="440" spans="1:21" ht="12.75" x14ac:dyDescent="0.2">
      <c r="A440" s="1">
        <v>44998.503967951387</v>
      </c>
      <c r="B440" s="2" t="s">
        <v>2253</v>
      </c>
      <c r="C440" s="2" t="s">
        <v>2254</v>
      </c>
      <c r="D440" s="2" t="s">
        <v>41</v>
      </c>
      <c r="E440" s="3">
        <v>44998</v>
      </c>
      <c r="F440" s="4">
        <v>188560</v>
      </c>
      <c r="G440" s="2" t="s">
        <v>42</v>
      </c>
      <c r="H440" s="2" t="s">
        <v>43</v>
      </c>
      <c r="J440" s="2" t="s">
        <v>2255</v>
      </c>
      <c r="K440" s="2" t="s">
        <v>2256</v>
      </c>
      <c r="L440" s="2" t="s">
        <v>2257</v>
      </c>
      <c r="M440" s="2" t="s">
        <v>2258</v>
      </c>
      <c r="N440" s="2" t="s">
        <v>48</v>
      </c>
      <c r="O440" s="2" t="s">
        <v>2259</v>
      </c>
      <c r="Q440" s="2" t="s">
        <v>50</v>
      </c>
      <c r="S440" s="7" t="s">
        <v>5206</v>
      </c>
      <c r="T440" s="7" t="s">
        <v>5713</v>
      </c>
      <c r="U440" s="2" t="s">
        <v>6147</v>
      </c>
    </row>
    <row r="441" spans="1:21" ht="12.75" x14ac:dyDescent="0.2">
      <c r="A441" s="1"/>
      <c r="B441" s="2"/>
      <c r="C441" s="2"/>
      <c r="D441" s="2"/>
      <c r="E441" s="3"/>
      <c r="F441" s="4"/>
      <c r="G441" s="2"/>
      <c r="H441" s="2"/>
      <c r="I441" s="2"/>
      <c r="K441" s="2"/>
      <c r="L441" s="2"/>
      <c r="M441" s="2"/>
      <c r="N441" s="2"/>
      <c r="O441" s="2"/>
      <c r="P441" s="2"/>
      <c r="Q441" s="2"/>
      <c r="R441" s="2"/>
      <c r="S441" s="7"/>
      <c r="T441" s="7"/>
      <c r="U441" s="2"/>
    </row>
    <row r="442" spans="1:21" ht="12.75" x14ac:dyDescent="0.2">
      <c r="A442" s="1">
        <v>45000.546143784726</v>
      </c>
      <c r="B442" s="2" t="s">
        <v>2264</v>
      </c>
      <c r="C442" s="2" t="s">
        <v>2265</v>
      </c>
      <c r="D442" s="2" t="s">
        <v>41</v>
      </c>
      <c r="E442" s="3">
        <v>44922</v>
      </c>
      <c r="F442" s="4">
        <v>210000</v>
      </c>
      <c r="G442" s="2" t="s">
        <v>42</v>
      </c>
      <c r="H442" s="2" t="s">
        <v>43</v>
      </c>
      <c r="J442" s="2" t="s">
        <v>2266</v>
      </c>
      <c r="K442" s="2" t="s">
        <v>2267</v>
      </c>
      <c r="L442" s="2" t="s">
        <v>2268</v>
      </c>
      <c r="M442" s="2" t="s">
        <v>2269</v>
      </c>
      <c r="N442" s="2" t="s">
        <v>48</v>
      </c>
      <c r="O442" s="2" t="s">
        <v>2270</v>
      </c>
      <c r="Q442" s="2" t="s">
        <v>1041</v>
      </c>
      <c r="S442" s="7" t="s">
        <v>5207</v>
      </c>
      <c r="T442" s="7" t="s">
        <v>5713</v>
      </c>
      <c r="U442" s="2" t="s">
        <v>6148</v>
      </c>
    </row>
    <row r="443" spans="1:21" ht="12.75" x14ac:dyDescent="0.2">
      <c r="A443" s="1">
        <v>45000.669789340274</v>
      </c>
      <c r="B443" s="2" t="s">
        <v>2271</v>
      </c>
      <c r="C443" s="2" t="s">
        <v>2272</v>
      </c>
      <c r="D443" s="2" t="s">
        <v>41</v>
      </c>
      <c r="E443" s="3">
        <v>44984</v>
      </c>
      <c r="F443" s="4">
        <v>238490</v>
      </c>
      <c r="G443" s="2" t="s">
        <v>42</v>
      </c>
      <c r="H443" s="2" t="s">
        <v>43</v>
      </c>
      <c r="J443" s="2" t="s">
        <v>2273</v>
      </c>
      <c r="K443" s="2" t="s">
        <v>2274</v>
      </c>
      <c r="L443" s="2" t="s">
        <v>2275</v>
      </c>
      <c r="M443" s="2" t="s">
        <v>2276</v>
      </c>
      <c r="N443" s="2" t="s">
        <v>48</v>
      </c>
      <c r="O443" s="2" t="s">
        <v>2277</v>
      </c>
      <c r="Q443" s="2" t="s">
        <v>1041</v>
      </c>
      <c r="S443" s="7" t="s">
        <v>5208</v>
      </c>
      <c r="T443" s="7" t="s">
        <v>5713</v>
      </c>
      <c r="U443" s="2" t="s">
        <v>6149</v>
      </c>
    </row>
    <row r="444" spans="1:21" ht="12.75" x14ac:dyDescent="0.2">
      <c r="A444" s="1">
        <v>45002.491396006946</v>
      </c>
      <c r="B444" s="2" t="s">
        <v>2278</v>
      </c>
      <c r="C444" s="2" t="s">
        <v>2279</v>
      </c>
      <c r="D444" s="2" t="s">
        <v>672</v>
      </c>
      <c r="E444" s="3">
        <v>45001</v>
      </c>
      <c r="F444" s="4">
        <v>520</v>
      </c>
      <c r="G444" s="2" t="s">
        <v>143</v>
      </c>
      <c r="H444" s="2" t="s">
        <v>43</v>
      </c>
      <c r="K444" s="2" t="s">
        <v>2280</v>
      </c>
      <c r="L444" s="2" t="s">
        <v>2281</v>
      </c>
      <c r="M444" s="2" t="s">
        <v>2282</v>
      </c>
      <c r="N444" s="2" t="s">
        <v>676</v>
      </c>
      <c r="O444" s="2" t="s">
        <v>1108</v>
      </c>
      <c r="Q444" s="2" t="s">
        <v>50</v>
      </c>
      <c r="S444" s="7" t="s">
        <v>5209</v>
      </c>
      <c r="T444" s="7" t="s">
        <v>5713</v>
      </c>
      <c r="U444" s="2" t="s">
        <v>6150</v>
      </c>
    </row>
    <row r="445" spans="1:21" ht="12.75" x14ac:dyDescent="0.2">
      <c r="A445" s="1">
        <v>45014.550738298611</v>
      </c>
      <c r="B445" s="2" t="s">
        <v>468</v>
      </c>
      <c r="C445" s="2" t="s">
        <v>2283</v>
      </c>
      <c r="D445" s="2" t="s">
        <v>333</v>
      </c>
      <c r="E445" s="3">
        <v>45013</v>
      </c>
      <c r="F445" s="4">
        <v>364528</v>
      </c>
      <c r="G445" s="2" t="s">
        <v>42</v>
      </c>
      <c r="H445" s="2" t="s">
        <v>43</v>
      </c>
      <c r="J445" s="2" t="s">
        <v>471</v>
      </c>
      <c r="K445" s="2" t="s">
        <v>2284</v>
      </c>
      <c r="L445" s="2" t="s">
        <v>2285</v>
      </c>
      <c r="M445" s="2" t="s">
        <v>2286</v>
      </c>
      <c r="N445" s="2" t="s">
        <v>337</v>
      </c>
      <c r="O445" s="2" t="s">
        <v>476</v>
      </c>
      <c r="Q445" s="2" t="s">
        <v>50</v>
      </c>
      <c r="S445" s="7" t="s">
        <v>5210</v>
      </c>
      <c r="T445" s="7" t="s">
        <v>5713</v>
      </c>
      <c r="U445" s="2" t="s">
        <v>6151</v>
      </c>
    </row>
    <row r="446" spans="1:21" ht="12.75" x14ac:dyDescent="0.2">
      <c r="A446" s="1">
        <v>45023.702880370372</v>
      </c>
      <c r="B446" s="2" t="s">
        <v>438</v>
      </c>
      <c r="C446" s="2" t="s">
        <v>2287</v>
      </c>
      <c r="D446" s="2" t="s">
        <v>333</v>
      </c>
      <c r="E446" s="3">
        <v>45021</v>
      </c>
      <c r="F446" s="4">
        <v>2500</v>
      </c>
      <c r="G446" s="2" t="s">
        <v>143</v>
      </c>
      <c r="H446" s="2" t="s">
        <v>43</v>
      </c>
      <c r="I446" s="2" t="s">
        <v>990</v>
      </c>
      <c r="K446" s="2" t="s">
        <v>2288</v>
      </c>
      <c r="L446" s="2" t="s">
        <v>2289</v>
      </c>
      <c r="M446" s="2" t="s">
        <v>2290</v>
      </c>
      <c r="N446" s="2" t="s">
        <v>337</v>
      </c>
      <c r="O446" s="2" t="s">
        <v>443</v>
      </c>
      <c r="P446" s="2" t="s">
        <v>995</v>
      </c>
      <c r="Q446" s="2" t="s">
        <v>1041</v>
      </c>
      <c r="S446" s="7" t="s">
        <v>5211</v>
      </c>
      <c r="T446" s="7" t="s">
        <v>5713</v>
      </c>
      <c r="U446" s="2" t="s">
        <v>6152</v>
      </c>
    </row>
    <row r="447" spans="1:21" ht="12.75" x14ac:dyDescent="0.2">
      <c r="A447" s="1">
        <v>45026.498028622686</v>
      </c>
      <c r="B447" s="2" t="s">
        <v>2291</v>
      </c>
      <c r="C447" s="2" t="s">
        <v>2292</v>
      </c>
      <c r="D447" s="2" t="s">
        <v>333</v>
      </c>
      <c r="E447" s="3">
        <v>44922</v>
      </c>
      <c r="F447" s="4">
        <v>14300</v>
      </c>
      <c r="G447" s="2" t="s">
        <v>326</v>
      </c>
      <c r="H447" s="2" t="s">
        <v>43</v>
      </c>
      <c r="K447" s="2" t="s">
        <v>2293</v>
      </c>
      <c r="L447" s="2" t="s">
        <v>2294</v>
      </c>
      <c r="M447" s="2" t="s">
        <v>2295</v>
      </c>
      <c r="N447" s="2" t="s">
        <v>337</v>
      </c>
      <c r="O447" s="2" t="s">
        <v>2296</v>
      </c>
      <c r="Q447" s="2" t="s">
        <v>1041</v>
      </c>
      <c r="S447" s="7" t="s">
        <v>5212</v>
      </c>
      <c r="T447" s="7" t="s">
        <v>5713</v>
      </c>
      <c r="U447" s="2" t="s">
        <v>6153</v>
      </c>
    </row>
    <row r="448" spans="1:21" ht="12.75" x14ac:dyDescent="0.2">
      <c r="A448" s="1">
        <v>45027.868203657403</v>
      </c>
      <c r="B448" s="2" t="s">
        <v>438</v>
      </c>
      <c r="C448" s="2" t="s">
        <v>2297</v>
      </c>
      <c r="D448" s="2" t="s">
        <v>333</v>
      </c>
      <c r="E448" s="3">
        <v>44986</v>
      </c>
      <c r="F448" s="4">
        <v>54875</v>
      </c>
      <c r="G448" s="2" t="s">
        <v>42</v>
      </c>
      <c r="H448" s="2" t="s">
        <v>43</v>
      </c>
      <c r="I448" s="2" t="s">
        <v>990</v>
      </c>
      <c r="K448" s="2" t="s">
        <v>2298</v>
      </c>
      <c r="L448" s="2" t="s">
        <v>2299</v>
      </c>
      <c r="M448" s="2" t="s">
        <v>2300</v>
      </c>
      <c r="N448" s="2" t="s">
        <v>337</v>
      </c>
      <c r="O448" s="2" t="s">
        <v>443</v>
      </c>
      <c r="P448" s="2" t="s">
        <v>995</v>
      </c>
      <c r="Q448" s="2" t="s">
        <v>50</v>
      </c>
      <c r="S448" s="7" t="s">
        <v>5213</v>
      </c>
      <c r="T448" s="7" t="s">
        <v>5713</v>
      </c>
      <c r="U448" s="2" t="s">
        <v>6154</v>
      </c>
    </row>
    <row r="449" spans="1:21" ht="12.75" x14ac:dyDescent="0.2">
      <c r="A449" s="1">
        <v>45031.980880925927</v>
      </c>
      <c r="B449" s="2" t="s">
        <v>2301</v>
      </c>
      <c r="C449" s="2" t="s">
        <v>2302</v>
      </c>
      <c r="D449" s="2" t="s">
        <v>1258</v>
      </c>
      <c r="E449" s="3">
        <v>44057</v>
      </c>
      <c r="F449" s="4">
        <v>500</v>
      </c>
      <c r="G449" s="2" t="s">
        <v>143</v>
      </c>
      <c r="H449" s="2" t="s">
        <v>43</v>
      </c>
      <c r="K449" s="2" t="s">
        <v>2303</v>
      </c>
      <c r="L449" s="2" t="s">
        <v>2304</v>
      </c>
      <c r="M449" s="2" t="s">
        <v>2305</v>
      </c>
      <c r="N449" s="2" t="s">
        <v>1263</v>
      </c>
      <c r="O449" s="2" t="s">
        <v>2306</v>
      </c>
      <c r="Q449" s="2" t="s">
        <v>50</v>
      </c>
      <c r="S449" s="7" t="s">
        <v>5214</v>
      </c>
      <c r="T449" s="7" t="s">
        <v>5713</v>
      </c>
      <c r="U449" s="2" t="s">
        <v>6155</v>
      </c>
    </row>
    <row r="450" spans="1:21" ht="12.75" x14ac:dyDescent="0.2">
      <c r="A450" s="1">
        <v>45034.532050972222</v>
      </c>
      <c r="B450" s="2" t="s">
        <v>2178</v>
      </c>
      <c r="C450" s="2" t="s">
        <v>2307</v>
      </c>
      <c r="D450" s="2" t="s">
        <v>223</v>
      </c>
      <c r="E450" s="3">
        <v>44927</v>
      </c>
      <c r="F450" s="4">
        <v>400</v>
      </c>
      <c r="G450" s="2" t="s">
        <v>143</v>
      </c>
      <c r="H450" s="2" t="s">
        <v>43</v>
      </c>
      <c r="I450" s="2" t="s">
        <v>1009</v>
      </c>
      <c r="J450" s="2" t="s">
        <v>2308</v>
      </c>
      <c r="K450" s="2" t="s">
        <v>2309</v>
      </c>
      <c r="L450" s="2" t="s">
        <v>2310</v>
      </c>
      <c r="M450" s="2" t="s">
        <v>2311</v>
      </c>
      <c r="N450" s="2" t="s">
        <v>228</v>
      </c>
      <c r="O450" s="2" t="s">
        <v>2183</v>
      </c>
      <c r="P450" s="2" t="s">
        <v>1014</v>
      </c>
      <c r="Q450" s="2" t="s">
        <v>1041</v>
      </c>
      <c r="S450" s="7" t="s">
        <v>5215</v>
      </c>
      <c r="T450" s="7" t="s">
        <v>5713</v>
      </c>
      <c r="U450" s="2" t="s">
        <v>6156</v>
      </c>
    </row>
    <row r="451" spans="1:21" ht="12.75" x14ac:dyDescent="0.2">
      <c r="A451" s="1">
        <v>45034.748766342593</v>
      </c>
      <c r="B451" s="2" t="s">
        <v>102</v>
      </c>
      <c r="C451" s="2" t="s">
        <v>2312</v>
      </c>
      <c r="D451" s="2" t="s">
        <v>41</v>
      </c>
      <c r="E451" s="3">
        <v>44426</v>
      </c>
      <c r="F451" s="4">
        <v>400</v>
      </c>
      <c r="G451" s="2" t="s">
        <v>42</v>
      </c>
      <c r="H451" s="2" t="s">
        <v>43</v>
      </c>
      <c r="K451" s="2" t="s">
        <v>2313</v>
      </c>
      <c r="L451" s="2" t="s">
        <v>2314</v>
      </c>
      <c r="M451" s="2" t="s">
        <v>2315</v>
      </c>
      <c r="N451" s="2" t="s">
        <v>48</v>
      </c>
      <c r="O451" s="2" t="s">
        <v>107</v>
      </c>
      <c r="Q451" s="2" t="s">
        <v>1041</v>
      </c>
      <c r="S451" s="7" t="s">
        <v>5216</v>
      </c>
      <c r="T451" s="7" t="s">
        <v>5713</v>
      </c>
      <c r="U451" s="2" t="s">
        <v>6157</v>
      </c>
    </row>
    <row r="452" spans="1:21" ht="12.75" x14ac:dyDescent="0.2">
      <c r="A452" s="1">
        <v>45035.854097465279</v>
      </c>
      <c r="B452" s="2" t="s">
        <v>1496</v>
      </c>
      <c r="C452" s="2" t="s">
        <v>2316</v>
      </c>
      <c r="D452" s="2" t="s">
        <v>41</v>
      </c>
      <c r="E452" s="3">
        <v>45017</v>
      </c>
      <c r="F452" s="4">
        <v>62400</v>
      </c>
      <c r="G452" s="2" t="s">
        <v>42</v>
      </c>
      <c r="H452" s="2" t="s">
        <v>43</v>
      </c>
      <c r="I452" s="2" t="s">
        <v>965</v>
      </c>
      <c r="K452" s="2" t="s">
        <v>2317</v>
      </c>
      <c r="L452" s="2" t="s">
        <v>2318</v>
      </c>
      <c r="M452" s="2" t="s">
        <v>2319</v>
      </c>
      <c r="N452" s="2" t="s">
        <v>48</v>
      </c>
      <c r="O452" s="2" t="s">
        <v>1502</v>
      </c>
      <c r="P452" s="2" t="s">
        <v>971</v>
      </c>
      <c r="Q452" s="2" t="s">
        <v>50</v>
      </c>
      <c r="S452" s="7" t="s">
        <v>5217</v>
      </c>
      <c r="T452" s="7" t="s">
        <v>5713</v>
      </c>
      <c r="U452" s="2" t="s">
        <v>6158</v>
      </c>
    </row>
    <row r="453" spans="1:21" ht="12.75" x14ac:dyDescent="0.2">
      <c r="A453" s="1">
        <v>45035.8776840625</v>
      </c>
      <c r="B453" s="2" t="s">
        <v>2320</v>
      </c>
      <c r="C453" s="2" t="s">
        <v>2321</v>
      </c>
      <c r="D453" s="2" t="s">
        <v>41</v>
      </c>
      <c r="E453" s="3">
        <v>45017</v>
      </c>
      <c r="F453" s="4">
        <v>38160</v>
      </c>
      <c r="G453" s="2" t="s">
        <v>42</v>
      </c>
      <c r="H453" s="2" t="s">
        <v>43</v>
      </c>
      <c r="J453" s="2" t="s">
        <v>2322</v>
      </c>
      <c r="K453" s="2" t="s">
        <v>2323</v>
      </c>
      <c r="L453" s="2" t="s">
        <v>2324</v>
      </c>
      <c r="M453" s="2" t="s">
        <v>2325</v>
      </c>
      <c r="N453" s="2" t="s">
        <v>48</v>
      </c>
      <c r="O453" s="2" t="s">
        <v>2326</v>
      </c>
      <c r="Q453" s="2" t="s">
        <v>50</v>
      </c>
      <c r="S453" s="7" t="s">
        <v>5218</v>
      </c>
      <c r="T453" s="7" t="s">
        <v>5713</v>
      </c>
      <c r="U453" s="2" t="s">
        <v>6159</v>
      </c>
    </row>
    <row r="454" spans="1:21" ht="12.75" x14ac:dyDescent="0.2">
      <c r="A454" s="1">
        <v>45037.688120659717</v>
      </c>
      <c r="B454" s="2" t="s">
        <v>363</v>
      </c>
      <c r="C454" s="2" t="s">
        <v>2327</v>
      </c>
      <c r="D454" s="2" t="s">
        <v>333</v>
      </c>
      <c r="E454" s="3">
        <v>45035</v>
      </c>
      <c r="F454" s="4">
        <v>413</v>
      </c>
      <c r="G454" s="2" t="s">
        <v>42</v>
      </c>
      <c r="H454" s="2" t="s">
        <v>43</v>
      </c>
      <c r="K454" s="2" t="s">
        <v>2328</v>
      </c>
      <c r="L454" s="2" t="s">
        <v>2329</v>
      </c>
      <c r="M454" s="2" t="s">
        <v>2330</v>
      </c>
      <c r="N454" s="2" t="s">
        <v>337</v>
      </c>
      <c r="O454" s="2" t="s">
        <v>368</v>
      </c>
      <c r="Q454" s="2" t="s">
        <v>1041</v>
      </c>
      <c r="S454" s="7" t="s">
        <v>5219</v>
      </c>
      <c r="T454" s="7" t="s">
        <v>5713</v>
      </c>
      <c r="U454" s="2" t="s">
        <v>6160</v>
      </c>
    </row>
    <row r="455" spans="1:21" ht="12.75" x14ac:dyDescent="0.2">
      <c r="A455" s="1">
        <v>45039.753452314813</v>
      </c>
      <c r="B455" s="2" t="s">
        <v>2264</v>
      </c>
      <c r="C455" s="2" t="s">
        <v>2331</v>
      </c>
      <c r="D455" s="2" t="s">
        <v>41</v>
      </c>
      <c r="E455" s="3">
        <v>44986</v>
      </c>
      <c r="F455" s="4">
        <v>255000</v>
      </c>
      <c r="G455" s="2" t="s">
        <v>42</v>
      </c>
      <c r="H455" s="2" t="s">
        <v>43</v>
      </c>
      <c r="J455" s="2" t="s">
        <v>2332</v>
      </c>
      <c r="K455" s="2" t="s">
        <v>2333</v>
      </c>
      <c r="L455" s="2" t="s">
        <v>2334</v>
      </c>
      <c r="M455" s="2" t="s">
        <v>2335</v>
      </c>
      <c r="N455" s="2" t="s">
        <v>48</v>
      </c>
      <c r="O455" s="2" t="s">
        <v>2270</v>
      </c>
      <c r="Q455" s="2" t="s">
        <v>50</v>
      </c>
      <c r="S455" s="7" t="s">
        <v>5220</v>
      </c>
      <c r="T455" s="7" t="s">
        <v>5713</v>
      </c>
      <c r="U455" s="2" t="s">
        <v>6161</v>
      </c>
    </row>
    <row r="456" spans="1:21" ht="12.75" x14ac:dyDescent="0.2">
      <c r="A456" s="1">
        <v>45040.578250208331</v>
      </c>
      <c r="B456" s="2" t="s">
        <v>2336</v>
      </c>
      <c r="C456" s="2" t="s">
        <v>2337</v>
      </c>
      <c r="D456" s="2" t="s">
        <v>41</v>
      </c>
      <c r="E456" s="3">
        <v>45037</v>
      </c>
      <c r="F456" s="4">
        <v>33810</v>
      </c>
      <c r="G456" s="2" t="s">
        <v>42</v>
      </c>
      <c r="H456" s="2" t="s">
        <v>43</v>
      </c>
      <c r="J456" s="2" t="s">
        <v>2338</v>
      </c>
      <c r="K456" s="2" t="s">
        <v>2339</v>
      </c>
      <c r="L456" s="2" t="s">
        <v>2340</v>
      </c>
      <c r="M456" s="2" t="s">
        <v>2341</v>
      </c>
      <c r="N456" s="2" t="s">
        <v>48</v>
      </c>
      <c r="O456" s="2" t="s">
        <v>2342</v>
      </c>
      <c r="Q456" s="2" t="s">
        <v>1041</v>
      </c>
      <c r="S456" s="7" t="s">
        <v>5221</v>
      </c>
      <c r="T456" s="7" t="s">
        <v>5713</v>
      </c>
      <c r="U456" s="2" t="s">
        <v>6162</v>
      </c>
    </row>
    <row r="457" spans="1:21" ht="12.75" x14ac:dyDescent="0.2">
      <c r="A457" s="1">
        <v>45043.728303171301</v>
      </c>
      <c r="B457" s="2" t="s">
        <v>2343</v>
      </c>
      <c r="C457" s="2" t="s">
        <v>2344</v>
      </c>
      <c r="D457" s="2" t="s">
        <v>41</v>
      </c>
      <c r="E457" s="3">
        <v>45013</v>
      </c>
      <c r="F457" s="4">
        <v>305000</v>
      </c>
      <c r="G457" s="2" t="s">
        <v>42</v>
      </c>
      <c r="H457" s="2" t="s">
        <v>43</v>
      </c>
      <c r="J457" s="2" t="s">
        <v>2345</v>
      </c>
      <c r="K457" s="2" t="s">
        <v>2346</v>
      </c>
      <c r="L457" s="2" t="s">
        <v>2347</v>
      </c>
      <c r="M457" s="2" t="s">
        <v>2348</v>
      </c>
      <c r="N457" s="2" t="s">
        <v>48</v>
      </c>
      <c r="O457" s="2" t="s">
        <v>2349</v>
      </c>
      <c r="Q457" s="2" t="s">
        <v>1041</v>
      </c>
      <c r="S457" s="7" t="s">
        <v>5222</v>
      </c>
      <c r="T457" s="7" t="s">
        <v>5713</v>
      </c>
      <c r="U457" s="2" t="s">
        <v>6163</v>
      </c>
    </row>
    <row r="458" spans="1:21" ht="12.75" x14ac:dyDescent="0.2">
      <c r="A458" s="1">
        <v>45047.810113750005</v>
      </c>
      <c r="B458" s="2" t="s">
        <v>2350</v>
      </c>
      <c r="C458" s="2" t="s">
        <v>2351</v>
      </c>
      <c r="D458" s="2" t="s">
        <v>1170</v>
      </c>
      <c r="E458" s="3">
        <v>44965</v>
      </c>
      <c r="F458" s="4">
        <v>5300</v>
      </c>
      <c r="G458" s="2" t="s">
        <v>143</v>
      </c>
      <c r="H458" s="2" t="s">
        <v>43</v>
      </c>
      <c r="K458" s="2" t="s">
        <v>2352</v>
      </c>
      <c r="L458" s="2" t="s">
        <v>2353</v>
      </c>
      <c r="M458" s="2" t="s">
        <v>2354</v>
      </c>
      <c r="N458" s="2" t="s">
        <v>1174</v>
      </c>
      <c r="O458" s="2" t="s">
        <v>2355</v>
      </c>
      <c r="Q458" s="2" t="s">
        <v>50</v>
      </c>
      <c r="S458" s="7" t="s">
        <v>5223</v>
      </c>
      <c r="T458" s="7" t="s">
        <v>5713</v>
      </c>
      <c r="U458" s="2" t="s">
        <v>6164</v>
      </c>
    </row>
    <row r="459" spans="1:21" ht="12.75" x14ac:dyDescent="0.2">
      <c r="A459" s="1">
        <v>45048.635468425928</v>
      </c>
      <c r="B459" s="2" t="s">
        <v>120</v>
      </c>
      <c r="C459" s="2" t="s">
        <v>2356</v>
      </c>
      <c r="D459" s="2" t="s">
        <v>41</v>
      </c>
      <c r="E459" s="3">
        <v>44886</v>
      </c>
      <c r="F459" s="4">
        <v>12340</v>
      </c>
      <c r="G459" s="2" t="s">
        <v>42</v>
      </c>
      <c r="H459" s="2" t="s">
        <v>43</v>
      </c>
      <c r="K459" s="2" t="s">
        <v>2357</v>
      </c>
      <c r="L459" s="2" t="s">
        <v>2358</v>
      </c>
      <c r="M459" s="2" t="s">
        <v>2359</v>
      </c>
      <c r="N459" s="2" t="s">
        <v>48</v>
      </c>
      <c r="O459" s="2" t="s">
        <v>126</v>
      </c>
      <c r="Q459" s="2" t="s">
        <v>1041</v>
      </c>
      <c r="S459" s="7" t="s">
        <v>5224</v>
      </c>
      <c r="T459" s="7" t="s">
        <v>5713</v>
      </c>
      <c r="U459" s="2" t="s">
        <v>6165</v>
      </c>
    </row>
    <row r="460" spans="1:21" ht="12.75" x14ac:dyDescent="0.2">
      <c r="A460" s="1">
        <v>45051.695444189812</v>
      </c>
      <c r="B460" s="2" t="s">
        <v>1853</v>
      </c>
      <c r="C460" s="2" t="s">
        <v>2360</v>
      </c>
      <c r="D460" s="2" t="s">
        <v>333</v>
      </c>
      <c r="E460" s="3">
        <v>45047</v>
      </c>
      <c r="F460" s="4">
        <v>387000</v>
      </c>
      <c r="G460" s="2" t="s">
        <v>42</v>
      </c>
      <c r="H460" s="2" t="s">
        <v>43</v>
      </c>
      <c r="J460" s="2" t="s">
        <v>2361</v>
      </c>
      <c r="K460" s="2" t="s">
        <v>2362</v>
      </c>
      <c r="L460" s="2" t="s">
        <v>2363</v>
      </c>
      <c r="M460" s="2" t="s">
        <v>2364</v>
      </c>
      <c r="N460" s="2" t="s">
        <v>337</v>
      </c>
      <c r="O460" s="2" t="s">
        <v>1859</v>
      </c>
      <c r="Q460" s="2" t="s">
        <v>50</v>
      </c>
      <c r="S460" s="7" t="s">
        <v>5225</v>
      </c>
      <c r="T460" s="7" t="s">
        <v>5713</v>
      </c>
      <c r="U460" s="2" t="s">
        <v>6166</v>
      </c>
    </row>
    <row r="461" spans="1:21" ht="12.75" x14ac:dyDescent="0.2">
      <c r="A461" s="1">
        <v>45057.79871268518</v>
      </c>
      <c r="B461" s="2" t="s">
        <v>2098</v>
      </c>
      <c r="C461" s="2" t="s">
        <v>2365</v>
      </c>
      <c r="D461" s="2" t="s">
        <v>910</v>
      </c>
      <c r="E461" s="3">
        <v>45057</v>
      </c>
      <c r="F461" s="4">
        <v>81108</v>
      </c>
      <c r="G461" s="2" t="s">
        <v>143</v>
      </c>
      <c r="H461" s="2" t="s">
        <v>43</v>
      </c>
      <c r="J461" s="2" t="s">
        <v>2366</v>
      </c>
      <c r="K461" s="2" t="s">
        <v>2367</v>
      </c>
      <c r="L461" s="2" t="s">
        <v>2368</v>
      </c>
      <c r="M461" s="2" t="s">
        <v>2369</v>
      </c>
      <c r="N461" s="2" t="s">
        <v>915</v>
      </c>
      <c r="O461" s="2" t="s">
        <v>2103</v>
      </c>
      <c r="Q461" s="2" t="s">
        <v>50</v>
      </c>
      <c r="S461" s="7" t="s">
        <v>5226</v>
      </c>
      <c r="T461" s="7" t="s">
        <v>5713</v>
      </c>
      <c r="U461" s="2" t="s">
        <v>6167</v>
      </c>
    </row>
    <row r="462" spans="1:21" ht="12.75" x14ac:dyDescent="0.2">
      <c r="A462" s="1">
        <v>45061.609838344906</v>
      </c>
      <c r="B462" s="2" t="s">
        <v>2370</v>
      </c>
      <c r="C462" s="2" t="s">
        <v>2371</v>
      </c>
      <c r="D462" s="2" t="s">
        <v>333</v>
      </c>
      <c r="E462" s="3">
        <v>45047</v>
      </c>
      <c r="F462" s="4">
        <v>5565</v>
      </c>
      <c r="G462" s="2" t="s">
        <v>42</v>
      </c>
      <c r="H462" s="2" t="s">
        <v>43</v>
      </c>
      <c r="K462" s="2" t="s">
        <v>2372</v>
      </c>
      <c r="L462" s="2" t="s">
        <v>2373</v>
      </c>
      <c r="M462" s="2" t="s">
        <v>2374</v>
      </c>
      <c r="N462" s="2" t="s">
        <v>337</v>
      </c>
      <c r="O462" s="2" t="s">
        <v>2375</v>
      </c>
      <c r="Q462" s="2" t="s">
        <v>50</v>
      </c>
      <c r="S462" s="7" t="s">
        <v>5227</v>
      </c>
      <c r="T462" s="7" t="s">
        <v>5713</v>
      </c>
      <c r="U462" s="2" t="s">
        <v>6168</v>
      </c>
    </row>
    <row r="463" spans="1:21" ht="12.75" x14ac:dyDescent="0.2">
      <c r="A463" s="1">
        <v>45068.564442962961</v>
      </c>
      <c r="B463" s="2" t="s">
        <v>2376</v>
      </c>
      <c r="C463" s="2" t="s">
        <v>2371</v>
      </c>
      <c r="D463" s="2" t="s">
        <v>333</v>
      </c>
      <c r="E463" s="3">
        <v>45065</v>
      </c>
      <c r="F463" s="4">
        <v>7675</v>
      </c>
      <c r="G463" s="2" t="s">
        <v>42</v>
      </c>
      <c r="H463" s="2" t="s">
        <v>43</v>
      </c>
      <c r="I463" s="2" t="s">
        <v>1003</v>
      </c>
      <c r="K463" s="2" t="s">
        <v>2377</v>
      </c>
      <c r="L463" s="2" t="s">
        <v>2378</v>
      </c>
      <c r="M463" s="2" t="s">
        <v>2379</v>
      </c>
      <c r="N463" s="2" t="s">
        <v>337</v>
      </c>
      <c r="O463" s="2" t="s">
        <v>2380</v>
      </c>
      <c r="P463" s="2" t="s">
        <v>1006</v>
      </c>
      <c r="Q463" s="2" t="s">
        <v>1041</v>
      </c>
      <c r="S463" s="7" t="s">
        <v>5228</v>
      </c>
      <c r="T463" s="7" t="s">
        <v>5713</v>
      </c>
      <c r="U463" s="2" t="s">
        <v>6169</v>
      </c>
    </row>
    <row r="464" spans="1:21" ht="12.75" x14ac:dyDescent="0.2">
      <c r="A464" s="1">
        <v>45068.743064965282</v>
      </c>
      <c r="B464" s="2" t="s">
        <v>438</v>
      </c>
      <c r="C464" s="2" t="s">
        <v>2381</v>
      </c>
      <c r="D464" s="2" t="s">
        <v>910</v>
      </c>
      <c r="E464" s="3">
        <v>45064</v>
      </c>
      <c r="F464" s="4">
        <v>800</v>
      </c>
      <c r="G464" s="2" t="s">
        <v>143</v>
      </c>
      <c r="H464" s="2" t="s">
        <v>43</v>
      </c>
      <c r="I464" s="2" t="s">
        <v>983</v>
      </c>
      <c r="K464" s="2" t="s">
        <v>2382</v>
      </c>
      <c r="L464" s="2" t="s">
        <v>2383</v>
      </c>
      <c r="M464" s="2" t="s">
        <v>2384</v>
      </c>
      <c r="N464" s="2" t="s">
        <v>915</v>
      </c>
      <c r="O464" s="2" t="s">
        <v>443</v>
      </c>
      <c r="P464" s="2" t="s">
        <v>987</v>
      </c>
      <c r="Q464" s="2" t="s">
        <v>1041</v>
      </c>
      <c r="S464" s="7" t="s">
        <v>5229</v>
      </c>
      <c r="T464" s="7" t="s">
        <v>5713</v>
      </c>
      <c r="U464" s="2" t="s">
        <v>6170</v>
      </c>
    </row>
    <row r="465" spans="1:21" ht="12.75" x14ac:dyDescent="0.2">
      <c r="A465" s="1">
        <v>45069.502779930554</v>
      </c>
      <c r="B465" s="2" t="s">
        <v>2385</v>
      </c>
      <c r="C465" s="2" t="s">
        <v>2386</v>
      </c>
      <c r="D465" s="2" t="s">
        <v>41</v>
      </c>
      <c r="E465" s="3">
        <v>45063</v>
      </c>
      <c r="F465" s="4">
        <v>102560</v>
      </c>
      <c r="G465" s="2" t="s">
        <v>42</v>
      </c>
      <c r="H465" s="2" t="s">
        <v>43</v>
      </c>
      <c r="I465" s="2" t="s">
        <v>965</v>
      </c>
      <c r="J465" s="2" t="s">
        <v>2387</v>
      </c>
      <c r="K465" s="2" t="s">
        <v>2388</v>
      </c>
      <c r="L465" s="2" t="s">
        <v>2389</v>
      </c>
      <c r="M465" s="2" t="s">
        <v>2390</v>
      </c>
      <c r="N465" s="2" t="s">
        <v>48</v>
      </c>
      <c r="O465" s="2" t="s">
        <v>2391</v>
      </c>
      <c r="P465" s="2" t="s">
        <v>971</v>
      </c>
      <c r="Q465" s="2" t="s">
        <v>1041</v>
      </c>
      <c r="S465" s="7" t="s">
        <v>5230</v>
      </c>
      <c r="T465" s="7" t="s">
        <v>5713</v>
      </c>
      <c r="U465" s="2" t="s">
        <v>6171</v>
      </c>
    </row>
    <row r="466" spans="1:21" ht="12.75" x14ac:dyDescent="0.2">
      <c r="A466" s="1">
        <v>45075.516153472221</v>
      </c>
      <c r="B466" s="2" t="s">
        <v>363</v>
      </c>
      <c r="C466" s="2" t="s">
        <v>2392</v>
      </c>
      <c r="D466" s="2" t="s">
        <v>333</v>
      </c>
      <c r="E466" s="3">
        <v>45068</v>
      </c>
      <c r="F466" s="4">
        <v>2260</v>
      </c>
      <c r="G466" s="2" t="s">
        <v>42</v>
      </c>
      <c r="H466" s="2" t="s">
        <v>43</v>
      </c>
      <c r="K466" s="2" t="s">
        <v>2393</v>
      </c>
      <c r="L466" s="2" t="s">
        <v>2394</v>
      </c>
      <c r="M466" s="2" t="s">
        <v>2395</v>
      </c>
      <c r="N466" s="2" t="s">
        <v>337</v>
      </c>
      <c r="O466" s="2" t="s">
        <v>368</v>
      </c>
      <c r="Q466" s="2" t="s">
        <v>1041</v>
      </c>
      <c r="S466" s="7" t="s">
        <v>5231</v>
      </c>
      <c r="T466" s="7" t="s">
        <v>5713</v>
      </c>
      <c r="U466" s="2" t="s">
        <v>6172</v>
      </c>
    </row>
    <row r="467" spans="1:21" ht="12.75" x14ac:dyDescent="0.2">
      <c r="A467" s="1">
        <v>45085.566913344912</v>
      </c>
      <c r="B467" s="2" t="s">
        <v>2396</v>
      </c>
      <c r="C467" s="2" t="s">
        <v>2397</v>
      </c>
      <c r="D467" s="2" t="s">
        <v>333</v>
      </c>
      <c r="E467" s="3">
        <v>45083</v>
      </c>
      <c r="F467" s="4">
        <v>51640</v>
      </c>
      <c r="G467" s="2" t="s">
        <v>42</v>
      </c>
      <c r="H467" s="2" t="s">
        <v>43</v>
      </c>
      <c r="I467" s="2" t="s">
        <v>1003</v>
      </c>
      <c r="K467" s="2" t="s">
        <v>2398</v>
      </c>
      <c r="L467" s="2" t="s">
        <v>2399</v>
      </c>
      <c r="M467" s="2" t="s">
        <v>2400</v>
      </c>
      <c r="N467" s="2" t="s">
        <v>337</v>
      </c>
      <c r="O467" s="2" t="s">
        <v>2401</v>
      </c>
      <c r="P467" s="2" t="s">
        <v>1006</v>
      </c>
      <c r="Q467" s="2" t="s">
        <v>1041</v>
      </c>
      <c r="S467" s="7" t="s">
        <v>5232</v>
      </c>
      <c r="T467" s="7" t="s">
        <v>5713</v>
      </c>
      <c r="U467" s="2" t="s">
        <v>6173</v>
      </c>
    </row>
    <row r="468" spans="1:21" ht="12.75" x14ac:dyDescent="0.2">
      <c r="A468" s="1">
        <v>45100.565674988422</v>
      </c>
      <c r="B468" s="2" t="s">
        <v>2402</v>
      </c>
      <c r="C468" s="2" t="s">
        <v>2403</v>
      </c>
      <c r="D468" s="2" t="s">
        <v>41</v>
      </c>
      <c r="E468" s="3">
        <v>45091</v>
      </c>
      <c r="F468" s="4">
        <v>48750</v>
      </c>
      <c r="G468" s="2" t="s">
        <v>42</v>
      </c>
      <c r="H468" s="2" t="s">
        <v>43</v>
      </c>
      <c r="J468" s="2" t="s">
        <v>2404</v>
      </c>
      <c r="K468" s="2" t="s">
        <v>2405</v>
      </c>
      <c r="L468" s="2" t="s">
        <v>2406</v>
      </c>
      <c r="M468" s="2" t="s">
        <v>2407</v>
      </c>
      <c r="N468" s="2" t="s">
        <v>48</v>
      </c>
      <c r="O468" s="2" t="s">
        <v>2408</v>
      </c>
      <c r="Q468" s="2" t="s">
        <v>1041</v>
      </c>
      <c r="S468" s="7" t="s">
        <v>5233</v>
      </c>
      <c r="T468" s="7" t="s">
        <v>5713</v>
      </c>
      <c r="U468" s="2" t="s">
        <v>6174</v>
      </c>
    </row>
    <row r="469" spans="1:21" ht="12.75" x14ac:dyDescent="0.2">
      <c r="A469" s="1">
        <v>45100.565674988422</v>
      </c>
      <c r="B469" s="2" t="s">
        <v>468</v>
      </c>
      <c r="C469" s="2" t="s">
        <v>2409</v>
      </c>
      <c r="D469" s="2" t="s">
        <v>333</v>
      </c>
      <c r="E469" s="3">
        <v>45099</v>
      </c>
      <c r="F469" s="4">
        <v>25952.639999999999</v>
      </c>
      <c r="G469" s="2" t="s">
        <v>143</v>
      </c>
      <c r="H469" s="2" t="s">
        <v>43</v>
      </c>
      <c r="J469" s="2" t="s">
        <v>1459</v>
      </c>
      <c r="K469" s="2" t="s">
        <v>2410</v>
      </c>
      <c r="L469" s="2" t="s">
        <v>2411</v>
      </c>
      <c r="M469" s="2" t="s">
        <v>2412</v>
      </c>
      <c r="N469" s="2" t="s">
        <v>337</v>
      </c>
      <c r="O469" s="2" t="s">
        <v>476</v>
      </c>
      <c r="Q469" s="2" t="s">
        <v>1041</v>
      </c>
      <c r="S469" s="7" t="s">
        <v>5234</v>
      </c>
      <c r="T469" s="7" t="s">
        <v>5713</v>
      </c>
      <c r="U469" s="2" t="s">
        <v>6175</v>
      </c>
    </row>
    <row r="470" spans="1:21" ht="12.75" x14ac:dyDescent="0.2">
      <c r="A470" s="1">
        <v>45102.031797152777</v>
      </c>
      <c r="B470" s="2" t="s">
        <v>2336</v>
      </c>
      <c r="C470" s="2" t="s">
        <v>2413</v>
      </c>
      <c r="D470" s="2" t="s">
        <v>333</v>
      </c>
      <c r="E470" s="3">
        <v>45078</v>
      </c>
      <c r="F470" s="4">
        <v>240000</v>
      </c>
      <c r="G470" s="2" t="s">
        <v>42</v>
      </c>
      <c r="H470" s="2" t="s">
        <v>43</v>
      </c>
      <c r="J470" s="2" t="s">
        <v>2414</v>
      </c>
      <c r="K470" s="2" t="s">
        <v>2415</v>
      </c>
      <c r="L470" s="2" t="s">
        <v>2416</v>
      </c>
      <c r="M470" s="2" t="s">
        <v>2417</v>
      </c>
      <c r="N470" s="2" t="s">
        <v>337</v>
      </c>
      <c r="O470" s="2" t="s">
        <v>2342</v>
      </c>
      <c r="Q470" s="2" t="s">
        <v>50</v>
      </c>
      <c r="S470" s="7" t="s">
        <v>5235</v>
      </c>
      <c r="T470" s="7" t="s">
        <v>5713</v>
      </c>
      <c r="U470" s="2" t="s">
        <v>6176</v>
      </c>
    </row>
    <row r="471" spans="1:21" ht="12.75" x14ac:dyDescent="0.2">
      <c r="A471" s="1">
        <v>45103.535337650464</v>
      </c>
      <c r="B471" s="2" t="s">
        <v>2098</v>
      </c>
      <c r="C471" s="2" t="s">
        <v>2418</v>
      </c>
      <c r="D471" s="2" t="s">
        <v>333</v>
      </c>
      <c r="E471" s="3">
        <v>45078</v>
      </c>
      <c r="F471" s="4">
        <v>188915.32</v>
      </c>
      <c r="G471" s="2" t="s">
        <v>42</v>
      </c>
      <c r="H471" s="2" t="s">
        <v>43</v>
      </c>
      <c r="J471" s="2" t="s">
        <v>2419</v>
      </c>
      <c r="K471" s="2" t="s">
        <v>2420</v>
      </c>
      <c r="L471" s="2" t="s">
        <v>2421</v>
      </c>
      <c r="M471" s="2" t="s">
        <v>2422</v>
      </c>
      <c r="N471" s="2" t="s">
        <v>337</v>
      </c>
      <c r="O471" s="2" t="s">
        <v>2103</v>
      </c>
      <c r="Q471" s="2" t="s">
        <v>50</v>
      </c>
      <c r="S471" s="7" t="s">
        <v>5236</v>
      </c>
      <c r="T471" s="7" t="s">
        <v>5713</v>
      </c>
      <c r="U471" s="2" t="s">
        <v>6177</v>
      </c>
    </row>
    <row r="472" spans="1:21" ht="12.75" x14ac:dyDescent="0.2">
      <c r="A472" s="1">
        <v>45104.580613379629</v>
      </c>
      <c r="B472" s="2" t="s">
        <v>1081</v>
      </c>
      <c r="C472" s="2" t="s">
        <v>2423</v>
      </c>
      <c r="D472" s="2" t="s">
        <v>333</v>
      </c>
      <c r="E472" s="3">
        <v>45062</v>
      </c>
      <c r="F472" s="4">
        <v>7000</v>
      </c>
      <c r="G472" s="2" t="s">
        <v>42</v>
      </c>
      <c r="H472" s="2" t="s">
        <v>43</v>
      </c>
      <c r="K472" s="2" t="s">
        <v>2424</v>
      </c>
      <c r="L472" s="2" t="s">
        <v>2425</v>
      </c>
      <c r="M472" s="2" t="s">
        <v>2426</v>
      </c>
      <c r="N472" s="2" t="s">
        <v>337</v>
      </c>
      <c r="O472" s="2" t="s">
        <v>1087</v>
      </c>
      <c r="Q472" s="2" t="s">
        <v>1041</v>
      </c>
      <c r="S472" s="7" t="s">
        <v>5237</v>
      </c>
      <c r="T472" s="7" t="s">
        <v>5713</v>
      </c>
      <c r="U472" s="2" t="s">
        <v>6178</v>
      </c>
    </row>
    <row r="473" spans="1:21" ht="12.75" x14ac:dyDescent="0.2">
      <c r="A473" s="1">
        <v>45104.602468460653</v>
      </c>
      <c r="B473" s="2" t="s">
        <v>2427</v>
      </c>
      <c r="C473" s="2" t="s">
        <v>2428</v>
      </c>
      <c r="D473" s="2" t="s">
        <v>333</v>
      </c>
      <c r="E473" s="3">
        <v>45078</v>
      </c>
      <c r="F473" s="4">
        <v>18884</v>
      </c>
      <c r="G473" s="2" t="s">
        <v>42</v>
      </c>
      <c r="H473" s="2" t="s">
        <v>43</v>
      </c>
      <c r="J473" s="2" t="s">
        <v>2429</v>
      </c>
      <c r="K473" s="2" t="s">
        <v>2430</v>
      </c>
      <c r="L473" s="2" t="s">
        <v>2431</v>
      </c>
      <c r="M473" s="2" t="s">
        <v>2432</v>
      </c>
      <c r="N473" s="2" t="s">
        <v>337</v>
      </c>
      <c r="O473" s="2" t="s">
        <v>2433</v>
      </c>
      <c r="Q473" s="2" t="s">
        <v>1041</v>
      </c>
      <c r="S473" s="7" t="s">
        <v>5238</v>
      </c>
      <c r="T473" s="7" t="s">
        <v>5713</v>
      </c>
      <c r="U473" s="2" t="s">
        <v>6179</v>
      </c>
    </row>
    <row r="474" spans="1:21" ht="12.75" x14ac:dyDescent="0.2">
      <c r="A474" s="1">
        <v>45106.61362478009</v>
      </c>
      <c r="B474" s="2" t="s">
        <v>1556</v>
      </c>
      <c r="C474" s="2" t="s">
        <v>2434</v>
      </c>
      <c r="D474" s="2" t="s">
        <v>910</v>
      </c>
      <c r="E474" s="3">
        <v>45104</v>
      </c>
      <c r="F474" s="4">
        <v>500</v>
      </c>
      <c r="G474" s="2" t="s">
        <v>143</v>
      </c>
      <c r="H474" s="2" t="s">
        <v>43</v>
      </c>
      <c r="K474" s="2" t="s">
        <v>2435</v>
      </c>
      <c r="L474" s="2" t="s">
        <v>2436</v>
      </c>
      <c r="M474" s="2" t="s">
        <v>2437</v>
      </c>
      <c r="N474" s="2" t="s">
        <v>915</v>
      </c>
      <c r="O474" s="2" t="s">
        <v>1562</v>
      </c>
      <c r="Q474" s="2" t="s">
        <v>1041</v>
      </c>
      <c r="S474" s="7" t="s">
        <v>5239</v>
      </c>
      <c r="T474" s="7" t="s">
        <v>5713</v>
      </c>
      <c r="U474" s="2" t="s">
        <v>6180</v>
      </c>
    </row>
    <row r="475" spans="1:21" ht="12.75" x14ac:dyDescent="0.2">
      <c r="A475" s="1"/>
      <c r="B475" s="2"/>
      <c r="C475" s="2"/>
      <c r="D475" s="2"/>
      <c r="E475" s="3"/>
      <c r="F475" s="4"/>
      <c r="G475" s="2"/>
      <c r="H475" s="2"/>
      <c r="J475" s="2"/>
      <c r="K475" s="2"/>
      <c r="L475" s="2"/>
      <c r="M475" s="2"/>
      <c r="N475" s="2"/>
      <c r="O475" s="2"/>
      <c r="Q475" s="2"/>
      <c r="R475" s="2"/>
      <c r="S475" s="7"/>
      <c r="T475" s="7"/>
      <c r="U475" s="2"/>
    </row>
    <row r="476" spans="1:21" ht="12.75" x14ac:dyDescent="0.2">
      <c r="A476" s="1">
        <v>45114.641763136577</v>
      </c>
      <c r="B476" s="2" t="s">
        <v>363</v>
      </c>
      <c r="C476" s="2" t="s">
        <v>2438</v>
      </c>
      <c r="D476" s="2" t="s">
        <v>41</v>
      </c>
      <c r="E476" s="3">
        <v>45108</v>
      </c>
      <c r="F476" s="4">
        <v>50000</v>
      </c>
      <c r="G476" s="2" t="s">
        <v>42</v>
      </c>
      <c r="H476" s="2" t="s">
        <v>43</v>
      </c>
      <c r="J476" s="2" t="s">
        <v>402</v>
      </c>
      <c r="K476" s="2" t="s">
        <v>2439</v>
      </c>
      <c r="L476" s="2" t="s">
        <v>2440</v>
      </c>
      <c r="M476" s="2" t="s">
        <v>2441</v>
      </c>
      <c r="N476" s="2" t="s">
        <v>48</v>
      </c>
      <c r="O476" s="2" t="s">
        <v>368</v>
      </c>
      <c r="Q476" s="2" t="s">
        <v>50</v>
      </c>
      <c r="S476" s="7" t="s">
        <v>5240</v>
      </c>
      <c r="T476" s="7" t="s">
        <v>5713</v>
      </c>
      <c r="U476" s="2" t="s">
        <v>6181</v>
      </c>
    </row>
    <row r="477" spans="1:21" ht="12.75" x14ac:dyDescent="0.2">
      <c r="A477" s="1">
        <v>45114.791752638892</v>
      </c>
      <c r="B477" s="2" t="s">
        <v>2260</v>
      </c>
      <c r="C477" s="2" t="s">
        <v>2261</v>
      </c>
      <c r="D477" s="2" t="s">
        <v>41</v>
      </c>
      <c r="E477" s="3">
        <v>45110</v>
      </c>
      <c r="F477" s="4">
        <v>43500</v>
      </c>
      <c r="G477" s="2" t="s">
        <v>42</v>
      </c>
      <c r="H477" s="2" t="s">
        <v>43</v>
      </c>
      <c r="K477" s="2" t="s">
        <v>2442</v>
      </c>
      <c r="L477" s="2" t="s">
        <v>2443</v>
      </c>
      <c r="M477" s="2" t="s">
        <v>2262</v>
      </c>
      <c r="N477" s="2" t="s">
        <v>48</v>
      </c>
      <c r="O477" s="2" t="s">
        <v>2263</v>
      </c>
      <c r="Q477" s="2" t="s">
        <v>1041</v>
      </c>
      <c r="S477" s="7" t="s">
        <v>5241</v>
      </c>
      <c r="T477" s="7" t="s">
        <v>5713</v>
      </c>
      <c r="U477" s="2" t="s">
        <v>6182</v>
      </c>
    </row>
    <row r="478" spans="1:21" ht="12.75" x14ac:dyDescent="0.2">
      <c r="A478" s="1">
        <v>45124.703817511574</v>
      </c>
      <c r="B478" s="2" t="s">
        <v>2444</v>
      </c>
      <c r="C478" s="2" t="s">
        <v>2445</v>
      </c>
      <c r="D478" s="2" t="s">
        <v>41</v>
      </c>
      <c r="E478" s="3">
        <v>45124</v>
      </c>
      <c r="F478" s="4">
        <v>34270</v>
      </c>
      <c r="G478" s="2" t="s">
        <v>42</v>
      </c>
      <c r="H478" s="2" t="s">
        <v>43</v>
      </c>
      <c r="I478" s="2" t="s">
        <v>2446</v>
      </c>
      <c r="J478" s="2" t="s">
        <v>2447</v>
      </c>
      <c r="K478" s="2" t="s">
        <v>2448</v>
      </c>
      <c r="L478" s="2" t="s">
        <v>2449</v>
      </c>
      <c r="M478" s="2" t="s">
        <v>2450</v>
      </c>
      <c r="N478" s="2" t="s">
        <v>48</v>
      </c>
      <c r="O478" s="2" t="s">
        <v>2451</v>
      </c>
      <c r="P478" s="2" t="s">
        <v>2452</v>
      </c>
      <c r="Q478" s="2" t="s">
        <v>1041</v>
      </c>
      <c r="S478" s="7" t="s">
        <v>5242</v>
      </c>
      <c r="T478" s="7" t="s">
        <v>5713</v>
      </c>
      <c r="U478" s="2" t="s">
        <v>6183</v>
      </c>
    </row>
    <row r="479" spans="1:21" ht="12.75" x14ac:dyDescent="0.2">
      <c r="A479" s="1">
        <v>45135.590321631942</v>
      </c>
      <c r="B479" s="2" t="s">
        <v>878</v>
      </c>
      <c r="C479" s="2" t="s">
        <v>2453</v>
      </c>
      <c r="D479" s="2" t="s">
        <v>333</v>
      </c>
      <c r="E479" s="3">
        <v>45121</v>
      </c>
      <c r="F479" s="4">
        <v>7890</v>
      </c>
      <c r="G479" s="2" t="s">
        <v>42</v>
      </c>
      <c r="H479" s="2" t="s">
        <v>43</v>
      </c>
      <c r="K479" s="2" t="s">
        <v>2454</v>
      </c>
      <c r="L479" s="2" t="s">
        <v>2455</v>
      </c>
      <c r="M479" s="2" t="s">
        <v>2456</v>
      </c>
      <c r="N479" s="2" t="s">
        <v>337</v>
      </c>
      <c r="O479" s="2" t="s">
        <v>884</v>
      </c>
      <c r="Q479" s="2" t="s">
        <v>1041</v>
      </c>
      <c r="S479" s="7" t="s">
        <v>5243</v>
      </c>
      <c r="T479" s="7" t="s">
        <v>5713</v>
      </c>
      <c r="U479" s="2" t="s">
        <v>6184</v>
      </c>
    </row>
    <row r="480" spans="1:21" ht="12.75" x14ac:dyDescent="0.2">
      <c r="A480" s="1">
        <v>45145.679555416667</v>
      </c>
      <c r="B480" s="2" t="s">
        <v>2098</v>
      </c>
      <c r="C480" s="2" t="s">
        <v>2457</v>
      </c>
      <c r="D480" s="2" t="s">
        <v>333</v>
      </c>
      <c r="E480" s="3">
        <v>45141</v>
      </c>
      <c r="F480" s="4">
        <v>33755</v>
      </c>
      <c r="G480" s="2" t="s">
        <v>326</v>
      </c>
      <c r="H480" s="2" t="s">
        <v>43</v>
      </c>
      <c r="I480" s="2" t="s">
        <v>1003</v>
      </c>
      <c r="K480" s="2" t="s">
        <v>2458</v>
      </c>
      <c r="L480" s="2" t="s">
        <v>2459</v>
      </c>
      <c r="M480" s="2" t="s">
        <v>2460</v>
      </c>
      <c r="N480" s="2" t="s">
        <v>337</v>
      </c>
      <c r="O480" s="2" t="s">
        <v>2103</v>
      </c>
      <c r="P480" s="2" t="s">
        <v>1006</v>
      </c>
      <c r="Q480" s="2" t="s">
        <v>1041</v>
      </c>
      <c r="S480" s="7" t="s">
        <v>5244</v>
      </c>
      <c r="T480" s="7" t="s">
        <v>5713</v>
      </c>
      <c r="U480" s="2" t="s">
        <v>6185</v>
      </c>
    </row>
    <row r="481" spans="1:21" ht="12.75" x14ac:dyDescent="0.2">
      <c r="A481" s="1">
        <v>45147.67258140046</v>
      </c>
      <c r="B481" s="2" t="s">
        <v>2461</v>
      </c>
      <c r="C481" s="2" t="s">
        <v>2462</v>
      </c>
      <c r="D481" s="2" t="s">
        <v>333</v>
      </c>
      <c r="E481" s="3">
        <v>45127</v>
      </c>
      <c r="F481" s="4">
        <v>13035</v>
      </c>
      <c r="G481" s="2" t="s">
        <v>42</v>
      </c>
      <c r="H481" s="2" t="s">
        <v>43</v>
      </c>
      <c r="I481" s="2" t="s">
        <v>1003</v>
      </c>
      <c r="K481" s="2" t="s">
        <v>2463</v>
      </c>
      <c r="L481" s="2" t="s">
        <v>2464</v>
      </c>
      <c r="M481" s="2" t="s">
        <v>2465</v>
      </c>
      <c r="N481" s="2" t="s">
        <v>337</v>
      </c>
      <c r="O481" s="2" t="s">
        <v>2466</v>
      </c>
      <c r="P481" s="2" t="s">
        <v>1006</v>
      </c>
      <c r="Q481" s="2" t="s">
        <v>1041</v>
      </c>
      <c r="S481" s="7" t="s">
        <v>5245</v>
      </c>
      <c r="T481" s="7" t="s">
        <v>5713</v>
      </c>
      <c r="U481" s="2" t="s">
        <v>6186</v>
      </c>
    </row>
    <row r="482" spans="1:21" ht="12.75" x14ac:dyDescent="0.2">
      <c r="A482" s="1">
        <v>45147.744620127312</v>
      </c>
      <c r="B482" s="2" t="s">
        <v>468</v>
      </c>
      <c r="C482" s="2" t="s">
        <v>2467</v>
      </c>
      <c r="D482" s="2" t="s">
        <v>333</v>
      </c>
      <c r="E482" s="3">
        <v>45145</v>
      </c>
      <c r="F482" s="4">
        <v>51447</v>
      </c>
      <c r="G482" s="2" t="s">
        <v>42</v>
      </c>
      <c r="H482" s="2" t="s">
        <v>43</v>
      </c>
      <c r="K482" s="2" t="s">
        <v>2468</v>
      </c>
      <c r="L482" s="2" t="s">
        <v>2469</v>
      </c>
      <c r="M482" s="2" t="s">
        <v>2470</v>
      </c>
      <c r="N482" s="2" t="s">
        <v>337</v>
      </c>
      <c r="O482" s="2" t="s">
        <v>476</v>
      </c>
      <c r="Q482" s="2" t="s">
        <v>1041</v>
      </c>
      <c r="S482" s="7" t="s">
        <v>5246</v>
      </c>
      <c r="T482" s="7" t="s">
        <v>5713</v>
      </c>
      <c r="U482" s="2" t="s">
        <v>6187</v>
      </c>
    </row>
    <row r="483" spans="1:21" ht="12.75" x14ac:dyDescent="0.2">
      <c r="A483" s="1">
        <v>45148.700283194441</v>
      </c>
      <c r="B483" s="2" t="s">
        <v>1007</v>
      </c>
      <c r="C483" s="2" t="s">
        <v>2471</v>
      </c>
      <c r="D483" s="2" t="s">
        <v>672</v>
      </c>
      <c r="E483" s="3">
        <v>45007</v>
      </c>
      <c r="F483" s="4">
        <v>540</v>
      </c>
      <c r="G483" s="2" t="s">
        <v>42</v>
      </c>
      <c r="H483" s="2" t="s">
        <v>43</v>
      </c>
      <c r="K483" s="2" t="s">
        <v>2472</v>
      </c>
      <c r="L483" s="2" t="s">
        <v>2473</v>
      </c>
      <c r="M483" s="2" t="s">
        <v>2474</v>
      </c>
      <c r="N483" s="2" t="s">
        <v>676</v>
      </c>
      <c r="O483" s="2" t="s">
        <v>1013</v>
      </c>
      <c r="Q483" s="2" t="s">
        <v>1041</v>
      </c>
      <c r="S483" s="7" t="s">
        <v>5247</v>
      </c>
      <c r="T483" s="7" t="s">
        <v>5713</v>
      </c>
      <c r="U483" s="2" t="s">
        <v>6188</v>
      </c>
    </row>
    <row r="484" spans="1:21" ht="12.75" x14ac:dyDescent="0.2">
      <c r="A484" s="1">
        <v>45154.52826796296</v>
      </c>
      <c r="B484" s="2" t="s">
        <v>438</v>
      </c>
      <c r="C484" s="2" t="s">
        <v>2475</v>
      </c>
      <c r="D484" s="2" t="s">
        <v>333</v>
      </c>
      <c r="E484" s="3">
        <v>45152</v>
      </c>
      <c r="F484" s="4">
        <v>25200</v>
      </c>
      <c r="G484" s="2" t="s">
        <v>326</v>
      </c>
      <c r="H484" s="2" t="s">
        <v>43</v>
      </c>
      <c r="I484" s="2" t="s">
        <v>983</v>
      </c>
      <c r="K484" s="2" t="s">
        <v>2476</v>
      </c>
      <c r="L484" s="2" t="s">
        <v>2477</v>
      </c>
      <c r="M484" s="2" t="s">
        <v>2478</v>
      </c>
      <c r="N484" s="2" t="s">
        <v>337</v>
      </c>
      <c r="O484" s="2" t="s">
        <v>443</v>
      </c>
      <c r="P484" s="2" t="s">
        <v>987</v>
      </c>
      <c r="Q484" s="2" t="s">
        <v>1041</v>
      </c>
      <c r="S484" s="7" t="s">
        <v>5248</v>
      </c>
      <c r="T484" s="7" t="s">
        <v>5713</v>
      </c>
      <c r="U484" s="2" t="s">
        <v>6189</v>
      </c>
    </row>
    <row r="485" spans="1:21" ht="12.75" x14ac:dyDescent="0.2">
      <c r="A485" s="1">
        <v>45154.620920173613</v>
      </c>
      <c r="B485" s="2" t="s">
        <v>2098</v>
      </c>
      <c r="C485" s="2" t="s">
        <v>2479</v>
      </c>
      <c r="D485" s="2" t="s">
        <v>333</v>
      </c>
      <c r="E485" s="3">
        <v>45154</v>
      </c>
      <c r="F485" s="4">
        <v>57722.9</v>
      </c>
      <c r="G485" s="2" t="s">
        <v>42</v>
      </c>
      <c r="H485" s="2" t="s">
        <v>43</v>
      </c>
      <c r="J485" s="2" t="s">
        <v>2480</v>
      </c>
      <c r="K485" s="2" t="s">
        <v>2481</v>
      </c>
      <c r="L485" s="2" t="s">
        <v>2482</v>
      </c>
      <c r="M485" s="2" t="s">
        <v>2483</v>
      </c>
      <c r="N485" s="2" t="s">
        <v>337</v>
      </c>
      <c r="O485" s="2" t="s">
        <v>2103</v>
      </c>
      <c r="Q485" s="2" t="s">
        <v>1041</v>
      </c>
      <c r="S485" s="7" t="s">
        <v>5249</v>
      </c>
      <c r="T485" s="7" t="s">
        <v>5713</v>
      </c>
      <c r="U485" s="2" t="s">
        <v>6190</v>
      </c>
    </row>
    <row r="486" spans="1:21" ht="12.75" x14ac:dyDescent="0.2">
      <c r="A486" s="1">
        <v>45155.668670925923</v>
      </c>
      <c r="B486" s="2" t="s">
        <v>2484</v>
      </c>
      <c r="C486" s="2" t="s">
        <v>2485</v>
      </c>
      <c r="D486" s="2" t="s">
        <v>333</v>
      </c>
      <c r="E486" s="3">
        <v>45147</v>
      </c>
      <c r="F486" s="4">
        <v>3630</v>
      </c>
      <c r="G486" s="2" t="s">
        <v>42</v>
      </c>
      <c r="H486" s="2" t="s">
        <v>43</v>
      </c>
      <c r="I486" s="2" t="s">
        <v>1390</v>
      </c>
      <c r="K486" s="2" t="s">
        <v>2486</v>
      </c>
      <c r="L486" s="2" t="s">
        <v>2487</v>
      </c>
      <c r="M486" s="2" t="s">
        <v>2488</v>
      </c>
      <c r="N486" s="2" t="s">
        <v>337</v>
      </c>
      <c r="O486" s="2" t="s">
        <v>2489</v>
      </c>
      <c r="P486" s="2" t="s">
        <v>1396</v>
      </c>
      <c r="Q486" s="2" t="s">
        <v>1041</v>
      </c>
      <c r="S486" s="7" t="s">
        <v>5250</v>
      </c>
      <c r="T486" s="7" t="s">
        <v>5713</v>
      </c>
      <c r="U486" s="2" t="s">
        <v>6191</v>
      </c>
    </row>
    <row r="487" spans="1:21" ht="12.75" x14ac:dyDescent="0.2">
      <c r="A487" s="1">
        <v>45156.561786747683</v>
      </c>
      <c r="B487" s="2" t="s">
        <v>2278</v>
      </c>
      <c r="C487" s="2" t="s">
        <v>2490</v>
      </c>
      <c r="D487" s="2" t="s">
        <v>41</v>
      </c>
      <c r="E487" s="3">
        <v>45149</v>
      </c>
      <c r="F487" s="4">
        <v>549980</v>
      </c>
      <c r="G487" s="2" t="s">
        <v>42</v>
      </c>
      <c r="H487" s="2" t="s">
        <v>43</v>
      </c>
      <c r="J487" s="2" t="s">
        <v>2491</v>
      </c>
      <c r="K487" s="2" t="s">
        <v>2492</v>
      </c>
      <c r="L487" s="2" t="s">
        <v>2493</v>
      </c>
      <c r="M487" s="2" t="s">
        <v>2494</v>
      </c>
      <c r="N487" s="2" t="s">
        <v>48</v>
      </c>
      <c r="O487" s="2" t="s">
        <v>1108</v>
      </c>
      <c r="Q487" s="2" t="s">
        <v>1041</v>
      </c>
      <c r="S487" s="7" t="s">
        <v>5251</v>
      </c>
      <c r="T487" s="7" t="s">
        <v>5713</v>
      </c>
      <c r="U487" s="2" t="s">
        <v>6192</v>
      </c>
    </row>
    <row r="488" spans="1:21" ht="12.75" x14ac:dyDescent="0.2">
      <c r="A488" s="1">
        <v>45156.561786747683</v>
      </c>
      <c r="B488" s="2" t="s">
        <v>357</v>
      </c>
      <c r="C488" s="2" t="s">
        <v>2495</v>
      </c>
      <c r="D488" s="2" t="s">
        <v>41</v>
      </c>
      <c r="E488" s="3">
        <v>45036</v>
      </c>
      <c r="F488" s="4">
        <v>10500</v>
      </c>
      <c r="G488" s="2" t="s">
        <v>42</v>
      </c>
      <c r="H488" s="2" t="s">
        <v>43</v>
      </c>
      <c r="K488" s="2" t="s">
        <v>2496</v>
      </c>
      <c r="L488" s="2" t="s">
        <v>2497</v>
      </c>
      <c r="M488" s="2" t="s">
        <v>2498</v>
      </c>
      <c r="N488" s="2" t="s">
        <v>48</v>
      </c>
      <c r="O488" s="2" t="s">
        <v>362</v>
      </c>
      <c r="Q488" s="2" t="s">
        <v>1041</v>
      </c>
      <c r="S488" s="7" t="s">
        <v>5252</v>
      </c>
      <c r="T488" s="7" t="s">
        <v>5713</v>
      </c>
      <c r="U488" s="2" t="s">
        <v>6193</v>
      </c>
    </row>
    <row r="489" spans="1:21" ht="12.75" x14ac:dyDescent="0.2">
      <c r="A489" s="1">
        <v>45156.561786747683</v>
      </c>
      <c r="B489" s="2" t="s">
        <v>234</v>
      </c>
      <c r="C489" s="2" t="s">
        <v>2499</v>
      </c>
      <c r="D489" s="2" t="s">
        <v>41</v>
      </c>
      <c r="E489" s="3">
        <v>45057</v>
      </c>
      <c r="F489" s="4">
        <v>15750</v>
      </c>
      <c r="G489" s="2" t="s">
        <v>42</v>
      </c>
      <c r="H489" s="2" t="s">
        <v>43</v>
      </c>
      <c r="K489" s="2" t="s">
        <v>2500</v>
      </c>
      <c r="L489" s="2" t="s">
        <v>2501</v>
      </c>
      <c r="M489" s="2" t="s">
        <v>2502</v>
      </c>
      <c r="N489" s="2" t="s">
        <v>48</v>
      </c>
      <c r="O489" s="2" t="s">
        <v>240</v>
      </c>
      <c r="Q489" s="2" t="s">
        <v>1041</v>
      </c>
      <c r="S489" s="7" t="s">
        <v>5253</v>
      </c>
      <c r="T489" s="7" t="s">
        <v>5713</v>
      </c>
      <c r="U489" s="2" t="s">
        <v>6194</v>
      </c>
    </row>
    <row r="490" spans="1:21" ht="12.75" x14ac:dyDescent="0.2">
      <c r="A490" s="1">
        <v>45156.593007858799</v>
      </c>
      <c r="B490" s="2" t="s">
        <v>2503</v>
      </c>
      <c r="C490" s="2" t="s">
        <v>2504</v>
      </c>
      <c r="D490" s="2" t="s">
        <v>333</v>
      </c>
      <c r="E490" s="3">
        <v>45118</v>
      </c>
      <c r="F490" s="4">
        <v>48825</v>
      </c>
      <c r="G490" s="2" t="s">
        <v>42</v>
      </c>
      <c r="H490" s="2" t="s">
        <v>43</v>
      </c>
      <c r="J490" s="2" t="s">
        <v>2505</v>
      </c>
      <c r="K490" s="2" t="s">
        <v>2506</v>
      </c>
      <c r="L490" s="2" t="s">
        <v>2507</v>
      </c>
      <c r="M490" s="2" t="s">
        <v>2508</v>
      </c>
      <c r="N490" s="2" t="s">
        <v>337</v>
      </c>
      <c r="O490" s="2" t="s">
        <v>2509</v>
      </c>
      <c r="Q490" s="2" t="s">
        <v>1041</v>
      </c>
      <c r="S490" s="7" t="s">
        <v>5254</v>
      </c>
      <c r="T490" s="7" t="s">
        <v>5713</v>
      </c>
      <c r="U490" s="2" t="s">
        <v>6195</v>
      </c>
    </row>
    <row r="491" spans="1:21" ht="12.75" x14ac:dyDescent="0.2">
      <c r="A491" s="1">
        <v>45156.593007858799</v>
      </c>
      <c r="B491" s="2" t="s">
        <v>2503</v>
      </c>
      <c r="C491" s="2" t="s">
        <v>2510</v>
      </c>
      <c r="D491" s="2" t="s">
        <v>333</v>
      </c>
      <c r="E491" s="3">
        <v>45119</v>
      </c>
      <c r="F491" s="4">
        <v>23580</v>
      </c>
      <c r="G491" s="2" t="s">
        <v>42</v>
      </c>
      <c r="H491" s="2" t="s">
        <v>43</v>
      </c>
      <c r="J491" s="2" t="s">
        <v>2505</v>
      </c>
      <c r="K491" s="2" t="s">
        <v>2511</v>
      </c>
      <c r="L491" s="2" t="s">
        <v>2512</v>
      </c>
      <c r="M491" s="2" t="s">
        <v>2513</v>
      </c>
      <c r="N491" s="2" t="s">
        <v>337</v>
      </c>
      <c r="O491" s="2" t="s">
        <v>2509</v>
      </c>
      <c r="Q491" s="2" t="s">
        <v>1041</v>
      </c>
      <c r="S491" s="7" t="s">
        <v>5255</v>
      </c>
      <c r="T491" s="7" t="s">
        <v>5713</v>
      </c>
      <c r="U491" s="2" t="s">
        <v>6196</v>
      </c>
    </row>
    <row r="492" spans="1:21" ht="12.75" x14ac:dyDescent="0.2">
      <c r="A492" s="1">
        <v>45156.609788402777</v>
      </c>
      <c r="B492" s="2" t="s">
        <v>2514</v>
      </c>
      <c r="C492" s="2" t="s">
        <v>2515</v>
      </c>
      <c r="D492" s="2" t="s">
        <v>333</v>
      </c>
      <c r="E492" s="3">
        <v>45155</v>
      </c>
      <c r="F492" s="4">
        <v>2870</v>
      </c>
      <c r="G492" s="2" t="s">
        <v>143</v>
      </c>
      <c r="H492" s="2" t="s">
        <v>43</v>
      </c>
      <c r="I492" s="2" t="s">
        <v>990</v>
      </c>
      <c r="K492" s="2" t="s">
        <v>2516</v>
      </c>
      <c r="L492" s="2" t="s">
        <v>2517</v>
      </c>
      <c r="M492" s="2" t="s">
        <v>2518</v>
      </c>
      <c r="N492" s="2" t="s">
        <v>337</v>
      </c>
      <c r="O492" s="2" t="s">
        <v>2519</v>
      </c>
      <c r="P492" s="2" t="s">
        <v>995</v>
      </c>
      <c r="Q492" s="2" t="s">
        <v>1041</v>
      </c>
      <c r="S492" s="7" t="s">
        <v>5256</v>
      </c>
      <c r="T492" s="7" t="s">
        <v>5713</v>
      </c>
      <c r="U492" s="2" t="s">
        <v>6197</v>
      </c>
    </row>
    <row r="493" spans="1:21" ht="12.75" x14ac:dyDescent="0.2">
      <c r="A493" s="1">
        <v>45156.626972372687</v>
      </c>
      <c r="B493" s="2" t="s">
        <v>2503</v>
      </c>
      <c r="C493" s="2" t="s">
        <v>2520</v>
      </c>
      <c r="D493" s="2" t="s">
        <v>41</v>
      </c>
      <c r="E493" s="3">
        <v>45119</v>
      </c>
      <c r="F493" s="4">
        <v>22490</v>
      </c>
      <c r="G493" s="2" t="s">
        <v>42</v>
      </c>
      <c r="H493" s="2" t="s">
        <v>43</v>
      </c>
      <c r="J493" s="2" t="s">
        <v>2521</v>
      </c>
      <c r="K493" s="2" t="s">
        <v>2522</v>
      </c>
      <c r="L493" s="2" t="s">
        <v>2523</v>
      </c>
      <c r="M493" s="2" t="s">
        <v>2524</v>
      </c>
      <c r="N493" s="2" t="s">
        <v>48</v>
      </c>
      <c r="O493" s="2" t="s">
        <v>2509</v>
      </c>
      <c r="Q493" s="2" t="s">
        <v>1041</v>
      </c>
      <c r="S493" s="7" t="s">
        <v>5257</v>
      </c>
      <c r="T493" s="7" t="s">
        <v>5713</v>
      </c>
      <c r="U493" s="2" t="s">
        <v>6198</v>
      </c>
    </row>
    <row r="494" spans="1:21" ht="12.75" x14ac:dyDescent="0.2">
      <c r="A494" s="1">
        <v>45168.651589525463</v>
      </c>
      <c r="B494" s="2" t="s">
        <v>2525</v>
      </c>
      <c r="C494" s="2" t="s">
        <v>2526</v>
      </c>
      <c r="D494" s="2" t="s">
        <v>333</v>
      </c>
      <c r="E494" s="3">
        <v>45163</v>
      </c>
      <c r="F494" s="4">
        <v>12436</v>
      </c>
      <c r="G494" s="2" t="s">
        <v>42</v>
      </c>
      <c r="H494" s="2" t="s">
        <v>43</v>
      </c>
      <c r="I494" s="2" t="s">
        <v>990</v>
      </c>
      <c r="K494" s="2" t="s">
        <v>2527</v>
      </c>
      <c r="L494" s="2" t="s">
        <v>2528</v>
      </c>
      <c r="M494" s="2" t="s">
        <v>2529</v>
      </c>
      <c r="N494" s="2" t="s">
        <v>337</v>
      </c>
      <c r="O494" s="2" t="s">
        <v>2530</v>
      </c>
      <c r="P494" s="2" t="s">
        <v>995</v>
      </c>
      <c r="Q494" s="2" t="s">
        <v>50</v>
      </c>
      <c r="S494" s="7" t="s">
        <v>5258</v>
      </c>
      <c r="T494" s="7" t="s">
        <v>5713</v>
      </c>
      <c r="U494" s="2" t="s">
        <v>6199</v>
      </c>
    </row>
    <row r="495" spans="1:21" ht="12.75" x14ac:dyDescent="0.2">
      <c r="A495" s="1">
        <v>45168.664612511573</v>
      </c>
      <c r="B495" s="2" t="s">
        <v>1485</v>
      </c>
      <c r="C495" s="2" t="s">
        <v>2531</v>
      </c>
      <c r="D495" s="2" t="s">
        <v>672</v>
      </c>
      <c r="E495" s="3">
        <v>45167</v>
      </c>
      <c r="F495" s="4">
        <v>480</v>
      </c>
      <c r="G495" s="2" t="s">
        <v>42</v>
      </c>
      <c r="H495" s="2" t="s">
        <v>43</v>
      </c>
      <c r="I495" s="2" t="s">
        <v>2532</v>
      </c>
      <c r="J495" s="2" t="s">
        <v>2533</v>
      </c>
      <c r="K495" s="2" t="s">
        <v>2534</v>
      </c>
      <c r="L495" s="2" t="s">
        <v>2535</v>
      </c>
      <c r="M495" s="2" t="s">
        <v>2536</v>
      </c>
      <c r="N495" s="2" t="s">
        <v>676</v>
      </c>
      <c r="O495" s="2" t="s">
        <v>1491</v>
      </c>
      <c r="P495" s="2" t="s">
        <v>2537</v>
      </c>
      <c r="Q495" s="2" t="s">
        <v>50</v>
      </c>
      <c r="S495" s="7" t="s">
        <v>5259</v>
      </c>
      <c r="T495" s="7" t="s">
        <v>5713</v>
      </c>
      <c r="U495" s="2" t="s">
        <v>6200</v>
      </c>
    </row>
    <row r="496" spans="1:21" ht="12.75" x14ac:dyDescent="0.2">
      <c r="A496" s="1">
        <v>45168.726779282406</v>
      </c>
      <c r="B496" s="2" t="s">
        <v>2503</v>
      </c>
      <c r="C496" s="2" t="s">
        <v>2538</v>
      </c>
      <c r="D496" s="2" t="s">
        <v>910</v>
      </c>
      <c r="E496" s="3">
        <v>45108</v>
      </c>
      <c r="F496" s="4">
        <v>158713</v>
      </c>
      <c r="G496" s="2" t="s">
        <v>143</v>
      </c>
      <c r="H496" s="2" t="s">
        <v>43</v>
      </c>
      <c r="I496" s="2" t="s">
        <v>990</v>
      </c>
      <c r="J496" s="2" t="s">
        <v>2505</v>
      </c>
      <c r="K496" s="2" t="s">
        <v>2539</v>
      </c>
      <c r="L496" s="2" t="s">
        <v>2540</v>
      </c>
      <c r="M496" s="2" t="s">
        <v>2541</v>
      </c>
      <c r="N496" s="2" t="s">
        <v>915</v>
      </c>
      <c r="O496" s="2" t="s">
        <v>2509</v>
      </c>
      <c r="P496" s="2" t="s">
        <v>995</v>
      </c>
      <c r="Q496" s="2" t="s">
        <v>50</v>
      </c>
      <c r="S496" s="7" t="s">
        <v>5260</v>
      </c>
      <c r="T496" s="7" t="s">
        <v>5713</v>
      </c>
      <c r="U496" s="2" t="s">
        <v>6201</v>
      </c>
    </row>
    <row r="497" spans="1:21" ht="12.75" x14ac:dyDescent="0.2">
      <c r="A497" s="1">
        <v>45175.778045416664</v>
      </c>
      <c r="B497" s="2" t="s">
        <v>2542</v>
      </c>
      <c r="C497" s="2" t="s">
        <v>2543</v>
      </c>
      <c r="D497" s="2" t="s">
        <v>333</v>
      </c>
      <c r="E497" s="3">
        <v>45174</v>
      </c>
      <c r="F497" s="4">
        <v>5470</v>
      </c>
      <c r="G497" s="2" t="s">
        <v>143</v>
      </c>
      <c r="H497" s="2" t="s">
        <v>43</v>
      </c>
      <c r="I497" s="2" t="s">
        <v>983</v>
      </c>
      <c r="K497" s="2" t="s">
        <v>2544</v>
      </c>
      <c r="L497" s="2" t="s">
        <v>2545</v>
      </c>
      <c r="M497" s="2" t="s">
        <v>2546</v>
      </c>
      <c r="N497" s="2" t="s">
        <v>337</v>
      </c>
      <c r="O497" s="2" t="s">
        <v>2547</v>
      </c>
      <c r="P497" s="2" t="s">
        <v>987</v>
      </c>
      <c r="Q497" s="2" t="s">
        <v>1041</v>
      </c>
      <c r="S497" s="7" t="s">
        <v>5261</v>
      </c>
      <c r="T497" s="7" t="s">
        <v>5713</v>
      </c>
      <c r="U497" s="2" t="s">
        <v>6202</v>
      </c>
    </row>
    <row r="498" spans="1:21" ht="12.75" x14ac:dyDescent="0.2">
      <c r="A498" s="1">
        <v>45176.491227025464</v>
      </c>
      <c r="B498" s="2" t="s">
        <v>438</v>
      </c>
      <c r="C498" s="2" t="s">
        <v>2548</v>
      </c>
      <c r="D498" s="2" t="s">
        <v>333</v>
      </c>
      <c r="E498" s="3">
        <v>45168</v>
      </c>
      <c r="F498" s="4">
        <v>1350</v>
      </c>
      <c r="G498" s="2" t="s">
        <v>42</v>
      </c>
      <c r="H498" s="2" t="s">
        <v>43</v>
      </c>
      <c r="I498" s="2" t="s">
        <v>983</v>
      </c>
      <c r="K498" s="2" t="s">
        <v>2549</v>
      </c>
      <c r="L498" s="2" t="s">
        <v>2550</v>
      </c>
      <c r="M498" s="2" t="s">
        <v>2551</v>
      </c>
      <c r="N498" s="2" t="s">
        <v>337</v>
      </c>
      <c r="O498" s="2" t="s">
        <v>443</v>
      </c>
      <c r="P498" s="2" t="s">
        <v>987</v>
      </c>
      <c r="Q498" s="2" t="s">
        <v>1041</v>
      </c>
      <c r="S498" s="7" t="s">
        <v>5262</v>
      </c>
      <c r="T498" s="7" t="s">
        <v>5713</v>
      </c>
      <c r="U498" s="2" t="s">
        <v>6203</v>
      </c>
    </row>
    <row r="499" spans="1:21" ht="12.75" x14ac:dyDescent="0.2">
      <c r="A499" s="1">
        <v>45181.743532650464</v>
      </c>
      <c r="B499" s="2" t="s">
        <v>2552</v>
      </c>
      <c r="C499" s="2" t="s">
        <v>2553</v>
      </c>
      <c r="D499" s="2" t="s">
        <v>41</v>
      </c>
      <c r="E499" s="3">
        <v>45118</v>
      </c>
      <c r="F499" s="4">
        <v>51000</v>
      </c>
      <c r="G499" s="2" t="s">
        <v>42</v>
      </c>
      <c r="H499" s="2" t="s">
        <v>43</v>
      </c>
      <c r="J499" s="2" t="s">
        <v>2554</v>
      </c>
      <c r="K499" s="2" t="s">
        <v>2555</v>
      </c>
      <c r="L499" s="2" t="s">
        <v>2556</v>
      </c>
      <c r="M499" s="2" t="s">
        <v>2557</v>
      </c>
      <c r="N499" s="2" t="s">
        <v>48</v>
      </c>
      <c r="O499" s="2" t="s">
        <v>2558</v>
      </c>
      <c r="Q499" s="2" t="s">
        <v>1041</v>
      </c>
      <c r="S499" s="7" t="s">
        <v>5263</v>
      </c>
      <c r="T499" s="7" t="s">
        <v>5713</v>
      </c>
      <c r="U499" s="2" t="s">
        <v>6204</v>
      </c>
    </row>
    <row r="500" spans="1:21" ht="12.75" x14ac:dyDescent="0.2">
      <c r="A500" s="1">
        <v>45181.743532650464</v>
      </c>
      <c r="B500" s="2" t="s">
        <v>2559</v>
      </c>
      <c r="C500" s="2" t="s">
        <v>2560</v>
      </c>
      <c r="D500" s="2" t="s">
        <v>41</v>
      </c>
      <c r="E500" s="3">
        <v>45142</v>
      </c>
      <c r="F500" s="4">
        <v>126000</v>
      </c>
      <c r="G500" s="2" t="s">
        <v>42</v>
      </c>
      <c r="H500" s="2" t="s">
        <v>43</v>
      </c>
      <c r="J500" s="2" t="s">
        <v>2561</v>
      </c>
      <c r="K500" s="2" t="s">
        <v>2562</v>
      </c>
      <c r="L500" s="2" t="s">
        <v>2563</v>
      </c>
      <c r="M500" s="2" t="s">
        <v>2564</v>
      </c>
      <c r="N500" s="2" t="s">
        <v>48</v>
      </c>
      <c r="O500" s="2" t="s">
        <v>2565</v>
      </c>
      <c r="Q500" s="2" t="s">
        <v>1041</v>
      </c>
      <c r="S500" s="7" t="s">
        <v>5264</v>
      </c>
      <c r="T500" s="7" t="s">
        <v>5713</v>
      </c>
      <c r="U500" s="2" t="s">
        <v>6205</v>
      </c>
    </row>
    <row r="501" spans="1:21" ht="12.75" x14ac:dyDescent="0.2">
      <c r="A501" s="1">
        <v>45182.677168668983</v>
      </c>
      <c r="B501" s="2" t="s">
        <v>120</v>
      </c>
      <c r="C501" s="2" t="s">
        <v>2566</v>
      </c>
      <c r="D501" s="2" t="s">
        <v>672</v>
      </c>
      <c r="E501" s="3">
        <v>45182</v>
      </c>
      <c r="F501" s="4">
        <v>240</v>
      </c>
      <c r="G501" s="2" t="s">
        <v>42</v>
      </c>
      <c r="H501" s="2" t="s">
        <v>43</v>
      </c>
      <c r="K501" s="2" t="s">
        <v>2567</v>
      </c>
      <c r="L501" s="2" t="s">
        <v>2568</v>
      </c>
      <c r="M501" s="2" t="s">
        <v>2569</v>
      </c>
      <c r="N501" s="2" t="s">
        <v>676</v>
      </c>
      <c r="O501" s="2" t="s">
        <v>126</v>
      </c>
      <c r="Q501" s="2" t="s">
        <v>1041</v>
      </c>
      <c r="S501" s="7" t="s">
        <v>5265</v>
      </c>
      <c r="T501" s="7" t="s">
        <v>5713</v>
      </c>
      <c r="U501" s="2" t="s">
        <v>6206</v>
      </c>
    </row>
    <row r="502" spans="1:21" ht="12.75" x14ac:dyDescent="0.2">
      <c r="A502" s="1">
        <v>45183.770062604162</v>
      </c>
      <c r="B502" s="2" t="s">
        <v>1853</v>
      </c>
      <c r="C502" s="2" t="s">
        <v>2570</v>
      </c>
      <c r="D502" s="2" t="s">
        <v>672</v>
      </c>
      <c r="E502" s="3">
        <v>45170</v>
      </c>
      <c r="F502" s="4">
        <v>4882.8999999999996</v>
      </c>
      <c r="G502" s="2" t="s">
        <v>42</v>
      </c>
      <c r="H502" s="2" t="s">
        <v>43</v>
      </c>
      <c r="I502" s="2" t="s">
        <v>1390</v>
      </c>
      <c r="K502" s="2" t="s">
        <v>2571</v>
      </c>
      <c r="L502" s="2" t="s">
        <v>2572</v>
      </c>
      <c r="M502" s="2" t="s">
        <v>2573</v>
      </c>
      <c r="N502" s="2" t="s">
        <v>676</v>
      </c>
      <c r="O502" s="2" t="s">
        <v>1859</v>
      </c>
      <c r="P502" s="2" t="s">
        <v>1396</v>
      </c>
      <c r="Q502" s="2" t="s">
        <v>50</v>
      </c>
      <c r="S502" s="7" t="s">
        <v>5266</v>
      </c>
      <c r="T502" s="7" t="s">
        <v>5713</v>
      </c>
      <c r="U502" s="2" t="s">
        <v>6207</v>
      </c>
    </row>
    <row r="503" spans="1:21" ht="12.75" x14ac:dyDescent="0.2">
      <c r="A503" s="1">
        <v>45187.988217222221</v>
      </c>
      <c r="B503" s="2" t="s">
        <v>438</v>
      </c>
      <c r="C503" s="2" t="s">
        <v>2574</v>
      </c>
      <c r="D503" s="2" t="s">
        <v>672</v>
      </c>
      <c r="E503" s="3">
        <v>45187</v>
      </c>
      <c r="F503" s="4">
        <v>980</v>
      </c>
      <c r="G503" s="2" t="s">
        <v>143</v>
      </c>
      <c r="H503" s="2" t="s">
        <v>43</v>
      </c>
      <c r="I503" s="2" t="s">
        <v>990</v>
      </c>
      <c r="K503" s="2" t="s">
        <v>2575</v>
      </c>
      <c r="L503" s="2" t="s">
        <v>2576</v>
      </c>
      <c r="M503" s="2" t="s">
        <v>2577</v>
      </c>
      <c r="N503" s="2" t="s">
        <v>676</v>
      </c>
      <c r="O503" s="2" t="s">
        <v>443</v>
      </c>
      <c r="P503" s="2" t="s">
        <v>995</v>
      </c>
      <c r="Q503" s="2" t="s">
        <v>50</v>
      </c>
      <c r="S503" s="7" t="s">
        <v>5267</v>
      </c>
      <c r="T503" s="7" t="s">
        <v>5713</v>
      </c>
      <c r="U503" s="2" t="s">
        <v>6208</v>
      </c>
    </row>
    <row r="504" spans="1:21" ht="12.75" x14ac:dyDescent="0.2">
      <c r="A504" s="1">
        <v>45195.526600717596</v>
      </c>
      <c r="B504" s="2" t="s">
        <v>2098</v>
      </c>
      <c r="C504" s="2" t="s">
        <v>2578</v>
      </c>
      <c r="D504" s="2" t="s">
        <v>333</v>
      </c>
      <c r="E504" s="3">
        <v>44908</v>
      </c>
      <c r="F504" s="4">
        <v>2755</v>
      </c>
      <c r="G504" s="2" t="s">
        <v>42</v>
      </c>
      <c r="H504" s="2" t="s">
        <v>43</v>
      </c>
      <c r="I504" s="2" t="s">
        <v>1003</v>
      </c>
      <c r="K504" s="2" t="s">
        <v>2579</v>
      </c>
      <c r="L504" s="2" t="s">
        <v>2580</v>
      </c>
      <c r="M504" s="2" t="s">
        <v>2581</v>
      </c>
      <c r="N504" s="2" t="s">
        <v>337</v>
      </c>
      <c r="O504" s="2" t="s">
        <v>2103</v>
      </c>
      <c r="P504" s="2" t="s">
        <v>1006</v>
      </c>
      <c r="Q504" s="2" t="s">
        <v>1041</v>
      </c>
      <c r="S504" s="7" t="s">
        <v>5268</v>
      </c>
      <c r="T504" s="7" t="s">
        <v>5713</v>
      </c>
      <c r="U504" s="2" t="s">
        <v>6209</v>
      </c>
    </row>
    <row r="505" spans="1:21" ht="12.75" x14ac:dyDescent="0.2">
      <c r="A505" s="1">
        <v>45195.602002314816</v>
      </c>
      <c r="B505" s="2" t="s">
        <v>2098</v>
      </c>
      <c r="C505" s="2" t="s">
        <v>2582</v>
      </c>
      <c r="D505" s="2" t="s">
        <v>333</v>
      </c>
      <c r="E505" s="3">
        <v>45064</v>
      </c>
      <c r="F505" s="4">
        <v>2877</v>
      </c>
      <c r="G505" s="2" t="s">
        <v>143</v>
      </c>
      <c r="H505" s="2" t="s">
        <v>43</v>
      </c>
      <c r="I505" s="2" t="s">
        <v>990</v>
      </c>
      <c r="K505" s="2" t="s">
        <v>2583</v>
      </c>
      <c r="L505" s="2" t="s">
        <v>2584</v>
      </c>
      <c r="M505" s="2" t="s">
        <v>2585</v>
      </c>
      <c r="N505" s="2" t="s">
        <v>337</v>
      </c>
      <c r="O505" s="2" t="s">
        <v>2103</v>
      </c>
      <c r="P505" s="2" t="s">
        <v>995</v>
      </c>
      <c r="Q505" s="2" t="s">
        <v>1041</v>
      </c>
      <c r="S505" s="7" t="s">
        <v>5269</v>
      </c>
      <c r="T505" s="7" t="s">
        <v>5713</v>
      </c>
      <c r="U505" s="2" t="s">
        <v>6210</v>
      </c>
    </row>
    <row r="506" spans="1:21" ht="12.75" x14ac:dyDescent="0.2">
      <c r="A506" s="1">
        <v>45196.610746365739</v>
      </c>
      <c r="B506" s="2" t="s">
        <v>1305</v>
      </c>
      <c r="C506" s="2" t="s">
        <v>2586</v>
      </c>
      <c r="D506" s="2" t="s">
        <v>910</v>
      </c>
      <c r="E506" s="3">
        <v>45196</v>
      </c>
      <c r="F506" s="4">
        <v>5000</v>
      </c>
      <c r="G506" s="2" t="s">
        <v>143</v>
      </c>
      <c r="H506" s="2" t="s">
        <v>43</v>
      </c>
      <c r="I506" s="2" t="s">
        <v>990</v>
      </c>
      <c r="J506" s="2" t="s">
        <v>1307</v>
      </c>
      <c r="K506" s="2" t="s">
        <v>2587</v>
      </c>
      <c r="L506" s="2" t="s">
        <v>2588</v>
      </c>
      <c r="M506" s="2" t="s">
        <v>2589</v>
      </c>
      <c r="N506" s="2" t="s">
        <v>915</v>
      </c>
      <c r="O506" s="2" t="s">
        <v>1311</v>
      </c>
      <c r="P506" s="2" t="s">
        <v>995</v>
      </c>
      <c r="Q506" s="2" t="s">
        <v>50</v>
      </c>
      <c r="S506" s="7" t="s">
        <v>5270</v>
      </c>
      <c r="T506" s="7" t="s">
        <v>5713</v>
      </c>
      <c r="U506" s="2" t="s">
        <v>6211</v>
      </c>
    </row>
    <row r="507" spans="1:21" ht="12.75" x14ac:dyDescent="0.2">
      <c r="A507" s="1">
        <v>45201.622623981486</v>
      </c>
      <c r="B507" s="2" t="s">
        <v>651</v>
      </c>
      <c r="C507" s="2" t="s">
        <v>2590</v>
      </c>
      <c r="D507" s="2" t="s">
        <v>333</v>
      </c>
      <c r="E507" s="3">
        <v>44882</v>
      </c>
      <c r="F507" s="4">
        <v>5285</v>
      </c>
      <c r="G507" s="2" t="s">
        <v>326</v>
      </c>
      <c r="H507" s="2" t="s">
        <v>43</v>
      </c>
      <c r="I507" s="2" t="s">
        <v>1003</v>
      </c>
      <c r="K507" s="2" t="s">
        <v>2591</v>
      </c>
      <c r="L507" s="2" t="s">
        <v>2592</v>
      </c>
      <c r="M507" s="2" t="s">
        <v>2593</v>
      </c>
      <c r="N507" s="2" t="s">
        <v>337</v>
      </c>
      <c r="O507" s="2" t="s">
        <v>655</v>
      </c>
      <c r="P507" s="2" t="s">
        <v>1006</v>
      </c>
      <c r="Q507" s="2" t="s">
        <v>1041</v>
      </c>
      <c r="S507" s="7" t="s">
        <v>5271</v>
      </c>
      <c r="T507" s="7" t="s">
        <v>5713</v>
      </c>
      <c r="U507" s="2" t="s">
        <v>6212</v>
      </c>
    </row>
    <row r="508" spans="1:21" ht="12.75" x14ac:dyDescent="0.2">
      <c r="A508" s="1">
        <v>45202.645779432874</v>
      </c>
      <c r="B508" s="2" t="s">
        <v>2503</v>
      </c>
      <c r="C508" s="2" t="s">
        <v>2594</v>
      </c>
      <c r="D508" s="2" t="s">
        <v>333</v>
      </c>
      <c r="E508" s="3">
        <v>45170</v>
      </c>
      <c r="F508" s="4">
        <v>56076.6</v>
      </c>
      <c r="G508" s="2" t="s">
        <v>143</v>
      </c>
      <c r="H508" s="2" t="s">
        <v>43</v>
      </c>
      <c r="I508" s="2" t="s">
        <v>990</v>
      </c>
      <c r="J508" s="2" t="s">
        <v>2595</v>
      </c>
      <c r="K508" s="2" t="s">
        <v>2596</v>
      </c>
      <c r="L508" s="2" t="s">
        <v>2597</v>
      </c>
      <c r="M508" s="2" t="s">
        <v>2598</v>
      </c>
      <c r="N508" s="2" t="s">
        <v>337</v>
      </c>
      <c r="O508" s="2" t="s">
        <v>2509</v>
      </c>
      <c r="P508" s="2" t="s">
        <v>995</v>
      </c>
      <c r="Q508" s="2" t="s">
        <v>1041</v>
      </c>
      <c r="S508" s="7" t="s">
        <v>5272</v>
      </c>
      <c r="T508" s="7" t="s">
        <v>5713</v>
      </c>
      <c r="U508" s="2" t="s">
        <v>6213</v>
      </c>
    </row>
    <row r="509" spans="1:21" ht="12.75" x14ac:dyDescent="0.2">
      <c r="A509" s="1">
        <v>45202.67485387731</v>
      </c>
      <c r="B509" s="2" t="s">
        <v>2599</v>
      </c>
      <c r="C509" s="2" t="s">
        <v>2600</v>
      </c>
      <c r="D509" s="2" t="s">
        <v>223</v>
      </c>
      <c r="E509" s="3">
        <v>45139</v>
      </c>
      <c r="F509" s="4">
        <v>300</v>
      </c>
      <c r="G509" s="2" t="s">
        <v>42</v>
      </c>
      <c r="H509" s="2" t="s">
        <v>43</v>
      </c>
      <c r="I509" s="2" t="s">
        <v>2446</v>
      </c>
      <c r="J509" s="2" t="s">
        <v>2601</v>
      </c>
      <c r="K509" s="2" t="s">
        <v>2602</v>
      </c>
      <c r="L509" s="2" t="s">
        <v>2603</v>
      </c>
      <c r="M509" s="2" t="s">
        <v>2604</v>
      </c>
      <c r="N509" s="2" t="s">
        <v>228</v>
      </c>
      <c r="O509" s="2" t="s">
        <v>2605</v>
      </c>
      <c r="P509" s="2" t="s">
        <v>2452</v>
      </c>
      <c r="Q509" s="2" t="s">
        <v>1041</v>
      </c>
      <c r="S509" s="7" t="s">
        <v>5273</v>
      </c>
      <c r="T509" s="7" t="s">
        <v>5713</v>
      </c>
      <c r="U509" s="2" t="s">
        <v>6214</v>
      </c>
    </row>
    <row r="510" spans="1:21" ht="12.75" x14ac:dyDescent="0.2">
      <c r="A510" s="1">
        <v>45202.67485387731</v>
      </c>
      <c r="B510" s="2" t="s">
        <v>2599</v>
      </c>
      <c r="C510" s="2" t="s">
        <v>2606</v>
      </c>
      <c r="D510" s="2" t="s">
        <v>672</v>
      </c>
      <c r="E510" s="3">
        <v>45181</v>
      </c>
      <c r="F510" s="4">
        <v>130</v>
      </c>
      <c r="G510" s="2" t="s">
        <v>42</v>
      </c>
      <c r="H510" s="2" t="s">
        <v>43</v>
      </c>
      <c r="I510" s="2" t="s">
        <v>2446</v>
      </c>
      <c r="K510" s="2" t="s">
        <v>2607</v>
      </c>
      <c r="L510" s="2" t="s">
        <v>2608</v>
      </c>
      <c r="M510" s="2" t="s">
        <v>2609</v>
      </c>
      <c r="N510" s="2" t="s">
        <v>676</v>
      </c>
      <c r="O510" s="2" t="s">
        <v>2605</v>
      </c>
      <c r="P510" s="2" t="s">
        <v>2452</v>
      </c>
      <c r="Q510" s="2" t="s">
        <v>1041</v>
      </c>
      <c r="S510" s="7" t="s">
        <v>5274</v>
      </c>
      <c r="T510" s="7" t="s">
        <v>5713</v>
      </c>
      <c r="U510" s="2" t="s">
        <v>6215</v>
      </c>
    </row>
    <row r="511" spans="1:21" ht="12.75" x14ac:dyDescent="0.2">
      <c r="A511" s="1">
        <v>45204.568473831023</v>
      </c>
      <c r="B511" s="2" t="s">
        <v>972</v>
      </c>
      <c r="C511" s="2" t="s">
        <v>2610</v>
      </c>
      <c r="D511" s="2" t="s">
        <v>1170</v>
      </c>
      <c r="E511" s="3">
        <v>44866</v>
      </c>
      <c r="F511" s="4">
        <v>69385</v>
      </c>
      <c r="G511" s="2" t="s">
        <v>143</v>
      </c>
      <c r="H511" s="2" t="s">
        <v>43</v>
      </c>
      <c r="K511" s="2" t="s">
        <v>2611</v>
      </c>
      <c r="L511" s="2" t="s">
        <v>2612</v>
      </c>
      <c r="M511" s="2" t="s">
        <v>2613</v>
      </c>
      <c r="N511" s="2" t="s">
        <v>1174</v>
      </c>
      <c r="O511" s="2" t="s">
        <v>977</v>
      </c>
      <c r="Q511" s="2" t="s">
        <v>1041</v>
      </c>
      <c r="S511" s="7" t="s">
        <v>5275</v>
      </c>
      <c r="T511" s="7" t="s">
        <v>5713</v>
      </c>
      <c r="U511" s="2" t="s">
        <v>6216</v>
      </c>
    </row>
    <row r="512" spans="1:21" ht="12.75" x14ac:dyDescent="0.2">
      <c r="A512" s="1">
        <v>45208.570241898153</v>
      </c>
      <c r="B512" s="2" t="s">
        <v>438</v>
      </c>
      <c r="C512" s="2" t="s">
        <v>2614</v>
      </c>
      <c r="D512" s="2" t="s">
        <v>333</v>
      </c>
      <c r="E512" s="3">
        <v>45085</v>
      </c>
      <c r="F512" s="4">
        <v>82990</v>
      </c>
      <c r="G512" s="2" t="s">
        <v>326</v>
      </c>
      <c r="H512" s="2" t="s">
        <v>43</v>
      </c>
      <c r="I512" s="2" t="s">
        <v>983</v>
      </c>
      <c r="K512" s="2" t="s">
        <v>2615</v>
      </c>
      <c r="L512" s="2" t="s">
        <v>2616</v>
      </c>
      <c r="M512" s="2" t="s">
        <v>2617</v>
      </c>
      <c r="N512" s="2" t="s">
        <v>337</v>
      </c>
      <c r="O512" s="2" t="s">
        <v>443</v>
      </c>
      <c r="P512" s="2" t="s">
        <v>987</v>
      </c>
      <c r="Q512" s="2" t="s">
        <v>50</v>
      </c>
      <c r="S512" s="7" t="s">
        <v>5276</v>
      </c>
      <c r="T512" s="7" t="s">
        <v>5713</v>
      </c>
      <c r="U512" s="2" t="s">
        <v>6217</v>
      </c>
    </row>
    <row r="513" spans="1:21" ht="12.75" x14ac:dyDescent="0.2">
      <c r="A513" s="1">
        <v>45245.535451388889</v>
      </c>
      <c r="B513" s="2" t="s">
        <v>2098</v>
      </c>
      <c r="C513" s="2" t="s">
        <v>2618</v>
      </c>
      <c r="D513" s="2" t="s">
        <v>333</v>
      </c>
      <c r="E513" s="3">
        <v>44986</v>
      </c>
      <c r="F513" s="4">
        <v>100000</v>
      </c>
      <c r="G513" s="2" t="s">
        <v>42</v>
      </c>
      <c r="H513" s="2" t="s">
        <v>43</v>
      </c>
      <c r="I513" s="2" t="s">
        <v>990</v>
      </c>
      <c r="J513" s="2" t="s">
        <v>2619</v>
      </c>
      <c r="K513" s="2" t="s">
        <v>2620</v>
      </c>
      <c r="L513" s="2" t="s">
        <v>2621</v>
      </c>
      <c r="M513" s="2" t="s">
        <v>2622</v>
      </c>
      <c r="N513" s="2" t="s">
        <v>337</v>
      </c>
      <c r="O513" s="2" t="s">
        <v>2103</v>
      </c>
      <c r="P513" s="2" t="s">
        <v>995</v>
      </c>
      <c r="Q513" s="2" t="s">
        <v>50</v>
      </c>
      <c r="S513" s="7" t="s">
        <v>5277</v>
      </c>
      <c r="T513" s="7" t="s">
        <v>5713</v>
      </c>
      <c r="U513" s="2" t="s">
        <v>6218</v>
      </c>
    </row>
    <row r="514" spans="1:21" ht="12.75" x14ac:dyDescent="0.2">
      <c r="A514" s="1">
        <v>45212.516823379628</v>
      </c>
      <c r="B514" s="2" t="s">
        <v>2098</v>
      </c>
      <c r="C514" s="2" t="s">
        <v>2623</v>
      </c>
      <c r="D514" s="2" t="s">
        <v>333</v>
      </c>
      <c r="E514" s="3">
        <v>45210</v>
      </c>
      <c r="F514" s="4">
        <f>6682+1909</f>
        <v>8591</v>
      </c>
      <c r="G514" s="2" t="s">
        <v>42</v>
      </c>
      <c r="H514" s="2" t="s">
        <v>43</v>
      </c>
      <c r="I514" s="2" t="s">
        <v>990</v>
      </c>
      <c r="J514" s="2" t="s">
        <v>2619</v>
      </c>
      <c r="K514" s="2" t="s">
        <v>2624</v>
      </c>
      <c r="L514" s="2" t="s">
        <v>2625</v>
      </c>
      <c r="M514" s="2" t="s">
        <v>2626</v>
      </c>
      <c r="N514" s="2" t="s">
        <v>337</v>
      </c>
      <c r="O514" s="2" t="s">
        <v>2103</v>
      </c>
      <c r="P514" s="2" t="s">
        <v>995</v>
      </c>
      <c r="Q514" s="2" t="s">
        <v>50</v>
      </c>
      <c r="S514" s="7" t="s">
        <v>5278</v>
      </c>
      <c r="T514" s="7" t="s">
        <v>5713</v>
      </c>
      <c r="U514" s="2" t="s">
        <v>6219</v>
      </c>
    </row>
    <row r="515" spans="1:21" ht="12.75" x14ac:dyDescent="0.2">
      <c r="A515" s="1">
        <v>45214.991531284722</v>
      </c>
      <c r="B515" s="2" t="s">
        <v>1936</v>
      </c>
      <c r="C515" s="2" t="s">
        <v>2627</v>
      </c>
      <c r="D515" s="2" t="s">
        <v>910</v>
      </c>
      <c r="E515" s="3">
        <v>45200</v>
      </c>
      <c r="F515" s="4">
        <v>800</v>
      </c>
      <c r="G515" s="2" t="s">
        <v>143</v>
      </c>
      <c r="H515" s="2" t="s">
        <v>43</v>
      </c>
      <c r="I515" s="2" t="s">
        <v>990</v>
      </c>
      <c r="K515" s="2" t="s">
        <v>2628</v>
      </c>
      <c r="L515" s="2" t="s">
        <v>2629</v>
      </c>
      <c r="M515" s="2" t="s">
        <v>2630</v>
      </c>
      <c r="N515" s="2" t="s">
        <v>915</v>
      </c>
      <c r="O515" s="2" t="s">
        <v>1941</v>
      </c>
      <c r="P515" s="2" t="s">
        <v>995</v>
      </c>
      <c r="Q515" s="2" t="s">
        <v>50</v>
      </c>
      <c r="S515" s="7" t="s">
        <v>5279</v>
      </c>
      <c r="T515" s="7" t="s">
        <v>5713</v>
      </c>
      <c r="U515" s="2" t="s">
        <v>6220</v>
      </c>
    </row>
    <row r="516" spans="1:21" ht="12.75" x14ac:dyDescent="0.2">
      <c r="A516" s="1">
        <v>45218.790071932875</v>
      </c>
      <c r="B516" s="2" t="s">
        <v>1051</v>
      </c>
      <c r="C516" s="2" t="s">
        <v>2631</v>
      </c>
      <c r="D516" s="2" t="s">
        <v>41</v>
      </c>
      <c r="E516" s="3">
        <v>45200</v>
      </c>
      <c r="F516" s="4">
        <v>1</v>
      </c>
      <c r="G516" s="2" t="s">
        <v>143</v>
      </c>
      <c r="H516" s="2" t="s">
        <v>43</v>
      </c>
      <c r="K516" s="2" t="s">
        <v>2632</v>
      </c>
      <c r="L516" s="2" t="s">
        <v>2633</v>
      </c>
      <c r="M516" s="2" t="s">
        <v>2634</v>
      </c>
      <c r="N516" s="2" t="s">
        <v>48</v>
      </c>
      <c r="O516" s="2" t="s">
        <v>1057</v>
      </c>
      <c r="Q516" s="2" t="s">
        <v>50</v>
      </c>
      <c r="S516" s="7" t="s">
        <v>5280</v>
      </c>
      <c r="T516" s="7" t="s">
        <v>5713</v>
      </c>
      <c r="U516" s="2" t="s">
        <v>6221</v>
      </c>
    </row>
    <row r="517" spans="1:21" ht="12.75" x14ac:dyDescent="0.2">
      <c r="A517" s="1">
        <v>45226.555086979162</v>
      </c>
      <c r="B517" s="2" t="s">
        <v>363</v>
      </c>
      <c r="C517" s="2" t="s">
        <v>2635</v>
      </c>
      <c r="D517" s="2" t="s">
        <v>41</v>
      </c>
      <c r="E517" s="3">
        <v>45225</v>
      </c>
      <c r="F517" s="4">
        <v>1500</v>
      </c>
      <c r="G517" s="2" t="s">
        <v>42</v>
      </c>
      <c r="H517" s="2" t="s">
        <v>43</v>
      </c>
      <c r="J517" s="2" t="s">
        <v>402</v>
      </c>
      <c r="K517" s="2" t="s">
        <v>2636</v>
      </c>
      <c r="L517" s="2" t="s">
        <v>2637</v>
      </c>
      <c r="M517" s="2" t="s">
        <v>2638</v>
      </c>
      <c r="N517" s="2" t="s">
        <v>48</v>
      </c>
      <c r="O517" s="2" t="s">
        <v>368</v>
      </c>
      <c r="Q517" s="2" t="s">
        <v>50</v>
      </c>
      <c r="S517" s="7" t="s">
        <v>5281</v>
      </c>
      <c r="T517" s="7" t="s">
        <v>5713</v>
      </c>
      <c r="U517" s="2" t="s">
        <v>6222</v>
      </c>
    </row>
    <row r="518" spans="1:21" ht="12.75" x14ac:dyDescent="0.2">
      <c r="A518" s="1">
        <v>45227.469995717591</v>
      </c>
      <c r="B518" s="2" t="s">
        <v>2639</v>
      </c>
      <c r="C518" s="2" t="s">
        <v>2640</v>
      </c>
      <c r="D518" s="2" t="s">
        <v>41</v>
      </c>
      <c r="E518" s="3">
        <v>45210</v>
      </c>
      <c r="F518" s="4">
        <v>58400</v>
      </c>
      <c r="G518" s="2" t="s">
        <v>42</v>
      </c>
      <c r="H518" s="2" t="s">
        <v>43</v>
      </c>
      <c r="I518" s="2" t="s">
        <v>1228</v>
      </c>
      <c r="J518" s="2" t="s">
        <v>2641</v>
      </c>
      <c r="K518" s="2" t="s">
        <v>2642</v>
      </c>
      <c r="L518" s="2" t="s">
        <v>2643</v>
      </c>
      <c r="M518" s="2" t="s">
        <v>2644</v>
      </c>
      <c r="N518" s="2" t="s">
        <v>48</v>
      </c>
      <c r="O518" s="2" t="s">
        <v>2645</v>
      </c>
      <c r="P518" s="2" t="s">
        <v>1233</v>
      </c>
      <c r="Q518" s="2" t="s">
        <v>50</v>
      </c>
      <c r="S518" s="7" t="s">
        <v>5282</v>
      </c>
      <c r="T518" s="7" t="s">
        <v>5713</v>
      </c>
      <c r="U518" s="2" t="s">
        <v>6223</v>
      </c>
    </row>
    <row r="519" spans="1:21" ht="12.75" x14ac:dyDescent="0.2">
      <c r="A519" s="1">
        <v>45231.670254629629</v>
      </c>
      <c r="B519" s="2" t="s">
        <v>2336</v>
      </c>
      <c r="C519" s="2" t="s">
        <v>2646</v>
      </c>
      <c r="D519" s="2" t="s">
        <v>41</v>
      </c>
      <c r="E519" s="3">
        <v>45108</v>
      </c>
      <c r="F519" s="4">
        <v>14350</v>
      </c>
      <c r="G519" s="2" t="s">
        <v>326</v>
      </c>
      <c r="H519" s="2" t="s">
        <v>43</v>
      </c>
      <c r="I519" s="2" t="s">
        <v>965</v>
      </c>
      <c r="K519" s="2" t="s">
        <v>2647</v>
      </c>
      <c r="L519" s="2" t="s">
        <v>2648</v>
      </c>
      <c r="M519" s="2" t="s">
        <v>2649</v>
      </c>
      <c r="N519" s="2" t="s">
        <v>48</v>
      </c>
      <c r="O519" s="2" t="s">
        <v>2342</v>
      </c>
      <c r="P519" s="2" t="s">
        <v>971</v>
      </c>
      <c r="Q519" s="2" t="s">
        <v>50</v>
      </c>
      <c r="S519" s="7" t="s">
        <v>5283</v>
      </c>
      <c r="T519" s="7" t="s">
        <v>5713</v>
      </c>
      <c r="U519" s="2" t="s">
        <v>6224</v>
      </c>
    </row>
    <row r="520" spans="1:21" ht="12.75" x14ac:dyDescent="0.2">
      <c r="A520" s="1">
        <v>45231.685474537036</v>
      </c>
      <c r="B520" s="2" t="s">
        <v>2650</v>
      </c>
      <c r="C520" s="2" t="s">
        <v>2651</v>
      </c>
      <c r="D520" s="2" t="s">
        <v>41</v>
      </c>
      <c r="E520" s="3">
        <v>45170</v>
      </c>
      <c r="F520" s="4">
        <v>84400</v>
      </c>
      <c r="G520" s="2" t="s">
        <v>42</v>
      </c>
      <c r="H520" s="2" t="s">
        <v>43</v>
      </c>
      <c r="I520" s="2" t="s">
        <v>965</v>
      </c>
      <c r="J520" s="2" t="s">
        <v>2652</v>
      </c>
      <c r="K520" s="2" t="s">
        <v>2653</v>
      </c>
      <c r="L520" s="2" t="s">
        <v>2654</v>
      </c>
      <c r="M520" s="2" t="s">
        <v>2655</v>
      </c>
      <c r="N520" s="2" t="s">
        <v>48</v>
      </c>
      <c r="O520" s="2" t="s">
        <v>2656</v>
      </c>
      <c r="P520" s="2" t="s">
        <v>971</v>
      </c>
      <c r="Q520" s="2" t="s">
        <v>50</v>
      </c>
      <c r="S520" s="7" t="s">
        <v>5284</v>
      </c>
      <c r="T520" s="7" t="s">
        <v>5713</v>
      </c>
      <c r="U520" s="2" t="s">
        <v>6225</v>
      </c>
    </row>
    <row r="521" spans="1:21" ht="12.75" x14ac:dyDescent="0.2">
      <c r="A521" s="1">
        <v>45245.554146261573</v>
      </c>
      <c r="B521" s="2" t="s">
        <v>2098</v>
      </c>
      <c r="C521" s="2" t="s">
        <v>2657</v>
      </c>
      <c r="D521" s="2" t="s">
        <v>333</v>
      </c>
      <c r="E521" s="3">
        <v>45243</v>
      </c>
      <c r="F521" s="4">
        <f>51668</f>
        <v>51668</v>
      </c>
      <c r="G521" s="2" t="s">
        <v>42</v>
      </c>
      <c r="H521" s="2" t="s">
        <v>43</v>
      </c>
      <c r="I521" s="2" t="s">
        <v>990</v>
      </c>
      <c r="K521" s="2" t="s">
        <v>2658</v>
      </c>
      <c r="L521" s="2" t="s">
        <v>2659</v>
      </c>
      <c r="M521" s="2" t="s">
        <v>2660</v>
      </c>
      <c r="N521" s="2" t="s">
        <v>337</v>
      </c>
      <c r="O521" s="2" t="s">
        <v>2103</v>
      </c>
      <c r="P521" s="2" t="s">
        <v>995</v>
      </c>
      <c r="Q521" s="2" t="s">
        <v>50</v>
      </c>
      <c r="S521" s="7" t="s">
        <v>5285</v>
      </c>
      <c r="T521" s="7" t="s">
        <v>5713</v>
      </c>
      <c r="U521" s="2" t="s">
        <v>6226</v>
      </c>
    </row>
    <row r="522" spans="1:21" ht="12.75" x14ac:dyDescent="0.2">
      <c r="A522" s="1">
        <v>45314.759472476857</v>
      </c>
      <c r="B522" s="2" t="s">
        <v>2098</v>
      </c>
      <c r="C522" s="2" t="s">
        <v>2661</v>
      </c>
      <c r="D522" s="2" t="s">
        <v>910</v>
      </c>
      <c r="E522" s="3">
        <v>45292</v>
      </c>
      <c r="F522" s="4">
        <v>45000</v>
      </c>
      <c r="G522" s="2" t="s">
        <v>143</v>
      </c>
      <c r="H522" s="2" t="s">
        <v>43</v>
      </c>
      <c r="I522" s="2" t="s">
        <v>990</v>
      </c>
      <c r="K522" s="2" t="s">
        <v>2662</v>
      </c>
      <c r="L522" s="2" t="s">
        <v>2663</v>
      </c>
      <c r="M522" s="2" t="s">
        <v>2664</v>
      </c>
      <c r="N522" s="2" t="s">
        <v>915</v>
      </c>
      <c r="O522" s="2" t="s">
        <v>2103</v>
      </c>
      <c r="P522" s="2" t="s">
        <v>995</v>
      </c>
      <c r="Q522" s="2" t="s">
        <v>50</v>
      </c>
      <c r="S522" s="7" t="s">
        <v>5286</v>
      </c>
      <c r="T522" s="7" t="s">
        <v>5713</v>
      </c>
      <c r="U522" s="2" t="s">
        <v>6227</v>
      </c>
    </row>
    <row r="523" spans="1:21" ht="12.75" x14ac:dyDescent="0.2">
      <c r="A523" s="1">
        <v>45245.55569390046</v>
      </c>
      <c r="B523" s="2" t="s">
        <v>2098</v>
      </c>
      <c r="C523" s="2" t="s">
        <v>2665</v>
      </c>
      <c r="D523" s="2" t="s">
        <v>333</v>
      </c>
      <c r="E523" s="3">
        <v>45231</v>
      </c>
      <c r="F523" s="4">
        <v>45968</v>
      </c>
      <c r="G523" s="2" t="s">
        <v>42</v>
      </c>
      <c r="H523" s="2" t="s">
        <v>43</v>
      </c>
      <c r="I523" s="2" t="s">
        <v>990</v>
      </c>
      <c r="J523" s="2" t="s">
        <v>2666</v>
      </c>
      <c r="K523" s="2" t="s">
        <v>2667</v>
      </c>
      <c r="L523" s="2" t="s">
        <v>2668</v>
      </c>
      <c r="M523" s="2" t="s">
        <v>2669</v>
      </c>
      <c r="N523" s="2" t="s">
        <v>337</v>
      </c>
      <c r="O523" s="2" t="s">
        <v>2103</v>
      </c>
      <c r="P523" s="2" t="s">
        <v>995</v>
      </c>
      <c r="Q523" s="2" t="s">
        <v>50</v>
      </c>
      <c r="S523" s="7" t="s">
        <v>5287</v>
      </c>
      <c r="T523" s="7" t="s">
        <v>5713</v>
      </c>
      <c r="U523" s="2" t="s">
        <v>6228</v>
      </c>
    </row>
    <row r="524" spans="1:21" ht="12.75" x14ac:dyDescent="0.2">
      <c r="A524" s="1">
        <v>45245.582954467594</v>
      </c>
      <c r="B524" s="2" t="s">
        <v>2098</v>
      </c>
      <c r="C524" s="2" t="s">
        <v>2670</v>
      </c>
      <c r="D524" s="2" t="s">
        <v>333</v>
      </c>
      <c r="E524" s="3">
        <v>45203</v>
      </c>
      <c r="F524" s="4">
        <v>15120</v>
      </c>
      <c r="G524" s="2" t="s">
        <v>42</v>
      </c>
      <c r="H524" s="2" t="s">
        <v>43</v>
      </c>
      <c r="I524" s="2" t="s">
        <v>990</v>
      </c>
      <c r="K524" s="2" t="s">
        <v>2671</v>
      </c>
      <c r="L524" s="2" t="s">
        <v>2672</v>
      </c>
      <c r="M524" s="2" t="s">
        <v>2673</v>
      </c>
      <c r="N524" s="2" t="s">
        <v>337</v>
      </c>
      <c r="O524" s="2" t="s">
        <v>2103</v>
      </c>
      <c r="P524" s="2" t="s">
        <v>995</v>
      </c>
      <c r="Q524" s="2" t="s">
        <v>50</v>
      </c>
      <c r="S524" s="7" t="s">
        <v>5288</v>
      </c>
      <c r="T524" s="7" t="s">
        <v>5713</v>
      </c>
      <c r="U524" s="2" t="s">
        <v>6229</v>
      </c>
    </row>
    <row r="525" spans="1:21" ht="12.75" x14ac:dyDescent="0.2">
      <c r="A525" s="1">
        <v>45245.582954467594</v>
      </c>
      <c r="B525" s="2" t="s">
        <v>2098</v>
      </c>
      <c r="C525" s="2" t="s">
        <v>2674</v>
      </c>
      <c r="D525" s="2" t="s">
        <v>333</v>
      </c>
      <c r="E525" s="3">
        <v>45203</v>
      </c>
      <c r="F525" s="4">
        <v>1320</v>
      </c>
      <c r="G525" s="2" t="s">
        <v>42</v>
      </c>
      <c r="H525" s="2" t="s">
        <v>43</v>
      </c>
      <c r="I525" s="2" t="s">
        <v>990</v>
      </c>
      <c r="K525" s="2" t="s">
        <v>2675</v>
      </c>
      <c r="L525" s="2" t="s">
        <v>2676</v>
      </c>
      <c r="M525" s="2" t="s">
        <v>2677</v>
      </c>
      <c r="N525" s="2" t="s">
        <v>337</v>
      </c>
      <c r="O525" s="2" t="s">
        <v>2103</v>
      </c>
      <c r="P525" s="2" t="s">
        <v>995</v>
      </c>
      <c r="Q525" s="2" t="s">
        <v>50</v>
      </c>
      <c r="S525" s="7" t="s">
        <v>5289</v>
      </c>
      <c r="T525" s="7" t="s">
        <v>5713</v>
      </c>
      <c r="U525" s="2" t="s">
        <v>6230</v>
      </c>
    </row>
    <row r="526" spans="1:21" ht="12.75" x14ac:dyDescent="0.2">
      <c r="A526" s="1">
        <v>45246.771662627318</v>
      </c>
      <c r="B526" s="2" t="s">
        <v>2525</v>
      </c>
      <c r="C526" s="2" t="s">
        <v>2678</v>
      </c>
      <c r="D526" s="2" t="s">
        <v>910</v>
      </c>
      <c r="E526" s="3">
        <v>45231</v>
      </c>
      <c r="F526" s="4">
        <v>1500</v>
      </c>
      <c r="G526" s="2" t="s">
        <v>143</v>
      </c>
      <c r="H526" s="2" t="s">
        <v>43</v>
      </c>
      <c r="I526" s="2" t="s">
        <v>990</v>
      </c>
      <c r="J526" s="2" t="s">
        <v>2679</v>
      </c>
      <c r="K526" s="2" t="s">
        <v>2680</v>
      </c>
      <c r="L526" s="2" t="s">
        <v>2681</v>
      </c>
      <c r="M526" s="2" t="s">
        <v>2682</v>
      </c>
      <c r="N526" s="2" t="s">
        <v>915</v>
      </c>
      <c r="O526" s="2" t="s">
        <v>2530</v>
      </c>
      <c r="P526" s="2" t="s">
        <v>995</v>
      </c>
      <c r="Q526" s="2" t="s">
        <v>50</v>
      </c>
      <c r="S526" s="7" t="s">
        <v>5290</v>
      </c>
      <c r="T526" s="7" t="s">
        <v>5713</v>
      </c>
      <c r="U526" s="2" t="s">
        <v>6231</v>
      </c>
    </row>
    <row r="527" spans="1:21" ht="12.75" x14ac:dyDescent="0.2">
      <c r="A527" s="1">
        <v>45246.987890636578</v>
      </c>
      <c r="B527" s="2" t="s">
        <v>2683</v>
      </c>
      <c r="C527" s="2" t="s">
        <v>2684</v>
      </c>
      <c r="D527" s="2" t="s">
        <v>41</v>
      </c>
      <c r="E527" s="3">
        <v>45231</v>
      </c>
      <c r="F527" s="4">
        <v>2230000</v>
      </c>
      <c r="G527" s="2" t="s">
        <v>42</v>
      </c>
      <c r="H527" s="2" t="s">
        <v>43</v>
      </c>
      <c r="I527" s="2" t="s">
        <v>810</v>
      </c>
      <c r="K527" s="2" t="s">
        <v>2685</v>
      </c>
      <c r="L527" s="2" t="s">
        <v>2686</v>
      </c>
      <c r="M527" s="2" t="s">
        <v>2687</v>
      </c>
      <c r="N527" s="2" t="s">
        <v>48</v>
      </c>
      <c r="O527" s="2" t="s">
        <v>2688</v>
      </c>
      <c r="P527" s="2" t="s">
        <v>815</v>
      </c>
      <c r="Q527" s="2" t="s">
        <v>50</v>
      </c>
      <c r="S527" s="7" t="s">
        <v>5291</v>
      </c>
      <c r="T527" s="7" t="s">
        <v>5713</v>
      </c>
      <c r="U527" s="2" t="s">
        <v>6232</v>
      </c>
    </row>
    <row r="528" spans="1:21" ht="12.75" x14ac:dyDescent="0.2">
      <c r="A528" s="1">
        <v>45247.135087893519</v>
      </c>
      <c r="B528" s="2" t="s">
        <v>2689</v>
      </c>
      <c r="C528" s="2" t="s">
        <v>2690</v>
      </c>
      <c r="D528" s="2" t="s">
        <v>672</v>
      </c>
      <c r="E528" s="3">
        <v>45200</v>
      </c>
      <c r="F528" s="4">
        <v>50000</v>
      </c>
      <c r="G528" s="2" t="s">
        <v>42</v>
      </c>
      <c r="H528" s="2" t="s">
        <v>43</v>
      </c>
      <c r="I528" s="2" t="s">
        <v>2691</v>
      </c>
      <c r="J528" s="2" t="s">
        <v>2692</v>
      </c>
      <c r="K528" s="2" t="s">
        <v>2693</v>
      </c>
      <c r="L528" s="2" t="s">
        <v>2694</v>
      </c>
      <c r="M528" s="2" t="s">
        <v>2695</v>
      </c>
      <c r="N528" s="2" t="s">
        <v>676</v>
      </c>
      <c r="O528" s="2" t="s">
        <v>2696</v>
      </c>
      <c r="P528" s="2" t="s">
        <v>2697</v>
      </c>
      <c r="Q528" s="2" t="s">
        <v>50</v>
      </c>
      <c r="S528" s="7" t="s">
        <v>5292</v>
      </c>
      <c r="T528" s="7" t="s">
        <v>5713</v>
      </c>
      <c r="U528" s="2" t="s">
        <v>6233</v>
      </c>
    </row>
    <row r="529" spans="1:21" ht="12.75" x14ac:dyDescent="0.2">
      <c r="A529" s="1">
        <v>45251.173435150464</v>
      </c>
      <c r="B529" s="2" t="s">
        <v>1470</v>
      </c>
      <c r="C529" s="2" t="s">
        <v>2698</v>
      </c>
      <c r="D529" s="2" t="s">
        <v>2699</v>
      </c>
      <c r="E529" s="10">
        <v>45203</v>
      </c>
      <c r="F529" s="4">
        <v>24320</v>
      </c>
      <c r="G529" s="2" t="s">
        <v>143</v>
      </c>
      <c r="H529" s="2" t="s">
        <v>43</v>
      </c>
      <c r="I529" s="2" t="s">
        <v>2700</v>
      </c>
      <c r="K529" s="2" t="s">
        <v>2701</v>
      </c>
      <c r="L529" s="2" t="s">
        <v>2702</v>
      </c>
      <c r="M529" s="2" t="s">
        <v>2703</v>
      </c>
      <c r="N529" s="2" t="s">
        <v>2704</v>
      </c>
      <c r="O529" s="2" t="s">
        <v>1475</v>
      </c>
      <c r="P529" s="2" t="s">
        <v>2705</v>
      </c>
      <c r="Q529" s="2" t="s">
        <v>50</v>
      </c>
      <c r="S529" s="7" t="s">
        <v>5293</v>
      </c>
      <c r="T529" s="7" t="s">
        <v>5713</v>
      </c>
      <c r="U529" s="2" t="s">
        <v>6234</v>
      </c>
    </row>
    <row r="530" spans="1:21" ht="12.75" x14ac:dyDescent="0.2">
      <c r="A530" s="1">
        <v>45252.757580509264</v>
      </c>
      <c r="B530" s="2" t="s">
        <v>2706</v>
      </c>
      <c r="C530" s="2" t="s">
        <v>2707</v>
      </c>
      <c r="D530" s="2" t="s">
        <v>910</v>
      </c>
      <c r="E530" s="10">
        <v>45200</v>
      </c>
      <c r="F530" s="4">
        <v>2970</v>
      </c>
      <c r="G530" s="2" t="s">
        <v>143</v>
      </c>
      <c r="H530" s="2" t="s">
        <v>43</v>
      </c>
      <c r="K530" s="2" t="s">
        <v>2708</v>
      </c>
      <c r="L530" s="2" t="s">
        <v>2709</v>
      </c>
      <c r="M530" s="2" t="s">
        <v>2710</v>
      </c>
      <c r="N530" s="2" t="s">
        <v>915</v>
      </c>
      <c r="O530" s="2" t="s">
        <v>2711</v>
      </c>
      <c r="Q530" s="2" t="s">
        <v>50</v>
      </c>
      <c r="S530" s="7" t="s">
        <v>5294</v>
      </c>
      <c r="T530" s="7" t="s">
        <v>5713</v>
      </c>
      <c r="U530" s="2" t="s">
        <v>6235</v>
      </c>
    </row>
    <row r="531" spans="1:21" ht="12.75" x14ac:dyDescent="0.2">
      <c r="A531" s="10">
        <v>45259.824712106478</v>
      </c>
      <c r="B531" s="2" t="s">
        <v>438</v>
      </c>
      <c r="C531" s="2" t="s">
        <v>2712</v>
      </c>
      <c r="D531" s="2" t="s">
        <v>333</v>
      </c>
      <c r="E531" s="3">
        <v>45231</v>
      </c>
      <c r="F531" s="4">
        <v>13310</v>
      </c>
      <c r="G531" s="2" t="s">
        <v>42</v>
      </c>
      <c r="H531" s="2" t="s">
        <v>43</v>
      </c>
      <c r="I531" s="2" t="s">
        <v>983</v>
      </c>
      <c r="K531" s="2" t="s">
        <v>2713</v>
      </c>
      <c r="L531" s="2" t="s">
        <v>2714</v>
      </c>
      <c r="M531" s="2" t="s">
        <v>2715</v>
      </c>
      <c r="N531" s="2" t="s">
        <v>337</v>
      </c>
      <c r="O531" s="2" t="s">
        <v>443</v>
      </c>
      <c r="P531" s="2" t="s">
        <v>987</v>
      </c>
      <c r="Q531" s="2" t="s">
        <v>50</v>
      </c>
      <c r="S531" s="7" t="s">
        <v>5295</v>
      </c>
      <c r="T531" s="7" t="s">
        <v>5713</v>
      </c>
      <c r="U531" s="2" t="s">
        <v>6236</v>
      </c>
    </row>
    <row r="532" spans="1:21" ht="12.75" x14ac:dyDescent="0.2">
      <c r="A532" s="10">
        <v>45264.710329479167</v>
      </c>
      <c r="B532" s="2" t="s">
        <v>2716</v>
      </c>
      <c r="C532" s="2" t="s">
        <v>2717</v>
      </c>
      <c r="D532" s="2" t="s">
        <v>41</v>
      </c>
      <c r="E532" s="10">
        <v>45264</v>
      </c>
      <c r="F532" s="4">
        <v>29700</v>
      </c>
      <c r="G532" s="2" t="s">
        <v>42</v>
      </c>
      <c r="H532" s="2" t="s">
        <v>43</v>
      </c>
      <c r="I532" s="2" t="s">
        <v>1234</v>
      </c>
      <c r="J532" s="2" t="s">
        <v>2718</v>
      </c>
      <c r="K532" s="2" t="s">
        <v>2719</v>
      </c>
      <c r="L532" s="2" t="s">
        <v>2720</v>
      </c>
      <c r="M532" s="2" t="s">
        <v>2721</v>
      </c>
      <c r="N532" s="2" t="s">
        <v>48</v>
      </c>
      <c r="O532" s="2" t="s">
        <v>2722</v>
      </c>
      <c r="P532" s="2" t="s">
        <v>1238</v>
      </c>
      <c r="Q532" s="2" t="s">
        <v>50</v>
      </c>
      <c r="S532" s="7" t="s">
        <v>5296</v>
      </c>
      <c r="T532" s="7" t="s">
        <v>5713</v>
      </c>
      <c r="U532" s="2" t="s">
        <v>6237</v>
      </c>
    </row>
    <row r="533" spans="1:21" ht="12.75" x14ac:dyDescent="0.2">
      <c r="A533" s="10">
        <v>45266.556932719905</v>
      </c>
      <c r="B533" s="2" t="s">
        <v>2098</v>
      </c>
      <c r="C533" s="2" t="s">
        <v>2723</v>
      </c>
      <c r="D533" s="2" t="s">
        <v>333</v>
      </c>
      <c r="E533" s="3">
        <v>45203</v>
      </c>
      <c r="F533" s="4">
        <v>10339</v>
      </c>
      <c r="G533" s="2" t="s">
        <v>326</v>
      </c>
      <c r="H533" s="2" t="s">
        <v>43</v>
      </c>
      <c r="I533" s="2" t="s">
        <v>990</v>
      </c>
      <c r="K533" s="2" t="s">
        <v>2724</v>
      </c>
      <c r="L533" s="2" t="s">
        <v>2725</v>
      </c>
      <c r="M533" s="2" t="s">
        <v>2726</v>
      </c>
      <c r="N533" s="2" t="s">
        <v>337</v>
      </c>
      <c r="O533" s="2" t="s">
        <v>2103</v>
      </c>
      <c r="P533" s="2" t="s">
        <v>995</v>
      </c>
      <c r="Q533" s="2" t="s">
        <v>50</v>
      </c>
      <c r="S533" s="7" t="s">
        <v>5297</v>
      </c>
      <c r="T533" s="7" t="s">
        <v>5713</v>
      </c>
      <c r="U533" s="2" t="s">
        <v>6238</v>
      </c>
    </row>
    <row r="534" spans="1:21" ht="12.75" x14ac:dyDescent="0.2">
      <c r="A534" s="1">
        <v>45266.556932719905</v>
      </c>
      <c r="B534" s="2" t="s">
        <v>2098</v>
      </c>
      <c r="C534" s="2" t="s">
        <v>2727</v>
      </c>
      <c r="D534" s="2" t="s">
        <v>333</v>
      </c>
      <c r="E534" s="3">
        <v>45203</v>
      </c>
      <c r="F534" s="4">
        <v>1</v>
      </c>
      <c r="G534" s="2" t="s">
        <v>326</v>
      </c>
      <c r="H534" s="2" t="s">
        <v>43</v>
      </c>
      <c r="I534" s="2" t="s">
        <v>990</v>
      </c>
      <c r="K534" s="2" t="s">
        <v>2728</v>
      </c>
      <c r="L534" s="2" t="s">
        <v>2729</v>
      </c>
      <c r="M534" s="2" t="s">
        <v>2730</v>
      </c>
      <c r="N534" s="2" t="s">
        <v>337</v>
      </c>
      <c r="O534" s="2" t="s">
        <v>2103</v>
      </c>
      <c r="P534" s="2" t="s">
        <v>995</v>
      </c>
      <c r="Q534" s="2" t="s">
        <v>50</v>
      </c>
      <c r="S534" s="7" t="s">
        <v>5298</v>
      </c>
      <c r="T534" s="7" t="s">
        <v>5713</v>
      </c>
      <c r="U534" s="2" t="s">
        <v>6239</v>
      </c>
    </row>
    <row r="535" spans="1:21" ht="12.75" x14ac:dyDescent="0.2">
      <c r="A535" s="1">
        <v>45266.570554652775</v>
      </c>
      <c r="B535" s="2" t="s">
        <v>2098</v>
      </c>
      <c r="C535" s="2" t="s">
        <v>2731</v>
      </c>
      <c r="D535" s="2" t="s">
        <v>333</v>
      </c>
      <c r="E535" s="3">
        <v>45261</v>
      </c>
      <c r="F535" s="4">
        <v>219593</v>
      </c>
      <c r="G535" s="2" t="s">
        <v>42</v>
      </c>
      <c r="H535" s="2" t="s">
        <v>43</v>
      </c>
      <c r="I535" s="2" t="s">
        <v>990</v>
      </c>
      <c r="J535" s="2" t="s">
        <v>2732</v>
      </c>
      <c r="K535" s="2" t="s">
        <v>2733</v>
      </c>
      <c r="L535" s="2" t="s">
        <v>2734</v>
      </c>
      <c r="M535" s="2" t="s">
        <v>2735</v>
      </c>
      <c r="N535" s="2" t="s">
        <v>337</v>
      </c>
      <c r="O535" s="2" t="s">
        <v>2103</v>
      </c>
      <c r="P535" s="2" t="s">
        <v>995</v>
      </c>
      <c r="Q535" s="2" t="s">
        <v>50</v>
      </c>
      <c r="S535" s="7" t="s">
        <v>5299</v>
      </c>
      <c r="T535" s="7" t="s">
        <v>5713</v>
      </c>
      <c r="U535" s="2" t="s">
        <v>6240</v>
      </c>
    </row>
    <row r="536" spans="1:21" ht="12.75" x14ac:dyDescent="0.2">
      <c r="A536" s="1">
        <v>45266.570554652775</v>
      </c>
      <c r="B536" s="2" t="s">
        <v>2098</v>
      </c>
      <c r="C536" s="2" t="s">
        <v>2736</v>
      </c>
      <c r="D536" s="2" t="s">
        <v>333</v>
      </c>
      <c r="E536" s="3">
        <v>45261</v>
      </c>
      <c r="F536" s="4">
        <v>183367.5</v>
      </c>
      <c r="G536" s="2" t="s">
        <v>42</v>
      </c>
      <c r="H536" s="2" t="s">
        <v>43</v>
      </c>
      <c r="I536" s="2" t="s">
        <v>990</v>
      </c>
      <c r="J536" s="2" t="s">
        <v>2419</v>
      </c>
      <c r="K536" s="2" t="s">
        <v>2737</v>
      </c>
      <c r="L536" s="2" t="s">
        <v>2738</v>
      </c>
      <c r="M536" s="2" t="s">
        <v>2739</v>
      </c>
      <c r="N536" s="2" t="s">
        <v>337</v>
      </c>
      <c r="O536" s="2" t="s">
        <v>2103</v>
      </c>
      <c r="P536" s="2" t="s">
        <v>995</v>
      </c>
      <c r="Q536" s="2" t="s">
        <v>50</v>
      </c>
      <c r="S536" s="7" t="s">
        <v>5300</v>
      </c>
      <c r="T536" s="7" t="s">
        <v>5713</v>
      </c>
      <c r="U536" s="2" t="s">
        <v>6241</v>
      </c>
    </row>
    <row r="537" spans="1:21" ht="12.75" x14ac:dyDescent="0.2">
      <c r="A537" s="1">
        <v>45268.587265509261</v>
      </c>
      <c r="B537" s="2" t="s">
        <v>1936</v>
      </c>
      <c r="C537" s="2" t="s">
        <v>2740</v>
      </c>
      <c r="D537" s="2" t="s">
        <v>910</v>
      </c>
      <c r="E537" s="3">
        <v>45267</v>
      </c>
      <c r="F537" s="4">
        <v>1700</v>
      </c>
      <c r="G537" s="2" t="s">
        <v>143</v>
      </c>
      <c r="H537" s="2" t="s">
        <v>43</v>
      </c>
      <c r="I537" s="2" t="s">
        <v>990</v>
      </c>
      <c r="K537" s="2" t="s">
        <v>2741</v>
      </c>
      <c r="L537" s="2" t="s">
        <v>2742</v>
      </c>
      <c r="M537" s="2" t="s">
        <v>2743</v>
      </c>
      <c r="N537" s="2" t="s">
        <v>915</v>
      </c>
      <c r="O537" s="2" t="s">
        <v>1941</v>
      </c>
      <c r="P537" s="2" t="s">
        <v>995</v>
      </c>
      <c r="Q537" s="2" t="s">
        <v>50</v>
      </c>
      <c r="S537" s="7" t="s">
        <v>5301</v>
      </c>
      <c r="T537" s="7" t="s">
        <v>5713</v>
      </c>
      <c r="U537" s="2" t="s">
        <v>6242</v>
      </c>
    </row>
    <row r="538" spans="1:21" ht="12.75" x14ac:dyDescent="0.2">
      <c r="A538" s="1">
        <v>45276.598268483795</v>
      </c>
      <c r="B538" s="2" t="s">
        <v>438</v>
      </c>
      <c r="C538" s="2" t="s">
        <v>2744</v>
      </c>
      <c r="D538" s="2" t="s">
        <v>470</v>
      </c>
      <c r="E538" s="3">
        <v>45261</v>
      </c>
      <c r="F538" s="4">
        <v>2500</v>
      </c>
      <c r="G538" s="2" t="s">
        <v>143</v>
      </c>
      <c r="H538" s="2" t="s">
        <v>43</v>
      </c>
      <c r="I538" s="2" t="s">
        <v>990</v>
      </c>
      <c r="K538" s="2" t="s">
        <v>2745</v>
      </c>
      <c r="L538" s="2" t="s">
        <v>2746</v>
      </c>
      <c r="M538" s="2" t="s">
        <v>2747</v>
      </c>
      <c r="N538" s="2" t="s">
        <v>475</v>
      </c>
      <c r="O538" s="2" t="s">
        <v>443</v>
      </c>
      <c r="P538" s="2" t="s">
        <v>995</v>
      </c>
      <c r="Q538" s="2" t="s">
        <v>50</v>
      </c>
      <c r="S538" s="7" t="s">
        <v>5302</v>
      </c>
      <c r="T538" s="7" t="s">
        <v>5713</v>
      </c>
      <c r="U538" s="2" t="s">
        <v>6243</v>
      </c>
    </row>
    <row r="539" spans="1:21" ht="12.75" x14ac:dyDescent="0.2">
      <c r="A539" s="1">
        <v>45278.55339483796</v>
      </c>
      <c r="B539" s="2" t="s">
        <v>2748</v>
      </c>
      <c r="C539" s="2" t="s">
        <v>2749</v>
      </c>
      <c r="D539" s="2" t="s">
        <v>41</v>
      </c>
      <c r="E539" s="3">
        <v>45200</v>
      </c>
      <c r="F539" s="4">
        <v>25990</v>
      </c>
      <c r="G539" s="2" t="s">
        <v>42</v>
      </c>
      <c r="H539" s="2" t="s">
        <v>43</v>
      </c>
      <c r="I539" s="2" t="s">
        <v>965</v>
      </c>
      <c r="J539" s="2" t="s">
        <v>2750</v>
      </c>
      <c r="K539" s="2" t="s">
        <v>2751</v>
      </c>
      <c r="L539" s="2" t="s">
        <v>2752</v>
      </c>
      <c r="M539" s="2" t="s">
        <v>2753</v>
      </c>
      <c r="N539" s="2" t="s">
        <v>48</v>
      </c>
      <c r="O539" s="2" t="s">
        <v>2754</v>
      </c>
      <c r="P539" s="2" t="s">
        <v>971</v>
      </c>
      <c r="Q539" s="2" t="s">
        <v>50</v>
      </c>
      <c r="S539" s="7" t="s">
        <v>5303</v>
      </c>
      <c r="T539" s="7" t="s">
        <v>5713</v>
      </c>
      <c r="U539" s="2" t="s">
        <v>6244</v>
      </c>
    </row>
    <row r="540" spans="1:21" ht="12.75" x14ac:dyDescent="0.2">
      <c r="A540" s="1">
        <v>45279.642959733799</v>
      </c>
      <c r="B540" s="2" t="s">
        <v>2755</v>
      </c>
      <c r="C540" s="2" t="s">
        <v>2756</v>
      </c>
      <c r="D540" s="2" t="s">
        <v>333</v>
      </c>
      <c r="E540" s="3">
        <v>45104</v>
      </c>
      <c r="F540" s="4">
        <v>102052</v>
      </c>
      <c r="G540" s="2" t="s">
        <v>42</v>
      </c>
      <c r="H540" s="2" t="s">
        <v>43</v>
      </c>
      <c r="I540" s="2" t="s">
        <v>990</v>
      </c>
      <c r="K540" s="2" t="s">
        <v>2757</v>
      </c>
      <c r="L540" s="2" t="s">
        <v>2758</v>
      </c>
      <c r="M540" s="2" t="s">
        <v>2759</v>
      </c>
      <c r="N540" s="2" t="s">
        <v>337</v>
      </c>
      <c r="O540" s="2" t="s">
        <v>2760</v>
      </c>
      <c r="P540" s="2" t="s">
        <v>995</v>
      </c>
      <c r="Q540" s="2" t="s">
        <v>2761</v>
      </c>
      <c r="S540" s="7" t="s">
        <v>5304</v>
      </c>
      <c r="T540" s="7" t="s">
        <v>5713</v>
      </c>
      <c r="U540" s="2" t="s">
        <v>6245</v>
      </c>
    </row>
    <row r="541" spans="1:21" ht="12.75" x14ac:dyDescent="0.2">
      <c r="A541" s="1">
        <v>45279.642959733799</v>
      </c>
      <c r="B541" s="2" t="s">
        <v>2762</v>
      </c>
      <c r="C541" s="2" t="s">
        <v>2763</v>
      </c>
      <c r="D541" s="2" t="s">
        <v>333</v>
      </c>
      <c r="E541" s="3">
        <v>45028</v>
      </c>
      <c r="F541" s="4">
        <v>79428</v>
      </c>
      <c r="G541" s="2" t="s">
        <v>42</v>
      </c>
      <c r="H541" s="2" t="s">
        <v>43</v>
      </c>
      <c r="I541" s="2" t="s">
        <v>990</v>
      </c>
      <c r="K541" s="2" t="s">
        <v>2764</v>
      </c>
      <c r="L541" s="2" t="s">
        <v>2765</v>
      </c>
      <c r="M541" s="2" t="s">
        <v>2766</v>
      </c>
      <c r="N541" s="2" t="s">
        <v>337</v>
      </c>
      <c r="O541" s="2" t="s">
        <v>2767</v>
      </c>
      <c r="P541" s="2" t="s">
        <v>995</v>
      </c>
      <c r="Q541" s="2" t="s">
        <v>2761</v>
      </c>
      <c r="S541" s="7" t="s">
        <v>5305</v>
      </c>
      <c r="T541" s="7" t="s">
        <v>5713</v>
      </c>
      <c r="U541" s="2" t="s">
        <v>6246</v>
      </c>
    </row>
    <row r="542" spans="1:21" ht="12.75" x14ac:dyDescent="0.2">
      <c r="A542" s="1">
        <v>45280.517035925921</v>
      </c>
      <c r="B542" s="2" t="s">
        <v>2768</v>
      </c>
      <c r="C542" s="2" t="s">
        <v>346</v>
      </c>
      <c r="D542" s="2" t="s">
        <v>41</v>
      </c>
      <c r="E542" s="10">
        <v>45019</v>
      </c>
      <c r="F542" s="4">
        <v>27000</v>
      </c>
      <c r="G542" s="2" t="s">
        <v>42</v>
      </c>
      <c r="H542" s="2" t="s">
        <v>43</v>
      </c>
      <c r="J542" s="2" t="s">
        <v>2769</v>
      </c>
      <c r="K542" s="2" t="s">
        <v>2770</v>
      </c>
      <c r="L542" s="2" t="s">
        <v>2771</v>
      </c>
      <c r="M542" s="2" t="s">
        <v>2772</v>
      </c>
      <c r="N542" s="2" t="s">
        <v>48</v>
      </c>
      <c r="O542" s="2" t="s">
        <v>2773</v>
      </c>
      <c r="Q542" s="2" t="s">
        <v>2761</v>
      </c>
      <c r="S542" s="7" t="s">
        <v>5306</v>
      </c>
      <c r="T542" s="7" t="s">
        <v>5713</v>
      </c>
      <c r="U542" s="2" t="s">
        <v>6247</v>
      </c>
    </row>
    <row r="543" spans="1:21" ht="12.75" x14ac:dyDescent="0.2">
      <c r="A543" s="1">
        <v>45280.517035925921</v>
      </c>
      <c r="B543" s="2" t="s">
        <v>2768</v>
      </c>
      <c r="C543" s="2" t="s">
        <v>346</v>
      </c>
      <c r="D543" s="2" t="s">
        <v>223</v>
      </c>
      <c r="E543" s="10">
        <v>45259</v>
      </c>
      <c r="F543" s="4">
        <v>100</v>
      </c>
      <c r="G543" s="2" t="s">
        <v>42</v>
      </c>
      <c r="H543" s="2" t="s">
        <v>43</v>
      </c>
      <c r="K543" s="2" t="s">
        <v>2774</v>
      </c>
      <c r="L543" s="2" t="s">
        <v>2775</v>
      </c>
      <c r="M543" s="2" t="s">
        <v>2776</v>
      </c>
      <c r="N543" s="2" t="s">
        <v>228</v>
      </c>
      <c r="O543" s="2" t="s">
        <v>2773</v>
      </c>
      <c r="Q543" s="2" t="s">
        <v>2761</v>
      </c>
      <c r="S543" s="7" t="s">
        <v>5307</v>
      </c>
      <c r="T543" s="7" t="s">
        <v>5713</v>
      </c>
      <c r="U543" s="2" t="s">
        <v>6248</v>
      </c>
    </row>
    <row r="544" spans="1:21" ht="12.75" x14ac:dyDescent="0.2">
      <c r="A544" s="1">
        <v>45280.519355787037</v>
      </c>
      <c r="B544" s="2" t="s">
        <v>2008</v>
      </c>
      <c r="C544" s="2" t="s">
        <v>2777</v>
      </c>
      <c r="D544" s="2" t="s">
        <v>223</v>
      </c>
      <c r="E544" s="10">
        <v>45093</v>
      </c>
      <c r="F544" s="4">
        <v>300</v>
      </c>
      <c r="G544" s="2" t="s">
        <v>42</v>
      </c>
      <c r="H544" s="2" t="s">
        <v>43</v>
      </c>
      <c r="K544" s="2" t="s">
        <v>2778</v>
      </c>
      <c r="L544" s="2" t="s">
        <v>2779</v>
      </c>
      <c r="M544" s="2" t="s">
        <v>2780</v>
      </c>
      <c r="N544" s="2" t="s">
        <v>228</v>
      </c>
      <c r="O544" s="2" t="s">
        <v>2013</v>
      </c>
      <c r="Q544" s="2" t="s">
        <v>2761</v>
      </c>
      <c r="S544" s="7" t="s">
        <v>5308</v>
      </c>
      <c r="T544" s="7" t="s">
        <v>5713</v>
      </c>
      <c r="U544" s="2" t="s">
        <v>6249</v>
      </c>
    </row>
    <row r="545" spans="1:21" ht="12.75" x14ac:dyDescent="0.2">
      <c r="A545" s="1">
        <v>45280.531669259261</v>
      </c>
      <c r="B545" s="2" t="s">
        <v>963</v>
      </c>
      <c r="C545" s="2" t="s">
        <v>2781</v>
      </c>
      <c r="D545" s="2" t="s">
        <v>223</v>
      </c>
      <c r="E545" s="10">
        <v>45200</v>
      </c>
      <c r="F545" s="4">
        <v>600</v>
      </c>
      <c r="G545" s="2" t="s">
        <v>42</v>
      </c>
      <c r="H545" s="2" t="s">
        <v>43</v>
      </c>
      <c r="J545" s="2" t="s">
        <v>966</v>
      </c>
      <c r="K545" s="2" t="s">
        <v>2782</v>
      </c>
      <c r="L545" s="2" t="s">
        <v>2783</v>
      </c>
      <c r="M545" s="2" t="s">
        <v>2784</v>
      </c>
      <c r="N545" s="2" t="s">
        <v>228</v>
      </c>
      <c r="O545" s="2" t="s">
        <v>970</v>
      </c>
      <c r="Q545" s="2" t="s">
        <v>2761</v>
      </c>
      <c r="S545" s="7" t="s">
        <v>5309</v>
      </c>
      <c r="T545" s="7" t="s">
        <v>5713</v>
      </c>
      <c r="U545" s="2" t="s">
        <v>6250</v>
      </c>
    </row>
    <row r="546" spans="1:21" ht="12.75" x14ac:dyDescent="0.2">
      <c r="A546" s="1">
        <v>45280.531669259261</v>
      </c>
      <c r="B546" s="2" t="s">
        <v>2599</v>
      </c>
      <c r="C546" s="2" t="s">
        <v>2785</v>
      </c>
      <c r="D546" s="2" t="s">
        <v>223</v>
      </c>
      <c r="E546" s="3">
        <v>45139</v>
      </c>
      <c r="F546" s="4">
        <v>300</v>
      </c>
      <c r="G546" s="2" t="s">
        <v>42</v>
      </c>
      <c r="H546" s="2" t="s">
        <v>43</v>
      </c>
      <c r="K546" s="2" t="s">
        <v>2786</v>
      </c>
      <c r="L546" s="2" t="s">
        <v>2787</v>
      </c>
      <c r="M546" s="2" t="s">
        <v>2788</v>
      </c>
      <c r="N546" s="2" t="s">
        <v>228</v>
      </c>
      <c r="O546" s="2" t="s">
        <v>2605</v>
      </c>
      <c r="Q546" s="2" t="s">
        <v>2761</v>
      </c>
      <c r="S546" s="7" t="s">
        <v>5310</v>
      </c>
      <c r="T546" s="7" t="s">
        <v>5713</v>
      </c>
      <c r="U546" s="2" t="s">
        <v>6251</v>
      </c>
    </row>
    <row r="547" spans="1:21" ht="12.75" x14ac:dyDescent="0.2">
      <c r="A547" s="1">
        <v>45280.531669259261</v>
      </c>
      <c r="B547" s="2" t="s">
        <v>1563</v>
      </c>
      <c r="C547" s="2" t="s">
        <v>2789</v>
      </c>
      <c r="D547" s="2" t="s">
        <v>223</v>
      </c>
      <c r="E547" s="3">
        <v>45170</v>
      </c>
      <c r="F547" s="4">
        <v>300</v>
      </c>
      <c r="G547" s="2" t="s">
        <v>143</v>
      </c>
      <c r="H547" s="2" t="s">
        <v>43</v>
      </c>
      <c r="K547" s="2" t="s">
        <v>2790</v>
      </c>
      <c r="L547" s="2" t="s">
        <v>2791</v>
      </c>
      <c r="M547" s="2" t="s">
        <v>2792</v>
      </c>
      <c r="N547" s="2" t="s">
        <v>228</v>
      </c>
      <c r="O547" s="2" t="s">
        <v>1569</v>
      </c>
      <c r="Q547" s="2" t="s">
        <v>2761</v>
      </c>
      <c r="S547" s="7" t="s">
        <v>5311</v>
      </c>
      <c r="T547" s="7" t="s">
        <v>5713</v>
      </c>
      <c r="U547" s="2" t="s">
        <v>6252</v>
      </c>
    </row>
    <row r="548" spans="1:21" ht="12.75" x14ac:dyDescent="0.2">
      <c r="A548" s="1">
        <v>45280.531669259261</v>
      </c>
      <c r="B548" s="2" t="s">
        <v>516</v>
      </c>
      <c r="C548" s="2" t="s">
        <v>2793</v>
      </c>
      <c r="D548" s="2" t="s">
        <v>223</v>
      </c>
      <c r="E548" s="3">
        <v>44531</v>
      </c>
      <c r="F548" s="4">
        <v>100</v>
      </c>
      <c r="G548" s="2" t="s">
        <v>42</v>
      </c>
      <c r="H548" s="2" t="s">
        <v>43</v>
      </c>
      <c r="K548" s="2" t="s">
        <v>2794</v>
      </c>
      <c r="L548" s="2" t="s">
        <v>2795</v>
      </c>
      <c r="M548" s="2" t="s">
        <v>2796</v>
      </c>
      <c r="N548" s="2" t="s">
        <v>228</v>
      </c>
      <c r="O548" s="2" t="s">
        <v>522</v>
      </c>
      <c r="Q548" s="2" t="s">
        <v>2761</v>
      </c>
      <c r="S548" s="7" t="s">
        <v>5312</v>
      </c>
      <c r="T548" s="7" t="s">
        <v>5713</v>
      </c>
      <c r="U548" s="2" t="s">
        <v>6253</v>
      </c>
    </row>
    <row r="549" spans="1:21" ht="12.75" x14ac:dyDescent="0.2">
      <c r="A549" s="1">
        <v>45280.531669259261</v>
      </c>
      <c r="B549" s="2" t="s">
        <v>2797</v>
      </c>
      <c r="C549" s="2" t="s">
        <v>2798</v>
      </c>
      <c r="D549" s="2" t="s">
        <v>223</v>
      </c>
      <c r="E549" s="3">
        <v>45292</v>
      </c>
      <c r="F549" s="4">
        <v>300</v>
      </c>
      <c r="G549" s="2" t="s">
        <v>42</v>
      </c>
      <c r="H549" s="2" t="s">
        <v>43</v>
      </c>
      <c r="K549" s="2" t="s">
        <v>2799</v>
      </c>
      <c r="L549" s="2" t="s">
        <v>2800</v>
      </c>
      <c r="M549" s="2" t="s">
        <v>2801</v>
      </c>
      <c r="N549" s="2" t="s">
        <v>228</v>
      </c>
      <c r="O549" s="2" t="s">
        <v>2802</v>
      </c>
      <c r="Q549" s="2" t="s">
        <v>2761</v>
      </c>
      <c r="S549" s="7" t="s">
        <v>5313</v>
      </c>
      <c r="T549" s="7" t="s">
        <v>5713</v>
      </c>
      <c r="U549" s="2" t="s">
        <v>6254</v>
      </c>
    </row>
    <row r="550" spans="1:21" ht="12.75" x14ac:dyDescent="0.2">
      <c r="A550" s="1">
        <v>45280.546394618053</v>
      </c>
      <c r="B550" s="2" t="s">
        <v>2803</v>
      </c>
      <c r="C550" s="2" t="s">
        <v>2804</v>
      </c>
      <c r="D550" s="2" t="s">
        <v>223</v>
      </c>
      <c r="E550" s="3">
        <v>44835</v>
      </c>
      <c r="F550" s="4">
        <v>400</v>
      </c>
      <c r="G550" s="2" t="s">
        <v>42</v>
      </c>
      <c r="H550" s="2" t="s">
        <v>43</v>
      </c>
      <c r="K550" s="2" t="s">
        <v>2805</v>
      </c>
      <c r="L550" s="2" t="s">
        <v>2806</v>
      </c>
      <c r="M550" s="2" t="s">
        <v>2807</v>
      </c>
      <c r="N550" s="2" t="s">
        <v>228</v>
      </c>
      <c r="O550" s="2" t="s">
        <v>2808</v>
      </c>
      <c r="Q550" s="2" t="s">
        <v>2761</v>
      </c>
      <c r="S550" s="7" t="s">
        <v>5314</v>
      </c>
      <c r="T550" s="7" t="s">
        <v>5713</v>
      </c>
      <c r="U550" s="2" t="s">
        <v>6255</v>
      </c>
    </row>
    <row r="551" spans="1:21" ht="12.75" x14ac:dyDescent="0.2">
      <c r="A551" s="1">
        <v>45280.546394618053</v>
      </c>
      <c r="B551" s="2" t="s">
        <v>2809</v>
      </c>
      <c r="C551" s="2" t="s">
        <v>2810</v>
      </c>
      <c r="D551" s="2" t="s">
        <v>223</v>
      </c>
      <c r="E551" s="3">
        <v>45266</v>
      </c>
      <c r="F551" s="4">
        <v>100</v>
      </c>
      <c r="G551" s="2" t="s">
        <v>42</v>
      </c>
      <c r="H551" s="2" t="s">
        <v>43</v>
      </c>
      <c r="K551" s="2" t="s">
        <v>2811</v>
      </c>
      <c r="L551" s="2" t="s">
        <v>2812</v>
      </c>
      <c r="M551" s="2" t="s">
        <v>2813</v>
      </c>
      <c r="N551" s="2" t="s">
        <v>228</v>
      </c>
      <c r="O551" s="2" t="s">
        <v>2814</v>
      </c>
      <c r="Q551" s="2" t="s">
        <v>2761</v>
      </c>
      <c r="S551" s="7" t="s">
        <v>5315</v>
      </c>
      <c r="T551" s="7" t="s">
        <v>5713</v>
      </c>
      <c r="U551" s="2" t="s">
        <v>6256</v>
      </c>
    </row>
    <row r="552" spans="1:21" ht="12.75" x14ac:dyDescent="0.2">
      <c r="A552" s="1">
        <v>45280.546394618053</v>
      </c>
      <c r="B552" s="2" t="s">
        <v>2815</v>
      </c>
      <c r="C552" s="2" t="s">
        <v>2816</v>
      </c>
      <c r="D552" s="2" t="s">
        <v>223</v>
      </c>
      <c r="E552" s="3">
        <v>45047</v>
      </c>
      <c r="F552" s="4">
        <v>600</v>
      </c>
      <c r="G552" s="2" t="s">
        <v>143</v>
      </c>
      <c r="H552" s="2" t="s">
        <v>43</v>
      </c>
      <c r="J552" s="2" t="s">
        <v>2817</v>
      </c>
      <c r="K552" s="2" t="s">
        <v>2818</v>
      </c>
      <c r="L552" s="2" t="s">
        <v>2819</v>
      </c>
      <c r="M552" s="2" t="s">
        <v>2820</v>
      </c>
      <c r="N552" s="2" t="s">
        <v>228</v>
      </c>
      <c r="O552" s="2" t="s">
        <v>2821</v>
      </c>
      <c r="Q552" s="2" t="s">
        <v>2761</v>
      </c>
      <c r="S552" s="7" t="s">
        <v>5316</v>
      </c>
      <c r="T552" s="7" t="s">
        <v>5713</v>
      </c>
      <c r="U552" s="2" t="s">
        <v>6257</v>
      </c>
    </row>
    <row r="553" spans="1:21" ht="12.75" x14ac:dyDescent="0.2">
      <c r="A553" s="1">
        <v>45280.546394618053</v>
      </c>
      <c r="B553" s="2" t="s">
        <v>2822</v>
      </c>
      <c r="C553" s="2" t="s">
        <v>2823</v>
      </c>
      <c r="D553" s="2" t="s">
        <v>223</v>
      </c>
      <c r="E553" s="3">
        <v>45170</v>
      </c>
      <c r="F553" s="4">
        <v>200</v>
      </c>
      <c r="G553" s="2" t="s">
        <v>143</v>
      </c>
      <c r="H553" s="2" t="s">
        <v>43</v>
      </c>
      <c r="K553" s="2" t="s">
        <v>2824</v>
      </c>
      <c r="L553" s="2" t="s">
        <v>2825</v>
      </c>
      <c r="M553" s="2" t="s">
        <v>2826</v>
      </c>
      <c r="N553" s="2" t="s">
        <v>228</v>
      </c>
      <c r="O553" s="2" t="s">
        <v>2827</v>
      </c>
      <c r="Q553" s="2" t="s">
        <v>2761</v>
      </c>
      <c r="S553" s="7" t="s">
        <v>5317</v>
      </c>
      <c r="T553" s="7" t="s">
        <v>5713</v>
      </c>
      <c r="U553" s="2" t="s">
        <v>6258</v>
      </c>
    </row>
    <row r="554" spans="1:21" ht="12.75" x14ac:dyDescent="0.2">
      <c r="A554" s="1"/>
      <c r="B554" s="2"/>
      <c r="C554" s="2"/>
      <c r="D554" s="2"/>
      <c r="E554" s="3"/>
      <c r="F554" s="4"/>
      <c r="G554" s="2"/>
      <c r="H554" s="2"/>
      <c r="K554" s="2"/>
      <c r="L554" s="2"/>
      <c r="M554" s="2"/>
      <c r="N554" s="2"/>
      <c r="O554" s="2"/>
      <c r="Q554" s="2"/>
      <c r="R554" s="2"/>
      <c r="S554" s="7"/>
      <c r="T554" s="7"/>
      <c r="U554" s="2"/>
    </row>
    <row r="555" spans="1:21" ht="12.75" x14ac:dyDescent="0.2">
      <c r="A555" s="1"/>
      <c r="B555" s="2"/>
      <c r="C555" s="2"/>
      <c r="D555" s="2"/>
      <c r="E555" s="3"/>
      <c r="F555" s="4"/>
      <c r="G555" s="2"/>
      <c r="H555" s="2"/>
      <c r="K555" s="2"/>
      <c r="L555" s="2"/>
      <c r="M555" s="2"/>
      <c r="N555" s="2"/>
      <c r="O555" s="2"/>
      <c r="Q555" s="2"/>
      <c r="R555" s="2"/>
      <c r="S555" s="7"/>
      <c r="T555" s="7"/>
      <c r="U555" s="2"/>
    </row>
    <row r="556" spans="1:21" ht="12.75" x14ac:dyDescent="0.2">
      <c r="A556" s="1">
        <v>45285.527312141203</v>
      </c>
      <c r="B556" s="2" t="s">
        <v>2828</v>
      </c>
      <c r="C556" s="2" t="s">
        <v>2829</v>
      </c>
      <c r="D556" s="2" t="s">
        <v>41</v>
      </c>
      <c r="E556" s="3">
        <v>45140</v>
      </c>
      <c r="F556" s="4">
        <v>22830</v>
      </c>
      <c r="G556" s="2" t="s">
        <v>42</v>
      </c>
      <c r="H556" s="2" t="s">
        <v>43</v>
      </c>
      <c r="J556" s="2" t="s">
        <v>2830</v>
      </c>
      <c r="K556" s="2" t="s">
        <v>2831</v>
      </c>
      <c r="L556" s="2" t="s">
        <v>2832</v>
      </c>
      <c r="M556" s="2" t="s">
        <v>2833</v>
      </c>
      <c r="N556" s="2" t="s">
        <v>48</v>
      </c>
      <c r="O556" s="2" t="s">
        <v>2834</v>
      </c>
      <c r="Q556" s="2" t="s">
        <v>2761</v>
      </c>
      <c r="S556" s="7" t="s">
        <v>5318</v>
      </c>
      <c r="T556" s="7" t="s">
        <v>5713</v>
      </c>
      <c r="U556" s="2" t="s">
        <v>6259</v>
      </c>
    </row>
    <row r="557" spans="1:21" ht="12.75" x14ac:dyDescent="0.2">
      <c r="A557" s="1">
        <v>45288.703809895829</v>
      </c>
      <c r="B557" s="2" t="s">
        <v>363</v>
      </c>
      <c r="C557" s="2" t="s">
        <v>2835</v>
      </c>
      <c r="D557" s="2" t="s">
        <v>41</v>
      </c>
      <c r="E557" s="3">
        <v>45261</v>
      </c>
      <c r="F557" s="4">
        <v>2000</v>
      </c>
      <c r="G557" s="2" t="s">
        <v>42</v>
      </c>
      <c r="H557" s="2" t="s">
        <v>43</v>
      </c>
      <c r="J557" s="2" t="s">
        <v>402</v>
      </c>
      <c r="K557" s="2" t="s">
        <v>2836</v>
      </c>
      <c r="L557" s="2" t="s">
        <v>2837</v>
      </c>
      <c r="M557" s="2" t="s">
        <v>2838</v>
      </c>
      <c r="N557" s="2" t="s">
        <v>48</v>
      </c>
      <c r="O557" s="2" t="s">
        <v>368</v>
      </c>
      <c r="Q557" s="2" t="s">
        <v>50</v>
      </c>
      <c r="S557" s="7" t="s">
        <v>5319</v>
      </c>
      <c r="T557" s="7" t="s">
        <v>5713</v>
      </c>
      <c r="U557" s="2" t="s">
        <v>6260</v>
      </c>
    </row>
    <row r="558" spans="1:21" ht="12.75" x14ac:dyDescent="0.2">
      <c r="A558" s="1">
        <v>45288.714654745374</v>
      </c>
      <c r="B558" s="2" t="s">
        <v>302</v>
      </c>
      <c r="C558" s="2" t="s">
        <v>2839</v>
      </c>
      <c r="D558" s="2" t="s">
        <v>41</v>
      </c>
      <c r="E558" s="3">
        <v>45261</v>
      </c>
      <c r="F558" s="4">
        <v>616940</v>
      </c>
      <c r="G558" s="2" t="s">
        <v>42</v>
      </c>
      <c r="H558" s="2" t="s">
        <v>43</v>
      </c>
      <c r="J558" s="2" t="s">
        <v>2840</v>
      </c>
      <c r="K558" s="2" t="s">
        <v>2841</v>
      </c>
      <c r="L558" s="2" t="s">
        <v>2842</v>
      </c>
      <c r="M558" s="2" t="s">
        <v>2843</v>
      </c>
      <c r="N558" s="2" t="s">
        <v>48</v>
      </c>
      <c r="O558" s="2" t="s">
        <v>307</v>
      </c>
      <c r="Q558" s="2" t="s">
        <v>50</v>
      </c>
      <c r="S558" s="7" t="s">
        <v>5320</v>
      </c>
      <c r="T558" s="7" t="s">
        <v>5713</v>
      </c>
      <c r="U558" s="2" t="s">
        <v>6261</v>
      </c>
    </row>
    <row r="559" spans="1:21" ht="12.75" x14ac:dyDescent="0.2">
      <c r="A559" s="1">
        <v>45288.799112511573</v>
      </c>
      <c r="B559" s="2" t="s">
        <v>438</v>
      </c>
      <c r="C559" s="2" t="s">
        <v>2844</v>
      </c>
      <c r="D559" s="2" t="s">
        <v>910</v>
      </c>
      <c r="E559" s="3">
        <v>45286</v>
      </c>
      <c r="F559" s="4">
        <v>1600</v>
      </c>
      <c r="G559" s="2" t="s">
        <v>143</v>
      </c>
      <c r="H559" s="2" t="s">
        <v>43</v>
      </c>
      <c r="I559" s="2" t="s">
        <v>990</v>
      </c>
      <c r="K559" s="2" t="s">
        <v>2845</v>
      </c>
      <c r="L559" s="2" t="s">
        <v>2846</v>
      </c>
      <c r="M559" s="2" t="s">
        <v>2847</v>
      </c>
      <c r="N559" s="2" t="s">
        <v>915</v>
      </c>
      <c r="O559" s="2" t="s">
        <v>443</v>
      </c>
      <c r="P559" s="2" t="s">
        <v>995</v>
      </c>
      <c r="Q559" s="2" t="s">
        <v>50</v>
      </c>
      <c r="S559" s="7" t="s">
        <v>5321</v>
      </c>
      <c r="T559" s="7" t="s">
        <v>5713</v>
      </c>
      <c r="U559" s="2" t="s">
        <v>6262</v>
      </c>
    </row>
    <row r="560" spans="1:21" ht="12.75" x14ac:dyDescent="0.2">
      <c r="A560" s="1">
        <v>45288.801425798607</v>
      </c>
      <c r="B560" s="2" t="s">
        <v>2848</v>
      </c>
      <c r="C560" s="2" t="s">
        <v>2849</v>
      </c>
      <c r="D560" s="2" t="s">
        <v>470</v>
      </c>
      <c r="E560" s="3">
        <v>45286</v>
      </c>
      <c r="F560" s="4">
        <v>2800</v>
      </c>
      <c r="G560" s="2" t="s">
        <v>42</v>
      </c>
      <c r="H560" s="2" t="s">
        <v>43</v>
      </c>
      <c r="I560" s="2" t="s">
        <v>990</v>
      </c>
      <c r="K560" s="2" t="s">
        <v>2850</v>
      </c>
      <c r="L560" s="2" t="s">
        <v>2851</v>
      </c>
      <c r="M560" s="2" t="s">
        <v>2852</v>
      </c>
      <c r="N560" s="2" t="s">
        <v>475</v>
      </c>
      <c r="O560" s="2" t="s">
        <v>2853</v>
      </c>
      <c r="P560" s="2" t="s">
        <v>995</v>
      </c>
      <c r="Q560" s="2" t="s">
        <v>50</v>
      </c>
      <c r="S560" s="7" t="s">
        <v>5322</v>
      </c>
      <c r="T560" s="7" t="s">
        <v>5713</v>
      </c>
      <c r="U560" s="2" t="s">
        <v>6263</v>
      </c>
    </row>
    <row r="561" spans="1:21" ht="12.75" x14ac:dyDescent="0.2">
      <c r="A561" s="1">
        <v>45296.691887395835</v>
      </c>
      <c r="B561" s="2" t="s">
        <v>339</v>
      </c>
      <c r="C561" s="2" t="s">
        <v>2854</v>
      </c>
      <c r="D561" s="2" t="s">
        <v>672</v>
      </c>
      <c r="E561" s="3">
        <v>45261</v>
      </c>
      <c r="F561" s="4">
        <v>675</v>
      </c>
      <c r="G561" s="2" t="s">
        <v>42</v>
      </c>
      <c r="H561" s="2" t="s">
        <v>43</v>
      </c>
      <c r="I561" s="2" t="s">
        <v>2446</v>
      </c>
      <c r="K561" s="2" t="s">
        <v>2855</v>
      </c>
      <c r="L561" s="2" t="s">
        <v>2856</v>
      </c>
      <c r="M561" s="2" t="s">
        <v>2857</v>
      </c>
      <c r="N561" s="2" t="s">
        <v>676</v>
      </c>
      <c r="O561" s="2" t="s">
        <v>344</v>
      </c>
      <c r="P561" s="2" t="s">
        <v>2452</v>
      </c>
      <c r="Q561" s="2" t="s">
        <v>50</v>
      </c>
      <c r="S561" s="7" t="s">
        <v>5323</v>
      </c>
      <c r="T561" s="7" t="s">
        <v>5713</v>
      </c>
      <c r="U561" s="2" t="s">
        <v>6264</v>
      </c>
    </row>
    <row r="562" spans="1:21" ht="12.75" x14ac:dyDescent="0.2">
      <c r="A562" s="1">
        <v>45296.691887395835</v>
      </c>
      <c r="B562" s="2" t="s">
        <v>493</v>
      </c>
      <c r="C562" s="2" t="s">
        <v>2854</v>
      </c>
      <c r="D562" s="2" t="s">
        <v>672</v>
      </c>
      <c r="E562" s="3">
        <v>45261</v>
      </c>
      <c r="F562" s="4">
        <v>1000</v>
      </c>
      <c r="G562" s="2" t="s">
        <v>42</v>
      </c>
      <c r="H562" s="2" t="s">
        <v>43</v>
      </c>
      <c r="I562" s="2" t="s">
        <v>2446</v>
      </c>
      <c r="K562" s="2" t="s">
        <v>2858</v>
      </c>
      <c r="L562" s="2" t="s">
        <v>2859</v>
      </c>
      <c r="M562" s="2" t="s">
        <v>2860</v>
      </c>
      <c r="N562" s="2" t="s">
        <v>676</v>
      </c>
      <c r="O562" s="2" t="s">
        <v>498</v>
      </c>
      <c r="P562" s="2" t="s">
        <v>2452</v>
      </c>
      <c r="Q562" s="2" t="s">
        <v>50</v>
      </c>
      <c r="S562" s="7" t="s">
        <v>5324</v>
      </c>
      <c r="T562" s="7" t="s">
        <v>5713</v>
      </c>
      <c r="U562" s="2" t="s">
        <v>6265</v>
      </c>
    </row>
    <row r="563" spans="1:21" ht="12.75" x14ac:dyDescent="0.2">
      <c r="A563" s="1">
        <v>45314.77382869213</v>
      </c>
      <c r="B563" s="2" t="s">
        <v>468</v>
      </c>
      <c r="C563" s="2" t="s">
        <v>2861</v>
      </c>
      <c r="D563" s="2" t="s">
        <v>333</v>
      </c>
      <c r="E563" s="3">
        <v>45286</v>
      </c>
      <c r="F563" s="4">
        <v>9332.6</v>
      </c>
      <c r="G563" s="2" t="s">
        <v>143</v>
      </c>
      <c r="H563" s="2" t="s">
        <v>43</v>
      </c>
      <c r="I563" s="2" t="s">
        <v>990</v>
      </c>
      <c r="K563" s="2" t="s">
        <v>2862</v>
      </c>
      <c r="L563" s="2" t="s">
        <v>2863</v>
      </c>
      <c r="M563" s="2" t="s">
        <v>2864</v>
      </c>
      <c r="N563" s="2" t="s">
        <v>337</v>
      </c>
      <c r="O563" s="2" t="s">
        <v>476</v>
      </c>
      <c r="P563" s="2" t="s">
        <v>995</v>
      </c>
      <c r="Q563" s="2" t="s">
        <v>50</v>
      </c>
      <c r="S563" s="7" t="s">
        <v>5325</v>
      </c>
      <c r="T563" s="7" t="s">
        <v>5713</v>
      </c>
      <c r="U563" s="2" t="s">
        <v>6266</v>
      </c>
    </row>
    <row r="564" spans="1:21" ht="12.75" x14ac:dyDescent="0.2">
      <c r="A564" s="1">
        <v>45319.032682407407</v>
      </c>
      <c r="B564" s="2" t="s">
        <v>2098</v>
      </c>
      <c r="C564" s="2" t="s">
        <v>2865</v>
      </c>
      <c r="D564" s="2" t="s">
        <v>333</v>
      </c>
      <c r="E564" s="3">
        <v>45309</v>
      </c>
      <c r="F564" s="4">
        <v>1875</v>
      </c>
      <c r="G564" s="2" t="s">
        <v>42</v>
      </c>
      <c r="H564" s="2" t="s">
        <v>43</v>
      </c>
      <c r="I564" s="2" t="s">
        <v>990</v>
      </c>
      <c r="K564" s="2" t="s">
        <v>2866</v>
      </c>
      <c r="L564" s="2" t="s">
        <v>2867</v>
      </c>
      <c r="M564" s="2" t="s">
        <v>2868</v>
      </c>
      <c r="N564" s="2" t="s">
        <v>337</v>
      </c>
      <c r="O564" s="2" t="s">
        <v>2103</v>
      </c>
      <c r="P564" s="2" t="s">
        <v>995</v>
      </c>
      <c r="Q564" s="2" t="s">
        <v>50</v>
      </c>
      <c r="S564" s="7" t="s">
        <v>5326</v>
      </c>
      <c r="T564" s="7" t="s">
        <v>5713</v>
      </c>
      <c r="U564" s="2" t="s">
        <v>6267</v>
      </c>
    </row>
    <row r="565" spans="1:21" ht="12.75" x14ac:dyDescent="0.2">
      <c r="A565" s="1">
        <v>45319.039107731485</v>
      </c>
      <c r="B565" s="2" t="s">
        <v>2098</v>
      </c>
      <c r="C565" s="2" t="s">
        <v>2869</v>
      </c>
      <c r="D565" s="2" t="s">
        <v>333</v>
      </c>
      <c r="E565" s="3">
        <v>45309</v>
      </c>
      <c r="F565" s="4">
        <v>26817</v>
      </c>
      <c r="G565" s="2" t="s">
        <v>143</v>
      </c>
      <c r="H565" s="2" t="s">
        <v>43</v>
      </c>
      <c r="I565" s="2" t="s">
        <v>990</v>
      </c>
      <c r="K565" s="2" t="s">
        <v>2870</v>
      </c>
      <c r="L565" s="2" t="s">
        <v>2871</v>
      </c>
      <c r="M565" s="2" t="s">
        <v>2872</v>
      </c>
      <c r="N565" s="2" t="s">
        <v>337</v>
      </c>
      <c r="O565" s="2" t="s">
        <v>2103</v>
      </c>
      <c r="P565" s="2" t="s">
        <v>995</v>
      </c>
      <c r="Q565" s="2" t="s">
        <v>50</v>
      </c>
      <c r="S565" s="7" t="s">
        <v>5327</v>
      </c>
      <c r="T565" s="7" t="s">
        <v>5713</v>
      </c>
      <c r="U565" s="2" t="s">
        <v>6268</v>
      </c>
    </row>
    <row r="566" spans="1:21" ht="12.75" x14ac:dyDescent="0.2">
      <c r="A566" s="1">
        <v>45321.008797986113</v>
      </c>
      <c r="B566" s="2" t="s">
        <v>2873</v>
      </c>
      <c r="C566" s="2" t="s">
        <v>2874</v>
      </c>
      <c r="D566" s="2" t="s">
        <v>41</v>
      </c>
      <c r="E566" s="3">
        <v>45200</v>
      </c>
      <c r="F566" s="4">
        <v>323200</v>
      </c>
      <c r="G566" s="2" t="s">
        <v>42</v>
      </c>
      <c r="H566" s="2" t="s">
        <v>43</v>
      </c>
      <c r="J566" s="2" t="s">
        <v>2875</v>
      </c>
      <c r="K566" s="2" t="s">
        <v>2876</v>
      </c>
      <c r="L566" s="2" t="s">
        <v>2877</v>
      </c>
      <c r="M566" s="2" t="s">
        <v>2878</v>
      </c>
      <c r="N566" s="2" t="s">
        <v>48</v>
      </c>
      <c r="O566" s="2" t="s">
        <v>2879</v>
      </c>
      <c r="Q566" s="2" t="s">
        <v>50</v>
      </c>
      <c r="S566" s="7" t="s">
        <v>5328</v>
      </c>
      <c r="T566" s="7" t="s">
        <v>5713</v>
      </c>
      <c r="U566" s="2" t="s">
        <v>6269</v>
      </c>
    </row>
    <row r="567" spans="1:21" ht="12.75" x14ac:dyDescent="0.2">
      <c r="A567" s="1">
        <v>45330.016664641204</v>
      </c>
      <c r="B567" s="2" t="s">
        <v>2880</v>
      </c>
      <c r="C567" s="2" t="s">
        <v>2881</v>
      </c>
      <c r="D567" s="2" t="s">
        <v>41</v>
      </c>
      <c r="E567" s="3">
        <v>45327</v>
      </c>
      <c r="F567" s="4">
        <v>200000</v>
      </c>
      <c r="G567" s="2" t="s">
        <v>42</v>
      </c>
      <c r="H567" s="2" t="s">
        <v>43</v>
      </c>
      <c r="I567" s="2" t="s">
        <v>2691</v>
      </c>
      <c r="K567" s="2" t="s">
        <v>2882</v>
      </c>
      <c r="L567" s="2" t="s">
        <v>2883</v>
      </c>
      <c r="M567" s="2" t="s">
        <v>2884</v>
      </c>
      <c r="N567" s="2" t="s">
        <v>48</v>
      </c>
      <c r="O567" s="2" t="s">
        <v>2885</v>
      </c>
      <c r="P567" s="2" t="s">
        <v>2697</v>
      </c>
      <c r="Q567" s="2" t="s">
        <v>50</v>
      </c>
      <c r="S567" s="7" t="s">
        <v>5329</v>
      </c>
      <c r="T567" s="7" t="s">
        <v>5713</v>
      </c>
      <c r="U567" s="2" t="s">
        <v>6270</v>
      </c>
    </row>
    <row r="568" spans="1:21" ht="12.75" x14ac:dyDescent="0.2">
      <c r="A568" s="1">
        <v>45336.780454872685</v>
      </c>
      <c r="B568" s="2" t="s">
        <v>2886</v>
      </c>
      <c r="C568" s="2" t="s">
        <v>2887</v>
      </c>
      <c r="D568" s="2" t="s">
        <v>333</v>
      </c>
      <c r="E568" s="3">
        <v>45334</v>
      </c>
      <c r="F568" s="4">
        <v>118273.05</v>
      </c>
      <c r="G568" s="2" t="s">
        <v>42</v>
      </c>
      <c r="H568" s="2" t="s">
        <v>43</v>
      </c>
      <c r="K568" s="2" t="s">
        <v>2888</v>
      </c>
      <c r="L568" s="2" t="s">
        <v>2889</v>
      </c>
      <c r="M568" s="2" t="s">
        <v>2890</v>
      </c>
      <c r="N568" s="2" t="s">
        <v>337</v>
      </c>
      <c r="O568" s="2" t="s">
        <v>2891</v>
      </c>
      <c r="Q568" s="2" t="s">
        <v>50</v>
      </c>
      <c r="S568" s="7" t="s">
        <v>5330</v>
      </c>
      <c r="T568" s="7" t="s">
        <v>5713</v>
      </c>
      <c r="U568" s="2" t="s">
        <v>6271</v>
      </c>
    </row>
    <row r="569" spans="1:21" ht="12.75" x14ac:dyDescent="0.2">
      <c r="A569" s="1">
        <v>45339.601129039351</v>
      </c>
      <c r="B569" s="2" t="s">
        <v>363</v>
      </c>
      <c r="C569" s="2" t="s">
        <v>2892</v>
      </c>
      <c r="D569" s="2" t="s">
        <v>41</v>
      </c>
      <c r="E569" s="3">
        <v>45323</v>
      </c>
      <c r="F569" s="4">
        <v>5000</v>
      </c>
      <c r="G569" s="2" t="s">
        <v>42</v>
      </c>
      <c r="H569" s="2" t="s">
        <v>43</v>
      </c>
      <c r="J569" s="2" t="s">
        <v>402</v>
      </c>
      <c r="K569" s="2" t="s">
        <v>2893</v>
      </c>
      <c r="L569" s="2" t="s">
        <v>2894</v>
      </c>
      <c r="M569" s="2" t="s">
        <v>2895</v>
      </c>
      <c r="N569" s="2" t="s">
        <v>48</v>
      </c>
      <c r="O569" s="2" t="s">
        <v>368</v>
      </c>
      <c r="Q569" s="2" t="s">
        <v>50</v>
      </c>
      <c r="S569" s="7" t="s">
        <v>5331</v>
      </c>
      <c r="T569" s="7" t="s">
        <v>5713</v>
      </c>
      <c r="U569" s="2" t="s">
        <v>6272</v>
      </c>
    </row>
    <row r="570" spans="1:21" ht="12.75" x14ac:dyDescent="0.2">
      <c r="A570" s="1">
        <v>45339.606802546296</v>
      </c>
      <c r="B570" s="2" t="s">
        <v>438</v>
      </c>
      <c r="C570" s="2" t="s">
        <v>2896</v>
      </c>
      <c r="D570" s="2" t="s">
        <v>41</v>
      </c>
      <c r="E570" s="3">
        <v>45323</v>
      </c>
      <c r="F570" s="4">
        <v>200000</v>
      </c>
      <c r="G570" s="2" t="s">
        <v>42</v>
      </c>
      <c r="H570" s="2" t="s">
        <v>43</v>
      </c>
      <c r="K570" s="2" t="s">
        <v>2897</v>
      </c>
      <c r="L570" s="2" t="s">
        <v>2898</v>
      </c>
      <c r="M570" s="2" t="s">
        <v>2899</v>
      </c>
      <c r="N570" s="2" t="s">
        <v>48</v>
      </c>
      <c r="O570" s="2" t="s">
        <v>443</v>
      </c>
      <c r="Q570" s="2" t="s">
        <v>50</v>
      </c>
      <c r="S570" s="7" t="s">
        <v>5332</v>
      </c>
      <c r="T570" s="7" t="s">
        <v>5713</v>
      </c>
      <c r="U570" s="2" t="s">
        <v>6273</v>
      </c>
    </row>
    <row r="571" spans="1:21" ht="12.75" x14ac:dyDescent="0.2">
      <c r="A571" s="1">
        <v>45342.600871550923</v>
      </c>
      <c r="B571" s="2" t="s">
        <v>234</v>
      </c>
      <c r="C571" s="2" t="s">
        <v>2900</v>
      </c>
      <c r="D571" s="2" t="s">
        <v>41</v>
      </c>
      <c r="E571" s="3">
        <v>45625</v>
      </c>
      <c r="F571" s="4">
        <v>25910</v>
      </c>
      <c r="G571" s="2" t="s">
        <v>42</v>
      </c>
      <c r="H571" s="2" t="s">
        <v>43</v>
      </c>
      <c r="K571" s="2" t="s">
        <v>2901</v>
      </c>
      <c r="L571" s="2" t="s">
        <v>2902</v>
      </c>
      <c r="M571" s="2" t="s">
        <v>2903</v>
      </c>
      <c r="N571" s="2" t="s">
        <v>48</v>
      </c>
      <c r="O571" s="2" t="s">
        <v>240</v>
      </c>
      <c r="Q571" s="2" t="s">
        <v>50</v>
      </c>
      <c r="S571" s="7" t="s">
        <v>5333</v>
      </c>
      <c r="T571" s="7" t="s">
        <v>5713</v>
      </c>
      <c r="U571" s="2" t="s">
        <v>6274</v>
      </c>
    </row>
    <row r="572" spans="1:21" ht="12.75" x14ac:dyDescent="0.2">
      <c r="A572" s="1">
        <v>45349.490771122684</v>
      </c>
      <c r="B572" s="2" t="s">
        <v>2503</v>
      </c>
      <c r="C572" s="2" t="s">
        <v>2904</v>
      </c>
      <c r="D572" s="2" t="s">
        <v>333</v>
      </c>
      <c r="E572" s="3">
        <v>45200</v>
      </c>
      <c r="F572" s="4">
        <v>122329.89</v>
      </c>
      <c r="G572" s="2" t="s">
        <v>143</v>
      </c>
      <c r="H572" s="2" t="s">
        <v>43</v>
      </c>
      <c r="I572" s="2" t="s">
        <v>990</v>
      </c>
      <c r="J572" s="2" t="s">
        <v>2595</v>
      </c>
      <c r="K572" s="2" t="s">
        <v>2905</v>
      </c>
      <c r="L572" s="2" t="s">
        <v>2906</v>
      </c>
      <c r="M572" s="2" t="s">
        <v>2907</v>
      </c>
      <c r="N572" s="2" t="s">
        <v>337</v>
      </c>
      <c r="O572" s="2" t="s">
        <v>2509</v>
      </c>
      <c r="P572" s="2" t="s">
        <v>995</v>
      </c>
      <c r="Q572" s="2" t="s">
        <v>50</v>
      </c>
      <c r="S572" s="7" t="s">
        <v>5334</v>
      </c>
      <c r="T572" s="7" t="s">
        <v>5713</v>
      </c>
      <c r="U572" s="2" t="s">
        <v>6275</v>
      </c>
    </row>
    <row r="573" spans="1:21" ht="12.75" x14ac:dyDescent="0.2">
      <c r="A573" s="1">
        <v>45350.764822824072</v>
      </c>
      <c r="B573" s="2" t="s">
        <v>438</v>
      </c>
      <c r="C573" s="2" t="s">
        <v>2908</v>
      </c>
      <c r="D573" s="2" t="s">
        <v>910</v>
      </c>
      <c r="E573" s="3">
        <v>45323</v>
      </c>
      <c r="F573" s="4">
        <v>1250</v>
      </c>
      <c r="G573" s="2" t="s">
        <v>143</v>
      </c>
      <c r="H573" s="2" t="s">
        <v>43</v>
      </c>
      <c r="K573" s="2" t="s">
        <v>2909</v>
      </c>
      <c r="L573" s="2" t="s">
        <v>2910</v>
      </c>
      <c r="M573" s="2" t="s">
        <v>2911</v>
      </c>
      <c r="N573" s="2" t="s">
        <v>915</v>
      </c>
      <c r="O573" s="2" t="s">
        <v>443</v>
      </c>
      <c r="Q573" s="2" t="s">
        <v>50</v>
      </c>
      <c r="S573" s="7" t="s">
        <v>5335</v>
      </c>
      <c r="T573" s="7" t="s">
        <v>5713</v>
      </c>
      <c r="U573" s="2" t="s">
        <v>6276</v>
      </c>
    </row>
    <row r="574" spans="1:21" ht="12.75" x14ac:dyDescent="0.2">
      <c r="A574" s="1">
        <v>45351.697754837965</v>
      </c>
      <c r="B574" s="2" t="s">
        <v>2503</v>
      </c>
      <c r="C574" s="2" t="s">
        <v>2912</v>
      </c>
      <c r="D574" s="2" t="s">
        <v>223</v>
      </c>
      <c r="E574" s="3">
        <v>45327</v>
      </c>
      <c r="F574" s="4">
        <v>300</v>
      </c>
      <c r="G574" s="2" t="s">
        <v>143</v>
      </c>
      <c r="H574" s="2" t="s">
        <v>43</v>
      </c>
      <c r="I574" s="2" t="s">
        <v>2446</v>
      </c>
      <c r="J574" s="2" t="s">
        <v>2913</v>
      </c>
      <c r="K574" s="2" t="s">
        <v>2914</v>
      </c>
      <c r="L574" s="2" t="s">
        <v>2915</v>
      </c>
      <c r="M574" s="2" t="s">
        <v>2916</v>
      </c>
      <c r="N574" s="2" t="s">
        <v>228</v>
      </c>
      <c r="O574" s="2" t="s">
        <v>2509</v>
      </c>
      <c r="P574" s="2" t="s">
        <v>2452</v>
      </c>
      <c r="Q574" s="2" t="s">
        <v>50</v>
      </c>
      <c r="S574" s="7" t="s">
        <v>5336</v>
      </c>
      <c r="T574" s="7" t="s">
        <v>5713</v>
      </c>
      <c r="U574" s="2" t="s">
        <v>6277</v>
      </c>
    </row>
    <row r="575" spans="1:21" ht="12.75" x14ac:dyDescent="0.2">
      <c r="A575" s="1">
        <v>45352.552352210652</v>
      </c>
      <c r="B575" s="2" t="s">
        <v>2917</v>
      </c>
      <c r="C575" s="2" t="s">
        <v>2918</v>
      </c>
      <c r="D575" s="2" t="s">
        <v>41</v>
      </c>
      <c r="E575" s="3">
        <v>45343</v>
      </c>
      <c r="F575" s="4">
        <v>130000</v>
      </c>
      <c r="G575" s="2" t="s">
        <v>42</v>
      </c>
      <c r="H575" s="2" t="s">
        <v>43</v>
      </c>
      <c r="I575" s="2" t="s">
        <v>2691</v>
      </c>
      <c r="J575" s="2" t="s">
        <v>2919</v>
      </c>
      <c r="K575" s="2" t="s">
        <v>2920</v>
      </c>
      <c r="L575" s="2" t="s">
        <v>2921</v>
      </c>
      <c r="M575" s="2" t="s">
        <v>2922</v>
      </c>
      <c r="N575" s="2" t="s">
        <v>48</v>
      </c>
      <c r="O575" s="2" t="s">
        <v>2923</v>
      </c>
      <c r="P575" s="2" t="s">
        <v>2697</v>
      </c>
      <c r="Q575" s="2" t="s">
        <v>50</v>
      </c>
      <c r="S575" s="7" t="s">
        <v>5337</v>
      </c>
      <c r="T575" s="7" t="s">
        <v>5713</v>
      </c>
      <c r="U575" s="2" t="s">
        <v>6278</v>
      </c>
    </row>
    <row r="576" spans="1:21" ht="12.75" x14ac:dyDescent="0.2">
      <c r="A576" s="1">
        <v>45364.538139259261</v>
      </c>
      <c r="B576" s="2" t="s">
        <v>2924</v>
      </c>
      <c r="C576" s="2" t="s">
        <v>2925</v>
      </c>
      <c r="D576" s="2" t="s">
        <v>41</v>
      </c>
      <c r="E576" s="3">
        <v>45358</v>
      </c>
      <c r="F576" s="4">
        <v>195270</v>
      </c>
      <c r="G576" s="2" t="s">
        <v>42</v>
      </c>
      <c r="H576" s="2" t="s">
        <v>43</v>
      </c>
      <c r="I576" s="2" t="s">
        <v>2691</v>
      </c>
      <c r="J576" s="2" t="s">
        <v>2926</v>
      </c>
      <c r="K576" s="2" t="s">
        <v>2927</v>
      </c>
      <c r="L576" s="2" t="s">
        <v>2928</v>
      </c>
      <c r="M576" s="2" t="s">
        <v>2929</v>
      </c>
      <c r="N576" s="2" t="s">
        <v>48</v>
      </c>
      <c r="O576" s="2" t="s">
        <v>2930</v>
      </c>
      <c r="P576" s="2" t="s">
        <v>2697</v>
      </c>
      <c r="Q576" s="2" t="s">
        <v>50</v>
      </c>
      <c r="S576" s="7" t="s">
        <v>5338</v>
      </c>
      <c r="T576" s="7" t="s">
        <v>5713</v>
      </c>
      <c r="U576" s="2" t="s">
        <v>6279</v>
      </c>
    </row>
    <row r="577" spans="1:21" ht="12.75" x14ac:dyDescent="0.2">
      <c r="A577" s="1">
        <v>45364.790189942127</v>
      </c>
      <c r="B577" s="2" t="s">
        <v>363</v>
      </c>
      <c r="C577" s="2" t="s">
        <v>2931</v>
      </c>
      <c r="D577" s="2" t="s">
        <v>41</v>
      </c>
      <c r="E577" s="3">
        <v>45352</v>
      </c>
      <c r="F577" s="4">
        <v>2000</v>
      </c>
      <c r="G577" s="2" t="s">
        <v>143</v>
      </c>
      <c r="H577" s="2" t="s">
        <v>43</v>
      </c>
      <c r="K577" s="2" t="s">
        <v>2932</v>
      </c>
      <c r="L577" s="2" t="s">
        <v>2933</v>
      </c>
      <c r="M577" s="2" t="s">
        <v>2934</v>
      </c>
      <c r="N577" s="2" t="s">
        <v>48</v>
      </c>
      <c r="O577" s="2" t="s">
        <v>368</v>
      </c>
      <c r="Q577" s="2" t="s">
        <v>50</v>
      </c>
      <c r="S577" s="7" t="s">
        <v>5339</v>
      </c>
      <c r="T577" s="7" t="s">
        <v>5713</v>
      </c>
      <c r="U577" s="2" t="s">
        <v>6280</v>
      </c>
    </row>
    <row r="578" spans="1:21" ht="12.75" x14ac:dyDescent="0.2">
      <c r="A578" s="1">
        <v>45370.513928946762</v>
      </c>
      <c r="B578" s="2" t="s">
        <v>2935</v>
      </c>
      <c r="C578" s="2" t="s">
        <v>2936</v>
      </c>
      <c r="D578" s="2" t="s">
        <v>333</v>
      </c>
      <c r="E578" s="3">
        <v>45356</v>
      </c>
      <c r="F578" s="4">
        <v>110000</v>
      </c>
      <c r="G578" s="2" t="s">
        <v>42</v>
      </c>
      <c r="H578" s="2" t="s">
        <v>43</v>
      </c>
      <c r="I578" s="2" t="s">
        <v>990</v>
      </c>
      <c r="J578" s="2" t="s">
        <v>2937</v>
      </c>
      <c r="K578" s="2" t="s">
        <v>2938</v>
      </c>
      <c r="L578" s="2" t="s">
        <v>2939</v>
      </c>
      <c r="M578" s="2" t="s">
        <v>2940</v>
      </c>
      <c r="N578" s="2" t="s">
        <v>337</v>
      </c>
      <c r="O578" s="2" t="s">
        <v>2941</v>
      </c>
      <c r="P578" s="2" t="s">
        <v>995</v>
      </c>
      <c r="Q578" s="2" t="s">
        <v>50</v>
      </c>
      <c r="S578" s="7" t="s">
        <v>5340</v>
      </c>
      <c r="T578" s="7" t="s">
        <v>5713</v>
      </c>
      <c r="U578" s="2" t="s">
        <v>6281</v>
      </c>
    </row>
    <row r="579" spans="1:21" ht="12.75" x14ac:dyDescent="0.2">
      <c r="A579" s="1">
        <v>45371.601477083328</v>
      </c>
      <c r="B579" s="2" t="s">
        <v>2942</v>
      </c>
      <c r="C579" s="2" t="s">
        <v>2943</v>
      </c>
      <c r="D579" s="2" t="s">
        <v>41</v>
      </c>
      <c r="E579" s="3">
        <v>45352</v>
      </c>
      <c r="F579" s="4">
        <v>100000</v>
      </c>
      <c r="G579" s="2" t="s">
        <v>42</v>
      </c>
      <c r="H579" s="2" t="s">
        <v>43</v>
      </c>
      <c r="I579" s="2" t="s">
        <v>972</v>
      </c>
      <c r="K579" s="2" t="s">
        <v>2944</v>
      </c>
      <c r="L579" s="2" t="s">
        <v>2945</v>
      </c>
      <c r="M579" s="2" t="s">
        <v>2946</v>
      </c>
      <c r="N579" s="2" t="s">
        <v>48</v>
      </c>
      <c r="O579" s="2" t="s">
        <v>2947</v>
      </c>
      <c r="P579" s="2" t="s">
        <v>977</v>
      </c>
      <c r="Q579" s="2" t="s">
        <v>50</v>
      </c>
      <c r="S579" s="7" t="s">
        <v>5341</v>
      </c>
      <c r="T579" s="7" t="s">
        <v>5713</v>
      </c>
      <c r="U579" s="2" t="s">
        <v>6282</v>
      </c>
    </row>
    <row r="580" spans="1:21" ht="12.75" x14ac:dyDescent="0.2">
      <c r="A580" s="1">
        <v>45371.608617048609</v>
      </c>
      <c r="B580" s="2" t="s">
        <v>2948</v>
      </c>
      <c r="C580" s="2" t="s">
        <v>2949</v>
      </c>
      <c r="D580" s="2" t="s">
        <v>41</v>
      </c>
      <c r="E580" s="3">
        <v>45292</v>
      </c>
      <c r="F580" s="4">
        <v>97800</v>
      </c>
      <c r="G580" s="2" t="s">
        <v>143</v>
      </c>
      <c r="H580" s="2" t="s">
        <v>43</v>
      </c>
      <c r="I580" s="2" t="s">
        <v>972</v>
      </c>
      <c r="J580" s="2" t="s">
        <v>2950</v>
      </c>
      <c r="K580" s="2" t="s">
        <v>2951</v>
      </c>
      <c r="L580" s="2" t="s">
        <v>2952</v>
      </c>
      <c r="M580" s="2" t="s">
        <v>2953</v>
      </c>
      <c r="N580" s="2" t="s">
        <v>48</v>
      </c>
      <c r="O580" s="2" t="s">
        <v>2954</v>
      </c>
      <c r="P580" s="2" t="s">
        <v>977</v>
      </c>
      <c r="Q580" s="2" t="s">
        <v>50</v>
      </c>
      <c r="S580" s="7" t="s">
        <v>5342</v>
      </c>
      <c r="T580" s="7" t="s">
        <v>5713</v>
      </c>
      <c r="U580" s="2" t="s">
        <v>6283</v>
      </c>
    </row>
    <row r="581" spans="1:21" ht="12.75" x14ac:dyDescent="0.2">
      <c r="A581" s="1">
        <v>45372.797509780095</v>
      </c>
      <c r="B581" s="2" t="s">
        <v>2955</v>
      </c>
      <c r="C581" s="2" t="s">
        <v>2956</v>
      </c>
      <c r="D581" s="2" t="s">
        <v>41</v>
      </c>
      <c r="E581" s="3">
        <v>45142</v>
      </c>
      <c r="F581" s="4">
        <v>191360</v>
      </c>
      <c r="G581" s="2" t="s">
        <v>42</v>
      </c>
      <c r="H581" s="2" t="s">
        <v>43</v>
      </c>
      <c r="J581" s="2" t="s">
        <v>2957</v>
      </c>
      <c r="K581" s="2" t="s">
        <v>2958</v>
      </c>
      <c r="L581" s="2" t="s">
        <v>2959</v>
      </c>
      <c r="M581" s="2" t="s">
        <v>2960</v>
      </c>
      <c r="N581" s="2" t="s">
        <v>48</v>
      </c>
      <c r="O581" s="2" t="s">
        <v>2961</v>
      </c>
      <c r="Q581" s="2" t="s">
        <v>50</v>
      </c>
      <c r="S581" s="7" t="s">
        <v>5343</v>
      </c>
      <c r="T581" s="7" t="s">
        <v>5713</v>
      </c>
      <c r="U581" s="2" t="s">
        <v>6284</v>
      </c>
    </row>
    <row r="582" spans="1:21" ht="12.75" x14ac:dyDescent="0.2">
      <c r="A582" s="1">
        <v>45376.4854656713</v>
      </c>
      <c r="B582" s="2" t="s">
        <v>2291</v>
      </c>
      <c r="C582" s="2" t="s">
        <v>2962</v>
      </c>
      <c r="D582" s="2" t="s">
        <v>333</v>
      </c>
      <c r="E582" s="3">
        <v>45210</v>
      </c>
      <c r="F582" s="4">
        <v>83274</v>
      </c>
      <c r="G582" s="2" t="s">
        <v>326</v>
      </c>
      <c r="H582" s="2" t="s">
        <v>43</v>
      </c>
      <c r="I582" s="2" t="s">
        <v>990</v>
      </c>
      <c r="K582" s="2" t="s">
        <v>2963</v>
      </c>
      <c r="L582" s="2" t="s">
        <v>2964</v>
      </c>
      <c r="M582" s="2" t="s">
        <v>2965</v>
      </c>
      <c r="N582" s="2" t="s">
        <v>337</v>
      </c>
      <c r="O582" s="2" t="s">
        <v>2296</v>
      </c>
      <c r="P582" s="2" t="s">
        <v>995</v>
      </c>
      <c r="Q582" s="2" t="s">
        <v>50</v>
      </c>
      <c r="S582" s="7" t="s">
        <v>5344</v>
      </c>
      <c r="T582" s="7" t="s">
        <v>5713</v>
      </c>
      <c r="U582" s="2" t="s">
        <v>6285</v>
      </c>
    </row>
    <row r="583" spans="1:21" ht="12.75" x14ac:dyDescent="0.2">
      <c r="A583" s="1">
        <v>45376.4854656713</v>
      </c>
      <c r="B583" s="2" t="s">
        <v>2291</v>
      </c>
      <c r="C583" s="2" t="s">
        <v>2966</v>
      </c>
      <c r="D583" s="2" t="s">
        <v>333</v>
      </c>
      <c r="E583" s="3">
        <v>45352</v>
      </c>
      <c r="F583" s="4">
        <v>22000</v>
      </c>
      <c r="G583" s="2" t="s">
        <v>42</v>
      </c>
      <c r="H583" s="2" t="s">
        <v>43</v>
      </c>
      <c r="I583" s="2" t="s">
        <v>990</v>
      </c>
      <c r="K583" s="2" t="s">
        <v>2967</v>
      </c>
      <c r="L583" s="2" t="s">
        <v>2968</v>
      </c>
      <c r="M583" s="2" t="s">
        <v>2969</v>
      </c>
      <c r="N583" s="2" t="s">
        <v>337</v>
      </c>
      <c r="O583" s="2" t="s">
        <v>2296</v>
      </c>
      <c r="P583" s="2" t="s">
        <v>995</v>
      </c>
      <c r="Q583" s="2" t="s">
        <v>50</v>
      </c>
      <c r="S583" s="7" t="s">
        <v>5345</v>
      </c>
      <c r="T583" s="7" t="s">
        <v>5713</v>
      </c>
      <c r="U583" s="2" t="s">
        <v>6286</v>
      </c>
    </row>
    <row r="584" spans="1:21" ht="12.75" x14ac:dyDescent="0.2">
      <c r="A584" s="1">
        <v>45379.761290648152</v>
      </c>
      <c r="B584" s="2" t="s">
        <v>2970</v>
      </c>
      <c r="C584" s="2" t="s">
        <v>2526</v>
      </c>
      <c r="D584" s="2" t="s">
        <v>333</v>
      </c>
      <c r="E584" s="3">
        <v>45236</v>
      </c>
      <c r="F584" s="4">
        <v>7370</v>
      </c>
      <c r="G584" s="2" t="s">
        <v>42</v>
      </c>
      <c r="H584" s="2" t="s">
        <v>43</v>
      </c>
      <c r="I584" s="2" t="s">
        <v>1003</v>
      </c>
      <c r="J584" s="2" t="s">
        <v>2971</v>
      </c>
      <c r="K584" s="2" t="s">
        <v>2972</v>
      </c>
      <c r="L584" s="2" t="s">
        <v>2973</v>
      </c>
      <c r="M584" s="2" t="s">
        <v>2974</v>
      </c>
      <c r="N584" s="2" t="s">
        <v>337</v>
      </c>
      <c r="O584" s="2" t="s">
        <v>2975</v>
      </c>
      <c r="P584" s="2" t="s">
        <v>1006</v>
      </c>
      <c r="Q584" s="2" t="s">
        <v>50</v>
      </c>
      <c r="S584" s="7" t="s">
        <v>5346</v>
      </c>
      <c r="T584" s="7" t="s">
        <v>5713</v>
      </c>
      <c r="U584" s="2" t="s">
        <v>6287</v>
      </c>
    </row>
    <row r="585" spans="1:21" ht="12.75" x14ac:dyDescent="0.2">
      <c r="A585" s="1">
        <v>45380.793137638888</v>
      </c>
      <c r="B585" s="2" t="s">
        <v>2976</v>
      </c>
      <c r="C585" s="2" t="s">
        <v>2977</v>
      </c>
      <c r="D585" s="2" t="s">
        <v>41</v>
      </c>
      <c r="E585" s="3">
        <v>45380</v>
      </c>
      <c r="F585" s="4">
        <v>45150</v>
      </c>
      <c r="G585" s="2" t="s">
        <v>42</v>
      </c>
      <c r="H585" s="2" t="s">
        <v>43</v>
      </c>
      <c r="I585" s="2" t="s">
        <v>2691</v>
      </c>
      <c r="J585" s="2" t="s">
        <v>2978</v>
      </c>
      <c r="K585" s="2" t="s">
        <v>2979</v>
      </c>
      <c r="L585" s="2" t="s">
        <v>2980</v>
      </c>
      <c r="M585" s="2" t="s">
        <v>2981</v>
      </c>
      <c r="N585" s="2" t="s">
        <v>48</v>
      </c>
      <c r="O585" s="2" t="s">
        <v>2982</v>
      </c>
      <c r="P585" s="2" t="s">
        <v>2697</v>
      </c>
      <c r="Q585" s="2" t="s">
        <v>50</v>
      </c>
      <c r="S585" s="7" t="s">
        <v>5347</v>
      </c>
      <c r="T585" s="7" t="s">
        <v>5713</v>
      </c>
      <c r="U585" s="2" t="s">
        <v>6288</v>
      </c>
    </row>
    <row r="586" spans="1:21" ht="12.75" x14ac:dyDescent="0.2">
      <c r="A586" s="1">
        <v>45386.680916041667</v>
      </c>
      <c r="B586" s="2" t="s">
        <v>2336</v>
      </c>
      <c r="C586" s="2" t="s">
        <v>2983</v>
      </c>
      <c r="D586" s="2" t="s">
        <v>41</v>
      </c>
      <c r="E586" s="3">
        <v>45323</v>
      </c>
      <c r="F586" s="4">
        <v>120000</v>
      </c>
      <c r="G586" s="2" t="s">
        <v>42</v>
      </c>
      <c r="H586" s="2" t="s">
        <v>43</v>
      </c>
      <c r="K586" s="2" t="s">
        <v>2984</v>
      </c>
      <c r="L586" s="2" t="s">
        <v>2985</v>
      </c>
      <c r="M586" s="2" t="s">
        <v>2986</v>
      </c>
      <c r="N586" s="2" t="s">
        <v>48</v>
      </c>
      <c r="O586" s="2" t="s">
        <v>2342</v>
      </c>
      <c r="Q586" s="2" t="s">
        <v>50</v>
      </c>
      <c r="S586" s="7" t="s">
        <v>5348</v>
      </c>
      <c r="T586" s="7" t="s">
        <v>5713</v>
      </c>
      <c r="U586" s="2" t="s">
        <v>6289</v>
      </c>
    </row>
    <row r="587" spans="1:21" ht="12.75" x14ac:dyDescent="0.2">
      <c r="A587" s="1">
        <v>45387.548120648149</v>
      </c>
      <c r="B587" s="2" t="s">
        <v>2987</v>
      </c>
      <c r="C587" s="2" t="s">
        <v>2988</v>
      </c>
      <c r="D587" s="2" t="s">
        <v>223</v>
      </c>
      <c r="E587" s="3">
        <v>45200</v>
      </c>
      <c r="F587" s="4">
        <v>200</v>
      </c>
      <c r="G587" s="2" t="s">
        <v>42</v>
      </c>
      <c r="H587" s="2" t="s">
        <v>43</v>
      </c>
      <c r="I587" s="2" t="s">
        <v>2446</v>
      </c>
      <c r="K587" s="2" t="s">
        <v>2989</v>
      </c>
      <c r="L587" s="2" t="s">
        <v>2990</v>
      </c>
      <c r="M587" s="2" t="s">
        <v>2991</v>
      </c>
      <c r="N587" s="2" t="s">
        <v>228</v>
      </c>
      <c r="O587" s="2" t="s">
        <v>2992</v>
      </c>
      <c r="P587" s="2" t="s">
        <v>2452</v>
      </c>
      <c r="Q587" s="2" t="s">
        <v>50</v>
      </c>
      <c r="S587" s="7" t="s">
        <v>5349</v>
      </c>
      <c r="T587" s="7" t="s">
        <v>5713</v>
      </c>
      <c r="U587" s="2" t="s">
        <v>6290</v>
      </c>
    </row>
    <row r="588" spans="1:21" ht="12.75" x14ac:dyDescent="0.2">
      <c r="A588" s="1">
        <v>45387.561662141205</v>
      </c>
      <c r="B588" s="2" t="s">
        <v>2993</v>
      </c>
      <c r="C588" s="2" t="s">
        <v>2994</v>
      </c>
      <c r="D588" s="2" t="s">
        <v>223</v>
      </c>
      <c r="E588" s="3">
        <v>45292</v>
      </c>
      <c r="F588" s="4">
        <v>300</v>
      </c>
      <c r="G588" s="2" t="s">
        <v>42</v>
      </c>
      <c r="H588" s="2" t="s">
        <v>43</v>
      </c>
      <c r="I588" s="2" t="s">
        <v>2446</v>
      </c>
      <c r="K588" s="2" t="s">
        <v>2995</v>
      </c>
      <c r="L588" s="2" t="s">
        <v>2996</v>
      </c>
      <c r="M588" s="2" t="s">
        <v>2997</v>
      </c>
      <c r="N588" s="2" t="s">
        <v>228</v>
      </c>
      <c r="O588" s="2" t="s">
        <v>2998</v>
      </c>
      <c r="P588" s="2" t="s">
        <v>2452</v>
      </c>
      <c r="Q588" s="2" t="s">
        <v>50</v>
      </c>
      <c r="S588" s="7" t="s">
        <v>5350</v>
      </c>
      <c r="T588" s="7" t="s">
        <v>5713</v>
      </c>
      <c r="U588" s="2" t="s">
        <v>6291</v>
      </c>
    </row>
    <row r="589" spans="1:21" ht="12.75" x14ac:dyDescent="0.2">
      <c r="A589" s="1">
        <v>45387.561662141205</v>
      </c>
      <c r="B589" s="2" t="s">
        <v>2999</v>
      </c>
      <c r="C589" s="2" t="s">
        <v>3000</v>
      </c>
      <c r="D589" s="2" t="s">
        <v>223</v>
      </c>
      <c r="E589" s="3">
        <v>45292</v>
      </c>
      <c r="F589" s="4">
        <v>300</v>
      </c>
      <c r="G589" s="2" t="s">
        <v>42</v>
      </c>
      <c r="H589" s="2" t="s">
        <v>43</v>
      </c>
      <c r="I589" s="2" t="s">
        <v>2446</v>
      </c>
      <c r="K589" s="2" t="s">
        <v>3001</v>
      </c>
      <c r="L589" s="2" t="s">
        <v>3002</v>
      </c>
      <c r="M589" s="2" t="s">
        <v>3003</v>
      </c>
      <c r="N589" s="2" t="s">
        <v>228</v>
      </c>
      <c r="O589" s="2" t="s">
        <v>3004</v>
      </c>
      <c r="P589" s="2" t="s">
        <v>2452</v>
      </c>
      <c r="Q589" s="2" t="s">
        <v>50</v>
      </c>
      <c r="S589" s="7" t="s">
        <v>5351</v>
      </c>
      <c r="T589" s="7" t="s">
        <v>5713</v>
      </c>
      <c r="U589" s="2" t="s">
        <v>6292</v>
      </c>
    </row>
    <row r="590" spans="1:21" ht="12.75" x14ac:dyDescent="0.2">
      <c r="A590" s="1">
        <v>45387.561662141205</v>
      </c>
      <c r="B590" s="2" t="s">
        <v>3005</v>
      </c>
      <c r="C590" s="2" t="s">
        <v>3006</v>
      </c>
      <c r="D590" s="2" t="s">
        <v>223</v>
      </c>
      <c r="E590" s="3">
        <v>45292</v>
      </c>
      <c r="F590" s="4">
        <v>300</v>
      </c>
      <c r="G590" s="2" t="s">
        <v>42</v>
      </c>
      <c r="H590" s="2" t="s">
        <v>43</v>
      </c>
      <c r="I590" s="2" t="s">
        <v>2446</v>
      </c>
      <c r="K590" s="2" t="s">
        <v>3007</v>
      </c>
      <c r="L590" s="2" t="s">
        <v>3008</v>
      </c>
      <c r="M590" s="2" t="s">
        <v>3009</v>
      </c>
      <c r="N590" s="2" t="s">
        <v>228</v>
      </c>
      <c r="O590" s="2" t="s">
        <v>3010</v>
      </c>
      <c r="P590" s="2" t="s">
        <v>2452</v>
      </c>
      <c r="Q590" s="2" t="s">
        <v>50</v>
      </c>
      <c r="S590" s="7" t="s">
        <v>5352</v>
      </c>
      <c r="T590" s="7" t="s">
        <v>5713</v>
      </c>
      <c r="U590" s="2" t="s">
        <v>6293</v>
      </c>
    </row>
    <row r="591" spans="1:21" ht="12.75" x14ac:dyDescent="0.2">
      <c r="A591" s="1">
        <v>45387.561662141205</v>
      </c>
      <c r="B591" s="2" t="s">
        <v>3011</v>
      </c>
      <c r="C591" s="2" t="s">
        <v>3012</v>
      </c>
      <c r="D591" s="2" t="s">
        <v>223</v>
      </c>
      <c r="E591" s="3">
        <v>45292</v>
      </c>
      <c r="F591" s="4">
        <v>200</v>
      </c>
      <c r="G591" s="2" t="s">
        <v>42</v>
      </c>
      <c r="H591" s="2" t="s">
        <v>43</v>
      </c>
      <c r="I591" s="2" t="s">
        <v>2446</v>
      </c>
      <c r="K591" s="2" t="s">
        <v>3013</v>
      </c>
      <c r="L591" s="2" t="s">
        <v>3014</v>
      </c>
      <c r="M591" s="2" t="s">
        <v>3015</v>
      </c>
      <c r="N591" s="2" t="s">
        <v>228</v>
      </c>
      <c r="O591" s="2" t="s">
        <v>3016</v>
      </c>
      <c r="P591" s="2" t="s">
        <v>2452</v>
      </c>
      <c r="Q591" s="2" t="s">
        <v>50</v>
      </c>
      <c r="S591" s="7" t="s">
        <v>5353</v>
      </c>
      <c r="T591" s="7" t="s">
        <v>5713</v>
      </c>
      <c r="U591" s="2" t="s">
        <v>6294</v>
      </c>
    </row>
    <row r="592" spans="1:21" ht="12.75" x14ac:dyDescent="0.2">
      <c r="A592" s="1">
        <v>45387.561662141205</v>
      </c>
      <c r="B592" s="2" t="s">
        <v>3017</v>
      </c>
      <c r="C592" s="2" t="s">
        <v>3018</v>
      </c>
      <c r="D592" s="2" t="s">
        <v>223</v>
      </c>
      <c r="E592" s="3">
        <v>45292</v>
      </c>
      <c r="F592" s="4">
        <v>200</v>
      </c>
      <c r="G592" s="2" t="s">
        <v>42</v>
      </c>
      <c r="H592" s="2" t="s">
        <v>43</v>
      </c>
      <c r="I592" s="2" t="s">
        <v>2446</v>
      </c>
      <c r="J592" s="2" t="s">
        <v>3019</v>
      </c>
      <c r="K592" s="2" t="s">
        <v>3020</v>
      </c>
      <c r="L592" s="2" t="s">
        <v>3021</v>
      </c>
      <c r="M592" s="2" t="s">
        <v>3022</v>
      </c>
      <c r="N592" s="2" t="s">
        <v>228</v>
      </c>
      <c r="O592" s="2" t="s">
        <v>3023</v>
      </c>
      <c r="P592" s="2" t="s">
        <v>2452</v>
      </c>
      <c r="Q592" s="2" t="s">
        <v>50</v>
      </c>
      <c r="S592" s="7" t="s">
        <v>5354</v>
      </c>
      <c r="T592" s="7" t="s">
        <v>5713</v>
      </c>
      <c r="U592" s="2" t="s">
        <v>6295</v>
      </c>
    </row>
    <row r="593" spans="1:21" ht="12.75" x14ac:dyDescent="0.2">
      <c r="A593" s="1">
        <v>45387.58983409722</v>
      </c>
      <c r="B593" s="2" t="s">
        <v>3024</v>
      </c>
      <c r="C593" s="2" t="s">
        <v>3025</v>
      </c>
      <c r="D593" s="2" t="s">
        <v>223</v>
      </c>
      <c r="E593" s="3">
        <v>44835</v>
      </c>
      <c r="F593" s="4">
        <v>400</v>
      </c>
      <c r="G593" s="2" t="s">
        <v>42</v>
      </c>
      <c r="H593" s="2" t="s">
        <v>43</v>
      </c>
      <c r="I593" s="2" t="s">
        <v>2446</v>
      </c>
      <c r="K593" s="2" t="s">
        <v>3026</v>
      </c>
      <c r="L593" s="2" t="s">
        <v>3027</v>
      </c>
      <c r="M593" s="2" t="s">
        <v>3028</v>
      </c>
      <c r="N593" s="2" t="s">
        <v>228</v>
      </c>
      <c r="O593" s="2" t="s">
        <v>2808</v>
      </c>
      <c r="P593" s="2" t="s">
        <v>2452</v>
      </c>
      <c r="Q593" s="2" t="s">
        <v>50</v>
      </c>
      <c r="S593" s="7" t="s">
        <v>5355</v>
      </c>
      <c r="T593" s="7" t="s">
        <v>5713</v>
      </c>
      <c r="U593" s="2" t="s">
        <v>6296</v>
      </c>
    </row>
    <row r="594" spans="1:21" ht="12.75" x14ac:dyDescent="0.2">
      <c r="A594" s="1">
        <v>45387.757306458334</v>
      </c>
      <c r="B594" s="2" t="s">
        <v>3029</v>
      </c>
      <c r="C594" s="2" t="s">
        <v>3030</v>
      </c>
      <c r="D594" s="2" t="s">
        <v>223</v>
      </c>
      <c r="E594" s="3">
        <v>44774</v>
      </c>
      <c r="F594" s="4">
        <v>500</v>
      </c>
      <c r="G594" s="2" t="s">
        <v>143</v>
      </c>
      <c r="H594" s="2" t="s">
        <v>43</v>
      </c>
      <c r="I594" s="2" t="s">
        <v>2446</v>
      </c>
      <c r="J594" s="2" t="s">
        <v>3031</v>
      </c>
      <c r="K594" s="2" t="s">
        <v>3032</v>
      </c>
      <c r="L594" s="2" t="s">
        <v>3033</v>
      </c>
      <c r="M594" s="2" t="s">
        <v>3034</v>
      </c>
      <c r="N594" s="2" t="s">
        <v>228</v>
      </c>
      <c r="O594" s="2" t="s">
        <v>3035</v>
      </c>
      <c r="P594" s="2" t="s">
        <v>2452</v>
      </c>
      <c r="Q594" s="2" t="s">
        <v>50</v>
      </c>
      <c r="S594" s="7" t="s">
        <v>5356</v>
      </c>
      <c r="T594" s="7" t="s">
        <v>5713</v>
      </c>
      <c r="U594" s="2" t="s">
        <v>6297</v>
      </c>
    </row>
    <row r="595" spans="1:21" ht="12.75" x14ac:dyDescent="0.2">
      <c r="A595" s="1">
        <v>45387.770738217594</v>
      </c>
      <c r="B595" s="2" t="s">
        <v>3036</v>
      </c>
      <c r="C595" s="2" t="s">
        <v>3037</v>
      </c>
      <c r="D595" s="2" t="s">
        <v>223</v>
      </c>
      <c r="E595" s="3">
        <v>44805</v>
      </c>
      <c r="F595" s="4">
        <v>250</v>
      </c>
      <c r="G595" s="2" t="s">
        <v>143</v>
      </c>
      <c r="H595" s="2" t="s">
        <v>43</v>
      </c>
      <c r="I595" s="2" t="s">
        <v>2446</v>
      </c>
      <c r="K595" s="2" t="s">
        <v>3038</v>
      </c>
      <c r="L595" s="2" t="s">
        <v>3039</v>
      </c>
      <c r="M595" s="2" t="s">
        <v>3040</v>
      </c>
      <c r="N595" s="2" t="s">
        <v>228</v>
      </c>
      <c r="O595" s="2" t="s">
        <v>3041</v>
      </c>
      <c r="P595" s="2" t="s">
        <v>2452</v>
      </c>
      <c r="Q595" s="2" t="s">
        <v>50</v>
      </c>
      <c r="S595" s="7" t="s">
        <v>5357</v>
      </c>
      <c r="T595" s="7" t="s">
        <v>5713</v>
      </c>
      <c r="U595" s="2" t="s">
        <v>6298</v>
      </c>
    </row>
    <row r="596" spans="1:21" ht="12.75" x14ac:dyDescent="0.2">
      <c r="A596" s="1">
        <v>45393.553150115738</v>
      </c>
      <c r="B596" s="2" t="s">
        <v>2301</v>
      </c>
      <c r="C596" s="2" t="s">
        <v>3042</v>
      </c>
      <c r="D596" s="2" t="s">
        <v>41</v>
      </c>
      <c r="E596" s="3">
        <v>45105</v>
      </c>
      <c r="F596" s="4">
        <v>179560</v>
      </c>
      <c r="G596" s="2" t="s">
        <v>42</v>
      </c>
      <c r="H596" s="2" t="s">
        <v>43</v>
      </c>
      <c r="J596" s="2" t="s">
        <v>3043</v>
      </c>
      <c r="K596" s="2" t="s">
        <v>3044</v>
      </c>
      <c r="L596" s="2" t="s">
        <v>3045</v>
      </c>
      <c r="M596" s="2" t="s">
        <v>3046</v>
      </c>
      <c r="N596" s="2" t="s">
        <v>48</v>
      </c>
      <c r="O596" s="2" t="s">
        <v>2306</v>
      </c>
      <c r="Q596" s="2" t="s">
        <v>50</v>
      </c>
      <c r="S596" s="7" t="s">
        <v>5358</v>
      </c>
      <c r="T596" s="7" t="s">
        <v>5713</v>
      </c>
      <c r="U596" s="2" t="s">
        <v>6299</v>
      </c>
    </row>
    <row r="597" spans="1:21" ht="12.75" x14ac:dyDescent="0.2">
      <c r="A597" s="1">
        <v>45393.685809456016</v>
      </c>
      <c r="B597" s="2" t="s">
        <v>1949</v>
      </c>
      <c r="C597" s="2" t="s">
        <v>3047</v>
      </c>
      <c r="D597" s="2" t="s">
        <v>223</v>
      </c>
      <c r="E597" s="3">
        <v>45200</v>
      </c>
      <c r="F597" s="4">
        <v>3955</v>
      </c>
      <c r="G597" s="2" t="s">
        <v>42</v>
      </c>
      <c r="H597" s="2" t="s">
        <v>43</v>
      </c>
      <c r="I597" s="2" t="s">
        <v>2446</v>
      </c>
      <c r="J597" s="2" t="s">
        <v>3048</v>
      </c>
      <c r="K597" s="2" t="s">
        <v>3049</v>
      </c>
      <c r="L597" s="2" t="s">
        <v>3050</v>
      </c>
      <c r="M597" s="2" t="s">
        <v>3051</v>
      </c>
      <c r="N597" s="2" t="s">
        <v>228</v>
      </c>
      <c r="O597" s="2" t="s">
        <v>1955</v>
      </c>
      <c r="P597" s="2" t="s">
        <v>2452</v>
      </c>
      <c r="Q597" s="2" t="s">
        <v>50</v>
      </c>
      <c r="S597" s="7" t="s">
        <v>5359</v>
      </c>
      <c r="T597" s="7" t="s">
        <v>5713</v>
      </c>
      <c r="U597" s="2" t="s">
        <v>6300</v>
      </c>
    </row>
    <row r="598" spans="1:21" ht="12.75" x14ac:dyDescent="0.2">
      <c r="A598" s="1">
        <v>45396.599936597224</v>
      </c>
      <c r="B598" s="2" t="s">
        <v>2253</v>
      </c>
      <c r="C598" s="2" t="s">
        <v>3052</v>
      </c>
      <c r="D598" s="2" t="s">
        <v>223</v>
      </c>
      <c r="E598" s="3">
        <v>45292</v>
      </c>
      <c r="F598" s="4">
        <v>500</v>
      </c>
      <c r="G598" s="2" t="s">
        <v>42</v>
      </c>
      <c r="H598" s="2" t="s">
        <v>43</v>
      </c>
      <c r="I598" s="2" t="s">
        <v>2446</v>
      </c>
      <c r="J598" s="2" t="s">
        <v>3053</v>
      </c>
      <c r="K598" s="2" t="s">
        <v>3054</v>
      </c>
      <c r="L598" s="2" t="s">
        <v>3055</v>
      </c>
      <c r="M598" s="2" t="s">
        <v>3056</v>
      </c>
      <c r="N598" s="2" t="s">
        <v>228</v>
      </c>
      <c r="O598" s="2" t="s">
        <v>2259</v>
      </c>
      <c r="P598" s="2" t="s">
        <v>2452</v>
      </c>
      <c r="Q598" s="2" t="s">
        <v>50</v>
      </c>
      <c r="S598" s="7" t="s">
        <v>5360</v>
      </c>
      <c r="T598" s="7" t="s">
        <v>5713</v>
      </c>
      <c r="U598" s="2" t="s">
        <v>6301</v>
      </c>
    </row>
    <row r="599" spans="1:21" ht="12.75" x14ac:dyDescent="0.2">
      <c r="A599" s="1">
        <v>45396.749313055552</v>
      </c>
      <c r="B599" s="2" t="s">
        <v>438</v>
      </c>
      <c r="C599" s="2" t="s">
        <v>3057</v>
      </c>
      <c r="D599" s="2" t="s">
        <v>223</v>
      </c>
      <c r="E599" s="3">
        <v>45292</v>
      </c>
      <c r="F599" s="4">
        <v>960</v>
      </c>
      <c r="G599" s="2" t="s">
        <v>42</v>
      </c>
      <c r="H599" s="2" t="s">
        <v>43</v>
      </c>
      <c r="I599" s="2" t="s">
        <v>2446</v>
      </c>
      <c r="K599" s="2" t="s">
        <v>3058</v>
      </c>
      <c r="L599" s="2" t="s">
        <v>3059</v>
      </c>
      <c r="M599" s="2" t="s">
        <v>3060</v>
      </c>
      <c r="N599" s="2" t="s">
        <v>228</v>
      </c>
      <c r="O599" s="2" t="s">
        <v>443</v>
      </c>
      <c r="P599" s="2" t="s">
        <v>2452</v>
      </c>
      <c r="Q599" s="2" t="s">
        <v>50</v>
      </c>
      <c r="S599" s="7" t="s">
        <v>5361</v>
      </c>
      <c r="T599" s="7" t="s">
        <v>5713</v>
      </c>
      <c r="U599" s="2" t="s">
        <v>6302</v>
      </c>
    </row>
    <row r="600" spans="1:21" ht="12.75" x14ac:dyDescent="0.2">
      <c r="A600" s="1">
        <v>45396.781110601849</v>
      </c>
      <c r="B600" s="2" t="s">
        <v>1470</v>
      </c>
      <c r="C600" s="2" t="s">
        <v>3061</v>
      </c>
      <c r="D600" s="2" t="s">
        <v>223</v>
      </c>
      <c r="E600" s="3">
        <v>45292</v>
      </c>
      <c r="F600" s="4">
        <v>480</v>
      </c>
      <c r="G600" s="2" t="s">
        <v>42</v>
      </c>
      <c r="H600" s="2" t="s">
        <v>43</v>
      </c>
      <c r="I600" s="2" t="s">
        <v>2446</v>
      </c>
      <c r="K600" s="2" t="s">
        <v>3062</v>
      </c>
      <c r="L600" s="2" t="s">
        <v>3063</v>
      </c>
      <c r="M600" s="2" t="s">
        <v>3064</v>
      </c>
      <c r="N600" s="2" t="s">
        <v>228</v>
      </c>
      <c r="O600" s="2" t="s">
        <v>1475</v>
      </c>
      <c r="P600" s="2" t="s">
        <v>2452</v>
      </c>
      <c r="Q600" s="2" t="s">
        <v>50</v>
      </c>
      <c r="S600" s="7" t="s">
        <v>5362</v>
      </c>
      <c r="T600" s="7" t="s">
        <v>5713</v>
      </c>
      <c r="U600" s="2" t="s">
        <v>6303</v>
      </c>
    </row>
    <row r="601" spans="1:21" ht="12.75" x14ac:dyDescent="0.2">
      <c r="A601" s="1">
        <v>45396.781110601849</v>
      </c>
      <c r="B601" s="2" t="s">
        <v>1701</v>
      </c>
      <c r="C601" s="2" t="s">
        <v>3065</v>
      </c>
      <c r="D601" s="2" t="s">
        <v>223</v>
      </c>
      <c r="E601" s="3">
        <v>45292</v>
      </c>
      <c r="F601" s="4">
        <v>1560</v>
      </c>
      <c r="G601" s="2" t="s">
        <v>42</v>
      </c>
      <c r="H601" s="2" t="s">
        <v>43</v>
      </c>
      <c r="I601" s="2" t="s">
        <v>2446</v>
      </c>
      <c r="K601" s="2" t="s">
        <v>3066</v>
      </c>
      <c r="L601" s="2" t="s">
        <v>3067</v>
      </c>
      <c r="M601" s="2" t="s">
        <v>3068</v>
      </c>
      <c r="N601" s="2" t="s">
        <v>228</v>
      </c>
      <c r="O601" s="2" t="s">
        <v>1707</v>
      </c>
      <c r="P601" s="2" t="s">
        <v>2452</v>
      </c>
      <c r="Q601" s="2" t="s">
        <v>50</v>
      </c>
      <c r="S601" s="7" t="s">
        <v>5363</v>
      </c>
      <c r="T601" s="7" t="s">
        <v>5713</v>
      </c>
      <c r="U601" s="2" t="s">
        <v>6304</v>
      </c>
    </row>
    <row r="602" spans="1:21" ht="12.75" x14ac:dyDescent="0.2">
      <c r="A602" s="1">
        <v>45397.684571423611</v>
      </c>
      <c r="B602" s="2" t="s">
        <v>3069</v>
      </c>
      <c r="C602" s="2" t="s">
        <v>3070</v>
      </c>
      <c r="D602" s="2" t="s">
        <v>910</v>
      </c>
      <c r="E602" s="3">
        <v>45375</v>
      </c>
      <c r="F602" s="4">
        <v>2990</v>
      </c>
      <c r="G602" s="2" t="s">
        <v>143</v>
      </c>
      <c r="H602" s="2" t="s">
        <v>43</v>
      </c>
      <c r="I602" s="2" t="s">
        <v>990</v>
      </c>
      <c r="K602" s="2" t="s">
        <v>3071</v>
      </c>
      <c r="L602" s="2" t="s">
        <v>3072</v>
      </c>
      <c r="M602" s="2" t="s">
        <v>3073</v>
      </c>
      <c r="N602" s="2" t="s">
        <v>915</v>
      </c>
      <c r="O602" s="2" t="s">
        <v>3074</v>
      </c>
      <c r="P602" s="2" t="s">
        <v>995</v>
      </c>
      <c r="Q602" s="2" t="s">
        <v>50</v>
      </c>
      <c r="S602" s="7" t="s">
        <v>5364</v>
      </c>
      <c r="T602" s="7" t="s">
        <v>5713</v>
      </c>
      <c r="U602" s="2" t="s">
        <v>6305</v>
      </c>
    </row>
    <row r="603" spans="1:21" ht="12.75" x14ac:dyDescent="0.2">
      <c r="A603" s="1">
        <v>45398.597954525467</v>
      </c>
      <c r="B603" s="2" t="s">
        <v>1942</v>
      </c>
      <c r="C603" s="2" t="s">
        <v>1943</v>
      </c>
      <c r="D603" s="2" t="s">
        <v>223</v>
      </c>
      <c r="E603" s="3">
        <v>45292</v>
      </c>
      <c r="F603" s="4">
        <v>1770</v>
      </c>
      <c r="G603" s="2" t="s">
        <v>42</v>
      </c>
      <c r="H603" s="2" t="s">
        <v>43</v>
      </c>
      <c r="I603" s="2" t="s">
        <v>2446</v>
      </c>
      <c r="K603" s="2" t="s">
        <v>3075</v>
      </c>
      <c r="L603" s="2" t="s">
        <v>3076</v>
      </c>
      <c r="M603" s="2" t="s">
        <v>3077</v>
      </c>
      <c r="N603" s="2" t="s">
        <v>228</v>
      </c>
      <c r="O603" s="2" t="s">
        <v>1948</v>
      </c>
      <c r="P603" s="2" t="s">
        <v>2452</v>
      </c>
      <c r="Q603" s="2" t="s">
        <v>50</v>
      </c>
      <c r="S603" s="7" t="s">
        <v>5365</v>
      </c>
      <c r="T603" s="7" t="s">
        <v>5713</v>
      </c>
      <c r="U603" s="2" t="s">
        <v>6306</v>
      </c>
    </row>
    <row r="604" spans="1:21" ht="12.75" x14ac:dyDescent="0.2">
      <c r="A604" s="1">
        <v>45398.64563564815</v>
      </c>
      <c r="B604" s="2" t="s">
        <v>1942</v>
      </c>
      <c r="C604" s="2" t="s">
        <v>3078</v>
      </c>
      <c r="D604" s="2" t="s">
        <v>223</v>
      </c>
      <c r="E604" s="3">
        <v>45292</v>
      </c>
      <c r="F604" s="4">
        <v>1770</v>
      </c>
      <c r="G604" s="2" t="s">
        <v>42</v>
      </c>
      <c r="H604" s="2" t="s">
        <v>43</v>
      </c>
      <c r="I604" s="2" t="s">
        <v>2446</v>
      </c>
      <c r="K604" s="2" t="s">
        <v>3079</v>
      </c>
      <c r="L604" s="2" t="s">
        <v>3080</v>
      </c>
      <c r="M604" s="2" t="s">
        <v>3081</v>
      </c>
      <c r="N604" s="2" t="s">
        <v>228</v>
      </c>
      <c r="O604" s="2" t="s">
        <v>1948</v>
      </c>
      <c r="P604" s="2" t="s">
        <v>2452</v>
      </c>
      <c r="Q604" s="2" t="s">
        <v>50</v>
      </c>
      <c r="S604" s="7" t="s">
        <v>5366</v>
      </c>
      <c r="T604" s="7" t="s">
        <v>5713</v>
      </c>
      <c r="U604" s="2" t="s">
        <v>6307</v>
      </c>
    </row>
    <row r="605" spans="1:21" ht="12.75" x14ac:dyDescent="0.2">
      <c r="A605" s="1">
        <v>45398.658481458333</v>
      </c>
      <c r="B605" s="2" t="s">
        <v>2115</v>
      </c>
      <c r="C605" s="2" t="s">
        <v>3082</v>
      </c>
      <c r="D605" s="2" t="s">
        <v>223</v>
      </c>
      <c r="E605" s="3">
        <v>45292</v>
      </c>
      <c r="F605" s="4">
        <v>531</v>
      </c>
      <c r="G605" s="2" t="s">
        <v>42</v>
      </c>
      <c r="H605" s="2" t="s">
        <v>43</v>
      </c>
      <c r="I605" s="2" t="s">
        <v>2446</v>
      </c>
      <c r="K605" s="2" t="s">
        <v>3083</v>
      </c>
      <c r="L605" s="2" t="s">
        <v>3084</v>
      </c>
      <c r="M605" s="2" t="s">
        <v>3085</v>
      </c>
      <c r="N605" s="2" t="s">
        <v>228</v>
      </c>
      <c r="O605" s="2" t="s">
        <v>2121</v>
      </c>
      <c r="P605" s="2" t="s">
        <v>2452</v>
      </c>
      <c r="Q605" s="2" t="s">
        <v>50</v>
      </c>
      <c r="S605" s="7" t="s">
        <v>5367</v>
      </c>
      <c r="T605" s="7" t="s">
        <v>5713</v>
      </c>
      <c r="U605" s="2" t="s">
        <v>6308</v>
      </c>
    </row>
    <row r="606" spans="1:21" ht="12.75" x14ac:dyDescent="0.2">
      <c r="A606" s="1">
        <v>45398.67080605324</v>
      </c>
      <c r="B606" s="2" t="s">
        <v>1929</v>
      </c>
      <c r="C606" s="2" t="s">
        <v>3086</v>
      </c>
      <c r="D606" s="2" t="s">
        <v>223</v>
      </c>
      <c r="E606" s="3">
        <v>45292</v>
      </c>
      <c r="F606" s="4">
        <v>531</v>
      </c>
      <c r="G606" s="2" t="s">
        <v>42</v>
      </c>
      <c r="H606" s="2" t="s">
        <v>43</v>
      </c>
      <c r="I606" s="2" t="s">
        <v>2446</v>
      </c>
      <c r="K606" s="2" t="s">
        <v>3087</v>
      </c>
      <c r="L606" s="2" t="s">
        <v>3088</v>
      </c>
      <c r="M606" s="2" t="s">
        <v>3089</v>
      </c>
      <c r="N606" s="2" t="s">
        <v>228</v>
      </c>
      <c r="O606" s="2" t="s">
        <v>1935</v>
      </c>
      <c r="P606" s="2" t="s">
        <v>2452</v>
      </c>
      <c r="Q606" s="2" t="s">
        <v>50</v>
      </c>
      <c r="S606" s="7" t="s">
        <v>5368</v>
      </c>
      <c r="T606" s="7" t="s">
        <v>5713</v>
      </c>
      <c r="U606" s="2" t="s">
        <v>6309</v>
      </c>
    </row>
    <row r="607" spans="1:21" ht="12.75" x14ac:dyDescent="0.2">
      <c r="A607" s="1">
        <v>45398.763857881946</v>
      </c>
      <c r="B607" s="2" t="s">
        <v>2260</v>
      </c>
      <c r="C607" s="2" t="s">
        <v>3090</v>
      </c>
      <c r="D607" s="2" t="s">
        <v>223</v>
      </c>
      <c r="E607" s="3">
        <v>45292</v>
      </c>
      <c r="F607" s="4">
        <v>118</v>
      </c>
      <c r="G607" s="2" t="s">
        <v>42</v>
      </c>
      <c r="H607" s="2" t="s">
        <v>43</v>
      </c>
      <c r="I607" s="2" t="s">
        <v>2446</v>
      </c>
      <c r="K607" s="2" t="s">
        <v>3091</v>
      </c>
      <c r="L607" s="2" t="s">
        <v>3092</v>
      </c>
      <c r="M607" s="2" t="s">
        <v>3093</v>
      </c>
      <c r="N607" s="2" t="s">
        <v>228</v>
      </c>
      <c r="O607" s="2" t="s">
        <v>2263</v>
      </c>
      <c r="P607" s="2" t="s">
        <v>2452</v>
      </c>
      <c r="Q607" s="2" t="s">
        <v>50</v>
      </c>
      <c r="S607" s="7" t="s">
        <v>5369</v>
      </c>
      <c r="T607" s="7" t="s">
        <v>5713</v>
      </c>
      <c r="U607" s="2" t="s">
        <v>6310</v>
      </c>
    </row>
    <row r="608" spans="1:21" ht="12.75" x14ac:dyDescent="0.2">
      <c r="A608" s="1">
        <v>45398.773972037037</v>
      </c>
      <c r="B608" s="2" t="s">
        <v>2264</v>
      </c>
      <c r="C608" s="2" t="s">
        <v>3094</v>
      </c>
      <c r="D608" s="2" t="s">
        <v>223</v>
      </c>
      <c r="E608" s="3">
        <v>45292</v>
      </c>
      <c r="F608" s="4">
        <v>1203.5999999999999</v>
      </c>
      <c r="G608" s="2" t="s">
        <v>42</v>
      </c>
      <c r="H608" s="2" t="s">
        <v>43</v>
      </c>
      <c r="I608" s="2" t="s">
        <v>2446</v>
      </c>
      <c r="K608" s="2" t="s">
        <v>3095</v>
      </c>
      <c r="L608" s="2" t="s">
        <v>3096</v>
      </c>
      <c r="M608" s="2" t="s">
        <v>3097</v>
      </c>
      <c r="N608" s="2" t="s">
        <v>228</v>
      </c>
      <c r="O608" s="2" t="s">
        <v>2270</v>
      </c>
      <c r="P608" s="2" t="s">
        <v>2452</v>
      </c>
      <c r="Q608" s="2" t="s">
        <v>50</v>
      </c>
      <c r="S608" s="7" t="s">
        <v>5370</v>
      </c>
      <c r="T608" s="7" t="s">
        <v>5713</v>
      </c>
      <c r="U608" s="2" t="s">
        <v>6311</v>
      </c>
    </row>
    <row r="609" spans="1:21" ht="12.75" x14ac:dyDescent="0.2">
      <c r="A609" s="1">
        <v>45398.793357488423</v>
      </c>
      <c r="B609" s="2" t="s">
        <v>2108</v>
      </c>
      <c r="C609" s="2" t="s">
        <v>3098</v>
      </c>
      <c r="D609" s="2" t="s">
        <v>223</v>
      </c>
      <c r="E609" s="3">
        <v>45292</v>
      </c>
      <c r="F609" s="4">
        <v>100</v>
      </c>
      <c r="G609" s="2" t="s">
        <v>42</v>
      </c>
      <c r="H609" s="2" t="s">
        <v>43</v>
      </c>
      <c r="I609" s="2" t="s">
        <v>2446</v>
      </c>
      <c r="K609" s="2" t="s">
        <v>3099</v>
      </c>
      <c r="L609" s="2" t="s">
        <v>3100</v>
      </c>
      <c r="M609" s="2" t="s">
        <v>3101</v>
      </c>
      <c r="N609" s="2" t="s">
        <v>228</v>
      </c>
      <c r="O609" s="2" t="s">
        <v>2114</v>
      </c>
      <c r="P609" s="2" t="s">
        <v>2452</v>
      </c>
      <c r="Q609" s="2" t="s">
        <v>50</v>
      </c>
      <c r="S609" s="7" t="s">
        <v>5371</v>
      </c>
      <c r="T609" s="7" t="s">
        <v>5713</v>
      </c>
      <c r="U609" s="2" t="s">
        <v>6312</v>
      </c>
    </row>
    <row r="610" spans="1:21" ht="12.75" x14ac:dyDescent="0.2">
      <c r="A610" s="1">
        <v>45398.797048078704</v>
      </c>
      <c r="B610" s="2" t="s">
        <v>2146</v>
      </c>
      <c r="C610" s="2" t="s">
        <v>3102</v>
      </c>
      <c r="D610" s="2" t="s">
        <v>223</v>
      </c>
      <c r="E610" s="3">
        <v>45292</v>
      </c>
      <c r="F610" s="4">
        <v>500</v>
      </c>
      <c r="G610" s="2" t="s">
        <v>42</v>
      </c>
      <c r="H610" s="2" t="s">
        <v>43</v>
      </c>
      <c r="I610" s="2" t="s">
        <v>2446</v>
      </c>
      <c r="K610" s="2" t="s">
        <v>3103</v>
      </c>
      <c r="L610" s="2" t="s">
        <v>3104</v>
      </c>
      <c r="M610" s="2" t="s">
        <v>3105</v>
      </c>
      <c r="N610" s="2" t="s">
        <v>228</v>
      </c>
      <c r="O610" s="2" t="s">
        <v>2152</v>
      </c>
      <c r="P610" s="2" t="s">
        <v>2452</v>
      </c>
      <c r="Q610" s="2" t="s">
        <v>50</v>
      </c>
      <c r="S610" s="7" t="s">
        <v>5372</v>
      </c>
      <c r="T610" s="7" t="s">
        <v>5713</v>
      </c>
      <c r="U610" s="2" t="s">
        <v>6313</v>
      </c>
    </row>
    <row r="611" spans="1:21" ht="12.75" x14ac:dyDescent="0.2">
      <c r="A611" s="1">
        <v>45398.804717129635</v>
      </c>
      <c r="B611" s="2" t="s">
        <v>3106</v>
      </c>
      <c r="C611" s="2" t="s">
        <v>3107</v>
      </c>
      <c r="D611" s="2" t="s">
        <v>223</v>
      </c>
      <c r="E611" s="3">
        <v>45292</v>
      </c>
      <c r="F611" s="4">
        <v>120</v>
      </c>
      <c r="G611" s="2" t="s">
        <v>42</v>
      </c>
      <c r="H611" s="2" t="s">
        <v>43</v>
      </c>
      <c r="I611" s="2" t="s">
        <v>2446</v>
      </c>
      <c r="K611" s="2" t="s">
        <v>3108</v>
      </c>
      <c r="L611" s="2" t="s">
        <v>3109</v>
      </c>
      <c r="M611" s="2" t="s">
        <v>3110</v>
      </c>
      <c r="N611" s="2" t="s">
        <v>228</v>
      </c>
      <c r="O611" s="2" t="s">
        <v>3111</v>
      </c>
      <c r="P611" s="2" t="s">
        <v>2452</v>
      </c>
      <c r="Q611" s="2" t="s">
        <v>50</v>
      </c>
      <c r="S611" s="7" t="s">
        <v>5373</v>
      </c>
      <c r="T611" s="7" t="s">
        <v>5713</v>
      </c>
      <c r="U611" s="2" t="s">
        <v>6314</v>
      </c>
    </row>
    <row r="612" spans="1:21" ht="12.75" x14ac:dyDescent="0.2">
      <c r="A612" s="1">
        <v>45398.809217256945</v>
      </c>
      <c r="B612" s="2" t="s">
        <v>1750</v>
      </c>
      <c r="C612" s="2" t="s">
        <v>3112</v>
      </c>
      <c r="D612" s="2" t="s">
        <v>223</v>
      </c>
      <c r="E612" s="3">
        <v>45292</v>
      </c>
      <c r="F612" s="4">
        <v>600</v>
      </c>
      <c r="G612" s="2" t="s">
        <v>42</v>
      </c>
      <c r="H612" s="2" t="s">
        <v>43</v>
      </c>
      <c r="I612" s="2" t="s">
        <v>2446</v>
      </c>
      <c r="J612" s="2" t="s">
        <v>1752</v>
      </c>
      <c r="K612" s="2" t="s">
        <v>3113</v>
      </c>
      <c r="L612" s="2" t="s">
        <v>3114</v>
      </c>
      <c r="M612" s="2" t="s">
        <v>3115</v>
      </c>
      <c r="N612" s="2" t="s">
        <v>228</v>
      </c>
      <c r="O612" s="2" t="s">
        <v>1756</v>
      </c>
      <c r="P612" s="2" t="s">
        <v>2452</v>
      </c>
      <c r="Q612" s="2" t="s">
        <v>50</v>
      </c>
      <c r="S612" s="7" t="s">
        <v>5374</v>
      </c>
      <c r="T612" s="7" t="s">
        <v>5713</v>
      </c>
      <c r="U612" s="2" t="s">
        <v>6315</v>
      </c>
    </row>
    <row r="613" spans="1:21" ht="12.75" x14ac:dyDescent="0.2">
      <c r="A613" s="1">
        <v>45398.984078148147</v>
      </c>
      <c r="B613" s="2" t="s">
        <v>2271</v>
      </c>
      <c r="C613" s="2" t="s">
        <v>2272</v>
      </c>
      <c r="D613" s="2" t="s">
        <v>223</v>
      </c>
      <c r="E613" s="3">
        <v>45292</v>
      </c>
      <c r="F613" s="4">
        <v>675</v>
      </c>
      <c r="G613" s="2" t="s">
        <v>42</v>
      </c>
      <c r="H613" s="2" t="s">
        <v>43</v>
      </c>
      <c r="I613" s="2" t="s">
        <v>2446</v>
      </c>
      <c r="K613" s="2" t="s">
        <v>3116</v>
      </c>
      <c r="L613" s="2" t="s">
        <v>3117</v>
      </c>
      <c r="M613" s="2" t="s">
        <v>3118</v>
      </c>
      <c r="N613" s="2" t="s">
        <v>228</v>
      </c>
      <c r="O613" s="2" t="s">
        <v>2277</v>
      </c>
      <c r="P613" s="2" t="s">
        <v>2452</v>
      </c>
      <c r="Q613" s="2" t="s">
        <v>50</v>
      </c>
      <c r="S613" s="7" t="s">
        <v>5375</v>
      </c>
      <c r="T613" s="7" t="s">
        <v>5713</v>
      </c>
      <c r="U613" s="2" t="s">
        <v>6316</v>
      </c>
    </row>
    <row r="614" spans="1:21" ht="12.75" x14ac:dyDescent="0.2">
      <c r="A614" s="1">
        <v>45398.984078148147</v>
      </c>
      <c r="B614" s="2" t="s">
        <v>2559</v>
      </c>
      <c r="C614" s="2" t="s">
        <v>2560</v>
      </c>
      <c r="D614" s="2" t="s">
        <v>223</v>
      </c>
      <c r="E614" s="3">
        <v>45292</v>
      </c>
      <c r="F614" s="4">
        <v>450</v>
      </c>
      <c r="G614" s="2" t="s">
        <v>42</v>
      </c>
      <c r="H614" s="2" t="s">
        <v>43</v>
      </c>
      <c r="I614" s="2" t="s">
        <v>2446</v>
      </c>
      <c r="K614" s="2" t="s">
        <v>3119</v>
      </c>
      <c r="L614" s="2" t="s">
        <v>3120</v>
      </c>
      <c r="M614" s="2" t="s">
        <v>3121</v>
      </c>
      <c r="N614" s="2" t="s">
        <v>228</v>
      </c>
      <c r="O614" s="2" t="s">
        <v>2565</v>
      </c>
      <c r="P614" s="2" t="s">
        <v>2452</v>
      </c>
      <c r="Q614" s="2" t="s">
        <v>50</v>
      </c>
      <c r="S614" s="7" t="s">
        <v>5376</v>
      </c>
      <c r="T614" s="7" t="s">
        <v>5713</v>
      </c>
      <c r="U614" s="2" t="s">
        <v>6317</v>
      </c>
    </row>
    <row r="615" spans="1:21" ht="12.75" x14ac:dyDescent="0.2">
      <c r="A615" s="1">
        <v>45398.984078148147</v>
      </c>
      <c r="B615" s="2" t="s">
        <v>2955</v>
      </c>
      <c r="C615" s="2" t="s">
        <v>2956</v>
      </c>
      <c r="D615" s="2" t="s">
        <v>223</v>
      </c>
      <c r="E615" s="3">
        <v>45292</v>
      </c>
      <c r="F615" s="4">
        <v>450</v>
      </c>
      <c r="G615" s="2" t="s">
        <v>42</v>
      </c>
      <c r="H615" s="2" t="s">
        <v>43</v>
      </c>
      <c r="I615" s="2" t="s">
        <v>2446</v>
      </c>
      <c r="K615" s="2" t="s">
        <v>3122</v>
      </c>
      <c r="L615" s="2" t="s">
        <v>3123</v>
      </c>
      <c r="M615" s="2" t="s">
        <v>3124</v>
      </c>
      <c r="N615" s="2" t="s">
        <v>228</v>
      </c>
      <c r="O615" s="2" t="s">
        <v>2961</v>
      </c>
      <c r="P615" s="2" t="s">
        <v>2452</v>
      </c>
      <c r="Q615" s="2" t="s">
        <v>50</v>
      </c>
      <c r="S615" s="7" t="s">
        <v>5377</v>
      </c>
      <c r="T615" s="7" t="s">
        <v>5713</v>
      </c>
      <c r="U615" s="2" t="s">
        <v>6318</v>
      </c>
    </row>
    <row r="616" spans="1:21" ht="12.75" x14ac:dyDescent="0.2">
      <c r="A616" s="1">
        <v>45399.032786469907</v>
      </c>
      <c r="B616" s="2" t="s">
        <v>2385</v>
      </c>
      <c r="C616" s="2" t="s">
        <v>3125</v>
      </c>
      <c r="D616" s="2" t="s">
        <v>223</v>
      </c>
      <c r="E616" s="3">
        <v>45292</v>
      </c>
      <c r="F616" s="4">
        <v>360</v>
      </c>
      <c r="G616" s="2" t="s">
        <v>42</v>
      </c>
      <c r="H616" s="2" t="s">
        <v>43</v>
      </c>
      <c r="I616" s="2" t="s">
        <v>2446</v>
      </c>
      <c r="K616" s="2" t="s">
        <v>3126</v>
      </c>
      <c r="L616" s="2" t="s">
        <v>3127</v>
      </c>
      <c r="M616" s="2" t="s">
        <v>3128</v>
      </c>
      <c r="N616" s="2" t="s">
        <v>228</v>
      </c>
      <c r="O616" s="2" t="s">
        <v>2391</v>
      </c>
      <c r="P616" s="2" t="s">
        <v>2452</v>
      </c>
      <c r="Q616" s="2" t="s">
        <v>50</v>
      </c>
      <c r="S616" s="7" t="s">
        <v>5378</v>
      </c>
      <c r="T616" s="7" t="s">
        <v>5713</v>
      </c>
      <c r="U616" s="2" t="s">
        <v>6319</v>
      </c>
    </row>
    <row r="617" spans="1:21" ht="12.75" x14ac:dyDescent="0.2">
      <c r="A617" s="1">
        <v>45399.040202696764</v>
      </c>
      <c r="B617" s="2" t="s">
        <v>1956</v>
      </c>
      <c r="C617" s="2" t="s">
        <v>3129</v>
      </c>
      <c r="D617" s="2" t="s">
        <v>223</v>
      </c>
      <c r="E617" s="3">
        <v>45292</v>
      </c>
      <c r="F617" s="4">
        <v>1350</v>
      </c>
      <c r="G617" s="2" t="s">
        <v>42</v>
      </c>
      <c r="H617" s="2" t="s">
        <v>43</v>
      </c>
      <c r="I617" s="2" t="s">
        <v>2446</v>
      </c>
      <c r="K617" s="2" t="s">
        <v>3130</v>
      </c>
      <c r="L617" s="2" t="s">
        <v>3131</v>
      </c>
      <c r="M617" s="2" t="s">
        <v>3132</v>
      </c>
      <c r="N617" s="2" t="s">
        <v>228</v>
      </c>
      <c r="O617" s="2" t="s">
        <v>1961</v>
      </c>
      <c r="P617" s="2" t="s">
        <v>2452</v>
      </c>
      <c r="Q617" s="2" t="s">
        <v>50</v>
      </c>
      <c r="S617" s="7" t="s">
        <v>5379</v>
      </c>
      <c r="T617" s="7" t="s">
        <v>5713</v>
      </c>
      <c r="U617" s="2" t="s">
        <v>6320</v>
      </c>
    </row>
    <row r="618" spans="1:21" ht="12.75" x14ac:dyDescent="0.2">
      <c r="A618" s="1">
        <v>45399.091417673611</v>
      </c>
      <c r="B618" s="2" t="s">
        <v>3133</v>
      </c>
      <c r="C618" s="2" t="s">
        <v>3134</v>
      </c>
      <c r="D618" s="2" t="s">
        <v>223</v>
      </c>
      <c r="E618" s="3">
        <v>45292</v>
      </c>
      <c r="F618" s="4">
        <v>118</v>
      </c>
      <c r="G618" s="2" t="s">
        <v>42</v>
      </c>
      <c r="H618" s="2" t="s">
        <v>43</v>
      </c>
      <c r="I618" s="2" t="s">
        <v>2446</v>
      </c>
      <c r="J618" s="2" t="s">
        <v>3135</v>
      </c>
      <c r="K618" s="2" t="s">
        <v>3136</v>
      </c>
      <c r="L618" s="2" t="s">
        <v>3137</v>
      </c>
      <c r="M618" s="2" t="s">
        <v>3138</v>
      </c>
      <c r="N618" s="2" t="s">
        <v>228</v>
      </c>
      <c r="O618" s="2" t="s">
        <v>3139</v>
      </c>
      <c r="P618" s="2" t="s">
        <v>2452</v>
      </c>
      <c r="Q618" s="2" t="s">
        <v>50</v>
      </c>
      <c r="S618" s="7" t="s">
        <v>5380</v>
      </c>
      <c r="T618" s="7" t="s">
        <v>5713</v>
      </c>
      <c r="U618" s="2" t="s">
        <v>6321</v>
      </c>
    </row>
    <row r="619" spans="1:21" ht="12.75" x14ac:dyDescent="0.2">
      <c r="A619" s="1">
        <v>45399.102688356477</v>
      </c>
      <c r="B619" s="2" t="s">
        <v>1485</v>
      </c>
      <c r="C619" s="2" t="s">
        <v>3140</v>
      </c>
      <c r="D619" s="2" t="s">
        <v>223</v>
      </c>
      <c r="E619" s="3">
        <v>45292</v>
      </c>
      <c r="F619" s="4">
        <v>1440</v>
      </c>
      <c r="G619" s="2" t="s">
        <v>42</v>
      </c>
      <c r="H619" s="2" t="s">
        <v>43</v>
      </c>
      <c r="I619" s="2" t="s">
        <v>2446</v>
      </c>
      <c r="J619" s="2" t="s">
        <v>3141</v>
      </c>
      <c r="K619" s="2" t="s">
        <v>3142</v>
      </c>
      <c r="L619" s="2" t="s">
        <v>3143</v>
      </c>
      <c r="M619" s="2" t="s">
        <v>3144</v>
      </c>
      <c r="N619" s="2" t="s">
        <v>228</v>
      </c>
      <c r="O619" s="2" t="s">
        <v>1491</v>
      </c>
      <c r="P619" s="2" t="s">
        <v>2452</v>
      </c>
      <c r="Q619" s="2" t="s">
        <v>50</v>
      </c>
      <c r="S619" s="7" t="s">
        <v>5381</v>
      </c>
      <c r="T619" s="7" t="s">
        <v>5713</v>
      </c>
      <c r="U619" s="2" t="s">
        <v>6322</v>
      </c>
    </row>
    <row r="620" spans="1:21" ht="12.75" x14ac:dyDescent="0.2">
      <c r="A620" s="1">
        <v>45399.123424641206</v>
      </c>
      <c r="B620" s="2" t="s">
        <v>234</v>
      </c>
      <c r="C620" s="2" t="s">
        <v>3145</v>
      </c>
      <c r="D620" s="2" t="s">
        <v>223</v>
      </c>
      <c r="E620" s="3">
        <v>45292</v>
      </c>
      <c r="F620" s="4">
        <v>1858.5</v>
      </c>
      <c r="G620" s="2" t="s">
        <v>42</v>
      </c>
      <c r="H620" s="2" t="s">
        <v>43</v>
      </c>
      <c r="I620" s="2" t="s">
        <v>2446</v>
      </c>
      <c r="J620" s="2" t="s">
        <v>3146</v>
      </c>
      <c r="K620" s="2" t="s">
        <v>3147</v>
      </c>
      <c r="L620" s="2" t="s">
        <v>3148</v>
      </c>
      <c r="M620" s="2" t="s">
        <v>3149</v>
      </c>
      <c r="N620" s="2" t="s">
        <v>228</v>
      </c>
      <c r="O620" s="2" t="s">
        <v>240</v>
      </c>
      <c r="P620" s="2" t="s">
        <v>2452</v>
      </c>
      <c r="Q620" s="2" t="s">
        <v>50</v>
      </c>
      <c r="S620" s="7" t="s">
        <v>5382</v>
      </c>
      <c r="T620" s="7" t="s">
        <v>5713</v>
      </c>
      <c r="U620" s="2" t="s">
        <v>6323</v>
      </c>
    </row>
    <row r="621" spans="1:21" ht="12.75" x14ac:dyDescent="0.2">
      <c r="A621" s="1">
        <v>45399.123424641206</v>
      </c>
      <c r="B621" s="2" t="s">
        <v>234</v>
      </c>
      <c r="C621" s="2" t="s">
        <v>3150</v>
      </c>
      <c r="D621" s="2" t="s">
        <v>223</v>
      </c>
      <c r="E621" s="3">
        <v>45292</v>
      </c>
      <c r="F621" s="4">
        <v>1858.5</v>
      </c>
      <c r="G621" s="2" t="s">
        <v>42</v>
      </c>
      <c r="H621" s="2" t="s">
        <v>43</v>
      </c>
      <c r="I621" s="2" t="s">
        <v>2446</v>
      </c>
      <c r="K621" s="2" t="s">
        <v>3151</v>
      </c>
      <c r="L621" s="2" t="s">
        <v>3152</v>
      </c>
      <c r="M621" s="2" t="s">
        <v>3153</v>
      </c>
      <c r="N621" s="2" t="s">
        <v>228</v>
      </c>
      <c r="O621" s="2" t="s">
        <v>240</v>
      </c>
      <c r="P621" s="2" t="s">
        <v>2452</v>
      </c>
      <c r="Q621" s="2" t="s">
        <v>50</v>
      </c>
      <c r="S621" s="7" t="s">
        <v>5383</v>
      </c>
      <c r="T621" s="7" t="s">
        <v>5713</v>
      </c>
      <c r="U621" s="2" t="s">
        <v>6324</v>
      </c>
    </row>
    <row r="622" spans="1:21" ht="12.75" x14ac:dyDescent="0.2">
      <c r="A622" s="1">
        <v>45399.58779020833</v>
      </c>
      <c r="B622" s="2" t="s">
        <v>1853</v>
      </c>
      <c r="C622" s="2" t="s">
        <v>3154</v>
      </c>
      <c r="D622" s="2" t="s">
        <v>223</v>
      </c>
      <c r="E622" s="3">
        <v>45292</v>
      </c>
      <c r="F622" s="4">
        <v>885</v>
      </c>
      <c r="G622" s="2" t="s">
        <v>42</v>
      </c>
      <c r="H622" s="2" t="s">
        <v>43</v>
      </c>
      <c r="I622" s="2" t="s">
        <v>2446</v>
      </c>
      <c r="K622" s="2" t="s">
        <v>3155</v>
      </c>
      <c r="L622" s="2" t="s">
        <v>3156</v>
      </c>
      <c r="M622" s="2" t="s">
        <v>3157</v>
      </c>
      <c r="N622" s="2" t="s">
        <v>228</v>
      </c>
      <c r="O622" s="2" t="s">
        <v>1859</v>
      </c>
      <c r="P622" s="2" t="s">
        <v>2452</v>
      </c>
      <c r="Q622" s="2" t="s">
        <v>50</v>
      </c>
      <c r="S622" s="7" t="s">
        <v>5384</v>
      </c>
      <c r="T622" s="7" t="s">
        <v>5713</v>
      </c>
      <c r="U622" s="2" t="s">
        <v>6325</v>
      </c>
    </row>
    <row r="623" spans="1:21" ht="12.75" x14ac:dyDescent="0.2">
      <c r="A623" s="1">
        <v>45399.593751747685</v>
      </c>
      <c r="B623" s="2" t="s">
        <v>3158</v>
      </c>
      <c r="C623" s="2" t="s">
        <v>3159</v>
      </c>
      <c r="D623" s="2" t="s">
        <v>223</v>
      </c>
      <c r="E623" s="3">
        <v>45292</v>
      </c>
      <c r="F623" s="4">
        <v>1000</v>
      </c>
      <c r="G623" s="2" t="s">
        <v>42</v>
      </c>
      <c r="H623" s="2" t="s">
        <v>43</v>
      </c>
      <c r="I623" s="2" t="s">
        <v>2446</v>
      </c>
      <c r="K623" s="2" t="s">
        <v>3160</v>
      </c>
      <c r="L623" s="2" t="s">
        <v>3161</v>
      </c>
      <c r="M623" s="2" t="s">
        <v>3162</v>
      </c>
      <c r="N623" s="2" t="s">
        <v>228</v>
      </c>
      <c r="O623" s="2" t="s">
        <v>3163</v>
      </c>
      <c r="P623" s="2" t="s">
        <v>2452</v>
      </c>
      <c r="Q623" s="2" t="s">
        <v>50</v>
      </c>
      <c r="S623" s="7" t="s">
        <v>5385</v>
      </c>
      <c r="T623" s="7" t="s">
        <v>5713</v>
      </c>
      <c r="U623" s="2" t="s">
        <v>6326</v>
      </c>
    </row>
    <row r="624" spans="1:21" ht="12.75" x14ac:dyDescent="0.2">
      <c r="A624" s="1">
        <v>45399.615174085644</v>
      </c>
      <c r="B624" s="2" t="s">
        <v>2402</v>
      </c>
      <c r="C624" s="2" t="s">
        <v>2403</v>
      </c>
      <c r="D624" s="2" t="s">
        <v>223</v>
      </c>
      <c r="E624" s="3">
        <v>45292</v>
      </c>
      <c r="F624" s="4">
        <v>200</v>
      </c>
      <c r="G624" s="2" t="s">
        <v>42</v>
      </c>
      <c r="H624" s="2" t="s">
        <v>43</v>
      </c>
      <c r="I624" s="2" t="s">
        <v>2446</v>
      </c>
      <c r="K624" s="2" t="s">
        <v>3164</v>
      </c>
      <c r="L624" s="2" t="s">
        <v>3165</v>
      </c>
      <c r="M624" s="2" t="s">
        <v>3166</v>
      </c>
      <c r="N624" s="2" t="s">
        <v>228</v>
      </c>
      <c r="O624" s="2" t="s">
        <v>2408</v>
      </c>
      <c r="P624" s="2" t="s">
        <v>2452</v>
      </c>
      <c r="Q624" s="2" t="s">
        <v>50</v>
      </c>
      <c r="S624" s="7" t="s">
        <v>5386</v>
      </c>
      <c r="T624" s="7" t="s">
        <v>5713</v>
      </c>
      <c r="U624" s="2" t="s">
        <v>6327</v>
      </c>
    </row>
    <row r="625" spans="1:21" ht="12.75" x14ac:dyDescent="0.2">
      <c r="A625" s="1">
        <v>45399.615174085644</v>
      </c>
      <c r="B625" s="2" t="s">
        <v>2343</v>
      </c>
      <c r="C625" s="2" t="s">
        <v>2344</v>
      </c>
      <c r="D625" s="2" t="s">
        <v>223</v>
      </c>
      <c r="E625" s="3">
        <v>45292</v>
      </c>
      <c r="F625" s="4">
        <v>708</v>
      </c>
      <c r="G625" s="2" t="s">
        <v>42</v>
      </c>
      <c r="H625" s="2" t="s">
        <v>43</v>
      </c>
      <c r="I625" s="2" t="s">
        <v>2446</v>
      </c>
      <c r="K625" s="2" t="s">
        <v>3167</v>
      </c>
      <c r="L625" s="2" t="s">
        <v>3168</v>
      </c>
      <c r="M625" s="2" t="s">
        <v>3169</v>
      </c>
      <c r="N625" s="2" t="s">
        <v>228</v>
      </c>
      <c r="O625" s="2" t="s">
        <v>2349</v>
      </c>
      <c r="P625" s="2" t="s">
        <v>2452</v>
      </c>
      <c r="Q625" s="2" t="s">
        <v>50</v>
      </c>
      <c r="S625" s="7" t="s">
        <v>5387</v>
      </c>
      <c r="T625" s="7" t="s">
        <v>5713</v>
      </c>
      <c r="U625" s="2" t="s">
        <v>6328</v>
      </c>
    </row>
    <row r="626" spans="1:21" ht="12.75" x14ac:dyDescent="0.2">
      <c r="A626" s="1">
        <v>45399.622082395828</v>
      </c>
      <c r="B626" s="2" t="s">
        <v>2552</v>
      </c>
      <c r="C626" s="2" t="s">
        <v>3170</v>
      </c>
      <c r="D626" s="2" t="s">
        <v>223</v>
      </c>
      <c r="E626" s="3">
        <v>45292</v>
      </c>
      <c r="F626" s="4">
        <v>177</v>
      </c>
      <c r="G626" s="2" t="s">
        <v>42</v>
      </c>
      <c r="H626" s="2" t="s">
        <v>43</v>
      </c>
      <c r="I626" s="2" t="s">
        <v>2446</v>
      </c>
      <c r="K626" s="2" t="s">
        <v>3171</v>
      </c>
      <c r="L626" s="2" t="s">
        <v>3172</v>
      </c>
      <c r="M626" s="2" t="s">
        <v>3173</v>
      </c>
      <c r="N626" s="2" t="s">
        <v>228</v>
      </c>
      <c r="O626" s="2" t="s">
        <v>2558</v>
      </c>
      <c r="P626" s="2" t="s">
        <v>2452</v>
      </c>
      <c r="Q626" s="2" t="s">
        <v>50</v>
      </c>
      <c r="S626" s="7" t="s">
        <v>5388</v>
      </c>
      <c r="T626" s="7" t="s">
        <v>5713</v>
      </c>
      <c r="U626" s="2" t="s">
        <v>6329</v>
      </c>
    </row>
    <row r="627" spans="1:21" ht="12.75" x14ac:dyDescent="0.2">
      <c r="A627" s="1">
        <v>45401.635909236109</v>
      </c>
      <c r="B627" s="2" t="s">
        <v>3174</v>
      </c>
      <c r="C627" s="2" t="s">
        <v>3175</v>
      </c>
      <c r="D627" s="2" t="s">
        <v>223</v>
      </c>
      <c r="E627" s="3">
        <v>45292</v>
      </c>
      <c r="F627" s="4">
        <v>2478</v>
      </c>
      <c r="G627" s="2" t="s">
        <v>42</v>
      </c>
      <c r="H627" s="2" t="s">
        <v>43</v>
      </c>
      <c r="I627" s="2" t="s">
        <v>2446</v>
      </c>
      <c r="K627" s="2" t="s">
        <v>3176</v>
      </c>
      <c r="L627" s="2" t="s">
        <v>3177</v>
      </c>
      <c r="M627" s="2" t="s">
        <v>3178</v>
      </c>
      <c r="N627" s="2" t="s">
        <v>228</v>
      </c>
      <c r="O627" s="2" t="s">
        <v>2696</v>
      </c>
      <c r="P627" s="2" t="s">
        <v>2452</v>
      </c>
      <c r="Q627" s="2" t="s">
        <v>50</v>
      </c>
      <c r="S627" s="7" t="s">
        <v>5389</v>
      </c>
      <c r="T627" s="7" t="s">
        <v>5713</v>
      </c>
      <c r="U627" s="2" t="s">
        <v>6330</v>
      </c>
    </row>
    <row r="628" spans="1:21" ht="12.75" x14ac:dyDescent="0.2">
      <c r="A628" s="1">
        <v>45401.692954398153</v>
      </c>
      <c r="B628" s="2" t="s">
        <v>51</v>
      </c>
      <c r="C628" s="2" t="s">
        <v>3179</v>
      </c>
      <c r="D628" s="2" t="s">
        <v>223</v>
      </c>
      <c r="E628" s="3">
        <v>45292</v>
      </c>
      <c r="F628" s="4">
        <v>120</v>
      </c>
      <c r="G628" s="2" t="s">
        <v>42</v>
      </c>
      <c r="H628" s="2" t="s">
        <v>43</v>
      </c>
      <c r="I628" s="2" t="s">
        <v>2446</v>
      </c>
      <c r="K628" s="2" t="s">
        <v>3180</v>
      </c>
      <c r="L628" s="2" t="s">
        <v>3181</v>
      </c>
      <c r="M628" s="2" t="s">
        <v>3182</v>
      </c>
      <c r="N628" s="2" t="s">
        <v>228</v>
      </c>
      <c r="O628" s="2" t="s">
        <v>57</v>
      </c>
      <c r="P628" s="2" t="s">
        <v>2452</v>
      </c>
      <c r="Q628" s="2" t="s">
        <v>50</v>
      </c>
      <c r="S628" s="7" t="s">
        <v>5390</v>
      </c>
      <c r="T628" s="7" t="s">
        <v>5713</v>
      </c>
      <c r="U628" s="2" t="s">
        <v>6331</v>
      </c>
    </row>
    <row r="629" spans="1:21" ht="12.75" x14ac:dyDescent="0.2">
      <c r="A629" s="1">
        <v>45401.712881562504</v>
      </c>
      <c r="B629" s="2" t="s">
        <v>3183</v>
      </c>
      <c r="C629" s="2" t="s">
        <v>574</v>
      </c>
      <c r="D629" s="2" t="s">
        <v>223</v>
      </c>
      <c r="E629" s="3">
        <v>45292</v>
      </c>
      <c r="F629" s="4">
        <v>250</v>
      </c>
      <c r="G629" s="2" t="s">
        <v>143</v>
      </c>
      <c r="H629" s="2" t="s">
        <v>43</v>
      </c>
      <c r="I629" s="2" t="s">
        <v>2446</v>
      </c>
      <c r="K629" s="2" t="s">
        <v>3184</v>
      </c>
      <c r="L629" s="2" t="s">
        <v>3185</v>
      </c>
      <c r="M629" s="2" t="s">
        <v>3186</v>
      </c>
      <c r="N629" s="2" t="s">
        <v>228</v>
      </c>
      <c r="O629" s="2" t="s">
        <v>3187</v>
      </c>
      <c r="P629" s="2" t="s">
        <v>2452</v>
      </c>
      <c r="Q629" s="2" t="s">
        <v>50</v>
      </c>
      <c r="S629" s="7" t="s">
        <v>5391</v>
      </c>
      <c r="T629" s="7" t="s">
        <v>5713</v>
      </c>
      <c r="U629" s="2" t="s">
        <v>6332</v>
      </c>
    </row>
    <row r="630" spans="1:21" ht="12.75" x14ac:dyDescent="0.2">
      <c r="A630" s="1">
        <v>45401.796860034723</v>
      </c>
      <c r="B630" s="2" t="s">
        <v>2444</v>
      </c>
      <c r="C630" s="2" t="s">
        <v>3188</v>
      </c>
      <c r="D630" s="2" t="s">
        <v>223</v>
      </c>
      <c r="E630" s="3">
        <v>45292</v>
      </c>
      <c r="F630" s="4">
        <v>300</v>
      </c>
      <c r="G630" s="2" t="s">
        <v>42</v>
      </c>
      <c r="H630" s="2" t="s">
        <v>43</v>
      </c>
      <c r="I630" s="2" t="s">
        <v>2446</v>
      </c>
      <c r="K630" s="2" t="s">
        <v>3189</v>
      </c>
      <c r="L630" s="2" t="s">
        <v>3190</v>
      </c>
      <c r="M630" s="2" t="s">
        <v>3191</v>
      </c>
      <c r="N630" s="2" t="s">
        <v>228</v>
      </c>
      <c r="O630" s="2" t="s">
        <v>2451</v>
      </c>
      <c r="P630" s="2" t="s">
        <v>2452</v>
      </c>
      <c r="Q630" s="2" t="s">
        <v>50</v>
      </c>
      <c r="S630" s="7" t="s">
        <v>5392</v>
      </c>
      <c r="T630" s="7" t="s">
        <v>5713</v>
      </c>
      <c r="U630" s="2" t="s">
        <v>6333</v>
      </c>
    </row>
    <row r="631" spans="1:21" ht="12.75" x14ac:dyDescent="0.2">
      <c r="A631" s="1">
        <v>45401.962692060188</v>
      </c>
      <c r="B631" s="2" t="s">
        <v>363</v>
      </c>
      <c r="C631" s="2" t="s">
        <v>3192</v>
      </c>
      <c r="D631" s="2" t="s">
        <v>41</v>
      </c>
      <c r="E631" s="3">
        <v>45292</v>
      </c>
      <c r="F631" s="4">
        <v>40000</v>
      </c>
      <c r="G631" s="2" t="s">
        <v>42</v>
      </c>
      <c r="H631" s="2" t="s">
        <v>43</v>
      </c>
      <c r="J631" s="2" t="s">
        <v>402</v>
      </c>
      <c r="K631" s="2" t="s">
        <v>3193</v>
      </c>
      <c r="L631" s="2" t="s">
        <v>3194</v>
      </c>
      <c r="M631" s="2" t="s">
        <v>3195</v>
      </c>
      <c r="N631" s="2" t="s">
        <v>48</v>
      </c>
      <c r="O631" s="2" t="s">
        <v>368</v>
      </c>
      <c r="Q631" s="2" t="s">
        <v>50</v>
      </c>
      <c r="S631" s="7" t="s">
        <v>5393</v>
      </c>
      <c r="T631" s="7" t="s">
        <v>5713</v>
      </c>
      <c r="U631" s="2" t="s">
        <v>6334</v>
      </c>
    </row>
    <row r="632" spans="1:21" ht="12.75" x14ac:dyDescent="0.2">
      <c r="A632" s="1">
        <v>45401.962692060188</v>
      </c>
      <c r="B632" s="2" t="s">
        <v>363</v>
      </c>
      <c r="C632" s="2" t="s">
        <v>3192</v>
      </c>
      <c r="D632" s="2" t="s">
        <v>223</v>
      </c>
      <c r="E632" s="3">
        <v>45292</v>
      </c>
      <c r="F632" s="4">
        <v>1200</v>
      </c>
      <c r="G632" s="2" t="s">
        <v>42</v>
      </c>
      <c r="H632" s="2" t="s">
        <v>43</v>
      </c>
      <c r="I632" s="2" t="s">
        <v>2446</v>
      </c>
      <c r="K632" s="2" t="s">
        <v>3196</v>
      </c>
      <c r="L632" s="2" t="s">
        <v>3197</v>
      </c>
      <c r="M632" s="2" t="s">
        <v>3198</v>
      </c>
      <c r="N632" s="2" t="s">
        <v>228</v>
      </c>
      <c r="O632" s="2" t="s">
        <v>368</v>
      </c>
      <c r="P632" s="2" t="s">
        <v>2452</v>
      </c>
      <c r="Q632" s="2" t="s">
        <v>50</v>
      </c>
      <c r="S632" s="7" t="s">
        <v>5394</v>
      </c>
      <c r="T632" s="7" t="s">
        <v>5713</v>
      </c>
      <c r="U632" s="2" t="s">
        <v>6335</v>
      </c>
    </row>
    <row r="633" spans="1:21" ht="12.75" x14ac:dyDescent="0.2">
      <c r="A633" s="1">
        <v>45413.809430914349</v>
      </c>
      <c r="B633" s="2" t="s">
        <v>2098</v>
      </c>
      <c r="C633" s="2" t="s">
        <v>3199</v>
      </c>
      <c r="D633" s="2" t="s">
        <v>910</v>
      </c>
      <c r="E633" s="3">
        <v>45413</v>
      </c>
      <c r="F633" s="4">
        <v>9300</v>
      </c>
      <c r="G633" s="2" t="s">
        <v>42</v>
      </c>
      <c r="H633" s="2" t="s">
        <v>43</v>
      </c>
      <c r="I633" s="2" t="s">
        <v>990</v>
      </c>
      <c r="J633" s="2" t="s">
        <v>3200</v>
      </c>
      <c r="K633" s="2" t="s">
        <v>3201</v>
      </c>
      <c r="L633" s="2" t="s">
        <v>3202</v>
      </c>
      <c r="M633" s="2" t="s">
        <v>3203</v>
      </c>
      <c r="N633" s="2" t="s">
        <v>915</v>
      </c>
      <c r="O633" s="2" t="s">
        <v>2103</v>
      </c>
      <c r="P633" s="2" t="s">
        <v>995</v>
      </c>
      <c r="Q633" s="2" t="s">
        <v>50</v>
      </c>
      <c r="S633" s="7" t="s">
        <v>5395</v>
      </c>
      <c r="T633" s="7" t="s">
        <v>5713</v>
      </c>
      <c r="U633" s="2" t="s">
        <v>6336</v>
      </c>
    </row>
    <row r="634" spans="1:21" ht="12.75" x14ac:dyDescent="0.2">
      <c r="A634" s="1">
        <v>45425.769294155092</v>
      </c>
      <c r="B634" s="2" t="s">
        <v>2098</v>
      </c>
      <c r="C634" s="2" t="s">
        <v>3204</v>
      </c>
      <c r="D634" s="2" t="s">
        <v>910</v>
      </c>
      <c r="E634" s="3">
        <v>45413</v>
      </c>
      <c r="F634" s="4">
        <v>2200</v>
      </c>
      <c r="G634" s="2" t="s">
        <v>143</v>
      </c>
      <c r="H634" s="2" t="s">
        <v>43</v>
      </c>
      <c r="K634" s="2" t="s">
        <v>3205</v>
      </c>
      <c r="L634" s="2" t="s">
        <v>3206</v>
      </c>
      <c r="M634" s="2" t="s">
        <v>3207</v>
      </c>
      <c r="N634" s="2" t="s">
        <v>915</v>
      </c>
      <c r="O634" s="2" t="s">
        <v>2103</v>
      </c>
      <c r="Q634" s="2" t="s">
        <v>50</v>
      </c>
      <c r="S634" s="7" t="s">
        <v>5396</v>
      </c>
      <c r="T634" s="7" t="s">
        <v>5713</v>
      </c>
      <c r="U634" s="2" t="s">
        <v>6337</v>
      </c>
    </row>
    <row r="635" spans="1:21" ht="12.75" x14ac:dyDescent="0.2">
      <c r="A635" s="1">
        <v>45425.793546840279</v>
      </c>
      <c r="B635" s="2" t="s">
        <v>2139</v>
      </c>
      <c r="C635" s="2" t="s">
        <v>3208</v>
      </c>
      <c r="D635" s="2" t="s">
        <v>910</v>
      </c>
      <c r="E635" s="3">
        <v>45413</v>
      </c>
      <c r="F635" s="4">
        <v>1600</v>
      </c>
      <c r="G635" s="2" t="s">
        <v>143</v>
      </c>
      <c r="H635" s="2" t="s">
        <v>43</v>
      </c>
      <c r="I635" s="2" t="s">
        <v>990</v>
      </c>
      <c r="J635" s="2" t="s">
        <v>2141</v>
      </c>
      <c r="K635" s="2" t="s">
        <v>3209</v>
      </c>
      <c r="L635" s="2" t="s">
        <v>3210</v>
      </c>
      <c r="M635" s="2" t="s">
        <v>3211</v>
      </c>
      <c r="N635" s="2" t="s">
        <v>915</v>
      </c>
      <c r="O635" s="2" t="s">
        <v>2145</v>
      </c>
      <c r="P635" s="2" t="s">
        <v>995</v>
      </c>
      <c r="Q635" s="2" t="s">
        <v>50</v>
      </c>
      <c r="S635" s="7" t="s">
        <v>5397</v>
      </c>
      <c r="T635" s="7" t="s">
        <v>5713</v>
      </c>
      <c r="U635" s="2" t="s">
        <v>6338</v>
      </c>
    </row>
    <row r="636" spans="1:21" ht="12.75" x14ac:dyDescent="0.2">
      <c r="A636" s="1">
        <v>45435.865902384263</v>
      </c>
      <c r="B636" s="2" t="s">
        <v>2098</v>
      </c>
      <c r="C636" s="2" t="s">
        <v>3212</v>
      </c>
      <c r="D636" s="2" t="s">
        <v>910</v>
      </c>
      <c r="E636" s="3">
        <v>45413</v>
      </c>
      <c r="F636" s="4">
        <v>444536.2</v>
      </c>
      <c r="G636" s="2" t="s">
        <v>42</v>
      </c>
      <c r="H636" s="2" t="s">
        <v>43</v>
      </c>
      <c r="J636" s="2" t="s">
        <v>3200</v>
      </c>
      <c r="K636" s="2" t="s">
        <v>3213</v>
      </c>
      <c r="L636" s="2" t="s">
        <v>3214</v>
      </c>
      <c r="M636" s="2" t="s">
        <v>3215</v>
      </c>
      <c r="N636" s="2" t="s">
        <v>915</v>
      </c>
      <c r="O636" s="2" t="s">
        <v>2103</v>
      </c>
      <c r="Q636" s="2" t="s">
        <v>50</v>
      </c>
      <c r="S636" s="7" t="s">
        <v>5398</v>
      </c>
      <c r="T636" s="7" t="s">
        <v>5713</v>
      </c>
      <c r="U636" s="2" t="s">
        <v>6339</v>
      </c>
    </row>
    <row r="637" spans="1:21" ht="12.75" x14ac:dyDescent="0.2">
      <c r="A637" s="1">
        <v>45440.683179722226</v>
      </c>
      <c r="B637" s="2" t="s">
        <v>2098</v>
      </c>
      <c r="C637" s="2" t="s">
        <v>3216</v>
      </c>
      <c r="D637" s="2" t="s">
        <v>910</v>
      </c>
      <c r="E637" s="3">
        <v>45426</v>
      </c>
      <c r="F637" s="4">
        <v>20344.29</v>
      </c>
      <c r="G637" s="2" t="s">
        <v>143</v>
      </c>
      <c r="H637" s="2" t="s">
        <v>43</v>
      </c>
      <c r="I637" s="2" t="s">
        <v>990</v>
      </c>
      <c r="K637" s="2" t="s">
        <v>3217</v>
      </c>
      <c r="L637" s="2" t="s">
        <v>3218</v>
      </c>
      <c r="M637" s="2" t="s">
        <v>3219</v>
      </c>
      <c r="N637" s="2" t="s">
        <v>915</v>
      </c>
      <c r="O637" s="2" t="s">
        <v>2103</v>
      </c>
      <c r="P637" s="2" t="s">
        <v>995</v>
      </c>
      <c r="Q637" s="2" t="s">
        <v>50</v>
      </c>
      <c r="S637" s="7" t="s">
        <v>5399</v>
      </c>
      <c r="T637" s="7" t="s">
        <v>5713</v>
      </c>
      <c r="U637" s="2" t="s">
        <v>6340</v>
      </c>
    </row>
    <row r="638" spans="1:21" ht="12.75" x14ac:dyDescent="0.2">
      <c r="A638" s="1">
        <v>45446.880528622685</v>
      </c>
      <c r="B638" s="2" t="s">
        <v>3220</v>
      </c>
      <c r="C638" s="2" t="s">
        <v>3221</v>
      </c>
      <c r="D638" s="2" t="s">
        <v>333</v>
      </c>
      <c r="E638" s="3">
        <v>45432</v>
      </c>
      <c r="F638" s="4">
        <v>14591</v>
      </c>
      <c r="G638" s="2" t="s">
        <v>42</v>
      </c>
      <c r="H638" s="2" t="s">
        <v>43</v>
      </c>
      <c r="I638" s="2" t="s">
        <v>990</v>
      </c>
      <c r="J638" s="2" t="s">
        <v>3222</v>
      </c>
      <c r="K638" s="2" t="s">
        <v>3223</v>
      </c>
      <c r="L638" s="2" t="s">
        <v>3224</v>
      </c>
      <c r="M638" s="2" t="s">
        <v>3225</v>
      </c>
      <c r="N638" s="2" t="s">
        <v>337</v>
      </c>
      <c r="O638" s="2" t="s">
        <v>3226</v>
      </c>
      <c r="P638" s="2" t="s">
        <v>995</v>
      </c>
      <c r="Q638" s="2" t="s">
        <v>50</v>
      </c>
      <c r="S638" s="7" t="s">
        <v>5400</v>
      </c>
      <c r="T638" s="7" t="s">
        <v>5713</v>
      </c>
      <c r="U638" s="2" t="s">
        <v>6341</v>
      </c>
    </row>
    <row r="639" spans="1:21" ht="12.75" x14ac:dyDescent="0.2">
      <c r="A639" s="1">
        <v>45446.880528622685</v>
      </c>
      <c r="B639" s="2" t="s">
        <v>3220</v>
      </c>
      <c r="C639" s="2" t="s">
        <v>3227</v>
      </c>
      <c r="D639" s="2" t="s">
        <v>333</v>
      </c>
      <c r="E639" s="3">
        <v>45432</v>
      </c>
      <c r="F639" s="4">
        <v>9407</v>
      </c>
      <c r="G639" s="2" t="s">
        <v>42</v>
      </c>
      <c r="H639" s="2" t="s">
        <v>43</v>
      </c>
      <c r="I639" s="2" t="s">
        <v>990</v>
      </c>
      <c r="J639" s="2" t="s">
        <v>3222</v>
      </c>
      <c r="K639" s="2" t="s">
        <v>3228</v>
      </c>
      <c r="L639" s="2" t="s">
        <v>3229</v>
      </c>
      <c r="M639" s="2" t="s">
        <v>3230</v>
      </c>
      <c r="N639" s="2" t="s">
        <v>337</v>
      </c>
      <c r="O639" s="2" t="s">
        <v>3226</v>
      </c>
      <c r="P639" s="2" t="s">
        <v>995</v>
      </c>
      <c r="Q639" s="2" t="s">
        <v>50</v>
      </c>
      <c r="S639" s="7" t="s">
        <v>5401</v>
      </c>
      <c r="T639" s="7" t="s">
        <v>5713</v>
      </c>
      <c r="U639" s="2" t="s">
        <v>6342</v>
      </c>
    </row>
    <row r="640" spans="1:21" ht="12.75" x14ac:dyDescent="0.2">
      <c r="A640" s="1">
        <v>45449.516467858797</v>
      </c>
      <c r="B640" s="2" t="s">
        <v>2880</v>
      </c>
      <c r="C640" s="2" t="s">
        <v>3231</v>
      </c>
      <c r="D640" s="2" t="s">
        <v>672</v>
      </c>
      <c r="E640" s="3">
        <v>45448</v>
      </c>
      <c r="F640" s="4">
        <v>1800</v>
      </c>
      <c r="G640" s="2" t="s">
        <v>143</v>
      </c>
      <c r="H640" s="2" t="s">
        <v>43</v>
      </c>
      <c r="K640" s="2" t="s">
        <v>3232</v>
      </c>
      <c r="L640" s="2" t="s">
        <v>3233</v>
      </c>
      <c r="M640" s="2" t="s">
        <v>3234</v>
      </c>
      <c r="N640" s="2" t="s">
        <v>676</v>
      </c>
      <c r="O640" s="2" t="s">
        <v>2885</v>
      </c>
      <c r="Q640" s="2" t="s">
        <v>50</v>
      </c>
      <c r="S640" s="7" t="s">
        <v>5402</v>
      </c>
      <c r="T640" s="7" t="s">
        <v>5713</v>
      </c>
      <c r="U640" s="2" t="s">
        <v>6343</v>
      </c>
    </row>
    <row r="641" spans="1:21" ht="12.75" x14ac:dyDescent="0.2">
      <c r="A641" s="1">
        <v>45453.733276898143</v>
      </c>
      <c r="B641" s="2" t="s">
        <v>604</v>
      </c>
      <c r="C641" s="2" t="s">
        <v>3235</v>
      </c>
      <c r="D641" s="2" t="s">
        <v>672</v>
      </c>
      <c r="E641" s="3">
        <v>45383</v>
      </c>
      <c r="F641" s="4">
        <v>2000</v>
      </c>
      <c r="G641" s="2" t="s">
        <v>143</v>
      </c>
      <c r="H641" s="2" t="s">
        <v>43</v>
      </c>
      <c r="K641" s="2" t="s">
        <v>3236</v>
      </c>
      <c r="L641" s="2" t="s">
        <v>3237</v>
      </c>
      <c r="M641" s="2" t="s">
        <v>3238</v>
      </c>
      <c r="N641" s="2" t="s">
        <v>676</v>
      </c>
      <c r="O641" s="2" t="s">
        <v>609</v>
      </c>
      <c r="Q641" s="2" t="s">
        <v>50</v>
      </c>
      <c r="S641" s="7" t="s">
        <v>5403</v>
      </c>
      <c r="T641" s="7" t="s">
        <v>5713</v>
      </c>
      <c r="U641" s="2" t="s">
        <v>6344</v>
      </c>
    </row>
    <row r="642" spans="1:21" ht="12.75" x14ac:dyDescent="0.2">
      <c r="A642" s="1">
        <v>45461.670499467597</v>
      </c>
      <c r="B642" s="2" t="s">
        <v>3239</v>
      </c>
      <c r="C642" s="2" t="s">
        <v>3240</v>
      </c>
      <c r="D642" s="2" t="s">
        <v>333</v>
      </c>
      <c r="E642" s="3">
        <v>45456</v>
      </c>
      <c r="F642" s="4">
        <v>3990</v>
      </c>
      <c r="G642" s="2" t="s">
        <v>42</v>
      </c>
      <c r="H642" s="2" t="s">
        <v>43</v>
      </c>
      <c r="I642" s="2" t="s">
        <v>1003</v>
      </c>
      <c r="K642" s="2" t="s">
        <v>3241</v>
      </c>
      <c r="L642" s="2" t="s">
        <v>3242</v>
      </c>
      <c r="M642" s="2" t="s">
        <v>3243</v>
      </c>
      <c r="N642" s="2" t="s">
        <v>337</v>
      </c>
      <c r="O642" s="2" t="s">
        <v>3244</v>
      </c>
      <c r="P642" s="2" t="s">
        <v>1006</v>
      </c>
      <c r="Q642" s="2" t="s">
        <v>50</v>
      </c>
      <c r="S642" s="7" t="s">
        <v>5404</v>
      </c>
      <c r="T642" s="7" t="s">
        <v>5713</v>
      </c>
      <c r="U642" s="2" t="s">
        <v>6345</v>
      </c>
    </row>
    <row r="643" spans="1:21" ht="12.75" x14ac:dyDescent="0.2">
      <c r="A643" s="1">
        <v>45469.63814112269</v>
      </c>
      <c r="B643" s="2" t="s">
        <v>3245</v>
      </c>
      <c r="C643" s="2" t="s">
        <v>3246</v>
      </c>
      <c r="D643" s="2" t="s">
        <v>41</v>
      </c>
      <c r="E643" s="3">
        <v>45383</v>
      </c>
      <c r="F643" s="4">
        <v>25100</v>
      </c>
      <c r="G643" s="2" t="s">
        <v>42</v>
      </c>
      <c r="H643" s="2" t="s">
        <v>43</v>
      </c>
      <c r="I643" s="2" t="s">
        <v>965</v>
      </c>
      <c r="K643" s="2" t="s">
        <v>3247</v>
      </c>
      <c r="L643" s="2" t="s">
        <v>3248</v>
      </c>
      <c r="M643" s="2" t="s">
        <v>3249</v>
      </c>
      <c r="N643" s="2" t="s">
        <v>48</v>
      </c>
      <c r="O643" s="2" t="s">
        <v>3250</v>
      </c>
      <c r="P643" s="2" t="s">
        <v>971</v>
      </c>
      <c r="Q643" s="2" t="s">
        <v>50</v>
      </c>
      <c r="S643" s="7" t="s">
        <v>5405</v>
      </c>
      <c r="T643" s="7" t="s">
        <v>5713</v>
      </c>
      <c r="U643" s="2" t="s">
        <v>6346</v>
      </c>
    </row>
    <row r="644" spans="1:21" ht="12.75" x14ac:dyDescent="0.2">
      <c r="A644" s="1">
        <v>45469.63814112269</v>
      </c>
      <c r="B644" s="2" t="s">
        <v>3245</v>
      </c>
      <c r="C644" s="2" t="s">
        <v>3251</v>
      </c>
      <c r="D644" s="2" t="s">
        <v>333</v>
      </c>
      <c r="E644" s="3">
        <v>45383</v>
      </c>
      <c r="F644" s="4">
        <v>491903.93</v>
      </c>
      <c r="G644" s="2" t="s">
        <v>42</v>
      </c>
      <c r="H644" s="2" t="s">
        <v>43</v>
      </c>
      <c r="I644" s="2" t="s">
        <v>990</v>
      </c>
      <c r="J644" s="2" t="s">
        <v>3252</v>
      </c>
      <c r="K644" s="2" t="s">
        <v>3253</v>
      </c>
      <c r="L644" s="2" t="s">
        <v>3254</v>
      </c>
      <c r="M644" s="2" t="s">
        <v>3255</v>
      </c>
      <c r="N644" s="2" t="s">
        <v>337</v>
      </c>
      <c r="O644" s="2" t="s">
        <v>3250</v>
      </c>
      <c r="P644" s="2" t="s">
        <v>995</v>
      </c>
      <c r="Q644" s="2" t="s">
        <v>50</v>
      </c>
      <c r="S644" s="7" t="s">
        <v>5406</v>
      </c>
      <c r="T644" s="7" t="s">
        <v>5713</v>
      </c>
      <c r="U644" s="2" t="s">
        <v>6347</v>
      </c>
    </row>
    <row r="645" spans="1:21" ht="12.75" x14ac:dyDescent="0.2">
      <c r="A645" s="1">
        <v>45485.699993043978</v>
      </c>
      <c r="B645" s="2" t="s">
        <v>3256</v>
      </c>
      <c r="C645" s="2" t="s">
        <v>161</v>
      </c>
      <c r="D645" s="2" t="s">
        <v>223</v>
      </c>
      <c r="E645" s="3">
        <v>45292</v>
      </c>
      <c r="F645" s="4">
        <v>1000</v>
      </c>
      <c r="G645" s="2" t="s">
        <v>143</v>
      </c>
      <c r="H645" s="2" t="s">
        <v>43</v>
      </c>
      <c r="I645" s="2" t="s">
        <v>2446</v>
      </c>
      <c r="J645" s="2" t="s">
        <v>3257</v>
      </c>
      <c r="K645" s="2" t="s">
        <v>3258</v>
      </c>
      <c r="L645" s="2" t="s">
        <v>3259</v>
      </c>
      <c r="M645" s="2" t="s">
        <v>3260</v>
      </c>
      <c r="N645" s="2" t="s">
        <v>228</v>
      </c>
      <c r="O645" s="2" t="s">
        <v>3261</v>
      </c>
      <c r="P645" s="2" t="s">
        <v>2452</v>
      </c>
      <c r="Q645" s="2" t="s">
        <v>3262</v>
      </c>
      <c r="S645" s="7" t="s">
        <v>5407</v>
      </c>
      <c r="T645" s="7" t="s">
        <v>5713</v>
      </c>
      <c r="U645" s="2" t="s">
        <v>6348</v>
      </c>
    </row>
    <row r="646" spans="1:21" ht="12.75" x14ac:dyDescent="0.2">
      <c r="A646" s="1">
        <v>45490.997829340282</v>
      </c>
      <c r="B646" s="2" t="s">
        <v>3263</v>
      </c>
      <c r="C646" s="2" t="s">
        <v>3264</v>
      </c>
      <c r="D646" s="2" t="s">
        <v>41</v>
      </c>
      <c r="E646" s="3">
        <v>45444</v>
      </c>
      <c r="F646" s="4">
        <v>103910</v>
      </c>
      <c r="G646" s="2" t="s">
        <v>42</v>
      </c>
      <c r="H646" s="2" t="s">
        <v>43</v>
      </c>
      <c r="I646" s="2" t="s">
        <v>1228</v>
      </c>
      <c r="J646" s="2" t="s">
        <v>3265</v>
      </c>
      <c r="K646" s="2" t="s">
        <v>3266</v>
      </c>
      <c r="L646" s="2" t="s">
        <v>3267</v>
      </c>
      <c r="M646" s="2" t="s">
        <v>3268</v>
      </c>
      <c r="N646" s="2" t="s">
        <v>48</v>
      </c>
      <c r="O646" s="2" t="s">
        <v>3269</v>
      </c>
      <c r="P646" s="2" t="s">
        <v>1233</v>
      </c>
      <c r="Q646" s="2" t="s">
        <v>50</v>
      </c>
      <c r="S646" s="7" t="s">
        <v>5408</v>
      </c>
      <c r="T646" s="7" t="s">
        <v>5713</v>
      </c>
      <c r="U646" s="2" t="s">
        <v>6349</v>
      </c>
    </row>
    <row r="647" spans="1:21" ht="12.75" x14ac:dyDescent="0.2">
      <c r="A647" s="1">
        <v>45491.900399351856</v>
      </c>
      <c r="B647" s="2" t="s">
        <v>363</v>
      </c>
      <c r="C647" s="2" t="s">
        <v>3270</v>
      </c>
      <c r="D647" s="2" t="s">
        <v>41</v>
      </c>
      <c r="E647" s="3">
        <v>45444</v>
      </c>
      <c r="F647" s="4">
        <v>2000</v>
      </c>
      <c r="G647" s="2" t="s">
        <v>42</v>
      </c>
      <c r="H647" s="2" t="s">
        <v>43</v>
      </c>
      <c r="I647" s="2" t="s">
        <v>1228</v>
      </c>
      <c r="J647" s="2" t="s">
        <v>402</v>
      </c>
      <c r="K647" s="2" t="s">
        <v>3271</v>
      </c>
      <c r="L647" s="2" t="s">
        <v>3272</v>
      </c>
      <c r="M647" s="2" t="s">
        <v>3273</v>
      </c>
      <c r="N647" s="2" t="s">
        <v>48</v>
      </c>
      <c r="O647" s="2" t="s">
        <v>368</v>
      </c>
      <c r="P647" s="2" t="s">
        <v>1233</v>
      </c>
      <c r="Q647" s="2" t="s">
        <v>50</v>
      </c>
      <c r="S647" s="7" t="s">
        <v>5409</v>
      </c>
      <c r="T647" s="7" t="s">
        <v>5713</v>
      </c>
      <c r="U647" s="2" t="s">
        <v>6350</v>
      </c>
    </row>
    <row r="648" spans="1:21" ht="12.75" x14ac:dyDescent="0.2">
      <c r="A648" s="1">
        <v>45492.610099328704</v>
      </c>
      <c r="B648" s="2" t="s">
        <v>3274</v>
      </c>
      <c r="C648" s="2" t="s">
        <v>3275</v>
      </c>
      <c r="D648" s="2" t="s">
        <v>333</v>
      </c>
      <c r="E648" s="3">
        <v>45475</v>
      </c>
      <c r="F648" s="4">
        <v>7715</v>
      </c>
      <c r="G648" s="2" t="s">
        <v>42</v>
      </c>
      <c r="H648" s="2" t="s">
        <v>43</v>
      </c>
      <c r="I648" s="2" t="s">
        <v>990</v>
      </c>
      <c r="K648" s="2" t="s">
        <v>3276</v>
      </c>
      <c r="L648" s="2" t="s">
        <v>3277</v>
      </c>
      <c r="M648" s="2" t="s">
        <v>3278</v>
      </c>
      <c r="N648" s="2" t="s">
        <v>337</v>
      </c>
      <c r="O648" s="2" t="s">
        <v>3279</v>
      </c>
      <c r="P648" s="2" t="s">
        <v>995</v>
      </c>
      <c r="Q648" s="2" t="s">
        <v>50</v>
      </c>
      <c r="S648" s="7" t="s">
        <v>5410</v>
      </c>
      <c r="T648" s="7" t="s">
        <v>5713</v>
      </c>
      <c r="U648" s="2" t="s">
        <v>6351</v>
      </c>
    </row>
    <row r="649" spans="1:21" ht="12.75" x14ac:dyDescent="0.2">
      <c r="A649" s="1">
        <v>45506.59859956018</v>
      </c>
      <c r="B649" s="2" t="s">
        <v>1956</v>
      </c>
      <c r="C649" s="2" t="s">
        <v>3280</v>
      </c>
      <c r="D649" s="2" t="s">
        <v>333</v>
      </c>
      <c r="E649" s="3">
        <v>45505</v>
      </c>
      <c r="F649" s="4">
        <v>3500</v>
      </c>
      <c r="G649" s="2" t="s">
        <v>42</v>
      </c>
      <c r="H649" s="2" t="s">
        <v>43</v>
      </c>
      <c r="I649" s="2" t="s">
        <v>990</v>
      </c>
      <c r="J649" s="2" t="s">
        <v>3281</v>
      </c>
      <c r="K649" s="2" t="s">
        <v>3282</v>
      </c>
      <c r="L649" s="2" t="s">
        <v>3283</v>
      </c>
      <c r="M649" s="2" t="s">
        <v>3284</v>
      </c>
      <c r="N649" s="2" t="s">
        <v>337</v>
      </c>
      <c r="O649" s="2" t="s">
        <v>1961</v>
      </c>
      <c r="P649" s="2" t="s">
        <v>995</v>
      </c>
      <c r="Q649" s="2" t="s">
        <v>50</v>
      </c>
      <c r="S649" s="7" t="s">
        <v>5411</v>
      </c>
      <c r="T649" s="7" t="s">
        <v>5713</v>
      </c>
      <c r="U649" s="2" t="s">
        <v>6352</v>
      </c>
    </row>
    <row r="650" spans="1:21" ht="12.75" x14ac:dyDescent="0.2">
      <c r="A650" s="1">
        <v>45511.596501574073</v>
      </c>
      <c r="B650" s="2" t="s">
        <v>3285</v>
      </c>
      <c r="C650" s="2" t="s">
        <v>3286</v>
      </c>
      <c r="D650" s="2" t="s">
        <v>41</v>
      </c>
      <c r="E650" s="3">
        <v>45511</v>
      </c>
      <c r="F650" s="4">
        <v>23860</v>
      </c>
      <c r="G650" s="2" t="s">
        <v>42</v>
      </c>
      <c r="H650" s="2" t="s">
        <v>43</v>
      </c>
      <c r="I650" s="2" t="s">
        <v>1234</v>
      </c>
      <c r="J650" s="2" t="s">
        <v>3287</v>
      </c>
      <c r="K650" s="2" t="s">
        <v>3288</v>
      </c>
      <c r="L650" s="2" t="s">
        <v>3289</v>
      </c>
      <c r="M650" s="2" t="s">
        <v>3290</v>
      </c>
      <c r="N650" s="2" t="s">
        <v>48</v>
      </c>
      <c r="O650" s="2" t="s">
        <v>3291</v>
      </c>
      <c r="P650" s="2" t="s">
        <v>1238</v>
      </c>
      <c r="Q650" s="2" t="s">
        <v>50</v>
      </c>
      <c r="S650" s="7" t="s">
        <v>5412</v>
      </c>
      <c r="T650" s="7" t="s">
        <v>5713</v>
      </c>
      <c r="U650" s="2" t="s">
        <v>6353</v>
      </c>
    </row>
    <row r="651" spans="1:21" ht="12.75" x14ac:dyDescent="0.2">
      <c r="A651" s="1">
        <v>45512.611685694443</v>
      </c>
      <c r="B651" s="2" t="s">
        <v>3292</v>
      </c>
      <c r="C651" s="2" t="s">
        <v>3293</v>
      </c>
      <c r="D651" s="2" t="s">
        <v>41</v>
      </c>
      <c r="E651" s="3">
        <v>45505</v>
      </c>
      <c r="F651" s="4">
        <v>307060</v>
      </c>
      <c r="G651" s="2" t="s">
        <v>42</v>
      </c>
      <c r="H651" s="2" t="s">
        <v>43</v>
      </c>
      <c r="I651" s="2" t="s">
        <v>2691</v>
      </c>
      <c r="K651" s="2" t="s">
        <v>3294</v>
      </c>
      <c r="L651" s="2" t="s">
        <v>3295</v>
      </c>
      <c r="M651" s="2" t="s">
        <v>3296</v>
      </c>
      <c r="N651" s="2" t="s">
        <v>48</v>
      </c>
      <c r="O651" s="2" t="s">
        <v>3297</v>
      </c>
      <c r="P651" s="2" t="s">
        <v>2697</v>
      </c>
      <c r="Q651" s="2" t="s">
        <v>50</v>
      </c>
      <c r="S651" s="7" t="s">
        <v>5413</v>
      </c>
      <c r="T651" s="7" t="s">
        <v>5713</v>
      </c>
      <c r="U651" s="2" t="s">
        <v>6354</v>
      </c>
    </row>
    <row r="652" spans="1:21" ht="12.75" x14ac:dyDescent="0.2">
      <c r="A652" s="1">
        <v>45519.796379976848</v>
      </c>
      <c r="B652" s="2" t="s">
        <v>438</v>
      </c>
      <c r="C652" s="2" t="s">
        <v>3298</v>
      </c>
      <c r="D652" s="2" t="s">
        <v>41</v>
      </c>
      <c r="E652" s="3">
        <v>45505</v>
      </c>
      <c r="F652" s="4">
        <v>1500</v>
      </c>
      <c r="G652" s="2" t="s">
        <v>143</v>
      </c>
      <c r="H652" s="2" t="s">
        <v>43</v>
      </c>
      <c r="I652" s="2" t="s">
        <v>990</v>
      </c>
      <c r="K652" s="2" t="s">
        <v>3299</v>
      </c>
      <c r="L652" s="2" t="s">
        <v>3300</v>
      </c>
      <c r="M652" s="2" t="s">
        <v>3301</v>
      </c>
      <c r="N652" s="2" t="s">
        <v>48</v>
      </c>
      <c r="O652" s="2" t="s">
        <v>443</v>
      </c>
      <c r="P652" s="2" t="s">
        <v>995</v>
      </c>
      <c r="Q652" s="2" t="s">
        <v>50</v>
      </c>
      <c r="S652" s="7" t="s">
        <v>5414</v>
      </c>
      <c r="T652" s="7" t="s">
        <v>5713</v>
      </c>
      <c r="U652" s="2" t="s">
        <v>6355</v>
      </c>
    </row>
    <row r="653" spans="1:21" ht="12.75" x14ac:dyDescent="0.2">
      <c r="A653" s="1">
        <v>45533.685565208332</v>
      </c>
      <c r="B653" s="2" t="s">
        <v>3302</v>
      </c>
      <c r="C653" s="2" t="s">
        <v>3303</v>
      </c>
      <c r="D653" s="2" t="s">
        <v>41</v>
      </c>
      <c r="E653" s="3">
        <v>45505</v>
      </c>
      <c r="F653" s="4">
        <v>125180</v>
      </c>
      <c r="G653" s="2" t="s">
        <v>42</v>
      </c>
      <c r="H653" s="2" t="s">
        <v>43</v>
      </c>
      <c r="I653" s="2" t="s">
        <v>2691</v>
      </c>
      <c r="K653" s="2" t="s">
        <v>3304</v>
      </c>
      <c r="L653" s="2" t="s">
        <v>3305</v>
      </c>
      <c r="M653" s="2" t="s">
        <v>3306</v>
      </c>
      <c r="N653" s="2" t="s">
        <v>48</v>
      </c>
      <c r="O653" s="2" t="s">
        <v>3307</v>
      </c>
      <c r="P653" s="2" t="s">
        <v>2697</v>
      </c>
      <c r="Q653" s="2" t="s">
        <v>50</v>
      </c>
      <c r="S653" s="7" t="s">
        <v>5415</v>
      </c>
      <c r="T653" s="7" t="s">
        <v>5713</v>
      </c>
      <c r="U653" s="2" t="s">
        <v>6356</v>
      </c>
    </row>
    <row r="654" spans="1:21" ht="12.75" x14ac:dyDescent="0.2">
      <c r="A654" s="1">
        <v>45538.954747986107</v>
      </c>
      <c r="B654" s="2" t="s">
        <v>3308</v>
      </c>
      <c r="C654" s="2" t="s">
        <v>3309</v>
      </c>
      <c r="D654" s="2" t="s">
        <v>333</v>
      </c>
      <c r="E654" s="3">
        <v>45538</v>
      </c>
      <c r="F654" s="4">
        <v>1155220</v>
      </c>
      <c r="G654" s="2" t="s">
        <v>42</v>
      </c>
      <c r="H654" s="2" t="s">
        <v>43</v>
      </c>
      <c r="I654" s="2" t="s">
        <v>990</v>
      </c>
      <c r="K654" s="2" t="s">
        <v>3310</v>
      </c>
      <c r="L654" s="2" t="s">
        <v>3311</v>
      </c>
      <c r="M654" s="2" t="s">
        <v>3312</v>
      </c>
      <c r="N654" s="2" t="s">
        <v>337</v>
      </c>
      <c r="O654" s="2" t="s">
        <v>3313</v>
      </c>
      <c r="P654" s="2" t="s">
        <v>995</v>
      </c>
      <c r="Q654" s="2" t="s">
        <v>50</v>
      </c>
      <c r="S654" s="7" t="s">
        <v>5416</v>
      </c>
      <c r="T654" s="7" t="s">
        <v>5713</v>
      </c>
      <c r="U654" s="2" t="s">
        <v>6357</v>
      </c>
    </row>
    <row r="655" spans="1:21" ht="12.75" x14ac:dyDescent="0.2">
      <c r="A655" s="1">
        <v>45544.734576064817</v>
      </c>
      <c r="B655" s="2" t="s">
        <v>438</v>
      </c>
      <c r="C655" s="2" t="s">
        <v>3314</v>
      </c>
      <c r="D655" s="2" t="s">
        <v>333</v>
      </c>
      <c r="E655" s="3">
        <v>45412</v>
      </c>
      <c r="F655" s="4">
        <v>250757</v>
      </c>
      <c r="G655" s="2" t="s">
        <v>326</v>
      </c>
      <c r="H655" s="2" t="s">
        <v>43</v>
      </c>
      <c r="I655" s="2" t="s">
        <v>983</v>
      </c>
      <c r="K655" s="2" t="s">
        <v>3315</v>
      </c>
      <c r="L655" s="2" t="s">
        <v>3316</v>
      </c>
      <c r="M655" s="2" t="s">
        <v>3317</v>
      </c>
      <c r="N655" s="2" t="s">
        <v>337</v>
      </c>
      <c r="O655" s="2" t="s">
        <v>443</v>
      </c>
      <c r="P655" s="2" t="s">
        <v>987</v>
      </c>
      <c r="Q655" s="2" t="s">
        <v>50</v>
      </c>
      <c r="S655" s="7" t="s">
        <v>5417</v>
      </c>
      <c r="T655" s="7" t="s">
        <v>5713</v>
      </c>
      <c r="U655" s="2" t="s">
        <v>6358</v>
      </c>
    </row>
    <row r="656" spans="1:21" ht="12.75" x14ac:dyDescent="0.2">
      <c r="A656" s="1">
        <v>45546.667335543985</v>
      </c>
      <c r="B656" s="2" t="s">
        <v>363</v>
      </c>
      <c r="C656" s="2" t="s">
        <v>3318</v>
      </c>
      <c r="D656" s="2" t="s">
        <v>41</v>
      </c>
      <c r="E656" s="3">
        <v>45536</v>
      </c>
      <c r="F656" s="4">
        <v>19160</v>
      </c>
      <c r="G656" s="2" t="s">
        <v>42</v>
      </c>
      <c r="H656" s="2" t="s">
        <v>43</v>
      </c>
      <c r="I656" s="2" t="s">
        <v>3319</v>
      </c>
      <c r="J656" s="2" t="s">
        <v>402</v>
      </c>
      <c r="K656" s="2" t="s">
        <v>3320</v>
      </c>
      <c r="L656" s="2" t="s">
        <v>3321</v>
      </c>
      <c r="M656" s="2" t="s">
        <v>3322</v>
      </c>
      <c r="N656" s="2" t="s">
        <v>48</v>
      </c>
      <c r="O656" s="2" t="s">
        <v>368</v>
      </c>
      <c r="P656" s="2" t="s">
        <v>3323</v>
      </c>
      <c r="Q656" s="2" t="s">
        <v>50</v>
      </c>
      <c r="S656" s="7" t="s">
        <v>5418</v>
      </c>
      <c r="T656" s="7" t="s">
        <v>5713</v>
      </c>
      <c r="U656" s="2" t="s">
        <v>6359</v>
      </c>
    </row>
    <row r="657" spans="1:21" ht="12.75" x14ac:dyDescent="0.2">
      <c r="A657" s="1">
        <v>45552.509864004634</v>
      </c>
      <c r="B657" s="2" t="s">
        <v>3324</v>
      </c>
      <c r="C657" s="2" t="s">
        <v>3325</v>
      </c>
      <c r="D657" s="2" t="s">
        <v>41</v>
      </c>
      <c r="E657" s="3">
        <v>45536</v>
      </c>
      <c r="F657" s="4">
        <v>213160</v>
      </c>
      <c r="G657" s="2" t="s">
        <v>42</v>
      </c>
      <c r="H657" s="2" t="s">
        <v>43</v>
      </c>
      <c r="I657" s="2" t="s">
        <v>2691</v>
      </c>
      <c r="K657" s="2" t="s">
        <v>3326</v>
      </c>
      <c r="L657" s="2" t="s">
        <v>3327</v>
      </c>
      <c r="M657" s="2" t="s">
        <v>3328</v>
      </c>
      <c r="N657" s="2" t="s">
        <v>48</v>
      </c>
      <c r="O657" s="2" t="s">
        <v>3329</v>
      </c>
      <c r="P657" s="2" t="s">
        <v>2697</v>
      </c>
      <c r="Q657" s="2" t="s">
        <v>50</v>
      </c>
      <c r="S657" s="7" t="s">
        <v>5419</v>
      </c>
      <c r="T657" s="7" t="s">
        <v>5713</v>
      </c>
      <c r="U657" s="2" t="s">
        <v>6360</v>
      </c>
    </row>
    <row r="658" spans="1:21" ht="12.75" x14ac:dyDescent="0.2">
      <c r="A658" s="1">
        <v>45556.847907858799</v>
      </c>
      <c r="B658" s="2" t="s">
        <v>2098</v>
      </c>
      <c r="C658" s="2" t="s">
        <v>3330</v>
      </c>
      <c r="D658" s="2" t="s">
        <v>333</v>
      </c>
      <c r="E658" s="3">
        <v>45555</v>
      </c>
      <c r="F658" s="4">
        <v>35000</v>
      </c>
      <c r="G658" s="2" t="s">
        <v>143</v>
      </c>
      <c r="H658" s="2" t="s">
        <v>43</v>
      </c>
      <c r="I658" s="2" t="s">
        <v>990</v>
      </c>
      <c r="K658" s="2" t="s">
        <v>3331</v>
      </c>
      <c r="L658" s="2" t="s">
        <v>3332</v>
      </c>
      <c r="M658" s="2" t="s">
        <v>3333</v>
      </c>
      <c r="N658" s="2" t="s">
        <v>337</v>
      </c>
      <c r="O658" s="2" t="s">
        <v>2103</v>
      </c>
      <c r="P658" s="2" t="s">
        <v>995</v>
      </c>
      <c r="Q658" s="2" t="s">
        <v>50</v>
      </c>
      <c r="S658" s="7" t="s">
        <v>5420</v>
      </c>
      <c r="T658" s="7" t="s">
        <v>5713</v>
      </c>
      <c r="U658" s="2" t="s">
        <v>6361</v>
      </c>
    </row>
    <row r="659" spans="1:21" ht="12.75" x14ac:dyDescent="0.2">
      <c r="A659" s="1">
        <v>45561.04991671296</v>
      </c>
      <c r="B659" s="2" t="s">
        <v>438</v>
      </c>
      <c r="C659" s="2" t="s">
        <v>3334</v>
      </c>
      <c r="D659" s="2" t="s">
        <v>672</v>
      </c>
      <c r="E659" s="3">
        <v>45536</v>
      </c>
      <c r="F659" s="4">
        <v>50000</v>
      </c>
      <c r="G659" s="2" t="s">
        <v>143</v>
      </c>
      <c r="H659" s="2" t="s">
        <v>43</v>
      </c>
      <c r="I659" s="2" t="s">
        <v>990</v>
      </c>
      <c r="K659" s="2" t="s">
        <v>3335</v>
      </c>
      <c r="L659" s="2" t="s">
        <v>3336</v>
      </c>
      <c r="M659" s="2" t="s">
        <v>3337</v>
      </c>
      <c r="N659" s="2" t="s">
        <v>676</v>
      </c>
      <c r="O659" s="2" t="s">
        <v>443</v>
      </c>
      <c r="P659" s="2" t="s">
        <v>995</v>
      </c>
      <c r="Q659" s="2" t="s">
        <v>50</v>
      </c>
      <c r="S659" s="7" t="s">
        <v>5421</v>
      </c>
      <c r="T659" s="7" t="s">
        <v>5713</v>
      </c>
      <c r="U659" s="2" t="s">
        <v>6362</v>
      </c>
    </row>
    <row r="660" spans="1:21" ht="12.75" x14ac:dyDescent="0.2">
      <c r="A660" s="1">
        <v>45561.056389155092</v>
      </c>
      <c r="B660" s="2" t="s">
        <v>3338</v>
      </c>
      <c r="C660" s="2" t="s">
        <v>3339</v>
      </c>
      <c r="D660" s="2" t="s">
        <v>910</v>
      </c>
      <c r="E660" s="3">
        <v>45553</v>
      </c>
      <c r="F660" s="4">
        <v>2100</v>
      </c>
      <c r="G660" s="2" t="s">
        <v>143</v>
      </c>
      <c r="H660" s="2" t="s">
        <v>43</v>
      </c>
      <c r="I660" s="2" t="s">
        <v>2691</v>
      </c>
      <c r="K660" s="2" t="s">
        <v>3340</v>
      </c>
      <c r="L660" s="2" t="s">
        <v>3341</v>
      </c>
      <c r="M660" s="2" t="s">
        <v>3342</v>
      </c>
      <c r="N660" s="2" t="s">
        <v>915</v>
      </c>
      <c r="O660" s="2" t="s">
        <v>3343</v>
      </c>
      <c r="P660" s="2" t="s">
        <v>2697</v>
      </c>
      <c r="Q660" s="2" t="s">
        <v>50</v>
      </c>
      <c r="S660" s="7" t="s">
        <v>5422</v>
      </c>
      <c r="T660" s="7" t="s">
        <v>5713</v>
      </c>
      <c r="U660" s="2" t="s">
        <v>6363</v>
      </c>
    </row>
    <row r="661" spans="1:21" ht="12.75" x14ac:dyDescent="0.2">
      <c r="A661" s="1">
        <v>45566.600821898144</v>
      </c>
      <c r="B661" s="2" t="s">
        <v>3344</v>
      </c>
      <c r="C661" s="2" t="s">
        <v>3345</v>
      </c>
      <c r="D661" s="2" t="s">
        <v>41</v>
      </c>
      <c r="E661" s="3">
        <v>45536</v>
      </c>
      <c r="F661" s="4">
        <v>181950</v>
      </c>
      <c r="G661" s="2" t="s">
        <v>42</v>
      </c>
      <c r="H661" s="2" t="s">
        <v>43</v>
      </c>
      <c r="K661" s="2" t="s">
        <v>3346</v>
      </c>
      <c r="L661" s="2" t="s">
        <v>3347</v>
      </c>
      <c r="M661" s="2" t="s">
        <v>3348</v>
      </c>
      <c r="N661" s="2" t="s">
        <v>48</v>
      </c>
      <c r="O661" s="2" t="s">
        <v>3349</v>
      </c>
      <c r="Q661" s="2" t="s">
        <v>50</v>
      </c>
      <c r="S661" s="7" t="s">
        <v>5423</v>
      </c>
      <c r="T661" s="7" t="s">
        <v>5713</v>
      </c>
      <c r="U661" s="2" t="s">
        <v>6364</v>
      </c>
    </row>
    <row r="662" spans="1:21" ht="12.75" x14ac:dyDescent="0.2">
      <c r="A662" s="1">
        <v>45567.622414618054</v>
      </c>
      <c r="B662" s="2" t="s">
        <v>3274</v>
      </c>
      <c r="C662" s="2" t="s">
        <v>3350</v>
      </c>
      <c r="D662" s="2" t="s">
        <v>333</v>
      </c>
      <c r="E662" s="3">
        <v>45505</v>
      </c>
      <c r="F662" s="4">
        <v>187859.8</v>
      </c>
      <c r="G662" s="2" t="s">
        <v>42</v>
      </c>
      <c r="H662" s="2" t="s">
        <v>43</v>
      </c>
      <c r="I662" s="2" t="s">
        <v>990</v>
      </c>
      <c r="J662" s="2" t="s">
        <v>3351</v>
      </c>
      <c r="K662" s="2" t="s">
        <v>3352</v>
      </c>
      <c r="L662" s="2" t="s">
        <v>3353</v>
      </c>
      <c r="M662" s="2" t="s">
        <v>3354</v>
      </c>
      <c r="N662" s="2" t="s">
        <v>337</v>
      </c>
      <c r="O662" s="2" t="s">
        <v>3279</v>
      </c>
      <c r="P662" s="2" t="s">
        <v>995</v>
      </c>
      <c r="Q662" s="2" t="s">
        <v>50</v>
      </c>
      <c r="S662" s="7" t="s">
        <v>5424</v>
      </c>
      <c r="T662" s="7" t="s">
        <v>5713</v>
      </c>
      <c r="U662" s="2" t="s">
        <v>6365</v>
      </c>
    </row>
    <row r="663" spans="1:21" ht="12.75" x14ac:dyDescent="0.2">
      <c r="A663" s="1">
        <v>45574.699469085652</v>
      </c>
      <c r="B663" s="2" t="s">
        <v>51</v>
      </c>
      <c r="C663" s="2" t="s">
        <v>3355</v>
      </c>
      <c r="D663" s="2" t="s">
        <v>333</v>
      </c>
      <c r="E663" s="3">
        <v>45474</v>
      </c>
      <c r="F663" s="4">
        <v>1800000</v>
      </c>
      <c r="G663" s="2" t="s">
        <v>143</v>
      </c>
      <c r="H663" s="2" t="s">
        <v>43</v>
      </c>
      <c r="I663" s="2" t="s">
        <v>990</v>
      </c>
      <c r="J663" s="2" t="s">
        <v>3356</v>
      </c>
      <c r="K663" s="2" t="s">
        <v>3357</v>
      </c>
      <c r="L663" s="2" t="s">
        <v>3358</v>
      </c>
      <c r="M663" s="2" t="s">
        <v>3359</v>
      </c>
      <c r="N663" s="2" t="s">
        <v>337</v>
      </c>
      <c r="O663" s="2" t="s">
        <v>57</v>
      </c>
      <c r="P663" s="2" t="s">
        <v>995</v>
      </c>
      <c r="Q663" s="2" t="s">
        <v>50</v>
      </c>
      <c r="S663" s="7" t="s">
        <v>5425</v>
      </c>
      <c r="T663" s="7" t="s">
        <v>5713</v>
      </c>
      <c r="U663" s="2" t="s">
        <v>6366</v>
      </c>
    </row>
    <row r="664" spans="1:21" ht="12.75" x14ac:dyDescent="0.2">
      <c r="A664" s="1">
        <v>45580.575926006946</v>
      </c>
      <c r="B664" s="2" t="s">
        <v>3245</v>
      </c>
      <c r="C664" s="2" t="s">
        <v>3360</v>
      </c>
      <c r="D664" s="2" t="s">
        <v>333</v>
      </c>
      <c r="E664" s="3">
        <v>45383</v>
      </c>
      <c r="F664" s="4">
        <v>63680</v>
      </c>
      <c r="G664" s="2" t="s">
        <v>326</v>
      </c>
      <c r="H664" s="2" t="s">
        <v>43</v>
      </c>
      <c r="I664" s="2" t="s">
        <v>990</v>
      </c>
      <c r="K664" s="2" t="s">
        <v>3361</v>
      </c>
      <c r="L664" s="2" t="s">
        <v>3362</v>
      </c>
      <c r="M664" s="2" t="s">
        <v>3363</v>
      </c>
      <c r="N664" s="2" t="s">
        <v>337</v>
      </c>
      <c r="O664" s="2" t="s">
        <v>3250</v>
      </c>
      <c r="P664" s="2" t="s">
        <v>995</v>
      </c>
      <c r="Q664" s="2" t="s">
        <v>50</v>
      </c>
      <c r="S664" s="7" t="s">
        <v>5426</v>
      </c>
      <c r="T664" s="7" t="s">
        <v>5713</v>
      </c>
      <c r="U664" s="2" t="s">
        <v>6367</v>
      </c>
    </row>
    <row r="665" spans="1:21" ht="12.75" x14ac:dyDescent="0.2">
      <c r="A665" s="1">
        <v>45597.583080266202</v>
      </c>
      <c r="B665" s="2" t="s">
        <v>1007</v>
      </c>
      <c r="C665" s="2" t="s">
        <v>3364</v>
      </c>
      <c r="D665" s="2" t="s">
        <v>41</v>
      </c>
      <c r="E665" s="3">
        <v>45560</v>
      </c>
      <c r="F665" s="4">
        <v>41250</v>
      </c>
      <c r="G665" s="2" t="s">
        <v>42</v>
      </c>
      <c r="H665" s="2" t="s">
        <v>43</v>
      </c>
      <c r="I665" s="2" t="s">
        <v>2446</v>
      </c>
      <c r="K665" s="2" t="s">
        <v>3365</v>
      </c>
      <c r="L665" s="2" t="s">
        <v>3366</v>
      </c>
      <c r="M665" s="2" t="s">
        <v>3367</v>
      </c>
      <c r="N665" s="2" t="s">
        <v>48</v>
      </c>
      <c r="O665" s="2" t="s">
        <v>1013</v>
      </c>
      <c r="P665" s="2" t="s">
        <v>2452</v>
      </c>
      <c r="Q665" s="2" t="s">
        <v>50</v>
      </c>
      <c r="S665" s="7" t="s">
        <v>5427</v>
      </c>
      <c r="T665" s="7" t="s">
        <v>5713</v>
      </c>
      <c r="U665" s="2" t="s">
        <v>6368</v>
      </c>
    </row>
    <row r="666" spans="1:21" ht="12.75" x14ac:dyDescent="0.2">
      <c r="A666" s="1">
        <v>45600.769871168981</v>
      </c>
      <c r="B666" s="2" t="s">
        <v>3368</v>
      </c>
      <c r="C666" s="2" t="s">
        <v>3369</v>
      </c>
      <c r="D666" s="2" t="s">
        <v>41</v>
      </c>
      <c r="E666" s="3">
        <v>45429</v>
      </c>
      <c r="F666" s="4">
        <v>8640</v>
      </c>
      <c r="G666" s="2" t="s">
        <v>42</v>
      </c>
      <c r="H666" s="2" t="s">
        <v>43</v>
      </c>
      <c r="K666" s="2" t="s">
        <v>3370</v>
      </c>
      <c r="L666" s="2" t="s">
        <v>3371</v>
      </c>
      <c r="M666" s="2" t="s">
        <v>3372</v>
      </c>
      <c r="N666" s="2" t="s">
        <v>48</v>
      </c>
      <c r="O666" s="2" t="s">
        <v>3373</v>
      </c>
      <c r="Q666" s="2" t="s">
        <v>50</v>
      </c>
      <c r="S666" s="7" t="s">
        <v>5428</v>
      </c>
      <c r="T666" s="7" t="s">
        <v>5713</v>
      </c>
      <c r="U666" s="2" t="s">
        <v>6369</v>
      </c>
    </row>
    <row r="667" spans="1:21" ht="12.75" x14ac:dyDescent="0.2">
      <c r="A667" s="1">
        <v>45601.51383625</v>
      </c>
      <c r="B667" s="2" t="s">
        <v>3374</v>
      </c>
      <c r="C667" s="2" t="s">
        <v>3375</v>
      </c>
      <c r="D667" s="2" t="s">
        <v>333</v>
      </c>
      <c r="E667" s="3">
        <v>45601</v>
      </c>
      <c r="F667" s="4">
        <v>693840</v>
      </c>
      <c r="G667" s="2" t="s">
        <v>42</v>
      </c>
      <c r="H667" s="2" t="s">
        <v>43</v>
      </c>
      <c r="K667" s="2" t="s">
        <v>3376</v>
      </c>
      <c r="L667" s="2" t="s">
        <v>3377</v>
      </c>
      <c r="M667" s="2" t="s">
        <v>3378</v>
      </c>
      <c r="N667" s="2" t="s">
        <v>337</v>
      </c>
      <c r="O667" s="2" t="s">
        <v>3379</v>
      </c>
      <c r="Q667" s="2" t="s">
        <v>50</v>
      </c>
      <c r="S667" s="7" t="s">
        <v>5429</v>
      </c>
      <c r="T667" s="7" t="s">
        <v>5713</v>
      </c>
      <c r="U667" s="2" t="s">
        <v>6370</v>
      </c>
    </row>
    <row r="668" spans="1:21" ht="12.75" x14ac:dyDescent="0.2">
      <c r="A668" s="1">
        <v>45601.61031585648</v>
      </c>
      <c r="B668" s="2" t="s">
        <v>3380</v>
      </c>
      <c r="C668" s="2" t="s">
        <v>3381</v>
      </c>
      <c r="D668" s="2" t="s">
        <v>41</v>
      </c>
      <c r="E668" s="3">
        <v>45582</v>
      </c>
      <c r="F668" s="4">
        <v>52000</v>
      </c>
      <c r="G668" s="2" t="s">
        <v>42</v>
      </c>
      <c r="H668" s="2" t="s">
        <v>43</v>
      </c>
      <c r="I668" s="2" t="s">
        <v>1234</v>
      </c>
      <c r="K668" s="2" t="s">
        <v>3382</v>
      </c>
      <c r="L668" s="2" t="s">
        <v>3383</v>
      </c>
      <c r="M668" s="2" t="s">
        <v>3384</v>
      </c>
      <c r="N668" s="2" t="s">
        <v>48</v>
      </c>
      <c r="O668" s="2" t="s">
        <v>3385</v>
      </c>
      <c r="P668" s="2" t="s">
        <v>1238</v>
      </c>
      <c r="Q668" s="2" t="s">
        <v>50</v>
      </c>
      <c r="S668" s="7" t="s">
        <v>5430</v>
      </c>
      <c r="T668" s="7" t="s">
        <v>5713</v>
      </c>
      <c r="U668" s="2" t="s">
        <v>6371</v>
      </c>
    </row>
    <row r="669" spans="1:21" ht="12.75" x14ac:dyDescent="0.2">
      <c r="A669" s="1">
        <v>45610.995547650462</v>
      </c>
      <c r="B669" s="2" t="s">
        <v>3386</v>
      </c>
      <c r="C669" s="2" t="s">
        <v>3387</v>
      </c>
      <c r="D669" s="2" t="s">
        <v>41</v>
      </c>
      <c r="E669" s="3">
        <v>45597</v>
      </c>
      <c r="F669" s="4">
        <v>131040</v>
      </c>
      <c r="G669" s="2" t="s">
        <v>42</v>
      </c>
      <c r="H669" s="2" t="s">
        <v>43</v>
      </c>
      <c r="J669" s="2" t="s">
        <v>3388</v>
      </c>
      <c r="K669" s="2" t="s">
        <v>3389</v>
      </c>
      <c r="L669" s="2" t="s">
        <v>3390</v>
      </c>
      <c r="M669" s="2" t="s">
        <v>3391</v>
      </c>
      <c r="N669" s="2" t="s">
        <v>48</v>
      </c>
      <c r="O669" s="2" t="s">
        <v>3392</v>
      </c>
      <c r="Q669" s="2" t="s">
        <v>50</v>
      </c>
      <c r="S669" s="7" t="s">
        <v>5431</v>
      </c>
      <c r="T669" s="7" t="s">
        <v>5713</v>
      </c>
      <c r="U669" s="2" t="s">
        <v>6372</v>
      </c>
    </row>
    <row r="670" spans="1:21" ht="12.75" x14ac:dyDescent="0.2">
      <c r="A670" s="1">
        <v>45624.638756574073</v>
      </c>
      <c r="B670" s="2" t="s">
        <v>114</v>
      </c>
      <c r="C670" s="2" t="s">
        <v>3393</v>
      </c>
      <c r="D670" s="2" t="s">
        <v>333</v>
      </c>
      <c r="E670" s="3">
        <v>45469</v>
      </c>
      <c r="F670" s="4">
        <v>257240</v>
      </c>
      <c r="G670" s="2" t="s">
        <v>326</v>
      </c>
      <c r="H670" s="2" t="s">
        <v>43</v>
      </c>
      <c r="J670" s="2" t="s">
        <v>3394</v>
      </c>
      <c r="K670" s="2" t="s">
        <v>3395</v>
      </c>
      <c r="L670" s="2" t="s">
        <v>3396</v>
      </c>
      <c r="M670" s="2" t="s">
        <v>3397</v>
      </c>
      <c r="N670" s="2" t="s">
        <v>337</v>
      </c>
      <c r="O670" s="2" t="s">
        <v>119</v>
      </c>
      <c r="Q670" s="2" t="s">
        <v>50</v>
      </c>
      <c r="S670" s="7" t="s">
        <v>5432</v>
      </c>
      <c r="T670" s="7" t="s">
        <v>5713</v>
      </c>
      <c r="U670" s="2" t="s">
        <v>6373</v>
      </c>
    </row>
    <row r="671" spans="1:21" ht="12.75" x14ac:dyDescent="0.2">
      <c r="A671" s="1">
        <v>45625.443019976854</v>
      </c>
      <c r="B671" s="2" t="s">
        <v>3398</v>
      </c>
      <c r="C671" s="2" t="s">
        <v>3399</v>
      </c>
      <c r="D671" s="2" t="s">
        <v>41</v>
      </c>
      <c r="E671" s="3">
        <v>45607</v>
      </c>
      <c r="F671" s="4">
        <v>26750</v>
      </c>
      <c r="G671" s="2" t="s">
        <v>42</v>
      </c>
      <c r="H671" s="2" t="s">
        <v>43</v>
      </c>
      <c r="K671" s="2" t="s">
        <v>3400</v>
      </c>
      <c r="L671" s="2" t="s">
        <v>3401</v>
      </c>
      <c r="M671" s="2" t="s">
        <v>3402</v>
      </c>
      <c r="N671" s="2" t="s">
        <v>48</v>
      </c>
      <c r="O671" s="2" t="s">
        <v>3403</v>
      </c>
      <c r="Q671" s="2" t="s">
        <v>50</v>
      </c>
      <c r="S671" s="7" t="s">
        <v>5433</v>
      </c>
      <c r="T671" s="7" t="s">
        <v>5713</v>
      </c>
      <c r="U671" s="2" t="s">
        <v>6374</v>
      </c>
    </row>
    <row r="672" spans="1:21" ht="12.75" x14ac:dyDescent="0.2">
      <c r="A672" s="1">
        <v>45633.629134212963</v>
      </c>
      <c r="B672" s="2" t="s">
        <v>3308</v>
      </c>
      <c r="C672" s="2" t="s">
        <v>3404</v>
      </c>
      <c r="D672" s="2" t="s">
        <v>333</v>
      </c>
      <c r="E672" s="3">
        <v>45628</v>
      </c>
      <c r="F672" s="4">
        <v>43449.1</v>
      </c>
      <c r="G672" s="2" t="s">
        <v>42</v>
      </c>
      <c r="H672" s="2" t="s">
        <v>43</v>
      </c>
      <c r="I672" s="2" t="s">
        <v>990</v>
      </c>
      <c r="J672" s="2" t="s">
        <v>3405</v>
      </c>
      <c r="K672" s="2" t="s">
        <v>3406</v>
      </c>
      <c r="L672" s="2" t="s">
        <v>3407</v>
      </c>
      <c r="M672" s="2" t="s">
        <v>3408</v>
      </c>
      <c r="N672" s="2" t="s">
        <v>337</v>
      </c>
      <c r="O672" s="2" t="s">
        <v>3313</v>
      </c>
      <c r="P672" s="2" t="s">
        <v>995</v>
      </c>
      <c r="Q672" s="2" t="s">
        <v>50</v>
      </c>
      <c r="S672" s="7" t="s">
        <v>5434</v>
      </c>
      <c r="T672" s="7" t="s">
        <v>5713</v>
      </c>
      <c r="U672" s="2" t="s">
        <v>6375</v>
      </c>
    </row>
    <row r="673" spans="1:21" ht="12.75" x14ac:dyDescent="0.2">
      <c r="A673" s="1">
        <v>45657.741070879631</v>
      </c>
      <c r="B673" s="2" t="s">
        <v>3409</v>
      </c>
      <c r="C673" s="2" t="s">
        <v>3410</v>
      </c>
      <c r="D673" s="2" t="s">
        <v>41</v>
      </c>
      <c r="E673" s="3">
        <v>45627</v>
      </c>
      <c r="F673" s="4">
        <v>32000</v>
      </c>
      <c r="G673" s="2" t="s">
        <v>42</v>
      </c>
      <c r="H673" s="2" t="s">
        <v>43</v>
      </c>
      <c r="I673" s="2" t="s">
        <v>2691</v>
      </c>
      <c r="K673" s="2" t="s">
        <v>3411</v>
      </c>
      <c r="L673" s="2" t="s">
        <v>3412</v>
      </c>
      <c r="M673" s="2" t="s">
        <v>3413</v>
      </c>
      <c r="N673" s="2" t="s">
        <v>48</v>
      </c>
      <c r="O673" s="2" t="s">
        <v>3414</v>
      </c>
      <c r="P673" s="2" t="s">
        <v>2697</v>
      </c>
      <c r="Q673" s="2" t="s">
        <v>50</v>
      </c>
      <c r="S673" s="7" t="s">
        <v>5435</v>
      </c>
      <c r="T673" s="7" t="s">
        <v>5713</v>
      </c>
      <c r="U673" s="2" t="s">
        <v>6376</v>
      </c>
    </row>
    <row r="674" spans="1:21" ht="12.75" x14ac:dyDescent="0.2">
      <c r="A674" s="1">
        <v>45661.598448645833</v>
      </c>
      <c r="B674" s="2" t="s">
        <v>2706</v>
      </c>
      <c r="C674" s="2" t="s">
        <v>3415</v>
      </c>
      <c r="D674" s="2" t="s">
        <v>333</v>
      </c>
      <c r="E674" s="3">
        <v>45983</v>
      </c>
      <c r="F674" s="4">
        <v>6040</v>
      </c>
      <c r="G674" s="2" t="s">
        <v>42</v>
      </c>
      <c r="H674" s="2" t="s">
        <v>43</v>
      </c>
      <c r="I674" s="2" t="s">
        <v>990</v>
      </c>
      <c r="K674" s="2" t="s">
        <v>3416</v>
      </c>
      <c r="L674" s="2" t="s">
        <v>3417</v>
      </c>
      <c r="M674" s="2" t="s">
        <v>3418</v>
      </c>
      <c r="N674" s="2" t="s">
        <v>337</v>
      </c>
      <c r="O674" s="2" t="s">
        <v>2711</v>
      </c>
      <c r="P674" s="2" t="s">
        <v>995</v>
      </c>
      <c r="Q674" s="2" t="s">
        <v>50</v>
      </c>
      <c r="S674" s="7" t="s">
        <v>5436</v>
      </c>
      <c r="T674" s="7" t="s">
        <v>5713</v>
      </c>
      <c r="U674" s="2" t="s">
        <v>6377</v>
      </c>
    </row>
    <row r="675" spans="1:21" ht="12.75" x14ac:dyDescent="0.2">
      <c r="A675" s="1">
        <v>45666.758870347221</v>
      </c>
      <c r="B675" s="2" t="s">
        <v>2098</v>
      </c>
      <c r="C675" s="2" t="s">
        <v>3419</v>
      </c>
      <c r="D675" s="2" t="s">
        <v>333</v>
      </c>
      <c r="E675" s="3">
        <v>45658</v>
      </c>
      <c r="F675" s="4">
        <v>169060</v>
      </c>
      <c r="G675" s="2" t="s">
        <v>42</v>
      </c>
      <c r="H675" s="2" t="s">
        <v>43</v>
      </c>
      <c r="K675" s="2" t="s">
        <v>3420</v>
      </c>
      <c r="L675" s="2" t="s">
        <v>3421</v>
      </c>
      <c r="M675" s="2" t="s">
        <v>3422</v>
      </c>
      <c r="N675" s="2" t="s">
        <v>337</v>
      </c>
      <c r="O675" s="2" t="s">
        <v>2103</v>
      </c>
      <c r="Q675" s="2" t="s">
        <v>50</v>
      </c>
      <c r="S675" s="7" t="s">
        <v>5437</v>
      </c>
      <c r="T675" s="7" t="s">
        <v>5713</v>
      </c>
      <c r="U675" s="2" t="s">
        <v>6378</v>
      </c>
    </row>
    <row r="676" spans="1:21" ht="12.75" x14ac:dyDescent="0.2">
      <c r="A676" s="1">
        <v>45670.799473969906</v>
      </c>
      <c r="B676" s="2" t="s">
        <v>3423</v>
      </c>
      <c r="C676" s="2" t="s">
        <v>3424</v>
      </c>
      <c r="D676" s="2" t="s">
        <v>41</v>
      </c>
      <c r="E676" s="3">
        <v>45658</v>
      </c>
      <c r="F676" s="4">
        <v>50000</v>
      </c>
      <c r="G676" s="2" t="s">
        <v>42</v>
      </c>
      <c r="H676" s="2" t="s">
        <v>43</v>
      </c>
      <c r="I676" s="2" t="s">
        <v>2691</v>
      </c>
      <c r="K676" s="2" t="s">
        <v>3425</v>
      </c>
      <c r="L676" s="2" t="s">
        <v>3426</v>
      </c>
      <c r="M676" s="2" t="s">
        <v>3427</v>
      </c>
      <c r="N676" s="2" t="s">
        <v>48</v>
      </c>
      <c r="O676" s="2" t="s">
        <v>3428</v>
      </c>
      <c r="P676" s="2" t="s">
        <v>2697</v>
      </c>
      <c r="Q676" s="2" t="s">
        <v>50</v>
      </c>
      <c r="S676" s="7" t="s">
        <v>5438</v>
      </c>
      <c r="T676" s="7" t="s">
        <v>5713</v>
      </c>
      <c r="U676" s="2" t="s">
        <v>6379</v>
      </c>
    </row>
    <row r="677" spans="1:21" ht="12.75" x14ac:dyDescent="0.2">
      <c r="A677" s="1">
        <v>45671.666312118061</v>
      </c>
      <c r="B677" s="2" t="s">
        <v>363</v>
      </c>
      <c r="C677" s="2" t="s">
        <v>3429</v>
      </c>
      <c r="D677" s="2" t="s">
        <v>1258</v>
      </c>
      <c r="E677" s="3">
        <v>45519</v>
      </c>
      <c r="F677" s="4">
        <v>2700</v>
      </c>
      <c r="G677" s="2" t="s">
        <v>42</v>
      </c>
      <c r="H677" s="2" t="s">
        <v>43</v>
      </c>
      <c r="K677" s="2" t="s">
        <v>3430</v>
      </c>
      <c r="L677" s="2" t="s">
        <v>3431</v>
      </c>
      <c r="M677" s="2" t="s">
        <v>3432</v>
      </c>
      <c r="N677" s="2" t="s">
        <v>1263</v>
      </c>
      <c r="O677" s="2" t="s">
        <v>368</v>
      </c>
      <c r="Q677" s="2" t="s">
        <v>50</v>
      </c>
      <c r="S677" s="7" t="s">
        <v>5439</v>
      </c>
      <c r="T677" s="7" t="s">
        <v>5713</v>
      </c>
      <c r="U677" s="2" t="s">
        <v>6380</v>
      </c>
    </row>
    <row r="678" spans="1:21" ht="12.75" x14ac:dyDescent="0.2">
      <c r="A678" s="1">
        <v>45671.666312118061</v>
      </c>
      <c r="B678" s="2" t="s">
        <v>2301</v>
      </c>
      <c r="C678" s="2" t="s">
        <v>3433</v>
      </c>
      <c r="D678" s="2" t="s">
        <v>1258</v>
      </c>
      <c r="E678" s="3">
        <v>45519</v>
      </c>
      <c r="F678" s="4">
        <v>500</v>
      </c>
      <c r="G678" s="2" t="s">
        <v>42</v>
      </c>
      <c r="H678" s="2" t="s">
        <v>43</v>
      </c>
      <c r="K678" s="2" t="s">
        <v>3434</v>
      </c>
      <c r="L678" s="2" t="s">
        <v>3435</v>
      </c>
      <c r="M678" s="2" t="s">
        <v>3436</v>
      </c>
      <c r="N678" s="2" t="s">
        <v>1263</v>
      </c>
      <c r="O678" s="2" t="s">
        <v>2306</v>
      </c>
      <c r="Q678" s="2" t="s">
        <v>50</v>
      </c>
      <c r="S678" s="7" t="s">
        <v>5440</v>
      </c>
      <c r="T678" s="7" t="s">
        <v>5713</v>
      </c>
      <c r="U678" s="2" t="s">
        <v>6381</v>
      </c>
    </row>
    <row r="679" spans="1:21" ht="12.75" x14ac:dyDescent="0.2">
      <c r="A679" s="1">
        <v>45674.734972916667</v>
      </c>
      <c r="B679" s="2" t="s">
        <v>3437</v>
      </c>
      <c r="C679" s="2" t="s">
        <v>3438</v>
      </c>
      <c r="D679" s="2" t="s">
        <v>41</v>
      </c>
      <c r="E679" s="3">
        <v>45674</v>
      </c>
      <c r="F679" s="4">
        <v>30510</v>
      </c>
      <c r="G679" s="2" t="s">
        <v>42</v>
      </c>
      <c r="H679" s="2" t="s">
        <v>43</v>
      </c>
      <c r="J679" s="2" t="s">
        <v>3439</v>
      </c>
      <c r="K679" s="2" t="s">
        <v>3440</v>
      </c>
      <c r="L679" s="2" t="s">
        <v>3441</v>
      </c>
      <c r="M679" s="2" t="s">
        <v>3442</v>
      </c>
      <c r="N679" s="2" t="s">
        <v>48</v>
      </c>
      <c r="O679" s="2" t="s">
        <v>3443</v>
      </c>
      <c r="Q679" s="2" t="s">
        <v>50</v>
      </c>
      <c r="S679" s="7" t="s">
        <v>5441</v>
      </c>
      <c r="T679" s="7" t="s">
        <v>5713</v>
      </c>
      <c r="U679" s="2" t="s">
        <v>6382</v>
      </c>
    </row>
    <row r="680" spans="1:21" ht="12.75" x14ac:dyDescent="0.2">
      <c r="A680" s="1">
        <v>45677.501170520831</v>
      </c>
      <c r="B680" s="2" t="s">
        <v>3444</v>
      </c>
      <c r="C680" s="2" t="s">
        <v>3445</v>
      </c>
      <c r="D680" s="2" t="s">
        <v>672</v>
      </c>
      <c r="E680" s="3">
        <v>45658</v>
      </c>
      <c r="F680" s="4">
        <v>115</v>
      </c>
      <c r="G680" s="2" t="s">
        <v>42</v>
      </c>
      <c r="H680" s="2" t="s">
        <v>43</v>
      </c>
      <c r="I680" s="2" t="s">
        <v>2446</v>
      </c>
      <c r="K680" s="2" t="s">
        <v>3446</v>
      </c>
      <c r="L680" s="2" t="s">
        <v>3447</v>
      </c>
      <c r="M680" s="2" t="s">
        <v>3448</v>
      </c>
      <c r="N680" s="2" t="s">
        <v>676</v>
      </c>
      <c r="O680" s="2" t="s">
        <v>3449</v>
      </c>
      <c r="P680" s="2" t="s">
        <v>2452</v>
      </c>
      <c r="Q680" s="2" t="s">
        <v>50</v>
      </c>
      <c r="S680" s="7" t="s">
        <v>5442</v>
      </c>
      <c r="T680" s="7" t="s">
        <v>5713</v>
      </c>
      <c r="U680" s="2" t="s">
        <v>6383</v>
      </c>
    </row>
    <row r="681" spans="1:21" ht="12.75" x14ac:dyDescent="0.2">
      <c r="A681" s="1">
        <v>45677.501170520831</v>
      </c>
      <c r="B681" s="2" t="s">
        <v>3450</v>
      </c>
      <c r="C681" s="2" t="s">
        <v>3451</v>
      </c>
      <c r="D681" s="2" t="s">
        <v>223</v>
      </c>
      <c r="E681" s="3">
        <v>45627</v>
      </c>
      <c r="F681" s="4">
        <v>200</v>
      </c>
      <c r="G681" s="2" t="s">
        <v>42</v>
      </c>
      <c r="H681" s="2" t="s">
        <v>43</v>
      </c>
      <c r="I681" s="2" t="s">
        <v>2446</v>
      </c>
      <c r="K681" s="2" t="s">
        <v>3452</v>
      </c>
      <c r="L681" s="2" t="s">
        <v>3453</v>
      </c>
      <c r="M681" s="2" t="s">
        <v>3454</v>
      </c>
      <c r="N681" s="2" t="s">
        <v>228</v>
      </c>
      <c r="O681" s="2" t="s">
        <v>3455</v>
      </c>
      <c r="P681" s="2" t="s">
        <v>2452</v>
      </c>
      <c r="Q681" s="2" t="s">
        <v>50</v>
      </c>
      <c r="S681" s="7" t="s">
        <v>5443</v>
      </c>
      <c r="T681" s="7" t="s">
        <v>5713</v>
      </c>
      <c r="U681" s="2" t="s">
        <v>6384</v>
      </c>
    </row>
    <row r="682" spans="1:21" ht="12.75" x14ac:dyDescent="0.2">
      <c r="A682" s="1">
        <v>45679.675555960654</v>
      </c>
      <c r="B682" s="2" t="s">
        <v>363</v>
      </c>
      <c r="C682" s="2" t="s">
        <v>3456</v>
      </c>
      <c r="D682" s="2" t="s">
        <v>672</v>
      </c>
      <c r="E682" s="3">
        <v>45658</v>
      </c>
      <c r="F682" s="4">
        <v>1700</v>
      </c>
      <c r="G682" s="2" t="s">
        <v>143</v>
      </c>
      <c r="H682" s="2" t="s">
        <v>43</v>
      </c>
      <c r="K682" s="2" t="s">
        <v>3457</v>
      </c>
      <c r="L682" s="2" t="s">
        <v>3458</v>
      </c>
      <c r="M682" s="2" t="s">
        <v>3459</v>
      </c>
      <c r="N682" s="2" t="s">
        <v>676</v>
      </c>
      <c r="O682" s="2" t="s">
        <v>368</v>
      </c>
      <c r="Q682" s="2" t="s">
        <v>50</v>
      </c>
      <c r="S682" s="7" t="s">
        <v>5444</v>
      </c>
      <c r="T682" s="7" t="s">
        <v>5713</v>
      </c>
      <c r="U682" s="2" t="s">
        <v>6385</v>
      </c>
    </row>
    <row r="683" spans="1:21" ht="12.75" x14ac:dyDescent="0.2">
      <c r="A683" s="1">
        <v>45679.675555960654</v>
      </c>
      <c r="B683" s="2" t="s">
        <v>363</v>
      </c>
      <c r="C683" s="2" t="s">
        <v>3460</v>
      </c>
      <c r="D683" s="2" t="s">
        <v>41</v>
      </c>
      <c r="E683" s="3">
        <v>45658</v>
      </c>
      <c r="F683" s="4">
        <v>15000</v>
      </c>
      <c r="G683" s="2" t="s">
        <v>42</v>
      </c>
      <c r="H683" s="2" t="s">
        <v>43</v>
      </c>
      <c r="J683" s="2" t="s">
        <v>402</v>
      </c>
      <c r="K683" s="2" t="s">
        <v>3461</v>
      </c>
      <c r="L683" s="2" t="s">
        <v>3462</v>
      </c>
      <c r="M683" s="2" t="s">
        <v>3463</v>
      </c>
      <c r="N683" s="2" t="s">
        <v>48</v>
      </c>
      <c r="O683" s="2" t="s">
        <v>368</v>
      </c>
      <c r="Q683" s="2" t="s">
        <v>50</v>
      </c>
      <c r="S683" s="7" t="s">
        <v>5445</v>
      </c>
      <c r="T683" s="7" t="s">
        <v>5713</v>
      </c>
      <c r="U683" s="2" t="s">
        <v>6386</v>
      </c>
    </row>
    <row r="684" spans="1:21" ht="12.75" x14ac:dyDescent="0.2">
      <c r="A684" s="1"/>
      <c r="B684" s="2"/>
      <c r="C684" s="2"/>
      <c r="D684" s="2"/>
      <c r="E684" s="3"/>
      <c r="F684" s="4"/>
      <c r="G684" s="2"/>
      <c r="H684" s="2"/>
      <c r="K684" s="2"/>
      <c r="L684" s="2"/>
      <c r="M684" s="2"/>
      <c r="N684" s="2"/>
      <c r="O684" s="2"/>
      <c r="Q684" s="2"/>
      <c r="R684" s="2"/>
      <c r="S684" s="7"/>
      <c r="T684" s="7"/>
      <c r="U684" s="2"/>
    </row>
    <row r="685" spans="1:21" ht="12.75" x14ac:dyDescent="0.2">
      <c r="A685" s="1">
        <v>45679.94102859954</v>
      </c>
      <c r="B685" s="2" t="s">
        <v>3302</v>
      </c>
      <c r="C685" s="2" t="s">
        <v>3464</v>
      </c>
      <c r="D685" s="2" t="s">
        <v>41</v>
      </c>
      <c r="E685" s="3">
        <v>45658</v>
      </c>
      <c r="F685" s="4">
        <v>3500</v>
      </c>
      <c r="G685" s="2" t="s">
        <v>143</v>
      </c>
      <c r="H685" s="2" t="s">
        <v>43</v>
      </c>
      <c r="K685" s="2" t="s">
        <v>3465</v>
      </c>
      <c r="L685" s="2" t="s">
        <v>3466</v>
      </c>
      <c r="M685" s="2" t="s">
        <v>3467</v>
      </c>
      <c r="N685" s="2" t="s">
        <v>48</v>
      </c>
      <c r="O685" s="2" t="s">
        <v>3307</v>
      </c>
      <c r="Q685" s="2" t="s">
        <v>50</v>
      </c>
      <c r="S685" s="7" t="s">
        <v>5446</v>
      </c>
      <c r="T685" s="7" t="s">
        <v>5713</v>
      </c>
      <c r="U685" s="2" t="s">
        <v>6387</v>
      </c>
    </row>
    <row r="686" spans="1:21" ht="12.75" x14ac:dyDescent="0.2">
      <c r="A686" s="1">
        <v>45688.427595069443</v>
      </c>
      <c r="B686" s="2" t="s">
        <v>3468</v>
      </c>
      <c r="C686" s="2" t="s">
        <v>3469</v>
      </c>
      <c r="D686" s="2" t="s">
        <v>333</v>
      </c>
      <c r="E686" s="3">
        <v>45638</v>
      </c>
      <c r="F686" s="4">
        <v>596100.6</v>
      </c>
      <c r="G686" s="2" t="s">
        <v>326</v>
      </c>
      <c r="H686" s="2" t="s">
        <v>43</v>
      </c>
      <c r="I686" s="2" t="s">
        <v>990</v>
      </c>
      <c r="K686" s="2" t="s">
        <v>3470</v>
      </c>
      <c r="L686" s="2" t="s">
        <v>3471</v>
      </c>
      <c r="M686" s="2" t="s">
        <v>3472</v>
      </c>
      <c r="N686" s="2" t="s">
        <v>337</v>
      </c>
      <c r="O686" s="2" t="s">
        <v>3473</v>
      </c>
      <c r="P686" s="2" t="s">
        <v>995</v>
      </c>
      <c r="Q686" s="2" t="s">
        <v>3474</v>
      </c>
      <c r="S686" s="7" t="s">
        <v>5447</v>
      </c>
      <c r="T686" s="7" t="s">
        <v>5713</v>
      </c>
      <c r="U686" s="2" t="s">
        <v>6388</v>
      </c>
    </row>
    <row r="687" spans="1:21" ht="12.75" x14ac:dyDescent="0.2">
      <c r="A687" s="1">
        <v>45691.625107569445</v>
      </c>
      <c r="B687" s="2" t="s">
        <v>3475</v>
      </c>
      <c r="C687" s="2" t="s">
        <v>3476</v>
      </c>
      <c r="D687" s="2" t="s">
        <v>41</v>
      </c>
      <c r="E687" s="3">
        <v>45602</v>
      </c>
      <c r="F687" s="4">
        <v>664000</v>
      </c>
      <c r="G687" s="2" t="s">
        <v>42</v>
      </c>
      <c r="H687" s="2" t="s">
        <v>43</v>
      </c>
      <c r="K687" s="2" t="s">
        <v>3477</v>
      </c>
      <c r="L687" s="2" t="s">
        <v>3478</v>
      </c>
      <c r="M687" s="2" t="s">
        <v>3479</v>
      </c>
      <c r="N687" s="2" t="s">
        <v>48</v>
      </c>
      <c r="O687" s="2" t="s">
        <v>3480</v>
      </c>
      <c r="Q687" s="2" t="s">
        <v>3474</v>
      </c>
      <c r="S687" s="7" t="s">
        <v>5448</v>
      </c>
      <c r="T687" s="7" t="s">
        <v>5713</v>
      </c>
      <c r="U687" s="2" t="s">
        <v>6389</v>
      </c>
    </row>
    <row r="688" spans="1:21" ht="12.75" x14ac:dyDescent="0.2">
      <c r="A688" s="1">
        <v>45691.67962638889</v>
      </c>
      <c r="B688" s="2" t="s">
        <v>3481</v>
      </c>
      <c r="C688" s="2" t="s">
        <v>3482</v>
      </c>
      <c r="D688" s="2" t="s">
        <v>41</v>
      </c>
      <c r="E688" s="3">
        <v>45545</v>
      </c>
      <c r="F688" s="4">
        <v>65640</v>
      </c>
      <c r="G688" s="2" t="s">
        <v>42</v>
      </c>
      <c r="H688" s="2" t="s">
        <v>43</v>
      </c>
      <c r="K688" s="2" t="s">
        <v>3483</v>
      </c>
      <c r="L688" s="2" t="s">
        <v>3484</v>
      </c>
      <c r="M688" s="2" t="s">
        <v>3485</v>
      </c>
      <c r="N688" s="2" t="s">
        <v>48</v>
      </c>
      <c r="O688" s="2" t="s">
        <v>3486</v>
      </c>
      <c r="Q688" s="2" t="s">
        <v>3474</v>
      </c>
      <c r="S688" s="7" t="s">
        <v>5449</v>
      </c>
      <c r="T688" s="7" t="s">
        <v>5713</v>
      </c>
      <c r="U688" s="2" t="s">
        <v>6390</v>
      </c>
    </row>
    <row r="689" spans="1:21" ht="12.75" x14ac:dyDescent="0.2">
      <c r="A689" s="1">
        <v>45693.519729548614</v>
      </c>
      <c r="B689" s="2" t="s">
        <v>3487</v>
      </c>
      <c r="C689" s="2" t="s">
        <v>3488</v>
      </c>
      <c r="D689" s="2" t="s">
        <v>333</v>
      </c>
      <c r="E689" s="3">
        <v>45601</v>
      </c>
      <c r="F689" s="4">
        <v>693840</v>
      </c>
      <c r="G689" s="2" t="s">
        <v>326</v>
      </c>
      <c r="H689" s="2" t="s">
        <v>43</v>
      </c>
      <c r="J689" s="2" t="s">
        <v>3489</v>
      </c>
      <c r="K689" s="2" t="s">
        <v>3490</v>
      </c>
      <c r="L689" s="2" t="s">
        <v>3491</v>
      </c>
      <c r="M689" s="2" t="s">
        <v>3492</v>
      </c>
      <c r="N689" s="2" t="s">
        <v>337</v>
      </c>
      <c r="O689" s="2" t="s">
        <v>3493</v>
      </c>
      <c r="Q689" s="2" t="s">
        <v>3474</v>
      </c>
      <c r="S689" s="7" t="s">
        <v>5450</v>
      </c>
      <c r="T689" s="7" t="s">
        <v>5713</v>
      </c>
      <c r="U689" s="2" t="s">
        <v>6391</v>
      </c>
    </row>
    <row r="690" spans="1:21" ht="12.75" x14ac:dyDescent="0.2">
      <c r="A690" s="1">
        <v>45693.553730185187</v>
      </c>
      <c r="B690" s="2" t="s">
        <v>3494</v>
      </c>
      <c r="C690" s="2" t="s">
        <v>3495</v>
      </c>
      <c r="D690" s="2" t="s">
        <v>41</v>
      </c>
      <c r="E690" s="3">
        <v>45463</v>
      </c>
      <c r="F690" s="4">
        <v>104000</v>
      </c>
      <c r="G690" s="2" t="s">
        <v>42</v>
      </c>
      <c r="H690" s="2" t="s">
        <v>43</v>
      </c>
      <c r="K690" s="2" t="s">
        <v>3496</v>
      </c>
      <c r="L690" s="2" t="s">
        <v>3497</v>
      </c>
      <c r="M690" s="2" t="s">
        <v>3498</v>
      </c>
      <c r="N690" s="2" t="s">
        <v>48</v>
      </c>
      <c r="O690" s="2" t="s">
        <v>3499</v>
      </c>
      <c r="Q690" s="2" t="s">
        <v>3474</v>
      </c>
      <c r="S690" s="7" t="s">
        <v>5451</v>
      </c>
      <c r="T690" s="7" t="s">
        <v>5713</v>
      </c>
      <c r="U690" s="2" t="s">
        <v>6392</v>
      </c>
    </row>
    <row r="691" spans="1:21" ht="12.75" x14ac:dyDescent="0.2">
      <c r="A691" s="1">
        <v>45693.694091770834</v>
      </c>
      <c r="B691" s="2" t="s">
        <v>114</v>
      </c>
      <c r="C691" s="2" t="s">
        <v>3500</v>
      </c>
      <c r="D691" s="2" t="s">
        <v>333</v>
      </c>
      <c r="E691" s="3">
        <v>45489</v>
      </c>
      <c r="F691" s="4">
        <v>164800</v>
      </c>
      <c r="G691" s="2" t="s">
        <v>326</v>
      </c>
      <c r="H691" s="2" t="s">
        <v>43</v>
      </c>
      <c r="J691" s="2" t="s">
        <v>3394</v>
      </c>
      <c r="K691" s="2" t="s">
        <v>3501</v>
      </c>
      <c r="L691" s="2" t="s">
        <v>3502</v>
      </c>
      <c r="M691" s="2" t="s">
        <v>3503</v>
      </c>
      <c r="N691" s="2" t="s">
        <v>337</v>
      </c>
      <c r="O691" s="2" t="s">
        <v>119</v>
      </c>
      <c r="Q691" s="2" t="s">
        <v>3474</v>
      </c>
      <c r="S691" s="7" t="s">
        <v>5452</v>
      </c>
      <c r="T691" s="7" t="s">
        <v>5713</v>
      </c>
      <c r="U691" s="2" t="s">
        <v>6393</v>
      </c>
    </row>
    <row r="692" spans="1:21" ht="12.75" x14ac:dyDescent="0.2">
      <c r="A692" s="1">
        <v>45693.742192928243</v>
      </c>
      <c r="B692" s="2" t="s">
        <v>3504</v>
      </c>
      <c r="C692" s="2" t="s">
        <v>3505</v>
      </c>
      <c r="D692" s="2" t="s">
        <v>223</v>
      </c>
      <c r="E692" s="3">
        <v>45597</v>
      </c>
      <c r="F692" s="4">
        <v>450</v>
      </c>
      <c r="G692" s="2" t="s">
        <v>42</v>
      </c>
      <c r="H692" s="2" t="s">
        <v>43</v>
      </c>
      <c r="K692" s="2" t="s">
        <v>3506</v>
      </c>
      <c r="L692" s="2" t="s">
        <v>3507</v>
      </c>
      <c r="M692" s="2" t="s">
        <v>3508</v>
      </c>
      <c r="N692" s="2" t="s">
        <v>228</v>
      </c>
      <c r="O692" s="2" t="s">
        <v>3509</v>
      </c>
      <c r="Q692" s="2" t="s">
        <v>3474</v>
      </c>
      <c r="S692" s="7" t="s">
        <v>5453</v>
      </c>
      <c r="T692" s="7" t="s">
        <v>5713</v>
      </c>
      <c r="U692" s="2" t="s">
        <v>6394</v>
      </c>
    </row>
    <row r="693" spans="1:21" ht="12.75" x14ac:dyDescent="0.2">
      <c r="A693" s="1">
        <v>45694.6442153588</v>
      </c>
      <c r="B693" s="2" t="s">
        <v>730</v>
      </c>
      <c r="C693" s="2" t="s">
        <v>3510</v>
      </c>
      <c r="D693" s="2" t="s">
        <v>672</v>
      </c>
      <c r="E693" s="3">
        <v>45590</v>
      </c>
      <c r="F693" s="4">
        <v>760</v>
      </c>
      <c r="G693" s="2" t="s">
        <v>42</v>
      </c>
      <c r="H693" s="2" t="s">
        <v>1665</v>
      </c>
      <c r="K693" s="2" t="s">
        <v>3511</v>
      </c>
      <c r="L693" s="2" t="s">
        <v>3512</v>
      </c>
      <c r="M693" s="2" t="s">
        <v>3513</v>
      </c>
      <c r="N693" s="2" t="s">
        <v>676</v>
      </c>
      <c r="O693" s="2" t="s">
        <v>735</v>
      </c>
      <c r="Q693" s="2" t="s">
        <v>3474</v>
      </c>
      <c r="S693" s="7" t="s">
        <v>5454</v>
      </c>
      <c r="T693" s="7" t="s">
        <v>5713</v>
      </c>
      <c r="U693" s="2" t="s">
        <v>6395</v>
      </c>
    </row>
    <row r="694" spans="1:21" ht="12.75" x14ac:dyDescent="0.2">
      <c r="A694" s="1">
        <v>45695.587128888888</v>
      </c>
      <c r="B694" s="2" t="s">
        <v>3514</v>
      </c>
      <c r="C694" s="2" t="s">
        <v>3515</v>
      </c>
      <c r="D694" s="2" t="s">
        <v>223</v>
      </c>
      <c r="E694" s="3">
        <v>45474</v>
      </c>
      <c r="F694" s="4">
        <v>300</v>
      </c>
      <c r="G694" s="2" t="s">
        <v>143</v>
      </c>
      <c r="H694" s="2" t="s">
        <v>43</v>
      </c>
      <c r="J694" s="2" t="s">
        <v>3516</v>
      </c>
      <c r="K694" s="2" t="s">
        <v>3517</v>
      </c>
      <c r="L694" s="2" t="s">
        <v>3518</v>
      </c>
      <c r="M694" s="2" t="s">
        <v>3519</v>
      </c>
      <c r="N694" s="2" t="s">
        <v>228</v>
      </c>
      <c r="O694" s="2" t="s">
        <v>3520</v>
      </c>
      <c r="Q694" s="2" t="s">
        <v>3474</v>
      </c>
      <c r="S694" s="7" t="s">
        <v>5455</v>
      </c>
      <c r="T694" s="7" t="s">
        <v>5713</v>
      </c>
      <c r="U694" s="2" t="s">
        <v>6396</v>
      </c>
    </row>
    <row r="695" spans="1:21" ht="12.75" x14ac:dyDescent="0.2">
      <c r="A695" s="1">
        <v>45696.583517314815</v>
      </c>
      <c r="B695" s="2" t="s">
        <v>3521</v>
      </c>
      <c r="C695" s="2" t="s">
        <v>3522</v>
      </c>
      <c r="D695" s="2" t="s">
        <v>672</v>
      </c>
      <c r="E695" s="3">
        <v>45625</v>
      </c>
      <c r="F695" s="4">
        <v>1900</v>
      </c>
      <c r="G695" s="2" t="s">
        <v>143</v>
      </c>
      <c r="H695" s="2" t="s">
        <v>1665</v>
      </c>
      <c r="K695" s="2" t="s">
        <v>3523</v>
      </c>
      <c r="L695" s="2" t="s">
        <v>3524</v>
      </c>
      <c r="M695" s="2" t="s">
        <v>3525</v>
      </c>
      <c r="N695" s="2" t="s">
        <v>676</v>
      </c>
      <c r="O695" s="2" t="s">
        <v>3526</v>
      </c>
      <c r="Q695" s="2" t="s">
        <v>3474</v>
      </c>
      <c r="S695" s="7" t="s">
        <v>5456</v>
      </c>
      <c r="T695" s="7" t="s">
        <v>5713</v>
      </c>
      <c r="U695" s="2" t="s">
        <v>6397</v>
      </c>
    </row>
    <row r="696" spans="1:21" ht="12.75" x14ac:dyDescent="0.2">
      <c r="A696" s="1">
        <v>45696.587048379632</v>
      </c>
      <c r="B696" s="2" t="s">
        <v>3527</v>
      </c>
      <c r="C696" s="2" t="s">
        <v>2371</v>
      </c>
      <c r="D696" s="2" t="s">
        <v>333</v>
      </c>
      <c r="E696" s="3">
        <v>45621</v>
      </c>
      <c r="F696" s="4">
        <v>2850</v>
      </c>
      <c r="G696" s="2" t="s">
        <v>143</v>
      </c>
      <c r="H696" s="2" t="s">
        <v>1665</v>
      </c>
      <c r="K696" s="2" t="s">
        <v>3528</v>
      </c>
      <c r="L696" s="2" t="s">
        <v>3529</v>
      </c>
      <c r="M696" s="2" t="s">
        <v>3530</v>
      </c>
      <c r="N696" s="2" t="s">
        <v>337</v>
      </c>
      <c r="O696" s="2" t="s">
        <v>3531</v>
      </c>
      <c r="Q696" s="2" t="s">
        <v>3474</v>
      </c>
      <c r="S696" s="7" t="s">
        <v>5457</v>
      </c>
      <c r="T696" s="7" t="s">
        <v>5713</v>
      </c>
      <c r="U696" s="2" t="s">
        <v>6398</v>
      </c>
    </row>
    <row r="697" spans="1:21" ht="12.75" x14ac:dyDescent="0.2">
      <c r="A697" s="1">
        <v>45696.593076979167</v>
      </c>
      <c r="B697" s="2" t="s">
        <v>477</v>
      </c>
      <c r="C697" s="2" t="s">
        <v>3532</v>
      </c>
      <c r="D697" s="2" t="s">
        <v>223</v>
      </c>
      <c r="E697" s="3">
        <v>45047</v>
      </c>
      <c r="F697" s="4">
        <v>250</v>
      </c>
      <c r="G697" s="2" t="s">
        <v>143</v>
      </c>
      <c r="H697" s="2" t="s">
        <v>43</v>
      </c>
      <c r="K697" s="2" t="s">
        <v>3533</v>
      </c>
      <c r="L697" s="2" t="s">
        <v>3534</v>
      </c>
      <c r="M697" s="2" t="s">
        <v>3535</v>
      </c>
      <c r="N697" s="2" t="s">
        <v>228</v>
      </c>
      <c r="O697" s="2" t="s">
        <v>482</v>
      </c>
      <c r="Q697" s="2" t="s">
        <v>3474</v>
      </c>
      <c r="S697" s="7" t="s">
        <v>5458</v>
      </c>
      <c r="T697" s="7" t="s">
        <v>5713</v>
      </c>
      <c r="U697" s="2" t="s">
        <v>6399</v>
      </c>
    </row>
    <row r="698" spans="1:21" ht="12.75" x14ac:dyDescent="0.2">
      <c r="A698" s="1">
        <v>45696.596443113427</v>
      </c>
      <c r="B698" s="2" t="s">
        <v>3536</v>
      </c>
      <c r="C698" s="2" t="s">
        <v>3537</v>
      </c>
      <c r="D698" s="2" t="s">
        <v>333</v>
      </c>
      <c r="E698" s="3">
        <v>45581</v>
      </c>
      <c r="F698" s="4">
        <v>4716</v>
      </c>
      <c r="G698" s="2" t="s">
        <v>143</v>
      </c>
      <c r="H698" s="2" t="s">
        <v>1665</v>
      </c>
      <c r="K698" s="2" t="s">
        <v>3538</v>
      </c>
      <c r="L698" s="2" t="s">
        <v>3539</v>
      </c>
      <c r="M698" s="2" t="s">
        <v>3540</v>
      </c>
      <c r="N698" s="2" t="s">
        <v>337</v>
      </c>
      <c r="O698" s="2" t="s">
        <v>3541</v>
      </c>
      <c r="Q698" s="2" t="s">
        <v>3474</v>
      </c>
      <c r="S698" s="7" t="s">
        <v>5459</v>
      </c>
      <c r="T698" s="7" t="s">
        <v>5713</v>
      </c>
      <c r="U698" s="2" t="s">
        <v>6400</v>
      </c>
    </row>
    <row r="699" spans="1:21" ht="12.75" x14ac:dyDescent="0.2">
      <c r="A699" s="1">
        <v>45696.599962060187</v>
      </c>
      <c r="B699" s="2" t="s">
        <v>3542</v>
      </c>
      <c r="C699" s="2" t="s">
        <v>3543</v>
      </c>
      <c r="D699" s="2" t="s">
        <v>333</v>
      </c>
      <c r="E699" s="3">
        <v>45559</v>
      </c>
      <c r="F699" s="4">
        <v>1900</v>
      </c>
      <c r="G699" s="2" t="s">
        <v>143</v>
      </c>
      <c r="H699" s="2" t="s">
        <v>1665</v>
      </c>
      <c r="K699" s="2" t="s">
        <v>3544</v>
      </c>
      <c r="L699" s="2" t="s">
        <v>3545</v>
      </c>
      <c r="M699" s="2" t="s">
        <v>3546</v>
      </c>
      <c r="N699" s="2" t="s">
        <v>337</v>
      </c>
      <c r="O699" s="2" t="s">
        <v>3547</v>
      </c>
      <c r="Q699" s="2" t="s">
        <v>3474</v>
      </c>
      <c r="S699" s="7" t="s">
        <v>5460</v>
      </c>
      <c r="T699" s="7" t="s">
        <v>5713</v>
      </c>
      <c r="U699" s="2" t="s">
        <v>6401</v>
      </c>
    </row>
    <row r="700" spans="1:21" ht="12.75" x14ac:dyDescent="0.2">
      <c r="A700" s="1">
        <v>45696.645633252316</v>
      </c>
      <c r="B700" s="2" t="s">
        <v>3548</v>
      </c>
      <c r="C700" s="2" t="s">
        <v>3549</v>
      </c>
      <c r="D700" s="2" t="s">
        <v>333</v>
      </c>
      <c r="E700" s="3">
        <v>45489</v>
      </c>
      <c r="F700" s="4">
        <v>950</v>
      </c>
      <c r="G700" s="2" t="s">
        <v>143</v>
      </c>
      <c r="H700" s="2" t="s">
        <v>1665</v>
      </c>
      <c r="K700" s="2" t="s">
        <v>3550</v>
      </c>
      <c r="L700" s="2" t="s">
        <v>3551</v>
      </c>
      <c r="M700" s="2" t="s">
        <v>3552</v>
      </c>
      <c r="N700" s="2" t="s">
        <v>337</v>
      </c>
      <c r="O700" s="2" t="s">
        <v>3553</v>
      </c>
      <c r="Q700" s="2" t="s">
        <v>3474</v>
      </c>
      <c r="S700" s="7" t="s">
        <v>5461</v>
      </c>
      <c r="T700" s="7" t="s">
        <v>5713</v>
      </c>
      <c r="U700" s="2" t="s">
        <v>6402</v>
      </c>
    </row>
    <row r="701" spans="1:21" ht="12.75" x14ac:dyDescent="0.2">
      <c r="A701" s="1">
        <v>45696.647675902779</v>
      </c>
      <c r="B701" s="2" t="s">
        <v>3554</v>
      </c>
      <c r="C701" s="2" t="s">
        <v>3555</v>
      </c>
      <c r="D701" s="2" t="s">
        <v>333</v>
      </c>
      <c r="E701" s="3">
        <v>45485</v>
      </c>
      <c r="F701" s="4">
        <v>500</v>
      </c>
      <c r="G701" s="2" t="s">
        <v>143</v>
      </c>
      <c r="H701" s="2" t="s">
        <v>1665</v>
      </c>
      <c r="K701" s="2" t="s">
        <v>3556</v>
      </c>
      <c r="L701" s="2" t="s">
        <v>3557</v>
      </c>
      <c r="M701" s="2" t="s">
        <v>3558</v>
      </c>
      <c r="N701" s="2" t="s">
        <v>337</v>
      </c>
      <c r="O701" s="2" t="s">
        <v>3559</v>
      </c>
      <c r="Q701" s="2" t="s">
        <v>3474</v>
      </c>
      <c r="S701" s="7" t="s">
        <v>5462</v>
      </c>
      <c r="T701" s="7" t="s">
        <v>5713</v>
      </c>
      <c r="U701" s="2" t="s">
        <v>6403</v>
      </c>
    </row>
    <row r="702" spans="1:21" ht="12.75" x14ac:dyDescent="0.2">
      <c r="A702" s="1">
        <v>45696.650704421292</v>
      </c>
      <c r="B702" s="2" t="s">
        <v>3560</v>
      </c>
      <c r="C702" s="2" t="s">
        <v>3561</v>
      </c>
      <c r="D702" s="2" t="s">
        <v>333</v>
      </c>
      <c r="E702" s="3">
        <v>45444</v>
      </c>
      <c r="F702" s="4">
        <v>1300</v>
      </c>
      <c r="G702" s="2" t="s">
        <v>143</v>
      </c>
      <c r="H702" s="2" t="s">
        <v>1665</v>
      </c>
      <c r="K702" s="2" t="s">
        <v>3562</v>
      </c>
      <c r="L702" s="2" t="s">
        <v>3563</v>
      </c>
      <c r="M702" s="2" t="s">
        <v>3564</v>
      </c>
      <c r="N702" s="2" t="s">
        <v>337</v>
      </c>
      <c r="O702" s="2" t="s">
        <v>3565</v>
      </c>
      <c r="Q702" s="2" t="s">
        <v>3474</v>
      </c>
      <c r="S702" s="7" t="s">
        <v>5463</v>
      </c>
      <c r="T702" s="7" t="s">
        <v>5713</v>
      </c>
      <c r="U702" s="2" t="s">
        <v>6404</v>
      </c>
    </row>
    <row r="703" spans="1:21" ht="12.75" x14ac:dyDescent="0.2">
      <c r="A703" s="1">
        <v>45696.652704976848</v>
      </c>
      <c r="B703" s="2" t="s">
        <v>3566</v>
      </c>
      <c r="C703" s="2" t="s">
        <v>3567</v>
      </c>
      <c r="D703" s="2" t="s">
        <v>333</v>
      </c>
      <c r="E703" s="3">
        <v>45460</v>
      </c>
      <c r="F703" s="4">
        <v>1850</v>
      </c>
      <c r="G703" s="2" t="s">
        <v>143</v>
      </c>
      <c r="H703" s="2" t="s">
        <v>1665</v>
      </c>
      <c r="K703" s="2" t="s">
        <v>3568</v>
      </c>
      <c r="L703" s="2" t="s">
        <v>3569</v>
      </c>
      <c r="M703" s="2" t="s">
        <v>3570</v>
      </c>
      <c r="N703" s="2" t="s">
        <v>337</v>
      </c>
      <c r="O703" s="2" t="s">
        <v>3571</v>
      </c>
      <c r="Q703" s="2" t="s">
        <v>3474</v>
      </c>
      <c r="S703" s="7" t="s">
        <v>5464</v>
      </c>
      <c r="T703" s="7" t="s">
        <v>5713</v>
      </c>
      <c r="U703" s="2" t="s">
        <v>6405</v>
      </c>
    </row>
    <row r="704" spans="1:21" ht="12.75" x14ac:dyDescent="0.2">
      <c r="A704" s="1">
        <v>45696.662651238425</v>
      </c>
      <c r="B704" s="2" t="s">
        <v>3572</v>
      </c>
      <c r="C704" s="2" t="s">
        <v>3573</v>
      </c>
      <c r="D704" s="2" t="s">
        <v>333</v>
      </c>
      <c r="E704" s="3">
        <v>45456</v>
      </c>
      <c r="F704" s="4">
        <v>1900</v>
      </c>
      <c r="G704" s="2" t="s">
        <v>143</v>
      </c>
      <c r="H704" s="2" t="s">
        <v>1665</v>
      </c>
      <c r="K704" s="2" t="s">
        <v>3574</v>
      </c>
      <c r="L704" s="2" t="s">
        <v>3575</v>
      </c>
      <c r="M704" s="2" t="s">
        <v>3576</v>
      </c>
      <c r="N704" s="2" t="s">
        <v>337</v>
      </c>
      <c r="O704" s="2" t="s">
        <v>3577</v>
      </c>
      <c r="Q704" s="2" t="s">
        <v>3474</v>
      </c>
      <c r="S704" s="7" t="s">
        <v>5465</v>
      </c>
      <c r="T704" s="7" t="s">
        <v>5713</v>
      </c>
      <c r="U704" s="2" t="s">
        <v>6406</v>
      </c>
    </row>
    <row r="705" spans="1:21" ht="12.75" x14ac:dyDescent="0.2">
      <c r="A705" s="1">
        <v>45696.665667800931</v>
      </c>
      <c r="B705" s="2" t="s">
        <v>3578</v>
      </c>
      <c r="C705" s="2" t="s">
        <v>3579</v>
      </c>
      <c r="D705" s="2" t="s">
        <v>333</v>
      </c>
      <c r="E705" s="3">
        <v>45436</v>
      </c>
      <c r="F705" s="4">
        <v>8500</v>
      </c>
      <c r="G705" s="2" t="s">
        <v>143</v>
      </c>
      <c r="H705" s="2" t="s">
        <v>1665</v>
      </c>
      <c r="K705" s="2" t="s">
        <v>3580</v>
      </c>
      <c r="L705" s="2" t="s">
        <v>3581</v>
      </c>
      <c r="M705" s="2" t="s">
        <v>3582</v>
      </c>
      <c r="N705" s="2" t="s">
        <v>337</v>
      </c>
      <c r="O705" s="2" t="s">
        <v>3583</v>
      </c>
      <c r="Q705" s="2" t="s">
        <v>3474</v>
      </c>
      <c r="S705" s="7" t="s">
        <v>5466</v>
      </c>
      <c r="T705" s="7" t="s">
        <v>5713</v>
      </c>
      <c r="U705" s="2" t="s">
        <v>6407</v>
      </c>
    </row>
    <row r="706" spans="1:21" ht="12.75" x14ac:dyDescent="0.2">
      <c r="A706" s="1">
        <v>45696.668367939812</v>
      </c>
      <c r="B706" s="2" t="s">
        <v>3584</v>
      </c>
      <c r="C706" s="2" t="s">
        <v>3585</v>
      </c>
      <c r="D706" s="2" t="s">
        <v>333</v>
      </c>
      <c r="E706" s="3">
        <v>45427</v>
      </c>
      <c r="F706" s="4">
        <v>2450</v>
      </c>
      <c r="G706" s="2" t="s">
        <v>143</v>
      </c>
      <c r="H706" s="2" t="s">
        <v>1665</v>
      </c>
      <c r="K706" s="2" t="s">
        <v>3586</v>
      </c>
      <c r="L706" s="2" t="s">
        <v>3587</v>
      </c>
      <c r="M706" s="2" t="s">
        <v>3588</v>
      </c>
      <c r="N706" s="2" t="s">
        <v>337</v>
      </c>
      <c r="O706" s="2" t="s">
        <v>3589</v>
      </c>
      <c r="Q706" s="2" t="s">
        <v>3474</v>
      </c>
      <c r="S706" s="7" t="s">
        <v>5467</v>
      </c>
      <c r="T706" s="7" t="s">
        <v>5713</v>
      </c>
      <c r="U706" s="2" t="s">
        <v>6408</v>
      </c>
    </row>
    <row r="707" spans="1:21" ht="12.75" x14ac:dyDescent="0.2">
      <c r="A707" s="1">
        <v>45696.672834456018</v>
      </c>
      <c r="B707" s="2" t="s">
        <v>3590</v>
      </c>
      <c r="C707" s="2" t="s">
        <v>3591</v>
      </c>
      <c r="D707" s="2" t="s">
        <v>223</v>
      </c>
      <c r="E707" s="3">
        <v>45292</v>
      </c>
      <c r="F707" s="4">
        <v>200</v>
      </c>
      <c r="G707" s="2" t="s">
        <v>143</v>
      </c>
      <c r="H707" s="2" t="s">
        <v>43</v>
      </c>
      <c r="K707" s="2" t="s">
        <v>3592</v>
      </c>
      <c r="L707" s="2" t="s">
        <v>3593</v>
      </c>
      <c r="M707" s="2" t="s">
        <v>3594</v>
      </c>
      <c r="N707" s="2" t="s">
        <v>228</v>
      </c>
      <c r="O707" s="2" t="s">
        <v>3595</v>
      </c>
      <c r="Q707" s="2" t="s">
        <v>3474</v>
      </c>
      <c r="S707" s="7" t="s">
        <v>5468</v>
      </c>
      <c r="T707" s="7" t="s">
        <v>5713</v>
      </c>
      <c r="U707" s="2" t="s">
        <v>6409</v>
      </c>
    </row>
    <row r="708" spans="1:21" ht="12.75" x14ac:dyDescent="0.2">
      <c r="A708" s="1">
        <v>45696.676402418976</v>
      </c>
      <c r="B708" s="2" t="s">
        <v>3596</v>
      </c>
      <c r="C708" s="2" t="s">
        <v>3597</v>
      </c>
      <c r="D708" s="2" t="s">
        <v>333</v>
      </c>
      <c r="E708" s="3">
        <v>45597</v>
      </c>
      <c r="F708" s="4">
        <v>2850</v>
      </c>
      <c r="G708" s="2" t="s">
        <v>143</v>
      </c>
      <c r="H708" s="2" t="s">
        <v>1665</v>
      </c>
      <c r="K708" s="2" t="s">
        <v>3598</v>
      </c>
      <c r="L708" s="2" t="s">
        <v>3599</v>
      </c>
      <c r="M708" s="2" t="s">
        <v>3600</v>
      </c>
      <c r="N708" s="2" t="s">
        <v>337</v>
      </c>
      <c r="O708" s="2" t="s">
        <v>3601</v>
      </c>
      <c r="Q708" s="2" t="s">
        <v>3474</v>
      </c>
      <c r="S708" s="7" t="s">
        <v>5469</v>
      </c>
      <c r="T708" s="7" t="s">
        <v>5713</v>
      </c>
      <c r="U708" s="2" t="s">
        <v>6410</v>
      </c>
    </row>
    <row r="709" spans="1:21" ht="12.75" x14ac:dyDescent="0.2">
      <c r="A709" s="1">
        <v>45696.679199560182</v>
      </c>
      <c r="B709" s="2" t="s">
        <v>2370</v>
      </c>
      <c r="C709" s="2" t="s">
        <v>3602</v>
      </c>
      <c r="D709" s="2" t="s">
        <v>333</v>
      </c>
      <c r="E709" s="3">
        <v>45272</v>
      </c>
      <c r="F709" s="4">
        <v>4948</v>
      </c>
      <c r="G709" s="2" t="s">
        <v>42</v>
      </c>
      <c r="H709" s="2" t="s">
        <v>1665</v>
      </c>
      <c r="K709" s="2" t="s">
        <v>3603</v>
      </c>
      <c r="L709" s="2" t="s">
        <v>3604</v>
      </c>
      <c r="M709" s="2" t="s">
        <v>3605</v>
      </c>
      <c r="N709" s="2" t="s">
        <v>337</v>
      </c>
      <c r="O709" s="2" t="s">
        <v>2375</v>
      </c>
      <c r="Q709" s="2" t="s">
        <v>3474</v>
      </c>
      <c r="S709" s="7" t="s">
        <v>5470</v>
      </c>
      <c r="T709" s="7" t="s">
        <v>5713</v>
      </c>
      <c r="U709" s="2" t="s">
        <v>6411</v>
      </c>
    </row>
    <row r="710" spans="1:21" ht="12.75" x14ac:dyDescent="0.2">
      <c r="A710" s="1">
        <v>45696.690931990743</v>
      </c>
      <c r="B710" s="2" t="s">
        <v>3606</v>
      </c>
      <c r="C710" s="2" t="s">
        <v>3607</v>
      </c>
      <c r="D710" s="2" t="s">
        <v>333</v>
      </c>
      <c r="E710" s="3">
        <v>45084</v>
      </c>
      <c r="F710" s="4">
        <v>4919</v>
      </c>
      <c r="G710" s="2" t="s">
        <v>42</v>
      </c>
      <c r="H710" s="2" t="s">
        <v>1665</v>
      </c>
      <c r="K710" s="2" t="s">
        <v>3608</v>
      </c>
      <c r="L710" s="2" t="s">
        <v>3609</v>
      </c>
      <c r="M710" s="2" t="s">
        <v>3610</v>
      </c>
      <c r="N710" s="2" t="s">
        <v>337</v>
      </c>
      <c r="O710" s="2" t="s">
        <v>3611</v>
      </c>
      <c r="Q710" s="2" t="s">
        <v>3474</v>
      </c>
      <c r="S710" s="7" t="s">
        <v>5471</v>
      </c>
      <c r="T710" s="7" t="s">
        <v>5713</v>
      </c>
      <c r="U710" s="2" t="s">
        <v>6412</v>
      </c>
    </row>
    <row r="711" spans="1:21" ht="12.75" x14ac:dyDescent="0.2">
      <c r="A711" s="1">
        <v>45696.702408449069</v>
      </c>
      <c r="B711" s="2" t="s">
        <v>3612</v>
      </c>
      <c r="C711" s="2" t="s">
        <v>3613</v>
      </c>
      <c r="D711" s="2" t="s">
        <v>333</v>
      </c>
      <c r="E711" s="3">
        <v>45159</v>
      </c>
      <c r="F711" s="4">
        <v>2230</v>
      </c>
      <c r="G711" s="2" t="s">
        <v>143</v>
      </c>
      <c r="H711" s="2" t="s">
        <v>1665</v>
      </c>
      <c r="K711" s="2" t="s">
        <v>3614</v>
      </c>
      <c r="L711" s="2" t="s">
        <v>3615</v>
      </c>
      <c r="M711" s="2" t="s">
        <v>3616</v>
      </c>
      <c r="N711" s="2" t="s">
        <v>337</v>
      </c>
      <c r="O711" s="2" t="s">
        <v>3617</v>
      </c>
      <c r="Q711" s="2" t="s">
        <v>3474</v>
      </c>
      <c r="S711" s="7" t="s">
        <v>5472</v>
      </c>
      <c r="T711" s="7" t="s">
        <v>5713</v>
      </c>
      <c r="U711" s="2" t="s">
        <v>6413</v>
      </c>
    </row>
    <row r="712" spans="1:21" ht="12.75" x14ac:dyDescent="0.2">
      <c r="A712" s="1">
        <v>45696.70724585648</v>
      </c>
      <c r="B712" s="2" t="s">
        <v>3618</v>
      </c>
      <c r="C712" s="2" t="s">
        <v>3619</v>
      </c>
      <c r="D712" s="2" t="s">
        <v>333</v>
      </c>
      <c r="E712" s="3">
        <v>45048</v>
      </c>
      <c r="F712" s="4">
        <v>775</v>
      </c>
      <c r="G712" s="2" t="s">
        <v>42</v>
      </c>
      <c r="H712" s="2" t="s">
        <v>1665</v>
      </c>
      <c r="K712" s="2" t="s">
        <v>3620</v>
      </c>
      <c r="L712" s="2" t="s">
        <v>3621</v>
      </c>
      <c r="M712" s="2" t="s">
        <v>3622</v>
      </c>
      <c r="N712" s="2" t="s">
        <v>337</v>
      </c>
      <c r="O712" s="2" t="s">
        <v>3623</v>
      </c>
      <c r="Q712" s="2" t="s">
        <v>3474</v>
      </c>
      <c r="S712" s="7" t="s">
        <v>5473</v>
      </c>
      <c r="T712" s="7" t="s">
        <v>5713</v>
      </c>
      <c r="U712" s="2" t="s">
        <v>6414</v>
      </c>
    </row>
    <row r="713" spans="1:21" ht="12.75" x14ac:dyDescent="0.2">
      <c r="A713" s="1">
        <v>45696.715670740741</v>
      </c>
      <c r="B713" s="2" t="s">
        <v>3624</v>
      </c>
      <c r="C713" s="2" t="s">
        <v>3625</v>
      </c>
      <c r="D713" s="2" t="s">
        <v>333</v>
      </c>
      <c r="E713" s="3">
        <v>45537</v>
      </c>
      <c r="F713" s="4">
        <v>2200</v>
      </c>
      <c r="G713" s="2" t="s">
        <v>143</v>
      </c>
      <c r="H713" s="2" t="s">
        <v>1665</v>
      </c>
      <c r="K713" s="2" t="s">
        <v>3626</v>
      </c>
      <c r="L713" s="2" t="s">
        <v>3627</v>
      </c>
      <c r="M713" s="2" t="s">
        <v>3628</v>
      </c>
      <c r="N713" s="2" t="s">
        <v>337</v>
      </c>
      <c r="O713" s="2" t="s">
        <v>3629</v>
      </c>
      <c r="Q713" s="2" t="s">
        <v>3474</v>
      </c>
      <c r="S713" s="7" t="s">
        <v>5474</v>
      </c>
      <c r="T713" s="7" t="s">
        <v>5713</v>
      </c>
      <c r="U713" s="2" t="s">
        <v>6415</v>
      </c>
    </row>
    <row r="714" spans="1:21" ht="12.75" x14ac:dyDescent="0.2">
      <c r="A714" s="1">
        <v>45696.723737499997</v>
      </c>
      <c r="B714" s="2" t="s">
        <v>3630</v>
      </c>
      <c r="C714" s="2" t="s">
        <v>3631</v>
      </c>
      <c r="D714" s="2" t="s">
        <v>333</v>
      </c>
      <c r="E714" s="3">
        <v>45495</v>
      </c>
      <c r="F714" s="4">
        <v>7964</v>
      </c>
      <c r="G714" s="2" t="s">
        <v>143</v>
      </c>
      <c r="H714" s="2" t="s">
        <v>1665</v>
      </c>
      <c r="K714" s="2" t="s">
        <v>3632</v>
      </c>
      <c r="L714" s="2" t="s">
        <v>3633</v>
      </c>
      <c r="M714" s="2" t="s">
        <v>3634</v>
      </c>
      <c r="N714" s="2" t="s">
        <v>337</v>
      </c>
      <c r="O714" s="2" t="s">
        <v>3635</v>
      </c>
      <c r="Q714" s="2" t="s">
        <v>3474</v>
      </c>
      <c r="S714" s="7" t="s">
        <v>5475</v>
      </c>
      <c r="T714" s="7" t="s">
        <v>5713</v>
      </c>
      <c r="U714" s="2" t="s">
        <v>6416</v>
      </c>
    </row>
    <row r="715" spans="1:21" ht="12.75" x14ac:dyDescent="0.2">
      <c r="A715" s="1">
        <v>45698.566032013885</v>
      </c>
      <c r="B715" s="2" t="s">
        <v>3636</v>
      </c>
      <c r="C715" s="2" t="s">
        <v>3637</v>
      </c>
      <c r="D715" s="2" t="s">
        <v>223</v>
      </c>
      <c r="E715" s="3">
        <v>44937</v>
      </c>
      <c r="F715" s="4">
        <v>800</v>
      </c>
      <c r="G715" s="2" t="s">
        <v>143</v>
      </c>
      <c r="H715" s="2" t="s">
        <v>43</v>
      </c>
      <c r="K715" s="2" t="s">
        <v>3638</v>
      </c>
      <c r="L715" s="2" t="s">
        <v>3639</v>
      </c>
      <c r="M715" s="2" t="s">
        <v>3640</v>
      </c>
      <c r="N715" s="2" t="s">
        <v>228</v>
      </c>
      <c r="O715" s="2" t="s">
        <v>3641</v>
      </c>
      <c r="Q715" s="2" t="s">
        <v>3474</v>
      </c>
      <c r="S715" s="7" t="s">
        <v>5476</v>
      </c>
      <c r="T715" s="7" t="s">
        <v>5713</v>
      </c>
      <c r="U715" s="2" t="s">
        <v>6417</v>
      </c>
    </row>
    <row r="716" spans="1:21" ht="12.75" x14ac:dyDescent="0.2">
      <c r="A716" s="1">
        <v>45698.566032013885</v>
      </c>
      <c r="B716" s="2" t="s">
        <v>3636</v>
      </c>
      <c r="C716" s="2" t="s">
        <v>3642</v>
      </c>
      <c r="D716" s="2" t="s">
        <v>223</v>
      </c>
      <c r="E716" s="3">
        <v>44937</v>
      </c>
      <c r="F716" s="4">
        <v>400</v>
      </c>
      <c r="G716" s="2" t="s">
        <v>143</v>
      </c>
      <c r="H716" s="2" t="s">
        <v>43</v>
      </c>
      <c r="K716" s="2" t="s">
        <v>3643</v>
      </c>
      <c r="L716" s="2" t="s">
        <v>3644</v>
      </c>
      <c r="M716" s="2" t="s">
        <v>3645</v>
      </c>
      <c r="N716" s="2" t="s">
        <v>228</v>
      </c>
      <c r="O716" s="2" t="s">
        <v>3641</v>
      </c>
      <c r="Q716" s="2" t="s">
        <v>3474</v>
      </c>
      <c r="S716" s="7" t="s">
        <v>5477</v>
      </c>
      <c r="T716" s="7" t="s">
        <v>5713</v>
      </c>
      <c r="U716" s="2" t="s">
        <v>6418</v>
      </c>
    </row>
    <row r="717" spans="1:21" ht="12.75" x14ac:dyDescent="0.2">
      <c r="A717" s="1">
        <v>45698.566032013885</v>
      </c>
      <c r="B717" s="2" t="s">
        <v>3636</v>
      </c>
      <c r="C717" s="2" t="s">
        <v>3646</v>
      </c>
      <c r="D717" s="2" t="s">
        <v>223</v>
      </c>
      <c r="E717" s="3">
        <v>44937</v>
      </c>
      <c r="F717" s="4">
        <v>400</v>
      </c>
      <c r="G717" s="2" t="s">
        <v>143</v>
      </c>
      <c r="H717" s="2" t="s">
        <v>43</v>
      </c>
      <c r="K717" s="2" t="s">
        <v>3647</v>
      </c>
      <c r="L717" s="2" t="s">
        <v>3648</v>
      </c>
      <c r="M717" s="2" t="s">
        <v>3649</v>
      </c>
      <c r="N717" s="2" t="s">
        <v>228</v>
      </c>
      <c r="O717" s="2" t="s">
        <v>3641</v>
      </c>
      <c r="Q717" s="2" t="s">
        <v>3474</v>
      </c>
      <c r="S717" s="7" t="s">
        <v>5478</v>
      </c>
      <c r="T717" s="7" t="s">
        <v>5713</v>
      </c>
      <c r="U717" s="2" t="s">
        <v>6419</v>
      </c>
    </row>
    <row r="718" spans="1:21" ht="12.75" x14ac:dyDescent="0.2">
      <c r="A718" s="1">
        <v>45698.566032013885</v>
      </c>
      <c r="B718" s="2" t="s">
        <v>3636</v>
      </c>
      <c r="C718" s="2" t="s">
        <v>3650</v>
      </c>
      <c r="D718" s="2" t="s">
        <v>223</v>
      </c>
      <c r="E718" s="3">
        <v>44937</v>
      </c>
      <c r="F718" s="4">
        <v>600</v>
      </c>
      <c r="G718" s="2" t="s">
        <v>143</v>
      </c>
      <c r="H718" s="2" t="s">
        <v>43</v>
      </c>
      <c r="K718" s="2" t="s">
        <v>3651</v>
      </c>
      <c r="L718" s="2" t="s">
        <v>3652</v>
      </c>
      <c r="M718" s="2" t="s">
        <v>3653</v>
      </c>
      <c r="N718" s="2" t="s">
        <v>228</v>
      </c>
      <c r="O718" s="2" t="s">
        <v>3641</v>
      </c>
      <c r="Q718" s="2" t="s">
        <v>3474</v>
      </c>
      <c r="S718" s="7" t="s">
        <v>5479</v>
      </c>
      <c r="T718" s="7" t="s">
        <v>5713</v>
      </c>
      <c r="U718" s="2" t="s">
        <v>6420</v>
      </c>
    </row>
    <row r="719" spans="1:21" ht="12.75" x14ac:dyDescent="0.2">
      <c r="A719" s="1">
        <v>45698.566032013885</v>
      </c>
      <c r="B719" s="2" t="s">
        <v>3636</v>
      </c>
      <c r="C719" s="2" t="s">
        <v>2438</v>
      </c>
      <c r="D719" s="2" t="s">
        <v>223</v>
      </c>
      <c r="E719" s="3">
        <v>44937</v>
      </c>
      <c r="F719" s="4">
        <v>450</v>
      </c>
      <c r="G719" s="2" t="s">
        <v>143</v>
      </c>
      <c r="H719" s="2" t="s">
        <v>43</v>
      </c>
      <c r="K719" s="2" t="s">
        <v>3654</v>
      </c>
      <c r="L719" s="2" t="s">
        <v>3655</v>
      </c>
      <c r="M719" s="2" t="s">
        <v>3656</v>
      </c>
      <c r="N719" s="2" t="s">
        <v>228</v>
      </c>
      <c r="O719" s="2" t="s">
        <v>3641</v>
      </c>
      <c r="Q719" s="2" t="s">
        <v>3474</v>
      </c>
      <c r="S719" s="7" t="s">
        <v>5480</v>
      </c>
      <c r="T719" s="7" t="s">
        <v>5713</v>
      </c>
      <c r="U719" s="2" t="s">
        <v>6421</v>
      </c>
    </row>
    <row r="720" spans="1:21" ht="12.75" x14ac:dyDescent="0.2">
      <c r="A720" s="1">
        <v>45698.720113587959</v>
      </c>
      <c r="B720" s="2" t="s">
        <v>3657</v>
      </c>
      <c r="C720" s="2" t="s">
        <v>3658</v>
      </c>
      <c r="D720" s="2" t="s">
        <v>223</v>
      </c>
      <c r="E720" s="3">
        <v>45536</v>
      </c>
      <c r="F720" s="4">
        <v>100</v>
      </c>
      <c r="G720" s="2" t="s">
        <v>42</v>
      </c>
      <c r="H720" s="2" t="s">
        <v>43</v>
      </c>
      <c r="K720" s="2" t="s">
        <v>3659</v>
      </c>
      <c r="L720" s="2" t="s">
        <v>3660</v>
      </c>
      <c r="M720" s="2" t="s">
        <v>3661</v>
      </c>
      <c r="N720" s="2" t="s">
        <v>228</v>
      </c>
      <c r="O720" s="2" t="s">
        <v>3662</v>
      </c>
      <c r="Q720" s="2" t="s">
        <v>3474</v>
      </c>
      <c r="S720" s="7" t="s">
        <v>5481</v>
      </c>
      <c r="T720" s="7" t="s">
        <v>5713</v>
      </c>
      <c r="U720" s="2" t="s">
        <v>6422</v>
      </c>
    </row>
    <row r="721" spans="1:21" ht="12.75" x14ac:dyDescent="0.2">
      <c r="A721" s="1">
        <v>45698.750227986107</v>
      </c>
      <c r="B721" s="2" t="s">
        <v>3069</v>
      </c>
      <c r="C721" s="2" t="s">
        <v>3663</v>
      </c>
      <c r="D721" s="2" t="s">
        <v>223</v>
      </c>
      <c r="E721" s="3">
        <v>45201</v>
      </c>
      <c r="F721" s="4">
        <v>2000</v>
      </c>
      <c r="G721" s="2" t="s">
        <v>143</v>
      </c>
      <c r="H721" s="2" t="s">
        <v>43</v>
      </c>
      <c r="K721" s="2" t="s">
        <v>3664</v>
      </c>
      <c r="L721" s="2" t="s">
        <v>3665</v>
      </c>
      <c r="M721" s="2" t="s">
        <v>3666</v>
      </c>
      <c r="N721" s="2" t="s">
        <v>228</v>
      </c>
      <c r="O721" s="2" t="s">
        <v>3074</v>
      </c>
      <c r="Q721" s="2" t="s">
        <v>3474</v>
      </c>
      <c r="S721" s="7" t="s">
        <v>5482</v>
      </c>
      <c r="T721" s="7" t="s">
        <v>5713</v>
      </c>
      <c r="U721" s="2" t="s">
        <v>6423</v>
      </c>
    </row>
    <row r="722" spans="1:21" ht="12.75" x14ac:dyDescent="0.2">
      <c r="A722" s="1">
        <v>45699.397110520833</v>
      </c>
      <c r="B722" s="2" t="s">
        <v>1792</v>
      </c>
      <c r="C722" s="2" t="s">
        <v>3667</v>
      </c>
      <c r="D722" s="2" t="s">
        <v>672</v>
      </c>
      <c r="E722" s="3">
        <v>45428</v>
      </c>
      <c r="F722" s="4">
        <v>250</v>
      </c>
      <c r="G722" s="2" t="s">
        <v>42</v>
      </c>
      <c r="H722" s="2" t="s">
        <v>1665</v>
      </c>
      <c r="K722" s="2" t="s">
        <v>3668</v>
      </c>
      <c r="L722" s="2" t="s">
        <v>3669</v>
      </c>
      <c r="M722" s="2" t="s">
        <v>3670</v>
      </c>
      <c r="N722" s="2" t="s">
        <v>676</v>
      </c>
      <c r="O722" s="2" t="s">
        <v>1797</v>
      </c>
      <c r="Q722" s="2" t="s">
        <v>3474</v>
      </c>
      <c r="S722" s="7" t="s">
        <v>5483</v>
      </c>
      <c r="T722" s="7" t="s">
        <v>5713</v>
      </c>
      <c r="U722" s="2" t="s">
        <v>6424</v>
      </c>
    </row>
    <row r="723" spans="1:21" ht="12.75" x14ac:dyDescent="0.2">
      <c r="A723" s="1">
        <v>45699.40126003472</v>
      </c>
      <c r="B723" s="2" t="s">
        <v>3671</v>
      </c>
      <c r="C723" s="2" t="s">
        <v>3672</v>
      </c>
      <c r="D723" s="2" t="s">
        <v>672</v>
      </c>
      <c r="E723" s="3">
        <v>45650</v>
      </c>
      <c r="F723" s="4">
        <v>1800</v>
      </c>
      <c r="G723" s="2" t="s">
        <v>143</v>
      </c>
      <c r="H723" s="2" t="s">
        <v>1665</v>
      </c>
      <c r="K723" s="2" t="s">
        <v>3673</v>
      </c>
      <c r="L723" s="2" t="s">
        <v>3674</v>
      </c>
      <c r="M723" s="2" t="s">
        <v>3675</v>
      </c>
      <c r="N723" s="2" t="s">
        <v>676</v>
      </c>
      <c r="O723" s="2" t="s">
        <v>3676</v>
      </c>
      <c r="Q723" s="2" t="s">
        <v>3474</v>
      </c>
      <c r="S723" s="7" t="s">
        <v>5484</v>
      </c>
      <c r="T723" s="7" t="s">
        <v>5713</v>
      </c>
      <c r="U723" s="2" t="s">
        <v>6425</v>
      </c>
    </row>
    <row r="724" spans="1:21" ht="12.75" x14ac:dyDescent="0.2">
      <c r="A724" s="1">
        <v>45699.420059988421</v>
      </c>
      <c r="B724" s="2" t="s">
        <v>3677</v>
      </c>
      <c r="C724" s="2" t="s">
        <v>3678</v>
      </c>
      <c r="D724" s="2" t="s">
        <v>672</v>
      </c>
      <c r="E724" s="3">
        <v>45446</v>
      </c>
      <c r="F724" s="4">
        <v>310</v>
      </c>
      <c r="G724" s="2" t="s">
        <v>42</v>
      </c>
      <c r="H724" s="2" t="s">
        <v>1665</v>
      </c>
      <c r="K724" s="2" t="s">
        <v>3679</v>
      </c>
      <c r="L724" s="2" t="s">
        <v>3680</v>
      </c>
      <c r="M724" s="2" t="s">
        <v>3681</v>
      </c>
      <c r="N724" s="2" t="s">
        <v>676</v>
      </c>
      <c r="O724" s="2" t="s">
        <v>3682</v>
      </c>
      <c r="Q724" s="2" t="s">
        <v>3474</v>
      </c>
      <c r="S724" s="7" t="s">
        <v>5485</v>
      </c>
      <c r="T724" s="7" t="s">
        <v>5713</v>
      </c>
      <c r="U724" s="2" t="s">
        <v>6426</v>
      </c>
    </row>
    <row r="725" spans="1:21" ht="12.75" x14ac:dyDescent="0.2">
      <c r="A725" s="1">
        <v>45699.429350347222</v>
      </c>
      <c r="B725" s="2" t="s">
        <v>3338</v>
      </c>
      <c r="C725" s="2" t="s">
        <v>3683</v>
      </c>
      <c r="D725" s="2" t="s">
        <v>910</v>
      </c>
      <c r="E725" s="3">
        <v>45559</v>
      </c>
      <c r="F725" s="4">
        <v>2825</v>
      </c>
      <c r="G725" s="2" t="s">
        <v>42</v>
      </c>
      <c r="H725" s="2" t="s">
        <v>1665</v>
      </c>
      <c r="K725" s="2" t="s">
        <v>3684</v>
      </c>
      <c r="L725" s="2" t="s">
        <v>3685</v>
      </c>
      <c r="M725" s="2" t="s">
        <v>3686</v>
      </c>
      <c r="N725" s="2" t="s">
        <v>915</v>
      </c>
      <c r="O725" s="2" t="s">
        <v>3343</v>
      </c>
      <c r="Q725" s="2" t="s">
        <v>3474</v>
      </c>
      <c r="S725" s="7" t="s">
        <v>5486</v>
      </c>
      <c r="T725" s="7" t="s">
        <v>5713</v>
      </c>
      <c r="U725" s="2" t="s">
        <v>6427</v>
      </c>
    </row>
    <row r="726" spans="1:21" ht="12.75" x14ac:dyDescent="0.2">
      <c r="A726" s="1">
        <v>45699.432801250005</v>
      </c>
      <c r="B726" s="2" t="s">
        <v>3687</v>
      </c>
      <c r="C726" s="2" t="s">
        <v>3688</v>
      </c>
      <c r="D726" s="2" t="s">
        <v>223</v>
      </c>
      <c r="E726" s="3">
        <v>45444</v>
      </c>
      <c r="F726" s="4">
        <v>100</v>
      </c>
      <c r="G726" s="2" t="s">
        <v>42</v>
      </c>
      <c r="H726" s="2" t="s">
        <v>43</v>
      </c>
      <c r="K726" s="2" t="s">
        <v>3689</v>
      </c>
      <c r="L726" s="2" t="s">
        <v>3690</v>
      </c>
      <c r="M726" s="2" t="s">
        <v>3691</v>
      </c>
      <c r="N726" s="2" t="s">
        <v>228</v>
      </c>
      <c r="O726" s="2" t="s">
        <v>3692</v>
      </c>
      <c r="Q726" s="2" t="s">
        <v>3474</v>
      </c>
      <c r="S726" s="7" t="s">
        <v>5487</v>
      </c>
      <c r="T726" s="7" t="s">
        <v>5713</v>
      </c>
      <c r="U726" s="2" t="s">
        <v>6428</v>
      </c>
    </row>
    <row r="727" spans="1:21" ht="12.75" x14ac:dyDescent="0.2">
      <c r="A727" s="1">
        <v>45699.4844725</v>
      </c>
      <c r="B727" s="2" t="s">
        <v>3693</v>
      </c>
      <c r="C727" s="2" t="s">
        <v>3694</v>
      </c>
      <c r="D727" s="2" t="s">
        <v>223</v>
      </c>
      <c r="E727" s="3">
        <v>45170</v>
      </c>
      <c r="F727" s="4">
        <v>385</v>
      </c>
      <c r="G727" s="2" t="s">
        <v>42</v>
      </c>
      <c r="H727" s="2" t="s">
        <v>1665</v>
      </c>
      <c r="K727" s="2" t="s">
        <v>3695</v>
      </c>
      <c r="L727" s="2" t="s">
        <v>3696</v>
      </c>
      <c r="M727" s="2" t="s">
        <v>3697</v>
      </c>
      <c r="N727" s="2" t="s">
        <v>228</v>
      </c>
      <c r="O727" s="2" t="s">
        <v>3698</v>
      </c>
      <c r="Q727" s="2" t="s">
        <v>3474</v>
      </c>
      <c r="S727" s="7" t="s">
        <v>5488</v>
      </c>
      <c r="T727" s="7" t="s">
        <v>5713</v>
      </c>
      <c r="U727" s="2" t="s">
        <v>6429</v>
      </c>
    </row>
    <row r="728" spans="1:21" ht="12.75" x14ac:dyDescent="0.2">
      <c r="A728" s="1">
        <v>45699.540716400465</v>
      </c>
      <c r="B728" s="2" t="s">
        <v>1750</v>
      </c>
      <c r="C728" s="2" t="s">
        <v>3699</v>
      </c>
      <c r="D728" s="2" t="s">
        <v>910</v>
      </c>
      <c r="E728" s="3">
        <v>45383</v>
      </c>
      <c r="F728" s="4">
        <v>1080</v>
      </c>
      <c r="G728" s="2" t="s">
        <v>42</v>
      </c>
      <c r="H728" s="2" t="s">
        <v>1665</v>
      </c>
      <c r="K728" s="2" t="s">
        <v>3700</v>
      </c>
      <c r="L728" s="2" t="s">
        <v>3701</v>
      </c>
      <c r="M728" s="2" t="s">
        <v>3702</v>
      </c>
      <c r="N728" s="2" t="s">
        <v>915</v>
      </c>
      <c r="O728" s="2" t="s">
        <v>1756</v>
      </c>
      <c r="Q728" s="2" t="s">
        <v>3474</v>
      </c>
      <c r="S728" s="7" t="s">
        <v>5489</v>
      </c>
      <c r="T728" s="7" t="s">
        <v>5713</v>
      </c>
      <c r="U728" s="2" t="s">
        <v>6430</v>
      </c>
    </row>
    <row r="729" spans="1:21" ht="12.75" x14ac:dyDescent="0.2">
      <c r="A729" s="1">
        <v>45699.544188935186</v>
      </c>
      <c r="B729" s="2" t="s">
        <v>3703</v>
      </c>
      <c r="C729" s="2" t="s">
        <v>3704</v>
      </c>
      <c r="D729" s="2" t="s">
        <v>223</v>
      </c>
      <c r="E729" s="3">
        <v>45505</v>
      </c>
      <c r="F729" s="4">
        <v>100</v>
      </c>
      <c r="G729" s="2" t="s">
        <v>42</v>
      </c>
      <c r="H729" s="2" t="s">
        <v>43</v>
      </c>
      <c r="K729" s="2" t="s">
        <v>3705</v>
      </c>
      <c r="L729" s="2" t="s">
        <v>3706</v>
      </c>
      <c r="M729" s="2" t="s">
        <v>3707</v>
      </c>
      <c r="N729" s="2" t="s">
        <v>228</v>
      </c>
      <c r="O729" s="2" t="s">
        <v>3708</v>
      </c>
      <c r="Q729" s="2" t="s">
        <v>3474</v>
      </c>
      <c r="S729" s="7" t="s">
        <v>5490</v>
      </c>
      <c r="T729" s="7" t="s">
        <v>5713</v>
      </c>
      <c r="U729" s="2" t="s">
        <v>6431</v>
      </c>
    </row>
    <row r="730" spans="1:21" ht="12.75" x14ac:dyDescent="0.2">
      <c r="A730" s="1">
        <v>45699.55001467593</v>
      </c>
      <c r="B730" s="2" t="s">
        <v>3709</v>
      </c>
      <c r="C730" s="2" t="s">
        <v>3710</v>
      </c>
      <c r="D730" s="2" t="s">
        <v>1170</v>
      </c>
      <c r="E730" s="3">
        <v>45200</v>
      </c>
      <c r="F730" s="4">
        <v>30000</v>
      </c>
      <c r="G730" s="2" t="s">
        <v>42</v>
      </c>
      <c r="H730" s="2" t="s">
        <v>1665</v>
      </c>
      <c r="K730" s="2" t="s">
        <v>3711</v>
      </c>
      <c r="L730" s="2" t="s">
        <v>3712</v>
      </c>
      <c r="M730" s="2" t="s">
        <v>3713</v>
      </c>
      <c r="N730" s="2" t="s">
        <v>1174</v>
      </c>
      <c r="O730" s="2" t="s">
        <v>3714</v>
      </c>
      <c r="Q730" s="2" t="s">
        <v>3474</v>
      </c>
      <c r="S730" s="7" t="s">
        <v>5491</v>
      </c>
      <c r="T730" s="7" t="s">
        <v>5713</v>
      </c>
      <c r="U730" s="2" t="s">
        <v>6432</v>
      </c>
    </row>
    <row r="731" spans="1:21" ht="12.75" x14ac:dyDescent="0.2">
      <c r="A731" s="1">
        <v>45699.55001467593</v>
      </c>
      <c r="B731" s="2" t="s">
        <v>3715</v>
      </c>
      <c r="C731" s="2" t="s">
        <v>3716</v>
      </c>
      <c r="D731" s="2" t="s">
        <v>1170</v>
      </c>
      <c r="E731" s="3">
        <v>45499</v>
      </c>
      <c r="F731" s="4">
        <v>3000</v>
      </c>
      <c r="G731" s="2" t="s">
        <v>143</v>
      </c>
      <c r="H731" s="2" t="s">
        <v>1665</v>
      </c>
      <c r="K731" s="2" t="s">
        <v>3717</v>
      </c>
      <c r="L731" s="2" t="s">
        <v>3718</v>
      </c>
      <c r="M731" s="2" t="s">
        <v>3719</v>
      </c>
      <c r="N731" s="2" t="s">
        <v>1174</v>
      </c>
      <c r="O731" s="2" t="s">
        <v>3720</v>
      </c>
      <c r="Q731" s="2" t="s">
        <v>3474</v>
      </c>
      <c r="S731" s="7" t="s">
        <v>5492</v>
      </c>
      <c r="T731" s="7" t="s">
        <v>5713</v>
      </c>
      <c r="U731" s="2" t="s">
        <v>6433</v>
      </c>
    </row>
    <row r="732" spans="1:21" ht="12.75" x14ac:dyDescent="0.2">
      <c r="A732" s="1">
        <v>45699.565285925928</v>
      </c>
      <c r="B732" s="2" t="s">
        <v>3514</v>
      </c>
      <c r="C732" s="2" t="s">
        <v>3721</v>
      </c>
      <c r="D732" s="2" t="s">
        <v>672</v>
      </c>
      <c r="E732" s="3">
        <v>45452</v>
      </c>
      <c r="F732" s="4">
        <v>170</v>
      </c>
      <c r="G732" s="2" t="s">
        <v>143</v>
      </c>
      <c r="H732" s="2" t="s">
        <v>43</v>
      </c>
      <c r="J732" s="2" t="s">
        <v>3516</v>
      </c>
      <c r="K732" s="2" t="s">
        <v>3722</v>
      </c>
      <c r="L732" s="2" t="s">
        <v>3723</v>
      </c>
      <c r="M732" s="2" t="s">
        <v>3724</v>
      </c>
      <c r="N732" s="2" t="s">
        <v>676</v>
      </c>
      <c r="O732" s="2" t="s">
        <v>3520</v>
      </c>
      <c r="Q732" s="2" t="s">
        <v>3474</v>
      </c>
      <c r="S732" s="7" t="s">
        <v>5493</v>
      </c>
      <c r="T732" s="7" t="s">
        <v>5713</v>
      </c>
      <c r="U732" s="2" t="s">
        <v>6434</v>
      </c>
    </row>
    <row r="733" spans="1:21" ht="12.75" x14ac:dyDescent="0.2">
      <c r="A733" s="1">
        <v>45699.575074988425</v>
      </c>
      <c r="B733" s="2" t="s">
        <v>3725</v>
      </c>
      <c r="C733" s="2" t="s">
        <v>3726</v>
      </c>
      <c r="D733" s="2" t="s">
        <v>41</v>
      </c>
      <c r="E733" s="3">
        <v>45513</v>
      </c>
      <c r="F733" s="4">
        <v>1232000</v>
      </c>
      <c r="G733" s="2" t="s">
        <v>42</v>
      </c>
      <c r="H733" s="2" t="s">
        <v>43</v>
      </c>
      <c r="K733" s="2" t="s">
        <v>3727</v>
      </c>
      <c r="L733" s="2" t="s">
        <v>3728</v>
      </c>
      <c r="M733" s="2" t="s">
        <v>3729</v>
      </c>
      <c r="N733" s="2" t="s">
        <v>48</v>
      </c>
      <c r="O733" s="2" t="s">
        <v>3730</v>
      </c>
      <c r="Q733" s="2" t="s">
        <v>3474</v>
      </c>
      <c r="S733" s="7" t="s">
        <v>5494</v>
      </c>
      <c r="T733" s="7" t="s">
        <v>5713</v>
      </c>
      <c r="U733" s="2" t="s">
        <v>6435</v>
      </c>
    </row>
    <row r="734" spans="1:21" ht="12.75" x14ac:dyDescent="0.2">
      <c r="A734" s="1">
        <v>45699.57846989583</v>
      </c>
      <c r="B734" s="2" t="s">
        <v>3731</v>
      </c>
      <c r="C734" s="2" t="s">
        <v>3732</v>
      </c>
      <c r="D734" s="2" t="s">
        <v>1170</v>
      </c>
      <c r="E734" s="3">
        <v>45790</v>
      </c>
      <c r="F734" s="4">
        <v>465</v>
      </c>
      <c r="G734" s="2" t="s">
        <v>42</v>
      </c>
      <c r="H734" s="2" t="s">
        <v>43</v>
      </c>
      <c r="K734" s="2" t="s">
        <v>3733</v>
      </c>
      <c r="L734" s="2" t="s">
        <v>3734</v>
      </c>
      <c r="M734" s="2" t="s">
        <v>3735</v>
      </c>
      <c r="N734" s="2" t="s">
        <v>1174</v>
      </c>
      <c r="O734" s="2" t="s">
        <v>3736</v>
      </c>
      <c r="Q734" s="2" t="s">
        <v>3474</v>
      </c>
      <c r="S734" s="7" t="s">
        <v>5495</v>
      </c>
      <c r="T734" s="7" t="s">
        <v>5713</v>
      </c>
      <c r="U734" s="2" t="s">
        <v>6436</v>
      </c>
    </row>
    <row r="735" spans="1:21" ht="12.75" x14ac:dyDescent="0.2">
      <c r="A735" s="1">
        <v>45699.585038993057</v>
      </c>
      <c r="B735" s="2" t="s">
        <v>3737</v>
      </c>
      <c r="C735" s="2" t="s">
        <v>3738</v>
      </c>
      <c r="D735" s="2" t="s">
        <v>910</v>
      </c>
      <c r="E735" s="3">
        <v>45281</v>
      </c>
      <c r="F735" s="4">
        <v>2100</v>
      </c>
      <c r="G735" s="2" t="s">
        <v>143</v>
      </c>
      <c r="H735" s="2" t="s">
        <v>1665</v>
      </c>
      <c r="K735" s="2" t="s">
        <v>3739</v>
      </c>
      <c r="L735" s="2" t="s">
        <v>3740</v>
      </c>
      <c r="M735" s="2" t="s">
        <v>3741</v>
      </c>
      <c r="N735" s="2" t="s">
        <v>915</v>
      </c>
      <c r="O735" s="2" t="s">
        <v>3742</v>
      </c>
      <c r="Q735" s="2" t="s">
        <v>3474</v>
      </c>
      <c r="S735" s="7" t="s">
        <v>5496</v>
      </c>
      <c r="T735" s="7" t="s">
        <v>5713</v>
      </c>
      <c r="U735" s="2" t="s">
        <v>6437</v>
      </c>
    </row>
    <row r="736" spans="1:21" ht="12.75" x14ac:dyDescent="0.2">
      <c r="A736" s="1">
        <v>45699.642965694446</v>
      </c>
      <c r="B736" s="2" t="s">
        <v>3743</v>
      </c>
      <c r="C736" s="2" t="s">
        <v>3744</v>
      </c>
      <c r="D736" s="2" t="s">
        <v>41</v>
      </c>
      <c r="E736" s="3">
        <v>45423</v>
      </c>
      <c r="F736" s="4">
        <v>69644</v>
      </c>
      <c r="G736" s="2" t="s">
        <v>42</v>
      </c>
      <c r="H736" s="2" t="s">
        <v>43</v>
      </c>
      <c r="J736" s="2" t="s">
        <v>3745</v>
      </c>
      <c r="K736" s="2" t="s">
        <v>3746</v>
      </c>
      <c r="L736" s="2" t="s">
        <v>3747</v>
      </c>
      <c r="M736" s="2" t="s">
        <v>3748</v>
      </c>
      <c r="N736" s="2" t="s">
        <v>48</v>
      </c>
      <c r="O736" s="2" t="s">
        <v>3749</v>
      </c>
      <c r="Q736" s="2" t="s">
        <v>3474</v>
      </c>
      <c r="S736" s="7" t="s">
        <v>5497</v>
      </c>
      <c r="T736" s="7" t="s">
        <v>5713</v>
      </c>
      <c r="U736" s="2" t="s">
        <v>6438</v>
      </c>
    </row>
    <row r="737" spans="1:21" ht="12.75" x14ac:dyDescent="0.2">
      <c r="A737" s="1">
        <v>45699.732130138887</v>
      </c>
      <c r="B737" s="2" t="s">
        <v>1929</v>
      </c>
      <c r="C737" s="2" t="s">
        <v>3750</v>
      </c>
      <c r="D737" s="2" t="s">
        <v>333</v>
      </c>
      <c r="E737" s="3">
        <v>45225</v>
      </c>
      <c r="F737" s="4">
        <v>14985</v>
      </c>
      <c r="G737" s="2" t="s">
        <v>42</v>
      </c>
      <c r="H737" s="2" t="s">
        <v>1665</v>
      </c>
      <c r="K737" s="2" t="s">
        <v>3751</v>
      </c>
      <c r="L737" s="2" t="s">
        <v>3752</v>
      </c>
      <c r="M737" s="2" t="s">
        <v>3753</v>
      </c>
      <c r="N737" s="2" t="s">
        <v>337</v>
      </c>
      <c r="O737" s="2" t="s">
        <v>1935</v>
      </c>
      <c r="Q737" s="2" t="s">
        <v>3474</v>
      </c>
      <c r="S737" s="7" t="s">
        <v>5498</v>
      </c>
      <c r="T737" s="7" t="s">
        <v>5713</v>
      </c>
      <c r="U737" s="2" t="s">
        <v>6439</v>
      </c>
    </row>
    <row r="738" spans="1:21" ht="12.75" x14ac:dyDescent="0.2">
      <c r="A738" s="1"/>
      <c r="B738" s="2"/>
      <c r="C738" s="2"/>
      <c r="D738" s="2"/>
      <c r="E738" s="3"/>
      <c r="F738" s="4"/>
      <c r="G738" s="2"/>
      <c r="H738" s="2"/>
      <c r="K738" s="2"/>
      <c r="L738" s="2"/>
      <c r="M738" s="2"/>
      <c r="N738" s="2"/>
      <c r="O738" s="2"/>
      <c r="Q738" s="2"/>
      <c r="R738" s="2"/>
      <c r="S738" s="7"/>
      <c r="T738" s="7"/>
      <c r="U738" s="2"/>
    </row>
    <row r="739" spans="1:21" ht="12.75" x14ac:dyDescent="0.2">
      <c r="A739" s="1">
        <v>45699.744047418979</v>
      </c>
      <c r="B739" s="2" t="s">
        <v>2385</v>
      </c>
      <c r="C739" s="2" t="s">
        <v>3754</v>
      </c>
      <c r="D739" s="2" t="s">
        <v>672</v>
      </c>
      <c r="E739" s="3">
        <v>45548</v>
      </c>
      <c r="F739" s="4">
        <v>500</v>
      </c>
      <c r="G739" s="2" t="s">
        <v>143</v>
      </c>
      <c r="H739" s="2" t="s">
        <v>43</v>
      </c>
      <c r="K739" s="2" t="s">
        <v>3755</v>
      </c>
      <c r="L739" s="2" t="s">
        <v>3756</v>
      </c>
      <c r="M739" s="2" t="s">
        <v>3757</v>
      </c>
      <c r="N739" s="2" t="s">
        <v>676</v>
      </c>
      <c r="O739" s="2" t="s">
        <v>2391</v>
      </c>
      <c r="Q739" s="2" t="s">
        <v>3474</v>
      </c>
      <c r="S739" s="7" t="s">
        <v>5499</v>
      </c>
      <c r="T739" s="7" t="s">
        <v>5713</v>
      </c>
      <c r="U739" s="2" t="s">
        <v>6440</v>
      </c>
    </row>
    <row r="740" spans="1:21" ht="12.75" x14ac:dyDescent="0.2">
      <c r="A740" s="1">
        <v>45700.43694388889</v>
      </c>
      <c r="B740" s="2" t="s">
        <v>3758</v>
      </c>
      <c r="C740" s="2" t="s">
        <v>3759</v>
      </c>
      <c r="D740" s="2" t="s">
        <v>333</v>
      </c>
      <c r="E740" s="3">
        <v>45320</v>
      </c>
      <c r="F740" s="4">
        <v>4310</v>
      </c>
      <c r="G740" s="2" t="s">
        <v>42</v>
      </c>
      <c r="H740" s="2" t="s">
        <v>1665</v>
      </c>
      <c r="K740" s="2" t="s">
        <v>3760</v>
      </c>
      <c r="L740" s="2" t="s">
        <v>3761</v>
      </c>
      <c r="M740" s="2" t="s">
        <v>3762</v>
      </c>
      <c r="N740" s="2" t="s">
        <v>337</v>
      </c>
      <c r="O740" s="2" t="s">
        <v>3763</v>
      </c>
      <c r="Q740" s="2" t="s">
        <v>3474</v>
      </c>
      <c r="S740" s="7" t="s">
        <v>5500</v>
      </c>
      <c r="T740" s="7" t="s">
        <v>5713</v>
      </c>
      <c r="U740" s="2" t="s">
        <v>6441</v>
      </c>
    </row>
    <row r="741" spans="1:21" ht="12.75" x14ac:dyDescent="0.2">
      <c r="A741" s="1">
        <v>45700.439677256945</v>
      </c>
      <c r="B741" s="2" t="s">
        <v>3764</v>
      </c>
      <c r="C741" s="2" t="s">
        <v>3765</v>
      </c>
      <c r="D741" s="2" t="s">
        <v>333</v>
      </c>
      <c r="E741" s="3">
        <v>45275</v>
      </c>
      <c r="F741" s="4">
        <v>1300</v>
      </c>
      <c r="G741" s="2" t="s">
        <v>42</v>
      </c>
      <c r="H741" s="2" t="s">
        <v>1665</v>
      </c>
      <c r="K741" s="2" t="s">
        <v>3766</v>
      </c>
      <c r="L741" s="2" t="s">
        <v>3767</v>
      </c>
      <c r="M741" s="2" t="s">
        <v>3768</v>
      </c>
      <c r="N741" s="2" t="s">
        <v>337</v>
      </c>
      <c r="O741" s="2" t="s">
        <v>3769</v>
      </c>
      <c r="Q741" s="2" t="s">
        <v>3474</v>
      </c>
      <c r="S741" s="7" t="s">
        <v>5501</v>
      </c>
      <c r="T741" s="7" t="s">
        <v>5713</v>
      </c>
      <c r="U741" s="2" t="s">
        <v>6442</v>
      </c>
    </row>
    <row r="742" spans="1:21" ht="12.75" x14ac:dyDescent="0.2">
      <c r="A742" s="1">
        <v>45700.443559131949</v>
      </c>
      <c r="B742" s="2" t="s">
        <v>3770</v>
      </c>
      <c r="C742" s="2" t="s">
        <v>3771</v>
      </c>
      <c r="D742" s="2" t="s">
        <v>333</v>
      </c>
      <c r="E742" s="3">
        <v>45259</v>
      </c>
      <c r="F742" s="4">
        <v>12080</v>
      </c>
      <c r="G742" s="2" t="s">
        <v>42</v>
      </c>
      <c r="H742" s="2" t="s">
        <v>1665</v>
      </c>
      <c r="K742" s="2" t="s">
        <v>3772</v>
      </c>
      <c r="L742" s="2" t="s">
        <v>3773</v>
      </c>
      <c r="M742" s="2" t="s">
        <v>3774</v>
      </c>
      <c r="N742" s="2" t="s">
        <v>337</v>
      </c>
      <c r="O742" s="2" t="s">
        <v>3775</v>
      </c>
      <c r="Q742" s="2" t="s">
        <v>3474</v>
      </c>
      <c r="S742" s="7" t="s">
        <v>5502</v>
      </c>
      <c r="T742" s="7" t="s">
        <v>5713</v>
      </c>
      <c r="U742" s="2" t="s">
        <v>6443</v>
      </c>
    </row>
    <row r="743" spans="1:21" ht="12.75" x14ac:dyDescent="0.2">
      <c r="A743" s="1">
        <v>45700.458964120371</v>
      </c>
      <c r="B743" s="2" t="s">
        <v>2001</v>
      </c>
      <c r="C743" s="2" t="s">
        <v>3776</v>
      </c>
      <c r="D743" s="2" t="s">
        <v>333</v>
      </c>
      <c r="E743" s="3">
        <v>45461</v>
      </c>
      <c r="F743" s="4">
        <v>4550</v>
      </c>
      <c r="G743" s="2" t="s">
        <v>42</v>
      </c>
      <c r="H743" s="2" t="s">
        <v>1665</v>
      </c>
      <c r="K743" s="2" t="s">
        <v>3777</v>
      </c>
      <c r="L743" s="2" t="s">
        <v>3778</v>
      </c>
      <c r="M743" s="2" t="s">
        <v>3779</v>
      </c>
      <c r="N743" s="2" t="s">
        <v>337</v>
      </c>
      <c r="O743" s="2" t="s">
        <v>2007</v>
      </c>
      <c r="Q743" s="2" t="s">
        <v>3474</v>
      </c>
      <c r="S743" s="7" t="s">
        <v>5503</v>
      </c>
      <c r="T743" s="7" t="s">
        <v>5713</v>
      </c>
      <c r="U743" s="2" t="s">
        <v>6444</v>
      </c>
    </row>
    <row r="744" spans="1:21" ht="12.75" x14ac:dyDescent="0.2">
      <c r="A744" s="1">
        <v>45700.458964120371</v>
      </c>
      <c r="B744" s="2" t="s">
        <v>2001</v>
      </c>
      <c r="C744" s="2" t="s">
        <v>3780</v>
      </c>
      <c r="D744" s="2" t="s">
        <v>223</v>
      </c>
      <c r="E744" s="3">
        <v>45412</v>
      </c>
      <c r="F744" s="4">
        <v>500</v>
      </c>
      <c r="G744" s="2" t="s">
        <v>143</v>
      </c>
      <c r="H744" s="2" t="s">
        <v>43</v>
      </c>
      <c r="K744" s="2" t="s">
        <v>3781</v>
      </c>
      <c r="L744" s="2" t="s">
        <v>3782</v>
      </c>
      <c r="M744" s="2" t="s">
        <v>3783</v>
      </c>
      <c r="N744" s="2" t="s">
        <v>228</v>
      </c>
      <c r="O744" s="2" t="s">
        <v>2007</v>
      </c>
      <c r="Q744" s="2" t="s">
        <v>3474</v>
      </c>
      <c r="S744" s="7" t="s">
        <v>5504</v>
      </c>
      <c r="T744" s="7" t="s">
        <v>5713</v>
      </c>
      <c r="U744" s="2" t="s">
        <v>6445</v>
      </c>
    </row>
    <row r="745" spans="1:21" ht="12.75" x14ac:dyDescent="0.2">
      <c r="A745" s="1">
        <v>45700.463656979162</v>
      </c>
      <c r="B745" s="2" t="s">
        <v>1540</v>
      </c>
      <c r="C745" s="2" t="s">
        <v>3784</v>
      </c>
      <c r="D745" s="2" t="s">
        <v>333</v>
      </c>
      <c r="E745" s="3">
        <v>45160</v>
      </c>
      <c r="F745" s="4">
        <v>3790</v>
      </c>
      <c r="G745" s="2" t="s">
        <v>42</v>
      </c>
      <c r="H745" s="2" t="s">
        <v>43</v>
      </c>
      <c r="K745" s="2" t="s">
        <v>3785</v>
      </c>
      <c r="L745" s="2" t="s">
        <v>3786</v>
      </c>
      <c r="M745" s="2" t="s">
        <v>3787</v>
      </c>
      <c r="N745" s="2" t="s">
        <v>337</v>
      </c>
      <c r="O745" s="2" t="s">
        <v>1545</v>
      </c>
      <c r="Q745" s="2" t="s">
        <v>3474</v>
      </c>
      <c r="S745" s="7" t="s">
        <v>5505</v>
      </c>
      <c r="T745" s="7" t="s">
        <v>5713</v>
      </c>
      <c r="U745" s="2" t="s">
        <v>6446</v>
      </c>
    </row>
    <row r="746" spans="1:21" ht="12.75" x14ac:dyDescent="0.2">
      <c r="A746" s="1">
        <v>45700.47097412037</v>
      </c>
      <c r="B746" s="2" t="s">
        <v>241</v>
      </c>
      <c r="C746" s="2" t="s">
        <v>3788</v>
      </c>
      <c r="D746" s="2" t="s">
        <v>672</v>
      </c>
      <c r="E746" s="3">
        <v>45443</v>
      </c>
      <c r="F746" s="4">
        <v>1300</v>
      </c>
      <c r="G746" s="2" t="s">
        <v>143</v>
      </c>
      <c r="H746" s="2" t="s">
        <v>43</v>
      </c>
      <c r="K746" s="2" t="s">
        <v>3789</v>
      </c>
      <c r="L746" s="2" t="s">
        <v>3790</v>
      </c>
      <c r="M746" s="2" t="s">
        <v>3791</v>
      </c>
      <c r="N746" s="2" t="s">
        <v>676</v>
      </c>
      <c r="O746" s="2" t="s">
        <v>247</v>
      </c>
      <c r="Q746" s="2" t="s">
        <v>3474</v>
      </c>
      <c r="S746" s="7" t="s">
        <v>5506</v>
      </c>
      <c r="T746" s="7" t="s">
        <v>5713</v>
      </c>
      <c r="U746" s="2" t="s">
        <v>6447</v>
      </c>
    </row>
    <row r="747" spans="1:21" ht="12.75" x14ac:dyDescent="0.2">
      <c r="A747" s="1">
        <v>45700.574459826385</v>
      </c>
      <c r="B747" s="2" t="s">
        <v>302</v>
      </c>
      <c r="C747" s="2" t="s">
        <v>3792</v>
      </c>
      <c r="D747" s="2" t="s">
        <v>41</v>
      </c>
      <c r="E747" s="3">
        <v>45624</v>
      </c>
      <c r="F747" s="4">
        <v>343000</v>
      </c>
      <c r="G747" s="2" t="s">
        <v>42</v>
      </c>
      <c r="H747" s="2" t="s">
        <v>43</v>
      </c>
      <c r="K747" s="2" t="s">
        <v>3793</v>
      </c>
      <c r="L747" s="2" t="s">
        <v>3794</v>
      </c>
      <c r="M747" s="2" t="s">
        <v>3795</v>
      </c>
      <c r="N747" s="2" t="s">
        <v>48</v>
      </c>
      <c r="O747" s="2" t="s">
        <v>307</v>
      </c>
      <c r="Q747" s="2" t="s">
        <v>3474</v>
      </c>
      <c r="S747" s="7" t="s">
        <v>5507</v>
      </c>
      <c r="T747" s="7" t="s">
        <v>5713</v>
      </c>
      <c r="U747" s="2" t="s">
        <v>6448</v>
      </c>
    </row>
    <row r="748" spans="1:21" ht="12.75" x14ac:dyDescent="0.2">
      <c r="A748" s="1">
        <v>45700.624816666663</v>
      </c>
      <c r="B748" s="2" t="s">
        <v>363</v>
      </c>
      <c r="C748" s="2" t="s">
        <v>3796</v>
      </c>
      <c r="D748" s="2" t="s">
        <v>41</v>
      </c>
      <c r="E748" s="3">
        <v>45658</v>
      </c>
      <c r="F748" s="4">
        <v>10000</v>
      </c>
      <c r="G748" s="2" t="s">
        <v>42</v>
      </c>
      <c r="H748" s="2" t="s">
        <v>43</v>
      </c>
      <c r="K748" s="2" t="s">
        <v>3797</v>
      </c>
      <c r="L748" s="2" t="s">
        <v>3798</v>
      </c>
      <c r="M748" s="2" t="s">
        <v>3799</v>
      </c>
      <c r="N748" s="2" t="s">
        <v>48</v>
      </c>
      <c r="O748" s="2" t="s">
        <v>368</v>
      </c>
      <c r="Q748" s="2" t="s">
        <v>3474</v>
      </c>
      <c r="S748" s="7" t="s">
        <v>5508</v>
      </c>
      <c r="T748" s="7" t="s">
        <v>5713</v>
      </c>
      <c r="U748" s="2" t="s">
        <v>6449</v>
      </c>
    </row>
    <row r="749" spans="1:21" ht="12.75" x14ac:dyDescent="0.2">
      <c r="A749" s="1">
        <v>45700.624816666663</v>
      </c>
      <c r="B749" s="2" t="s">
        <v>363</v>
      </c>
      <c r="C749" s="2" t="s">
        <v>3800</v>
      </c>
      <c r="D749" s="2" t="s">
        <v>41</v>
      </c>
      <c r="E749" s="3">
        <v>45658</v>
      </c>
      <c r="F749" s="4">
        <v>10000</v>
      </c>
      <c r="G749" s="2" t="s">
        <v>42</v>
      </c>
      <c r="H749" s="2" t="s">
        <v>43</v>
      </c>
      <c r="K749" s="2" t="s">
        <v>3801</v>
      </c>
      <c r="L749" s="2" t="s">
        <v>3802</v>
      </c>
      <c r="M749" s="2" t="s">
        <v>3803</v>
      </c>
      <c r="N749" s="2" t="s">
        <v>48</v>
      </c>
      <c r="O749" s="2" t="s">
        <v>368</v>
      </c>
      <c r="Q749" s="2" t="s">
        <v>3474</v>
      </c>
      <c r="S749" s="7" t="s">
        <v>5509</v>
      </c>
      <c r="T749" s="7" t="s">
        <v>5713</v>
      </c>
      <c r="U749" s="2" t="s">
        <v>6450</v>
      </c>
    </row>
    <row r="750" spans="1:21" ht="12.75" x14ac:dyDescent="0.2">
      <c r="A750" s="1">
        <v>45700.624816666663</v>
      </c>
      <c r="B750" s="2" t="s">
        <v>363</v>
      </c>
      <c r="C750" s="2" t="s">
        <v>3804</v>
      </c>
      <c r="D750" s="2" t="s">
        <v>41</v>
      </c>
      <c r="E750" s="3">
        <v>45658</v>
      </c>
      <c r="F750" s="4">
        <v>10000</v>
      </c>
      <c r="G750" s="2" t="s">
        <v>42</v>
      </c>
      <c r="H750" s="2" t="s">
        <v>43</v>
      </c>
      <c r="K750" s="2" t="s">
        <v>3805</v>
      </c>
      <c r="L750" s="2" t="s">
        <v>3806</v>
      </c>
      <c r="M750" s="2" t="s">
        <v>3807</v>
      </c>
      <c r="N750" s="2" t="s">
        <v>48</v>
      </c>
      <c r="O750" s="2" t="s">
        <v>368</v>
      </c>
      <c r="Q750" s="2" t="s">
        <v>3474</v>
      </c>
      <c r="S750" s="7" t="s">
        <v>5510</v>
      </c>
      <c r="T750" s="7" t="s">
        <v>5713</v>
      </c>
      <c r="U750" s="2" t="s">
        <v>6451</v>
      </c>
    </row>
    <row r="751" spans="1:21" ht="12.75" x14ac:dyDescent="0.2">
      <c r="A751" s="1">
        <v>45700.624816666663</v>
      </c>
      <c r="B751" s="2" t="s">
        <v>363</v>
      </c>
      <c r="C751" s="2" t="s">
        <v>3808</v>
      </c>
      <c r="D751" s="2" t="s">
        <v>41</v>
      </c>
      <c r="E751" s="3">
        <v>45658</v>
      </c>
      <c r="F751" s="4">
        <v>10000</v>
      </c>
      <c r="G751" s="2" t="s">
        <v>42</v>
      </c>
      <c r="H751" s="2" t="s">
        <v>43</v>
      </c>
      <c r="K751" s="2" t="s">
        <v>3809</v>
      </c>
      <c r="L751" s="2" t="s">
        <v>3810</v>
      </c>
      <c r="M751" s="2" t="s">
        <v>3811</v>
      </c>
      <c r="N751" s="2" t="s">
        <v>48</v>
      </c>
      <c r="O751" s="2" t="s">
        <v>368</v>
      </c>
      <c r="Q751" s="2" t="s">
        <v>3474</v>
      </c>
      <c r="S751" s="7" t="s">
        <v>5511</v>
      </c>
      <c r="T751" s="7" t="s">
        <v>5713</v>
      </c>
      <c r="U751" s="2" t="s">
        <v>6452</v>
      </c>
    </row>
    <row r="752" spans="1:21" ht="12.75" x14ac:dyDescent="0.2">
      <c r="A752" s="1">
        <v>45700.624816666663</v>
      </c>
      <c r="B752" s="2" t="s">
        <v>363</v>
      </c>
      <c r="C752" s="2" t="s">
        <v>3812</v>
      </c>
      <c r="D752" s="2" t="s">
        <v>41</v>
      </c>
      <c r="E752" s="3">
        <v>45658</v>
      </c>
      <c r="F752" s="4">
        <v>10000</v>
      </c>
      <c r="G752" s="2" t="s">
        <v>42</v>
      </c>
      <c r="H752" s="2" t="s">
        <v>43</v>
      </c>
      <c r="K752" s="2" t="s">
        <v>3813</v>
      </c>
      <c r="L752" s="2" t="s">
        <v>3814</v>
      </c>
      <c r="M752" s="2" t="s">
        <v>3815</v>
      </c>
      <c r="N752" s="2" t="s">
        <v>48</v>
      </c>
      <c r="O752" s="2" t="s">
        <v>368</v>
      </c>
      <c r="Q752" s="2" t="s">
        <v>3474</v>
      </c>
      <c r="S752" s="7" t="s">
        <v>5512</v>
      </c>
      <c r="T752" s="7" t="s">
        <v>5713</v>
      </c>
      <c r="U752" s="2" t="s">
        <v>6453</v>
      </c>
    </row>
    <row r="753" spans="1:21" ht="12.75" x14ac:dyDescent="0.2">
      <c r="A753" s="1">
        <v>45700.624816666663</v>
      </c>
      <c r="B753" s="2" t="s">
        <v>363</v>
      </c>
      <c r="C753" s="2" t="s">
        <v>3816</v>
      </c>
      <c r="D753" s="2" t="s">
        <v>41</v>
      </c>
      <c r="E753" s="3">
        <v>45658</v>
      </c>
      <c r="F753" s="4">
        <v>10000</v>
      </c>
      <c r="G753" s="2" t="s">
        <v>42</v>
      </c>
      <c r="H753" s="2" t="s">
        <v>43</v>
      </c>
      <c r="K753" s="2" t="s">
        <v>3817</v>
      </c>
      <c r="L753" s="2" t="s">
        <v>3818</v>
      </c>
      <c r="M753" s="2" t="s">
        <v>3819</v>
      </c>
      <c r="N753" s="2" t="s">
        <v>48</v>
      </c>
      <c r="O753" s="2" t="s">
        <v>368</v>
      </c>
      <c r="Q753" s="2" t="s">
        <v>3474</v>
      </c>
      <c r="S753" s="7" t="s">
        <v>5513</v>
      </c>
      <c r="T753" s="7" t="s">
        <v>5713</v>
      </c>
      <c r="U753" s="2" t="s">
        <v>6454</v>
      </c>
    </row>
    <row r="754" spans="1:21" ht="12.75" x14ac:dyDescent="0.2">
      <c r="A754" s="1">
        <v>45700.624816666663</v>
      </c>
      <c r="B754" s="2" t="s">
        <v>363</v>
      </c>
      <c r="C754" s="2" t="s">
        <v>3820</v>
      </c>
      <c r="D754" s="2" t="s">
        <v>41</v>
      </c>
      <c r="E754" s="3">
        <v>45658</v>
      </c>
      <c r="F754" s="4">
        <v>10000</v>
      </c>
      <c r="G754" s="2" t="s">
        <v>42</v>
      </c>
      <c r="H754" s="2" t="s">
        <v>43</v>
      </c>
      <c r="K754" s="2" t="s">
        <v>3821</v>
      </c>
      <c r="L754" s="2" t="s">
        <v>3822</v>
      </c>
      <c r="M754" s="2" t="s">
        <v>3823</v>
      </c>
      <c r="N754" s="2" t="s">
        <v>48</v>
      </c>
      <c r="O754" s="2" t="s">
        <v>368</v>
      </c>
      <c r="Q754" s="2" t="s">
        <v>3474</v>
      </c>
      <c r="S754" s="7" t="s">
        <v>5514</v>
      </c>
      <c r="T754" s="7" t="s">
        <v>5713</v>
      </c>
      <c r="U754" s="2" t="s">
        <v>6455</v>
      </c>
    </row>
    <row r="755" spans="1:21" ht="12.75" x14ac:dyDescent="0.2">
      <c r="A755" s="1">
        <v>45700.624816666663</v>
      </c>
      <c r="B755" s="2" t="s">
        <v>363</v>
      </c>
      <c r="C755" s="2" t="s">
        <v>3824</v>
      </c>
      <c r="D755" s="2" t="s">
        <v>41</v>
      </c>
      <c r="E755" s="3">
        <v>45658</v>
      </c>
      <c r="F755" s="4">
        <v>10000</v>
      </c>
      <c r="G755" s="2" t="s">
        <v>42</v>
      </c>
      <c r="H755" s="2" t="s">
        <v>43</v>
      </c>
      <c r="K755" s="2" t="s">
        <v>3825</v>
      </c>
      <c r="L755" s="2" t="s">
        <v>3826</v>
      </c>
      <c r="M755" s="2" t="s">
        <v>3827</v>
      </c>
      <c r="N755" s="2" t="s">
        <v>48</v>
      </c>
      <c r="O755" s="2" t="s">
        <v>368</v>
      </c>
      <c r="Q755" s="2" t="s">
        <v>3474</v>
      </c>
      <c r="S755" s="7" t="s">
        <v>5515</v>
      </c>
      <c r="T755" s="7" t="s">
        <v>5713</v>
      </c>
      <c r="U755" s="2" t="s">
        <v>6456</v>
      </c>
    </row>
    <row r="756" spans="1:21" ht="12.75" x14ac:dyDescent="0.2">
      <c r="A756" s="1">
        <v>45700.624816666663</v>
      </c>
      <c r="B756" s="2" t="s">
        <v>363</v>
      </c>
      <c r="C756" s="2" t="s">
        <v>3828</v>
      </c>
      <c r="D756" s="2" t="s">
        <v>41</v>
      </c>
      <c r="E756" s="3">
        <v>45658</v>
      </c>
      <c r="F756" s="4">
        <v>10000</v>
      </c>
      <c r="G756" s="2" t="s">
        <v>42</v>
      </c>
      <c r="H756" s="2" t="s">
        <v>43</v>
      </c>
      <c r="K756" s="2" t="s">
        <v>3829</v>
      </c>
      <c r="L756" s="2" t="s">
        <v>3830</v>
      </c>
      <c r="M756" s="2" t="s">
        <v>3831</v>
      </c>
      <c r="N756" s="2" t="s">
        <v>48</v>
      </c>
      <c r="O756" s="2" t="s">
        <v>368</v>
      </c>
      <c r="Q756" s="2" t="s">
        <v>3474</v>
      </c>
      <c r="S756" s="7" t="s">
        <v>5516</v>
      </c>
      <c r="T756" s="7" t="s">
        <v>5713</v>
      </c>
      <c r="U756" s="2" t="s">
        <v>6457</v>
      </c>
    </row>
    <row r="757" spans="1:21" ht="12.75" x14ac:dyDescent="0.2">
      <c r="A757" s="1">
        <v>45700.624816666663</v>
      </c>
      <c r="B757" s="2" t="s">
        <v>363</v>
      </c>
      <c r="C757" s="2" t="s">
        <v>3832</v>
      </c>
      <c r="D757" s="2" t="s">
        <v>41</v>
      </c>
      <c r="E757" s="3">
        <v>45658</v>
      </c>
      <c r="F757" s="4">
        <v>10000</v>
      </c>
      <c r="G757" s="2" t="s">
        <v>42</v>
      </c>
      <c r="H757" s="2" t="s">
        <v>43</v>
      </c>
      <c r="K757" s="2" t="s">
        <v>3833</v>
      </c>
      <c r="L757" s="2" t="s">
        <v>3834</v>
      </c>
      <c r="M757" s="2" t="s">
        <v>3835</v>
      </c>
      <c r="N757" s="2" t="s">
        <v>48</v>
      </c>
      <c r="O757" s="2" t="s">
        <v>368</v>
      </c>
      <c r="Q757" s="2" t="s">
        <v>3474</v>
      </c>
      <c r="S757" s="7" t="s">
        <v>5517</v>
      </c>
      <c r="T757" s="7" t="s">
        <v>5713</v>
      </c>
      <c r="U757" s="2" t="s">
        <v>6458</v>
      </c>
    </row>
    <row r="758" spans="1:21" ht="12.75" x14ac:dyDescent="0.2">
      <c r="A758" s="1">
        <v>45700.624816666663</v>
      </c>
      <c r="B758" s="2" t="s">
        <v>363</v>
      </c>
      <c r="C758" s="2" t="s">
        <v>3836</v>
      </c>
      <c r="D758" s="2" t="s">
        <v>41</v>
      </c>
      <c r="E758" s="3">
        <v>45658</v>
      </c>
      <c r="F758" s="4">
        <v>10000</v>
      </c>
      <c r="G758" s="2" t="s">
        <v>42</v>
      </c>
      <c r="H758" s="2" t="s">
        <v>43</v>
      </c>
      <c r="K758" s="2" t="s">
        <v>3837</v>
      </c>
      <c r="L758" s="2" t="s">
        <v>3838</v>
      </c>
      <c r="M758" s="2" t="s">
        <v>3839</v>
      </c>
      <c r="N758" s="2" t="s">
        <v>48</v>
      </c>
      <c r="O758" s="2" t="s">
        <v>368</v>
      </c>
      <c r="Q758" s="2" t="s">
        <v>3474</v>
      </c>
      <c r="S758" s="7" t="s">
        <v>5518</v>
      </c>
      <c r="T758" s="7" t="s">
        <v>5713</v>
      </c>
      <c r="U758" s="2" t="s">
        <v>6459</v>
      </c>
    </row>
    <row r="759" spans="1:21" ht="12.75" x14ac:dyDescent="0.2">
      <c r="A759" s="1">
        <v>45700.624816666663</v>
      </c>
      <c r="B759" s="2" t="s">
        <v>363</v>
      </c>
      <c r="C759" s="2" t="s">
        <v>3840</v>
      </c>
      <c r="D759" s="2" t="s">
        <v>41</v>
      </c>
      <c r="E759" s="3">
        <v>45658</v>
      </c>
      <c r="F759" s="4">
        <v>10000</v>
      </c>
      <c r="G759" s="2" t="s">
        <v>42</v>
      </c>
      <c r="H759" s="2" t="s">
        <v>43</v>
      </c>
      <c r="K759" s="2" t="s">
        <v>3841</v>
      </c>
      <c r="L759" s="2" t="s">
        <v>3842</v>
      </c>
      <c r="M759" s="2" t="s">
        <v>3843</v>
      </c>
      <c r="N759" s="2" t="s">
        <v>48</v>
      </c>
      <c r="O759" s="2" t="s">
        <v>368</v>
      </c>
      <c r="Q759" s="2" t="s">
        <v>3474</v>
      </c>
      <c r="S759" s="7" t="s">
        <v>5519</v>
      </c>
      <c r="T759" s="7" t="s">
        <v>5713</v>
      </c>
      <c r="U759" s="2" t="s">
        <v>6460</v>
      </c>
    </row>
    <row r="760" spans="1:21" ht="12.75" x14ac:dyDescent="0.2">
      <c r="A760" s="1">
        <v>45700.624816666663</v>
      </c>
      <c r="B760" s="2" t="s">
        <v>363</v>
      </c>
      <c r="C760" s="2" t="s">
        <v>3844</v>
      </c>
      <c r="D760" s="2" t="s">
        <v>41</v>
      </c>
      <c r="E760" s="3">
        <v>45658</v>
      </c>
      <c r="F760" s="4">
        <v>10000</v>
      </c>
      <c r="G760" s="2" t="s">
        <v>42</v>
      </c>
      <c r="H760" s="2" t="s">
        <v>43</v>
      </c>
      <c r="K760" s="2" t="s">
        <v>3845</v>
      </c>
      <c r="L760" s="2" t="s">
        <v>3846</v>
      </c>
      <c r="M760" s="2" t="s">
        <v>3847</v>
      </c>
      <c r="N760" s="2" t="s">
        <v>48</v>
      </c>
      <c r="O760" s="2" t="s">
        <v>368</v>
      </c>
      <c r="Q760" s="2" t="s">
        <v>3474</v>
      </c>
      <c r="S760" s="7" t="s">
        <v>5520</v>
      </c>
      <c r="T760" s="7" t="s">
        <v>5713</v>
      </c>
      <c r="U760" s="2" t="s">
        <v>6461</v>
      </c>
    </row>
    <row r="761" spans="1:21" ht="12.75" x14ac:dyDescent="0.2">
      <c r="A761" s="1">
        <v>45700.624816666663</v>
      </c>
      <c r="B761" s="2" t="s">
        <v>363</v>
      </c>
      <c r="C761" s="2" t="s">
        <v>3848</v>
      </c>
      <c r="D761" s="2" t="s">
        <v>41</v>
      </c>
      <c r="E761" s="3">
        <v>45658</v>
      </c>
      <c r="F761" s="4">
        <v>10000</v>
      </c>
      <c r="G761" s="2" t="s">
        <v>42</v>
      </c>
      <c r="H761" s="2" t="s">
        <v>43</v>
      </c>
      <c r="K761" s="2" t="s">
        <v>3849</v>
      </c>
      <c r="L761" s="2" t="s">
        <v>3850</v>
      </c>
      <c r="M761" s="2" t="s">
        <v>3851</v>
      </c>
      <c r="N761" s="2" t="s">
        <v>48</v>
      </c>
      <c r="O761" s="2" t="s">
        <v>368</v>
      </c>
      <c r="Q761" s="2" t="s">
        <v>3474</v>
      </c>
      <c r="S761" s="7" t="s">
        <v>5521</v>
      </c>
      <c r="T761" s="7" t="s">
        <v>5713</v>
      </c>
      <c r="U761" s="2" t="s">
        <v>6462</v>
      </c>
    </row>
    <row r="762" spans="1:21" ht="12.75" x14ac:dyDescent="0.2">
      <c r="A762" s="1">
        <v>45700.624816666663</v>
      </c>
      <c r="B762" s="2" t="s">
        <v>363</v>
      </c>
      <c r="C762" s="2" t="s">
        <v>3852</v>
      </c>
      <c r="D762" s="2" t="s">
        <v>41</v>
      </c>
      <c r="E762" s="3">
        <v>45658</v>
      </c>
      <c r="F762" s="4">
        <v>10000</v>
      </c>
      <c r="G762" s="2" t="s">
        <v>42</v>
      </c>
      <c r="H762" s="2" t="s">
        <v>43</v>
      </c>
      <c r="K762" s="2" t="s">
        <v>3853</v>
      </c>
      <c r="L762" s="2" t="s">
        <v>3854</v>
      </c>
      <c r="M762" s="2" t="s">
        <v>3855</v>
      </c>
      <c r="N762" s="2" t="s">
        <v>48</v>
      </c>
      <c r="O762" s="2" t="s">
        <v>368</v>
      </c>
      <c r="Q762" s="2" t="s">
        <v>3474</v>
      </c>
      <c r="S762" s="7" t="s">
        <v>5522</v>
      </c>
      <c r="T762" s="7" t="s">
        <v>5713</v>
      </c>
      <c r="U762" s="2" t="s">
        <v>6463</v>
      </c>
    </row>
    <row r="763" spans="1:21" ht="12.75" x14ac:dyDescent="0.2">
      <c r="A763" s="1">
        <v>45700.739970405091</v>
      </c>
      <c r="B763" s="2" t="s">
        <v>3856</v>
      </c>
      <c r="C763" s="2" t="s">
        <v>3857</v>
      </c>
      <c r="D763" s="2" t="s">
        <v>333</v>
      </c>
      <c r="E763" s="3">
        <v>45485</v>
      </c>
      <c r="F763" s="4">
        <v>12000</v>
      </c>
      <c r="G763" s="2" t="s">
        <v>42</v>
      </c>
      <c r="H763" s="2" t="s">
        <v>1665</v>
      </c>
      <c r="K763" s="2" t="s">
        <v>3858</v>
      </c>
      <c r="L763" s="2" t="s">
        <v>3859</v>
      </c>
      <c r="M763" s="2" t="s">
        <v>3860</v>
      </c>
      <c r="N763" s="2" t="s">
        <v>337</v>
      </c>
      <c r="O763" s="2" t="s">
        <v>3861</v>
      </c>
      <c r="Q763" s="2" t="s">
        <v>3474</v>
      </c>
      <c r="S763" s="7" t="s">
        <v>5523</v>
      </c>
      <c r="T763" s="7" t="s">
        <v>5713</v>
      </c>
      <c r="U763" s="2" t="s">
        <v>6464</v>
      </c>
    </row>
    <row r="764" spans="1:21" ht="12.75" x14ac:dyDescent="0.2">
      <c r="A764" s="1">
        <v>45700.832757858792</v>
      </c>
      <c r="B764" s="2" t="s">
        <v>3737</v>
      </c>
      <c r="C764" s="2" t="s">
        <v>3862</v>
      </c>
      <c r="D764" s="2" t="s">
        <v>910</v>
      </c>
      <c r="E764" s="3">
        <v>45691</v>
      </c>
      <c r="F764" s="4">
        <v>6000</v>
      </c>
      <c r="G764" s="2" t="s">
        <v>143</v>
      </c>
      <c r="H764" s="2" t="s">
        <v>43</v>
      </c>
      <c r="I764" s="2" t="s">
        <v>3863</v>
      </c>
      <c r="K764" s="2" t="s">
        <v>3864</v>
      </c>
      <c r="L764" s="2" t="s">
        <v>3865</v>
      </c>
      <c r="M764" s="2" t="s">
        <v>3866</v>
      </c>
      <c r="N764" s="2" t="s">
        <v>915</v>
      </c>
      <c r="O764" s="2" t="s">
        <v>3742</v>
      </c>
      <c r="P764" s="2" t="s">
        <v>3867</v>
      </c>
      <c r="Q764" s="2" t="s">
        <v>50</v>
      </c>
      <c r="S764" s="7" t="s">
        <v>5524</v>
      </c>
      <c r="T764" s="7" t="s">
        <v>5713</v>
      </c>
      <c r="U764" s="2" t="s">
        <v>6465</v>
      </c>
    </row>
    <row r="765" spans="1:21" ht="12.75" x14ac:dyDescent="0.2">
      <c r="A765" s="1">
        <v>45701.434336180551</v>
      </c>
      <c r="B765" s="2" t="s">
        <v>419</v>
      </c>
      <c r="C765" s="2" t="s">
        <v>3868</v>
      </c>
      <c r="D765" s="2" t="s">
        <v>672</v>
      </c>
      <c r="E765" s="3">
        <v>45336</v>
      </c>
      <c r="F765" s="4">
        <v>2100</v>
      </c>
      <c r="G765" s="2" t="s">
        <v>143</v>
      </c>
      <c r="H765" s="2" t="s">
        <v>43</v>
      </c>
      <c r="K765" s="2" t="s">
        <v>3869</v>
      </c>
      <c r="L765" s="2" t="s">
        <v>3870</v>
      </c>
      <c r="M765" s="2" t="s">
        <v>3871</v>
      </c>
      <c r="N765" s="2" t="s">
        <v>676</v>
      </c>
      <c r="O765" s="2" t="s">
        <v>424</v>
      </c>
      <c r="Q765" s="2" t="s">
        <v>3474</v>
      </c>
      <c r="S765" s="7" t="s">
        <v>5525</v>
      </c>
      <c r="T765" s="7" t="s">
        <v>5713</v>
      </c>
      <c r="U765" s="2" t="s">
        <v>6466</v>
      </c>
    </row>
    <row r="766" spans="1:21" ht="12.75" x14ac:dyDescent="0.2">
      <c r="A766" s="1">
        <v>45701.449270324076</v>
      </c>
      <c r="B766" s="2" t="s">
        <v>621</v>
      </c>
      <c r="C766" s="2" t="s">
        <v>3872</v>
      </c>
      <c r="D766" s="2" t="s">
        <v>672</v>
      </c>
      <c r="E766" s="3">
        <v>45583</v>
      </c>
      <c r="F766" s="4">
        <v>1400</v>
      </c>
      <c r="G766" s="2" t="s">
        <v>143</v>
      </c>
      <c r="H766" s="2" t="s">
        <v>43</v>
      </c>
      <c r="K766" s="2" t="s">
        <v>3873</v>
      </c>
      <c r="L766" s="2" t="s">
        <v>3874</v>
      </c>
      <c r="M766" s="2" t="s">
        <v>3875</v>
      </c>
      <c r="N766" s="2" t="s">
        <v>676</v>
      </c>
      <c r="O766" s="2" t="s">
        <v>626</v>
      </c>
      <c r="Q766" s="2" t="s">
        <v>3474</v>
      </c>
      <c r="S766" s="7" t="s">
        <v>5526</v>
      </c>
      <c r="T766" s="7" t="s">
        <v>5713</v>
      </c>
      <c r="U766" s="2" t="s">
        <v>6467</v>
      </c>
    </row>
    <row r="767" spans="1:21" ht="12.75" x14ac:dyDescent="0.2">
      <c r="A767" s="1">
        <v>45701.463577719907</v>
      </c>
      <c r="B767" s="2" t="s">
        <v>3876</v>
      </c>
      <c r="C767" s="2" t="s">
        <v>3877</v>
      </c>
      <c r="D767" s="2" t="s">
        <v>672</v>
      </c>
      <c r="E767" s="3">
        <v>45698</v>
      </c>
      <c r="F767" s="4">
        <v>3500</v>
      </c>
      <c r="G767" s="2" t="s">
        <v>143</v>
      </c>
      <c r="H767" s="2" t="s">
        <v>43</v>
      </c>
      <c r="K767" s="2" t="s">
        <v>3878</v>
      </c>
      <c r="L767" s="2" t="s">
        <v>3879</v>
      </c>
      <c r="M767" s="2" t="s">
        <v>3880</v>
      </c>
      <c r="N767" s="2" t="s">
        <v>676</v>
      </c>
      <c r="O767" s="2" t="s">
        <v>3881</v>
      </c>
      <c r="Q767" s="2" t="s">
        <v>50</v>
      </c>
      <c r="S767" s="7" t="s">
        <v>5527</v>
      </c>
      <c r="T767" s="7" t="s">
        <v>5713</v>
      </c>
      <c r="U767" s="2" t="s">
        <v>6468</v>
      </c>
    </row>
    <row r="768" spans="1:21" ht="12.75" x14ac:dyDescent="0.2">
      <c r="A768" s="1">
        <v>45701.464605486108</v>
      </c>
      <c r="B768" s="2" t="s">
        <v>2993</v>
      </c>
      <c r="C768" s="2" t="s">
        <v>3882</v>
      </c>
      <c r="D768" s="2" t="s">
        <v>672</v>
      </c>
      <c r="E768" s="3">
        <v>45672</v>
      </c>
      <c r="F768" s="4">
        <v>400</v>
      </c>
      <c r="G768" s="2" t="s">
        <v>143</v>
      </c>
      <c r="H768" s="2" t="s">
        <v>43</v>
      </c>
      <c r="K768" s="2" t="s">
        <v>3883</v>
      </c>
      <c r="L768" s="2" t="s">
        <v>3884</v>
      </c>
      <c r="M768" s="2" t="s">
        <v>3885</v>
      </c>
      <c r="N768" s="2" t="s">
        <v>676</v>
      </c>
      <c r="O768" s="2" t="s">
        <v>2998</v>
      </c>
      <c r="Q768" s="2" t="s">
        <v>3474</v>
      </c>
      <c r="S768" s="7" t="s">
        <v>5528</v>
      </c>
      <c r="T768" s="7" t="s">
        <v>5713</v>
      </c>
      <c r="U768" s="2" t="s">
        <v>6469</v>
      </c>
    </row>
    <row r="769" spans="1:21" ht="12.75" x14ac:dyDescent="0.2">
      <c r="A769" s="1">
        <v>45701.466452523149</v>
      </c>
      <c r="B769" s="2" t="s">
        <v>2768</v>
      </c>
      <c r="C769" s="2" t="s">
        <v>3886</v>
      </c>
      <c r="D769" s="2" t="s">
        <v>672</v>
      </c>
      <c r="E769" s="3">
        <v>45344</v>
      </c>
      <c r="F769" s="4">
        <v>500</v>
      </c>
      <c r="G769" s="2" t="s">
        <v>42</v>
      </c>
      <c r="H769" s="2" t="s">
        <v>43</v>
      </c>
      <c r="K769" s="2" t="s">
        <v>3887</v>
      </c>
      <c r="L769" s="2" t="s">
        <v>3888</v>
      </c>
      <c r="M769" s="2" t="s">
        <v>3889</v>
      </c>
      <c r="N769" s="2" t="s">
        <v>676</v>
      </c>
      <c r="O769" s="2" t="s">
        <v>2773</v>
      </c>
      <c r="Q769" s="2" t="s">
        <v>3474</v>
      </c>
      <c r="S769" s="7" t="s">
        <v>5529</v>
      </c>
      <c r="T769" s="7" t="s">
        <v>5713</v>
      </c>
      <c r="U769" s="2" t="s">
        <v>6470</v>
      </c>
    </row>
    <row r="770" spans="1:21" ht="12.75" x14ac:dyDescent="0.2">
      <c r="A770" s="1">
        <v>45701.487295879633</v>
      </c>
      <c r="B770" s="2" t="s">
        <v>3024</v>
      </c>
      <c r="C770" s="2" t="s">
        <v>3890</v>
      </c>
      <c r="D770" s="2" t="s">
        <v>672</v>
      </c>
      <c r="E770" s="3">
        <v>45290</v>
      </c>
      <c r="F770" s="4">
        <v>3888</v>
      </c>
      <c r="G770" s="2" t="s">
        <v>42</v>
      </c>
      <c r="H770" s="2" t="s">
        <v>43</v>
      </c>
      <c r="K770" s="2" t="s">
        <v>3891</v>
      </c>
      <c r="L770" s="2" t="s">
        <v>3892</v>
      </c>
      <c r="M770" s="2" t="s">
        <v>3893</v>
      </c>
      <c r="N770" s="2" t="s">
        <v>676</v>
      </c>
      <c r="O770" s="2" t="s">
        <v>2808</v>
      </c>
      <c r="Q770" s="2" t="s">
        <v>3474</v>
      </c>
      <c r="S770" s="7" t="s">
        <v>5530</v>
      </c>
      <c r="T770" s="7" t="s">
        <v>5713</v>
      </c>
      <c r="U770" s="2" t="s">
        <v>6471</v>
      </c>
    </row>
    <row r="771" spans="1:21" ht="12.75" x14ac:dyDescent="0.2">
      <c r="A771" s="1">
        <v>45701.489885416668</v>
      </c>
      <c r="B771" s="2" t="s">
        <v>83</v>
      </c>
      <c r="C771" s="2" t="s">
        <v>3894</v>
      </c>
      <c r="D771" s="2" t="s">
        <v>672</v>
      </c>
      <c r="E771" s="3">
        <v>45170</v>
      </c>
      <c r="F771" s="4">
        <v>260</v>
      </c>
      <c r="G771" s="2" t="s">
        <v>42</v>
      </c>
      <c r="H771" s="2" t="s">
        <v>43</v>
      </c>
      <c r="K771" s="2" t="s">
        <v>3895</v>
      </c>
      <c r="L771" s="2" t="s">
        <v>3896</v>
      </c>
      <c r="M771" s="2" t="s">
        <v>3897</v>
      </c>
      <c r="N771" s="2" t="s">
        <v>676</v>
      </c>
      <c r="O771" s="2" t="s">
        <v>88</v>
      </c>
      <c r="Q771" s="2" t="s">
        <v>3474</v>
      </c>
      <c r="S771" s="7" t="s">
        <v>5531</v>
      </c>
      <c r="T771" s="7" t="s">
        <v>5713</v>
      </c>
      <c r="U771" s="2" t="s">
        <v>6472</v>
      </c>
    </row>
    <row r="772" spans="1:21" ht="12.75" x14ac:dyDescent="0.2">
      <c r="A772" s="1">
        <v>45701.492116956018</v>
      </c>
      <c r="B772" s="2" t="s">
        <v>2639</v>
      </c>
      <c r="C772" s="2" t="s">
        <v>3898</v>
      </c>
      <c r="D772" s="2" t="s">
        <v>672</v>
      </c>
      <c r="E772" s="3">
        <v>45404</v>
      </c>
      <c r="F772" s="4">
        <v>1300</v>
      </c>
      <c r="G772" s="2" t="s">
        <v>143</v>
      </c>
      <c r="H772" s="2" t="s">
        <v>43</v>
      </c>
      <c r="K772" s="2" t="s">
        <v>3899</v>
      </c>
      <c r="L772" s="2" t="s">
        <v>3900</v>
      </c>
      <c r="M772" s="2" t="s">
        <v>3901</v>
      </c>
      <c r="N772" s="2" t="s">
        <v>676</v>
      </c>
      <c r="O772" s="2" t="s">
        <v>2645</v>
      </c>
      <c r="Q772" s="2" t="s">
        <v>3474</v>
      </c>
      <c r="S772" s="7" t="s">
        <v>5532</v>
      </c>
      <c r="T772" s="7" t="s">
        <v>5713</v>
      </c>
      <c r="U772" s="2" t="s">
        <v>6473</v>
      </c>
    </row>
    <row r="773" spans="1:21" ht="12.75" x14ac:dyDescent="0.2">
      <c r="A773" s="1">
        <v>45701.495083229165</v>
      </c>
      <c r="B773" s="2" t="s">
        <v>963</v>
      </c>
      <c r="C773" s="2" t="s">
        <v>3902</v>
      </c>
      <c r="D773" s="2" t="s">
        <v>672</v>
      </c>
      <c r="E773" s="3">
        <v>45619</v>
      </c>
      <c r="F773" s="4">
        <v>1237</v>
      </c>
      <c r="G773" s="2" t="s">
        <v>42</v>
      </c>
      <c r="H773" s="2" t="s">
        <v>43</v>
      </c>
      <c r="K773" s="2" t="s">
        <v>3903</v>
      </c>
      <c r="L773" s="2" t="s">
        <v>3904</v>
      </c>
      <c r="M773" s="2" t="s">
        <v>3905</v>
      </c>
      <c r="N773" s="2" t="s">
        <v>676</v>
      </c>
      <c r="O773" s="2" t="s">
        <v>970</v>
      </c>
      <c r="Q773" s="2" t="s">
        <v>3474</v>
      </c>
      <c r="S773" s="7" t="s">
        <v>5533</v>
      </c>
      <c r="T773" s="7" t="s">
        <v>5713</v>
      </c>
      <c r="U773" s="2" t="s">
        <v>6474</v>
      </c>
    </row>
    <row r="774" spans="1:21" ht="12.75" x14ac:dyDescent="0.2">
      <c r="A774" s="1">
        <v>45701.509584386571</v>
      </c>
      <c r="B774" s="2" t="s">
        <v>2976</v>
      </c>
      <c r="C774" s="2" t="s">
        <v>3906</v>
      </c>
      <c r="D774" s="2" t="s">
        <v>672</v>
      </c>
      <c r="E774" s="3">
        <v>45623</v>
      </c>
      <c r="F774" s="4">
        <v>750</v>
      </c>
      <c r="G774" s="2" t="s">
        <v>143</v>
      </c>
      <c r="H774" s="2" t="s">
        <v>43</v>
      </c>
      <c r="K774" s="2" t="s">
        <v>3907</v>
      </c>
      <c r="L774" s="2" t="s">
        <v>3908</v>
      </c>
      <c r="M774" s="2" t="s">
        <v>3909</v>
      </c>
      <c r="N774" s="2" t="s">
        <v>676</v>
      </c>
      <c r="O774" s="2" t="s">
        <v>2982</v>
      </c>
      <c r="Q774" s="2" t="s">
        <v>3474</v>
      </c>
      <c r="S774" s="7" t="s">
        <v>5534</v>
      </c>
      <c r="T774" s="7" t="s">
        <v>5713</v>
      </c>
      <c r="U774" s="2" t="s">
        <v>6475</v>
      </c>
    </row>
    <row r="775" spans="1:21" ht="12.75" x14ac:dyDescent="0.2">
      <c r="A775" s="1">
        <v>45701.676264467591</v>
      </c>
      <c r="B775" s="2" t="s">
        <v>3910</v>
      </c>
      <c r="C775" s="2" t="s">
        <v>3911</v>
      </c>
      <c r="D775" s="2" t="s">
        <v>41</v>
      </c>
      <c r="E775" s="3">
        <v>45632</v>
      </c>
      <c r="F775" s="4">
        <v>36500</v>
      </c>
      <c r="G775" s="2" t="s">
        <v>42</v>
      </c>
      <c r="H775" s="2" t="s">
        <v>43</v>
      </c>
      <c r="J775" s="2" t="s">
        <v>3912</v>
      </c>
      <c r="K775" s="2" t="s">
        <v>3913</v>
      </c>
      <c r="L775" s="2" t="s">
        <v>3914</v>
      </c>
      <c r="M775" s="2" t="s">
        <v>3915</v>
      </c>
      <c r="N775" s="2" t="s">
        <v>48</v>
      </c>
      <c r="O775" s="2" t="s">
        <v>3916</v>
      </c>
      <c r="Q775" s="2" t="s">
        <v>3474</v>
      </c>
      <c r="S775" s="7" t="s">
        <v>5535</v>
      </c>
      <c r="T775" s="7" t="s">
        <v>5713</v>
      </c>
      <c r="U775" s="2" t="s">
        <v>6476</v>
      </c>
    </row>
    <row r="776" spans="1:21" ht="12.75" x14ac:dyDescent="0.2">
      <c r="A776" s="1">
        <v>45701.700875289353</v>
      </c>
      <c r="B776" s="2" t="s">
        <v>3917</v>
      </c>
      <c r="C776" s="2" t="s">
        <v>3918</v>
      </c>
      <c r="D776" s="2" t="s">
        <v>41</v>
      </c>
      <c r="E776" s="3">
        <v>45468</v>
      </c>
      <c r="F776" s="4">
        <v>66200</v>
      </c>
      <c r="G776" s="2" t="s">
        <v>42</v>
      </c>
      <c r="H776" s="2" t="s">
        <v>43</v>
      </c>
      <c r="J776" s="2" t="s">
        <v>3919</v>
      </c>
      <c r="K776" s="2" t="s">
        <v>3920</v>
      </c>
      <c r="L776" s="2" t="s">
        <v>3921</v>
      </c>
      <c r="M776" s="2" t="s">
        <v>3922</v>
      </c>
      <c r="N776" s="2" t="s">
        <v>48</v>
      </c>
      <c r="O776" s="2" t="s">
        <v>3923</v>
      </c>
      <c r="Q776" s="2" t="s">
        <v>3474</v>
      </c>
      <c r="S776" s="7" t="s">
        <v>5536</v>
      </c>
      <c r="T776" s="7" t="s">
        <v>5713</v>
      </c>
      <c r="U776" s="2" t="s">
        <v>6477</v>
      </c>
    </row>
    <row r="777" spans="1:21" ht="12.75" x14ac:dyDescent="0.2">
      <c r="A777" s="1">
        <v>45702.812226747687</v>
      </c>
      <c r="B777" s="2" t="s">
        <v>3924</v>
      </c>
      <c r="C777" s="2" t="s">
        <v>3925</v>
      </c>
      <c r="D777" s="2" t="s">
        <v>41</v>
      </c>
      <c r="E777" s="3">
        <v>45699</v>
      </c>
      <c r="F777" s="4">
        <v>90500</v>
      </c>
      <c r="G777" s="2" t="s">
        <v>42</v>
      </c>
      <c r="H777" s="2" t="s">
        <v>43</v>
      </c>
      <c r="I777" s="2" t="s">
        <v>2691</v>
      </c>
      <c r="K777" s="2" t="s">
        <v>3926</v>
      </c>
      <c r="L777" s="2" t="s">
        <v>3927</v>
      </c>
      <c r="M777" s="2" t="s">
        <v>3928</v>
      </c>
      <c r="N777" s="2" t="s">
        <v>48</v>
      </c>
      <c r="O777" s="2" t="s">
        <v>3929</v>
      </c>
      <c r="P777" s="2" t="s">
        <v>2697</v>
      </c>
      <c r="Q777" s="2" t="s">
        <v>50</v>
      </c>
      <c r="S777" s="7" t="s">
        <v>5537</v>
      </c>
      <c r="T777" s="7" t="s">
        <v>5713</v>
      </c>
      <c r="U777" s="2" t="s">
        <v>6478</v>
      </c>
    </row>
    <row r="778" spans="1:21" ht="12.75" x14ac:dyDescent="0.2">
      <c r="A778" s="1">
        <v>45707.4798577662</v>
      </c>
      <c r="B778" s="2" t="s">
        <v>3930</v>
      </c>
      <c r="C778" s="2" t="s">
        <v>3931</v>
      </c>
      <c r="D778" s="2" t="s">
        <v>41</v>
      </c>
      <c r="E778" s="3">
        <v>45625</v>
      </c>
      <c r="F778" s="4">
        <v>48530</v>
      </c>
      <c r="G778" s="2" t="s">
        <v>42</v>
      </c>
      <c r="H778" s="2" t="s">
        <v>43</v>
      </c>
      <c r="J778" s="2" t="s">
        <v>3932</v>
      </c>
      <c r="K778" s="2" t="s">
        <v>3933</v>
      </c>
      <c r="L778" s="2" t="s">
        <v>3934</v>
      </c>
      <c r="M778" s="2" t="s">
        <v>3935</v>
      </c>
      <c r="N778" s="2" t="s">
        <v>48</v>
      </c>
      <c r="O778" s="2" t="s">
        <v>3936</v>
      </c>
      <c r="Q778" s="2" t="s">
        <v>3474</v>
      </c>
      <c r="S778" s="7" t="s">
        <v>5538</v>
      </c>
      <c r="T778" s="7" t="s">
        <v>5713</v>
      </c>
      <c r="U778" s="2" t="s">
        <v>6479</v>
      </c>
    </row>
    <row r="779" spans="1:21" ht="12.75" x14ac:dyDescent="0.2">
      <c r="A779" s="1">
        <v>45708.734123541668</v>
      </c>
      <c r="B779" s="2" t="s">
        <v>3937</v>
      </c>
      <c r="C779" s="2" t="s">
        <v>3537</v>
      </c>
      <c r="D779" s="2" t="s">
        <v>333</v>
      </c>
      <c r="E779" s="3">
        <v>45075</v>
      </c>
      <c r="F779" s="4">
        <v>109684</v>
      </c>
      <c r="G779" s="2" t="s">
        <v>42</v>
      </c>
      <c r="H779" s="2" t="s">
        <v>1665</v>
      </c>
      <c r="K779" s="2" t="s">
        <v>3938</v>
      </c>
      <c r="L779" s="2" t="s">
        <v>3939</v>
      </c>
      <c r="M779" s="2" t="s">
        <v>3940</v>
      </c>
      <c r="N779" s="2" t="s">
        <v>337</v>
      </c>
      <c r="O779" s="2" t="s">
        <v>3941</v>
      </c>
      <c r="Q779" s="2" t="s">
        <v>3474</v>
      </c>
      <c r="S779" s="7" t="s">
        <v>5539</v>
      </c>
      <c r="T779" s="7" t="s">
        <v>5713</v>
      </c>
      <c r="U779" s="2" t="s">
        <v>6480</v>
      </c>
    </row>
    <row r="780" spans="1:21" ht="12.75" x14ac:dyDescent="0.2">
      <c r="A780" s="1">
        <v>45709.519574120372</v>
      </c>
      <c r="B780" s="2" t="s">
        <v>1007</v>
      </c>
      <c r="C780" s="2" t="s">
        <v>3942</v>
      </c>
      <c r="D780" s="2" t="s">
        <v>223</v>
      </c>
      <c r="E780" s="3">
        <v>45626</v>
      </c>
      <c r="F780" s="4">
        <v>300</v>
      </c>
      <c r="G780" s="2" t="s">
        <v>42</v>
      </c>
      <c r="H780" s="2" t="s">
        <v>43</v>
      </c>
      <c r="J780" s="2" t="s">
        <v>3943</v>
      </c>
      <c r="K780" s="2" t="s">
        <v>3944</v>
      </c>
      <c r="L780" s="2" t="s">
        <v>3945</v>
      </c>
      <c r="M780" s="2" t="s">
        <v>3946</v>
      </c>
      <c r="N780" s="2" t="s">
        <v>228</v>
      </c>
      <c r="O780" s="2" t="s">
        <v>1013</v>
      </c>
      <c r="Q780" s="2" t="s">
        <v>3474</v>
      </c>
      <c r="S780" s="7" t="s">
        <v>5540</v>
      </c>
      <c r="T780" s="7" t="s">
        <v>5713</v>
      </c>
      <c r="U780" s="2" t="s">
        <v>6481</v>
      </c>
    </row>
    <row r="781" spans="1:21" ht="12.75" x14ac:dyDescent="0.2">
      <c r="A781" s="1">
        <v>45709.70158883102</v>
      </c>
      <c r="B781" s="2" t="s">
        <v>120</v>
      </c>
      <c r="C781" s="2" t="s">
        <v>3947</v>
      </c>
      <c r="D781" s="2" t="s">
        <v>672</v>
      </c>
      <c r="E781" s="3">
        <v>45365</v>
      </c>
      <c r="F781" s="4">
        <v>400</v>
      </c>
      <c r="G781" s="2" t="s">
        <v>143</v>
      </c>
      <c r="H781" s="2" t="s">
        <v>43</v>
      </c>
      <c r="K781" s="2" t="s">
        <v>3948</v>
      </c>
      <c r="L781" s="2" t="s">
        <v>3949</v>
      </c>
      <c r="M781" s="2" t="s">
        <v>3950</v>
      </c>
      <c r="N781" s="2" t="s">
        <v>676</v>
      </c>
      <c r="O781" s="2" t="s">
        <v>126</v>
      </c>
      <c r="Q781" s="2" t="s">
        <v>3474</v>
      </c>
      <c r="S781" s="7" t="s">
        <v>5541</v>
      </c>
      <c r="T781" s="7" t="s">
        <v>5713</v>
      </c>
      <c r="U781" s="2" t="s">
        <v>6482</v>
      </c>
    </row>
    <row r="782" spans="1:21" ht="12.75" x14ac:dyDescent="0.2">
      <c r="A782" s="1">
        <v>45709.721867048611</v>
      </c>
      <c r="B782" s="2" t="s">
        <v>3951</v>
      </c>
      <c r="C782" s="2" t="s">
        <v>3952</v>
      </c>
      <c r="D782" s="2" t="s">
        <v>41</v>
      </c>
      <c r="E782" s="3">
        <v>45545</v>
      </c>
      <c r="F782" s="4">
        <v>87050</v>
      </c>
      <c r="G782" s="2" t="s">
        <v>42</v>
      </c>
      <c r="H782" s="2" t="s">
        <v>43</v>
      </c>
      <c r="J782" s="2" t="s">
        <v>3953</v>
      </c>
      <c r="K782" s="2" t="s">
        <v>3954</v>
      </c>
      <c r="L782" s="2" t="s">
        <v>3955</v>
      </c>
      <c r="M782" s="2" t="s">
        <v>3956</v>
      </c>
      <c r="N782" s="2" t="s">
        <v>48</v>
      </c>
      <c r="O782" s="2" t="s">
        <v>3957</v>
      </c>
      <c r="Q782" s="2" t="s">
        <v>3474</v>
      </c>
      <c r="S782" s="7" t="s">
        <v>5542</v>
      </c>
      <c r="T782" s="7" t="s">
        <v>5713</v>
      </c>
      <c r="U782" s="2" t="s">
        <v>6483</v>
      </c>
    </row>
    <row r="783" spans="1:21" ht="12.75" x14ac:dyDescent="0.2">
      <c r="A783" s="1">
        <v>45710.487940613428</v>
      </c>
      <c r="B783" s="2" t="s">
        <v>2079</v>
      </c>
      <c r="C783" s="2" t="s">
        <v>3958</v>
      </c>
      <c r="D783" s="2" t="s">
        <v>333</v>
      </c>
      <c r="E783" s="3">
        <v>45383</v>
      </c>
      <c r="F783" s="4">
        <v>178165</v>
      </c>
      <c r="G783" s="2" t="s">
        <v>326</v>
      </c>
      <c r="H783" s="2" t="s">
        <v>43</v>
      </c>
      <c r="K783" s="2" t="s">
        <v>3959</v>
      </c>
      <c r="L783" s="2" t="s">
        <v>3960</v>
      </c>
      <c r="M783" s="2" t="s">
        <v>3961</v>
      </c>
      <c r="N783" s="2" t="s">
        <v>337</v>
      </c>
      <c r="O783" s="2" t="s">
        <v>2084</v>
      </c>
      <c r="Q783" s="2" t="s">
        <v>3474</v>
      </c>
      <c r="S783" s="7" t="s">
        <v>5543</v>
      </c>
      <c r="T783" s="7" t="s">
        <v>5713</v>
      </c>
      <c r="U783" s="2" t="s">
        <v>6484</v>
      </c>
    </row>
    <row r="784" spans="1:21" ht="12.75" x14ac:dyDescent="0.2">
      <c r="A784" s="1">
        <v>45710.536706307874</v>
      </c>
      <c r="B784" s="2" t="s">
        <v>3962</v>
      </c>
      <c r="C784" s="2" t="s">
        <v>3963</v>
      </c>
      <c r="D784" s="2" t="s">
        <v>41</v>
      </c>
      <c r="E784" s="3">
        <v>45558</v>
      </c>
      <c r="F784" s="4">
        <v>34650</v>
      </c>
      <c r="G784" s="2" t="s">
        <v>42</v>
      </c>
      <c r="H784" s="2" t="s">
        <v>43</v>
      </c>
      <c r="K784" s="2" t="s">
        <v>3964</v>
      </c>
      <c r="L784" s="2" t="s">
        <v>3965</v>
      </c>
      <c r="M784" s="2" t="s">
        <v>3966</v>
      </c>
      <c r="N784" s="2" t="s">
        <v>48</v>
      </c>
      <c r="O784" s="2" t="s">
        <v>3967</v>
      </c>
      <c r="Q784" s="2" t="s">
        <v>3474</v>
      </c>
      <c r="S784" s="7" t="s">
        <v>5544</v>
      </c>
      <c r="T784" s="7" t="s">
        <v>5713</v>
      </c>
      <c r="U784" s="2" t="s">
        <v>6485</v>
      </c>
    </row>
    <row r="785" spans="1:21" ht="12.75" x14ac:dyDescent="0.2">
      <c r="A785" s="1">
        <v>45710.697446527774</v>
      </c>
      <c r="B785" s="2" t="s">
        <v>3968</v>
      </c>
      <c r="C785" s="2" t="s">
        <v>3969</v>
      </c>
      <c r="D785" s="2" t="s">
        <v>333</v>
      </c>
      <c r="E785" s="3">
        <v>45413</v>
      </c>
      <c r="F785" s="4">
        <v>2300</v>
      </c>
      <c r="G785" s="2" t="s">
        <v>42</v>
      </c>
      <c r="H785" s="2" t="s">
        <v>43</v>
      </c>
      <c r="K785" s="2" t="s">
        <v>3970</v>
      </c>
      <c r="L785" s="2" t="s">
        <v>3971</v>
      </c>
      <c r="M785" s="2" t="s">
        <v>3972</v>
      </c>
      <c r="N785" s="2" t="s">
        <v>337</v>
      </c>
      <c r="O785" s="2" t="s">
        <v>3973</v>
      </c>
      <c r="Q785" s="2" t="s">
        <v>3474</v>
      </c>
      <c r="S785" s="7" t="s">
        <v>5545</v>
      </c>
      <c r="T785" s="7" t="s">
        <v>5713</v>
      </c>
      <c r="U785" s="2" t="s">
        <v>6486</v>
      </c>
    </row>
    <row r="786" spans="1:21" ht="12.75" x14ac:dyDescent="0.2">
      <c r="A786" s="1">
        <v>45712.550872418986</v>
      </c>
      <c r="B786" s="2" t="s">
        <v>3974</v>
      </c>
      <c r="C786" s="2" t="s">
        <v>3975</v>
      </c>
      <c r="D786" s="2" t="s">
        <v>223</v>
      </c>
      <c r="E786" s="3">
        <v>45566</v>
      </c>
      <c r="F786" s="4">
        <v>708</v>
      </c>
      <c r="G786" s="2" t="s">
        <v>42</v>
      </c>
      <c r="H786" s="2" t="s">
        <v>43</v>
      </c>
      <c r="K786" s="2" t="s">
        <v>3976</v>
      </c>
      <c r="L786" s="2" t="s">
        <v>3977</v>
      </c>
      <c r="M786" s="2" t="s">
        <v>3978</v>
      </c>
      <c r="N786" s="2" t="s">
        <v>228</v>
      </c>
      <c r="O786" s="2" t="s">
        <v>3979</v>
      </c>
      <c r="Q786" s="2" t="s">
        <v>3474</v>
      </c>
      <c r="S786" s="7" t="s">
        <v>5546</v>
      </c>
      <c r="T786" s="7" t="s">
        <v>5713</v>
      </c>
      <c r="U786" s="2" t="s">
        <v>6487</v>
      </c>
    </row>
    <row r="787" spans="1:21" ht="12.75" x14ac:dyDescent="0.2">
      <c r="A787" s="1">
        <v>45712.576290185185</v>
      </c>
      <c r="B787" s="2" t="s">
        <v>3980</v>
      </c>
      <c r="C787" s="2" t="s">
        <v>3537</v>
      </c>
      <c r="D787" s="2" t="s">
        <v>333</v>
      </c>
      <c r="E787" s="3">
        <v>45581</v>
      </c>
      <c r="F787" s="4">
        <v>600</v>
      </c>
      <c r="G787" s="2" t="s">
        <v>42</v>
      </c>
      <c r="H787" s="2" t="s">
        <v>1665</v>
      </c>
      <c r="K787" s="2" t="s">
        <v>3981</v>
      </c>
      <c r="L787" s="2" t="s">
        <v>3982</v>
      </c>
      <c r="M787" s="2" t="s">
        <v>3983</v>
      </c>
      <c r="N787" s="2" t="s">
        <v>337</v>
      </c>
      <c r="O787" s="2" t="s">
        <v>3984</v>
      </c>
      <c r="Q787" s="2" t="s">
        <v>3474</v>
      </c>
      <c r="S787" s="7" t="s">
        <v>5547</v>
      </c>
      <c r="T787" s="7" t="s">
        <v>5713</v>
      </c>
      <c r="U787" s="2" t="s">
        <v>6488</v>
      </c>
    </row>
    <row r="788" spans="1:21" ht="12.75" x14ac:dyDescent="0.2">
      <c r="A788" s="1">
        <v>45712.643602523152</v>
      </c>
      <c r="B788" s="2" t="s">
        <v>3985</v>
      </c>
      <c r="C788" s="2" t="s">
        <v>3986</v>
      </c>
      <c r="D788" s="2" t="s">
        <v>41</v>
      </c>
      <c r="E788" s="3">
        <v>45698</v>
      </c>
      <c r="F788" s="4">
        <v>20000</v>
      </c>
      <c r="G788" s="2" t="s">
        <v>42</v>
      </c>
      <c r="H788" s="2" t="s">
        <v>43</v>
      </c>
      <c r="K788" s="2" t="s">
        <v>3987</v>
      </c>
      <c r="L788" s="2" t="s">
        <v>3988</v>
      </c>
      <c r="M788" s="2" t="s">
        <v>3989</v>
      </c>
      <c r="N788" s="2" t="s">
        <v>48</v>
      </c>
      <c r="O788" s="2" t="s">
        <v>3990</v>
      </c>
      <c r="Q788" s="2" t="s">
        <v>3474</v>
      </c>
      <c r="S788" s="7" t="s">
        <v>5548</v>
      </c>
      <c r="T788" s="7" t="s">
        <v>5713</v>
      </c>
      <c r="U788" s="2" t="s">
        <v>6489</v>
      </c>
    </row>
    <row r="789" spans="1:21" ht="12.75" x14ac:dyDescent="0.2">
      <c r="A789" s="1">
        <v>45712.677148252318</v>
      </c>
      <c r="B789" s="2" t="s">
        <v>3991</v>
      </c>
      <c r="C789" s="2" t="s">
        <v>3537</v>
      </c>
      <c r="D789" s="2" t="s">
        <v>333</v>
      </c>
      <c r="E789" s="3">
        <v>45635</v>
      </c>
      <c r="F789" s="4">
        <v>950</v>
      </c>
      <c r="G789" s="2" t="s">
        <v>143</v>
      </c>
      <c r="H789" s="2" t="s">
        <v>1665</v>
      </c>
      <c r="K789" s="2" t="s">
        <v>3992</v>
      </c>
      <c r="L789" s="2" t="s">
        <v>3993</v>
      </c>
      <c r="M789" s="2" t="s">
        <v>3994</v>
      </c>
      <c r="N789" s="2" t="s">
        <v>337</v>
      </c>
      <c r="O789" s="2" t="s">
        <v>3995</v>
      </c>
      <c r="Q789" s="2" t="s">
        <v>3474</v>
      </c>
      <c r="S789" s="7" t="s">
        <v>5549</v>
      </c>
      <c r="T789" s="7" t="s">
        <v>5713</v>
      </c>
      <c r="U789" s="2" t="s">
        <v>6490</v>
      </c>
    </row>
    <row r="790" spans="1:21" ht="12.75" x14ac:dyDescent="0.2">
      <c r="A790" s="1">
        <v>45712.677148252318</v>
      </c>
      <c r="B790" s="2" t="s">
        <v>3996</v>
      </c>
      <c r="C790" s="2" t="s">
        <v>3537</v>
      </c>
      <c r="D790" s="2" t="s">
        <v>333</v>
      </c>
      <c r="E790" s="3">
        <v>45491</v>
      </c>
      <c r="F790" s="4">
        <v>950</v>
      </c>
      <c r="G790" s="2" t="s">
        <v>143</v>
      </c>
      <c r="H790" s="2" t="s">
        <v>1665</v>
      </c>
      <c r="K790" s="2" t="s">
        <v>3997</v>
      </c>
      <c r="L790" s="2" t="s">
        <v>3998</v>
      </c>
      <c r="M790" s="2" t="s">
        <v>3999</v>
      </c>
      <c r="N790" s="2" t="s">
        <v>337</v>
      </c>
      <c r="O790" s="2" t="s">
        <v>4000</v>
      </c>
      <c r="Q790" s="2" t="s">
        <v>3474</v>
      </c>
      <c r="S790" s="7" t="s">
        <v>5550</v>
      </c>
      <c r="T790" s="7" t="s">
        <v>5713</v>
      </c>
      <c r="U790" s="2" t="s">
        <v>6491</v>
      </c>
    </row>
    <row r="791" spans="1:21" ht="12.75" x14ac:dyDescent="0.2">
      <c r="A791" s="1">
        <v>45712.677148252318</v>
      </c>
      <c r="B791" s="2" t="s">
        <v>4001</v>
      </c>
      <c r="C791" s="2" t="s">
        <v>3537</v>
      </c>
      <c r="D791" s="2" t="s">
        <v>333</v>
      </c>
      <c r="E791" s="3">
        <v>45457</v>
      </c>
      <c r="F791" s="4">
        <v>5000</v>
      </c>
      <c r="G791" s="2" t="s">
        <v>143</v>
      </c>
      <c r="H791" s="2" t="s">
        <v>1665</v>
      </c>
      <c r="K791" s="2" t="s">
        <v>4002</v>
      </c>
      <c r="L791" s="2" t="s">
        <v>4003</v>
      </c>
      <c r="M791" s="2" t="s">
        <v>4004</v>
      </c>
      <c r="N791" s="2" t="s">
        <v>337</v>
      </c>
      <c r="O791" s="2" t="s">
        <v>4005</v>
      </c>
      <c r="Q791" s="2" t="s">
        <v>3474</v>
      </c>
      <c r="S791" s="7" t="s">
        <v>5551</v>
      </c>
      <c r="T791" s="7" t="s">
        <v>5713</v>
      </c>
      <c r="U791" s="2" t="s">
        <v>6492</v>
      </c>
    </row>
    <row r="792" spans="1:21" ht="12.75" x14ac:dyDescent="0.2">
      <c r="A792" s="1">
        <v>45712.677148252318</v>
      </c>
      <c r="B792" s="2" t="s">
        <v>4006</v>
      </c>
      <c r="C792" s="2" t="s">
        <v>3537</v>
      </c>
      <c r="D792" s="2" t="s">
        <v>333</v>
      </c>
      <c r="E792" s="3">
        <v>45457</v>
      </c>
      <c r="F792" s="4">
        <v>6450</v>
      </c>
      <c r="G792" s="2" t="s">
        <v>143</v>
      </c>
      <c r="H792" s="2" t="s">
        <v>1665</v>
      </c>
      <c r="K792" s="2" t="s">
        <v>4007</v>
      </c>
      <c r="L792" s="2" t="s">
        <v>4008</v>
      </c>
      <c r="M792" s="2" t="s">
        <v>4009</v>
      </c>
      <c r="N792" s="2" t="s">
        <v>337</v>
      </c>
      <c r="O792" s="2" t="s">
        <v>4010</v>
      </c>
      <c r="Q792" s="2" t="s">
        <v>3474</v>
      </c>
      <c r="S792" s="7" t="s">
        <v>5552</v>
      </c>
      <c r="T792" s="7" t="s">
        <v>5713</v>
      </c>
      <c r="U792" s="2" t="s">
        <v>6493</v>
      </c>
    </row>
    <row r="793" spans="1:21" ht="12.75" x14ac:dyDescent="0.2">
      <c r="A793" s="1">
        <v>45712.677148252318</v>
      </c>
      <c r="B793" s="2" t="s">
        <v>4011</v>
      </c>
      <c r="C793" s="2" t="s">
        <v>3537</v>
      </c>
      <c r="D793" s="2" t="s">
        <v>333</v>
      </c>
      <c r="E793" s="3">
        <v>45324</v>
      </c>
      <c r="F793" s="4">
        <v>2855</v>
      </c>
      <c r="G793" s="2" t="s">
        <v>42</v>
      </c>
      <c r="H793" s="2" t="s">
        <v>1665</v>
      </c>
      <c r="K793" s="2" t="s">
        <v>4012</v>
      </c>
      <c r="L793" s="2" t="s">
        <v>4013</v>
      </c>
      <c r="M793" s="2" t="s">
        <v>4014</v>
      </c>
      <c r="N793" s="2" t="s">
        <v>337</v>
      </c>
      <c r="O793" s="2" t="s">
        <v>4015</v>
      </c>
      <c r="Q793" s="2" t="s">
        <v>3474</v>
      </c>
      <c r="S793" s="7" t="s">
        <v>5553</v>
      </c>
      <c r="T793" s="7" t="s">
        <v>5713</v>
      </c>
      <c r="U793" s="2" t="s">
        <v>6494</v>
      </c>
    </row>
    <row r="794" spans="1:21" ht="12.75" x14ac:dyDescent="0.2">
      <c r="A794" s="1">
        <v>45712.677148252318</v>
      </c>
      <c r="B794" s="2" t="s">
        <v>4016</v>
      </c>
      <c r="C794" s="2" t="s">
        <v>3537</v>
      </c>
      <c r="D794" s="2" t="s">
        <v>333</v>
      </c>
      <c r="E794" s="3">
        <v>45679</v>
      </c>
      <c r="F794" s="4">
        <v>950</v>
      </c>
      <c r="G794" s="2" t="s">
        <v>143</v>
      </c>
      <c r="H794" s="2" t="s">
        <v>1665</v>
      </c>
      <c r="K794" s="2" t="s">
        <v>4017</v>
      </c>
      <c r="L794" s="2" t="s">
        <v>4018</v>
      </c>
      <c r="M794" s="2" t="s">
        <v>4019</v>
      </c>
      <c r="N794" s="2" t="s">
        <v>337</v>
      </c>
      <c r="O794" s="2" t="s">
        <v>4020</v>
      </c>
      <c r="Q794" s="2" t="s">
        <v>3474</v>
      </c>
      <c r="S794" s="7" t="s">
        <v>5554</v>
      </c>
      <c r="T794" s="7" t="s">
        <v>5713</v>
      </c>
      <c r="U794" s="2" t="s">
        <v>6495</v>
      </c>
    </row>
    <row r="795" spans="1:21" ht="12.75" x14ac:dyDescent="0.2">
      <c r="A795" s="1">
        <v>45712.677148252318</v>
      </c>
      <c r="B795" s="2" t="s">
        <v>4021</v>
      </c>
      <c r="C795" s="2" t="s">
        <v>3537</v>
      </c>
      <c r="D795" s="2" t="s">
        <v>333</v>
      </c>
      <c r="E795" s="3">
        <v>45616</v>
      </c>
      <c r="F795" s="4">
        <v>2850</v>
      </c>
      <c r="G795" s="2" t="s">
        <v>143</v>
      </c>
      <c r="H795" s="2" t="s">
        <v>1665</v>
      </c>
      <c r="K795" s="2" t="s">
        <v>4022</v>
      </c>
      <c r="L795" s="2" t="s">
        <v>4023</v>
      </c>
      <c r="M795" s="2" t="s">
        <v>4024</v>
      </c>
      <c r="N795" s="2" t="s">
        <v>337</v>
      </c>
      <c r="O795" s="2" t="s">
        <v>4025</v>
      </c>
      <c r="Q795" s="2" t="s">
        <v>3474</v>
      </c>
      <c r="S795" s="7" t="s">
        <v>5555</v>
      </c>
      <c r="T795" s="7" t="s">
        <v>5713</v>
      </c>
      <c r="U795" s="2" t="s">
        <v>6496</v>
      </c>
    </row>
    <row r="796" spans="1:21" ht="12.75" x14ac:dyDescent="0.2">
      <c r="A796" s="1">
        <v>45712.677148252318</v>
      </c>
      <c r="B796" s="2" t="s">
        <v>4026</v>
      </c>
      <c r="C796" s="2" t="s">
        <v>3537</v>
      </c>
      <c r="D796" s="2" t="s">
        <v>333</v>
      </c>
      <c r="E796" s="3">
        <v>45568</v>
      </c>
      <c r="F796" s="4">
        <v>950</v>
      </c>
      <c r="G796" s="2" t="s">
        <v>143</v>
      </c>
      <c r="H796" s="2" t="s">
        <v>1665</v>
      </c>
      <c r="K796" s="2" t="s">
        <v>4027</v>
      </c>
      <c r="L796" s="2" t="s">
        <v>4028</v>
      </c>
      <c r="M796" s="2" t="s">
        <v>4029</v>
      </c>
      <c r="N796" s="2" t="s">
        <v>337</v>
      </c>
      <c r="O796" s="2" t="s">
        <v>4030</v>
      </c>
      <c r="Q796" s="2" t="s">
        <v>3474</v>
      </c>
      <c r="S796" s="7" t="s">
        <v>5556</v>
      </c>
      <c r="T796" s="7" t="s">
        <v>5713</v>
      </c>
      <c r="U796" s="2" t="s">
        <v>6497</v>
      </c>
    </row>
    <row r="797" spans="1:21" ht="12.75" x14ac:dyDescent="0.2">
      <c r="A797" s="1">
        <v>45712.690649837961</v>
      </c>
      <c r="B797" s="2" t="s">
        <v>4031</v>
      </c>
      <c r="C797" s="2" t="s">
        <v>3537</v>
      </c>
      <c r="D797" s="2" t="s">
        <v>333</v>
      </c>
      <c r="E797" s="3">
        <v>45422</v>
      </c>
      <c r="F797" s="4">
        <v>1800</v>
      </c>
      <c r="G797" s="2" t="s">
        <v>143</v>
      </c>
      <c r="H797" s="2" t="s">
        <v>1665</v>
      </c>
      <c r="K797" s="2" t="s">
        <v>4032</v>
      </c>
      <c r="L797" s="2" t="s">
        <v>4033</v>
      </c>
      <c r="M797" s="2" t="s">
        <v>4034</v>
      </c>
      <c r="N797" s="2" t="s">
        <v>337</v>
      </c>
      <c r="O797" s="2" t="s">
        <v>4035</v>
      </c>
      <c r="Q797" s="2" t="s">
        <v>3474</v>
      </c>
      <c r="S797" s="7" t="s">
        <v>5557</v>
      </c>
      <c r="T797" s="7" t="s">
        <v>5713</v>
      </c>
      <c r="U797" s="2" t="s">
        <v>6498</v>
      </c>
    </row>
    <row r="798" spans="1:21" ht="12.75" x14ac:dyDescent="0.2">
      <c r="A798" s="1">
        <v>45715.511905590276</v>
      </c>
      <c r="B798" s="2" t="s">
        <v>4036</v>
      </c>
      <c r="C798" s="2" t="s">
        <v>4037</v>
      </c>
      <c r="D798" s="2" t="s">
        <v>41</v>
      </c>
      <c r="E798" s="3">
        <v>45714</v>
      </c>
      <c r="F798" s="4">
        <v>233110</v>
      </c>
      <c r="G798" s="2" t="s">
        <v>42</v>
      </c>
      <c r="H798" s="2" t="s">
        <v>43</v>
      </c>
      <c r="K798" s="2" t="s">
        <v>4038</v>
      </c>
      <c r="L798" s="2" t="s">
        <v>4039</v>
      </c>
      <c r="M798" s="2" t="s">
        <v>4040</v>
      </c>
      <c r="N798" s="2" t="s">
        <v>48</v>
      </c>
      <c r="O798" s="2" t="s">
        <v>4041</v>
      </c>
      <c r="Q798" s="2" t="s">
        <v>3474</v>
      </c>
      <c r="S798" s="7" t="s">
        <v>5558</v>
      </c>
      <c r="T798" s="7" t="s">
        <v>5713</v>
      </c>
      <c r="U798" s="2" t="s">
        <v>6499</v>
      </c>
    </row>
    <row r="799" spans="1:21" ht="12.75" x14ac:dyDescent="0.2">
      <c r="A799" s="1">
        <v>45716.459034652777</v>
      </c>
      <c r="B799" s="2" t="s">
        <v>4042</v>
      </c>
      <c r="C799" s="2" t="s">
        <v>3537</v>
      </c>
      <c r="D799" s="2" t="s">
        <v>333</v>
      </c>
      <c r="E799" s="3">
        <v>45707</v>
      </c>
      <c r="F799" s="4">
        <v>4545</v>
      </c>
      <c r="G799" s="2" t="s">
        <v>42</v>
      </c>
      <c r="H799" s="2" t="s">
        <v>43</v>
      </c>
      <c r="K799" s="2" t="s">
        <v>4043</v>
      </c>
      <c r="L799" s="2" t="s">
        <v>4044</v>
      </c>
      <c r="M799" s="2" t="s">
        <v>4045</v>
      </c>
      <c r="N799" s="2" t="s">
        <v>337</v>
      </c>
      <c r="O799" s="2" t="s">
        <v>4046</v>
      </c>
      <c r="Q799" s="2" t="s">
        <v>3474</v>
      </c>
      <c r="S799" s="7" t="s">
        <v>5559</v>
      </c>
      <c r="T799" s="7" t="s">
        <v>5713</v>
      </c>
      <c r="U799" s="2" t="s">
        <v>6500</v>
      </c>
    </row>
    <row r="800" spans="1:21" ht="12.75" x14ac:dyDescent="0.2">
      <c r="A800" s="1">
        <v>45716.459034652777</v>
      </c>
      <c r="B800" s="2" t="s">
        <v>4047</v>
      </c>
      <c r="C800" s="2" t="s">
        <v>3537</v>
      </c>
      <c r="D800" s="2" t="s">
        <v>333</v>
      </c>
      <c r="E800" s="3">
        <v>45699</v>
      </c>
      <c r="F800" s="4">
        <v>850</v>
      </c>
      <c r="G800" s="2" t="s">
        <v>143</v>
      </c>
      <c r="H800" s="2" t="s">
        <v>43</v>
      </c>
      <c r="K800" s="2" t="s">
        <v>4048</v>
      </c>
      <c r="L800" s="2" t="s">
        <v>4049</v>
      </c>
      <c r="M800" s="2" t="s">
        <v>4050</v>
      </c>
      <c r="N800" s="2" t="s">
        <v>337</v>
      </c>
      <c r="O800" s="2" t="s">
        <v>4051</v>
      </c>
      <c r="Q800" s="2" t="s">
        <v>3474</v>
      </c>
      <c r="S800" s="7" t="s">
        <v>5560</v>
      </c>
      <c r="T800" s="7" t="s">
        <v>5713</v>
      </c>
      <c r="U800" s="2" t="s">
        <v>6501</v>
      </c>
    </row>
    <row r="801" spans="1:21" ht="12.75" x14ac:dyDescent="0.2">
      <c r="A801" s="1">
        <v>45716.459034652777</v>
      </c>
      <c r="B801" s="2" t="s">
        <v>4052</v>
      </c>
      <c r="C801" s="2" t="s">
        <v>4053</v>
      </c>
      <c r="D801" s="2" t="s">
        <v>223</v>
      </c>
      <c r="E801" s="3">
        <v>45689</v>
      </c>
      <c r="F801" s="4">
        <v>350</v>
      </c>
      <c r="G801" s="2" t="s">
        <v>143</v>
      </c>
      <c r="H801" s="2" t="s">
        <v>43</v>
      </c>
      <c r="K801" s="2" t="s">
        <v>4054</v>
      </c>
      <c r="L801" s="2" t="s">
        <v>4055</v>
      </c>
      <c r="M801" s="2" t="s">
        <v>4056</v>
      </c>
      <c r="N801" s="2" t="s">
        <v>228</v>
      </c>
      <c r="O801" s="2" t="s">
        <v>4057</v>
      </c>
      <c r="Q801" s="2" t="s">
        <v>3474</v>
      </c>
      <c r="S801" s="7" t="s">
        <v>5561</v>
      </c>
      <c r="T801" s="7" t="s">
        <v>5713</v>
      </c>
      <c r="U801" s="2" t="s">
        <v>6502</v>
      </c>
    </row>
    <row r="802" spans="1:21" ht="12.75" x14ac:dyDescent="0.2">
      <c r="A802" s="1">
        <v>45721.441652187495</v>
      </c>
      <c r="B802" s="2" t="s">
        <v>2336</v>
      </c>
      <c r="C802" s="2" t="s">
        <v>4058</v>
      </c>
      <c r="D802" s="2" t="s">
        <v>672</v>
      </c>
      <c r="E802" s="3">
        <v>45717</v>
      </c>
      <c r="F802" s="4">
        <v>500</v>
      </c>
      <c r="G802" s="2" t="s">
        <v>42</v>
      </c>
      <c r="H802" s="2" t="s">
        <v>43</v>
      </c>
      <c r="I802" s="2" t="s">
        <v>1228</v>
      </c>
      <c r="K802" s="2" t="s">
        <v>4059</v>
      </c>
      <c r="L802" s="2" t="s">
        <v>4060</v>
      </c>
      <c r="M802" s="2" t="s">
        <v>4061</v>
      </c>
      <c r="N802" s="2" t="s">
        <v>676</v>
      </c>
      <c r="O802" s="2" t="s">
        <v>2342</v>
      </c>
      <c r="P802" s="2" t="s">
        <v>1233</v>
      </c>
      <c r="Q802" s="2" t="s">
        <v>50</v>
      </c>
      <c r="S802" s="7" t="s">
        <v>5562</v>
      </c>
      <c r="T802" s="7" t="s">
        <v>5713</v>
      </c>
      <c r="U802" s="2" t="s">
        <v>6503</v>
      </c>
    </row>
    <row r="803" spans="1:21" ht="12.75" x14ac:dyDescent="0.2">
      <c r="A803" s="1">
        <v>45722.72603012732</v>
      </c>
      <c r="B803" s="2" t="s">
        <v>51</v>
      </c>
      <c r="C803" s="2" t="s">
        <v>4062</v>
      </c>
      <c r="D803" s="2" t="s">
        <v>333</v>
      </c>
      <c r="E803" s="3">
        <v>45689</v>
      </c>
      <c r="F803" s="4">
        <v>15000</v>
      </c>
      <c r="G803" s="2" t="s">
        <v>42</v>
      </c>
      <c r="H803" s="2" t="s">
        <v>43</v>
      </c>
      <c r="I803" s="2" t="s">
        <v>990</v>
      </c>
      <c r="K803" s="2" t="s">
        <v>4063</v>
      </c>
      <c r="L803" s="2" t="s">
        <v>4064</v>
      </c>
      <c r="M803" s="2" t="s">
        <v>4065</v>
      </c>
      <c r="N803" s="2" t="s">
        <v>337</v>
      </c>
      <c r="O803" s="2" t="s">
        <v>57</v>
      </c>
      <c r="P803" s="2" t="s">
        <v>995</v>
      </c>
      <c r="Q803" s="2" t="s">
        <v>50</v>
      </c>
      <c r="S803" s="7" t="s">
        <v>5563</v>
      </c>
      <c r="T803" s="7" t="s">
        <v>5713</v>
      </c>
      <c r="U803" s="2" t="s">
        <v>6504</v>
      </c>
    </row>
    <row r="804" spans="1:21" ht="12.75" x14ac:dyDescent="0.2">
      <c r="A804" s="1">
        <v>45726.512794444439</v>
      </c>
      <c r="B804" s="2" t="s">
        <v>4066</v>
      </c>
      <c r="C804" s="2" t="s">
        <v>3537</v>
      </c>
      <c r="D804" s="2" t="s">
        <v>333</v>
      </c>
      <c r="E804" s="3">
        <v>45716</v>
      </c>
      <c r="F804" s="4">
        <v>850</v>
      </c>
      <c r="G804" s="2" t="s">
        <v>143</v>
      </c>
      <c r="H804" s="2" t="s">
        <v>43</v>
      </c>
      <c r="K804" s="2" t="s">
        <v>4067</v>
      </c>
      <c r="L804" s="2" t="s">
        <v>4068</v>
      </c>
      <c r="M804" s="2" t="s">
        <v>4069</v>
      </c>
      <c r="N804" s="2" t="s">
        <v>337</v>
      </c>
      <c r="O804" s="2" t="s">
        <v>4070</v>
      </c>
      <c r="Q804" s="2" t="s">
        <v>3474</v>
      </c>
      <c r="S804" s="7" t="s">
        <v>5564</v>
      </c>
      <c r="T804" s="7" t="s">
        <v>5713</v>
      </c>
      <c r="U804" s="2" t="s">
        <v>6505</v>
      </c>
    </row>
    <row r="805" spans="1:21" ht="12.75" x14ac:dyDescent="0.2">
      <c r="A805" s="1">
        <v>45726.718931307871</v>
      </c>
      <c r="B805" s="2" t="s">
        <v>4052</v>
      </c>
      <c r="C805" s="2" t="s">
        <v>1767</v>
      </c>
      <c r="D805" s="2" t="s">
        <v>223</v>
      </c>
      <c r="E805" s="3">
        <v>45689</v>
      </c>
      <c r="F805" s="4">
        <v>400</v>
      </c>
      <c r="G805" s="2" t="s">
        <v>42</v>
      </c>
      <c r="H805" s="2" t="s">
        <v>43</v>
      </c>
      <c r="K805" s="2" t="s">
        <v>4071</v>
      </c>
      <c r="L805" s="2" t="s">
        <v>4072</v>
      </c>
      <c r="M805" s="2" t="s">
        <v>4073</v>
      </c>
      <c r="N805" s="2" t="s">
        <v>228</v>
      </c>
      <c r="O805" s="2" t="s">
        <v>4057</v>
      </c>
      <c r="Q805" s="2" t="s">
        <v>3474</v>
      </c>
      <c r="S805" s="7" t="s">
        <v>5565</v>
      </c>
      <c r="T805" s="7" t="s">
        <v>5713</v>
      </c>
      <c r="U805" s="2" t="s">
        <v>6506</v>
      </c>
    </row>
    <row r="806" spans="1:21" ht="12.75" x14ac:dyDescent="0.2">
      <c r="A806" s="1">
        <v>45726.718931307871</v>
      </c>
      <c r="B806" s="2" t="s">
        <v>4052</v>
      </c>
      <c r="C806" s="2" t="s">
        <v>4074</v>
      </c>
      <c r="D806" s="2" t="s">
        <v>223</v>
      </c>
      <c r="E806" s="3">
        <v>45689</v>
      </c>
      <c r="F806" s="4">
        <v>200</v>
      </c>
      <c r="G806" s="2" t="s">
        <v>42</v>
      </c>
      <c r="H806" s="2" t="s">
        <v>43</v>
      </c>
      <c r="K806" s="2" t="s">
        <v>4075</v>
      </c>
      <c r="L806" s="2" t="s">
        <v>4076</v>
      </c>
      <c r="M806" s="2" t="s">
        <v>4077</v>
      </c>
      <c r="N806" s="2" t="s">
        <v>228</v>
      </c>
      <c r="O806" s="2" t="s">
        <v>4057</v>
      </c>
      <c r="Q806" s="2" t="s">
        <v>3474</v>
      </c>
      <c r="S806" s="7" t="s">
        <v>5566</v>
      </c>
      <c r="T806" s="7" t="s">
        <v>5713</v>
      </c>
      <c r="U806" s="2" t="s">
        <v>6507</v>
      </c>
    </row>
    <row r="807" spans="1:21" ht="12.75" x14ac:dyDescent="0.2">
      <c r="A807" s="1">
        <v>45726.718931307871</v>
      </c>
      <c r="B807" s="2" t="s">
        <v>4052</v>
      </c>
      <c r="C807" s="2" t="s">
        <v>4078</v>
      </c>
      <c r="D807" s="2" t="s">
        <v>223</v>
      </c>
      <c r="E807" s="3">
        <v>45689</v>
      </c>
      <c r="F807" s="4">
        <v>200</v>
      </c>
      <c r="G807" s="2" t="s">
        <v>42</v>
      </c>
      <c r="H807" s="2" t="s">
        <v>43</v>
      </c>
      <c r="J807" s="2" t="s">
        <v>4079</v>
      </c>
      <c r="K807" s="2" t="s">
        <v>4080</v>
      </c>
      <c r="L807" s="2" t="s">
        <v>4081</v>
      </c>
      <c r="M807" s="2" t="s">
        <v>4082</v>
      </c>
      <c r="N807" s="2" t="s">
        <v>228</v>
      </c>
      <c r="O807" s="2" t="s">
        <v>4057</v>
      </c>
      <c r="Q807" s="2" t="s">
        <v>3474</v>
      </c>
      <c r="S807" s="7" t="s">
        <v>5567</v>
      </c>
      <c r="T807" s="7" t="s">
        <v>5713</v>
      </c>
      <c r="U807" s="2" t="s">
        <v>6508</v>
      </c>
    </row>
    <row r="808" spans="1:21" ht="12.75" x14ac:dyDescent="0.2">
      <c r="A808" s="1">
        <v>45726.737916886574</v>
      </c>
      <c r="B808" s="2" t="s">
        <v>4083</v>
      </c>
      <c r="C808" s="2" t="s">
        <v>4084</v>
      </c>
      <c r="D808" s="2" t="s">
        <v>223</v>
      </c>
      <c r="E808" s="3">
        <v>45658</v>
      </c>
      <c r="F808" s="4">
        <v>205</v>
      </c>
      <c r="G808" s="2" t="s">
        <v>42</v>
      </c>
      <c r="H808" s="2" t="s">
        <v>43</v>
      </c>
      <c r="K808" s="2" t="s">
        <v>4085</v>
      </c>
      <c r="L808" s="2" t="s">
        <v>4086</v>
      </c>
      <c r="M808" s="2" t="s">
        <v>4087</v>
      </c>
      <c r="N808" s="2" t="s">
        <v>228</v>
      </c>
      <c r="O808" s="2" t="s">
        <v>4088</v>
      </c>
      <c r="Q808" s="2" t="s">
        <v>3474</v>
      </c>
      <c r="S808" s="7" t="s">
        <v>5568</v>
      </c>
      <c r="T808" s="7" t="s">
        <v>5713</v>
      </c>
      <c r="U808" s="2" t="s">
        <v>6509</v>
      </c>
    </row>
    <row r="809" spans="1:21" ht="12.75" x14ac:dyDescent="0.2">
      <c r="A809" s="1">
        <v>45726.737916886574</v>
      </c>
      <c r="B809" s="2" t="s">
        <v>4089</v>
      </c>
      <c r="C809" s="2" t="s">
        <v>4090</v>
      </c>
      <c r="D809" s="2" t="s">
        <v>223</v>
      </c>
      <c r="E809" s="3">
        <v>45658</v>
      </c>
      <c r="F809" s="4">
        <v>450</v>
      </c>
      <c r="G809" s="2" t="s">
        <v>42</v>
      </c>
      <c r="H809" s="2" t="s">
        <v>43</v>
      </c>
      <c r="K809" s="2" t="s">
        <v>4091</v>
      </c>
      <c r="L809" s="2" t="s">
        <v>4092</v>
      </c>
      <c r="M809" s="2" t="s">
        <v>4093</v>
      </c>
      <c r="N809" s="2" t="s">
        <v>228</v>
      </c>
      <c r="O809" s="2" t="s">
        <v>4094</v>
      </c>
      <c r="Q809" s="2" t="s">
        <v>3474</v>
      </c>
      <c r="S809" s="7" t="s">
        <v>5569</v>
      </c>
      <c r="T809" s="7" t="s">
        <v>5713</v>
      </c>
      <c r="U809" s="2" t="s">
        <v>6510</v>
      </c>
    </row>
    <row r="810" spans="1:21" ht="12.75" x14ac:dyDescent="0.2">
      <c r="A810" s="1">
        <v>45728.617031724541</v>
      </c>
      <c r="B810" s="2" t="s">
        <v>4095</v>
      </c>
      <c r="C810" s="2" t="s">
        <v>4096</v>
      </c>
      <c r="D810" s="2" t="s">
        <v>333</v>
      </c>
      <c r="E810" s="3">
        <v>45699</v>
      </c>
      <c r="F810" s="4">
        <v>350</v>
      </c>
      <c r="G810" s="2" t="s">
        <v>143</v>
      </c>
      <c r="H810" s="2" t="s">
        <v>43</v>
      </c>
      <c r="K810" s="2" t="s">
        <v>4097</v>
      </c>
      <c r="L810" s="2" t="s">
        <v>4098</v>
      </c>
      <c r="M810" s="2" t="s">
        <v>4099</v>
      </c>
      <c r="N810" s="2" t="s">
        <v>337</v>
      </c>
      <c r="O810" s="2" t="s">
        <v>4100</v>
      </c>
      <c r="Q810" s="2" t="s">
        <v>3474</v>
      </c>
      <c r="S810" s="7" t="s">
        <v>5570</v>
      </c>
      <c r="T810" s="7" t="s">
        <v>5713</v>
      </c>
      <c r="U810" s="2" t="s">
        <v>6511</v>
      </c>
    </row>
    <row r="811" spans="1:21" ht="12.75" x14ac:dyDescent="0.2">
      <c r="A811" s="1">
        <v>45728.621309710652</v>
      </c>
      <c r="B811" s="2" t="s">
        <v>1577</v>
      </c>
      <c r="C811" s="2" t="s">
        <v>3537</v>
      </c>
      <c r="D811" s="2" t="s">
        <v>333</v>
      </c>
      <c r="E811" s="3">
        <v>45716</v>
      </c>
      <c r="F811" s="4">
        <v>700</v>
      </c>
      <c r="G811" s="2" t="s">
        <v>42</v>
      </c>
      <c r="H811" s="2" t="s">
        <v>43</v>
      </c>
      <c r="K811" s="2" t="s">
        <v>4101</v>
      </c>
      <c r="L811" s="2" t="s">
        <v>4102</v>
      </c>
      <c r="M811" s="2" t="s">
        <v>4103</v>
      </c>
      <c r="N811" s="2" t="s">
        <v>337</v>
      </c>
      <c r="O811" s="2" t="s">
        <v>1582</v>
      </c>
      <c r="Q811" s="2" t="s">
        <v>3474</v>
      </c>
      <c r="S811" s="7" t="s">
        <v>5571</v>
      </c>
      <c r="T811" s="7" t="s">
        <v>5713</v>
      </c>
      <c r="U811" s="2" t="s">
        <v>6512</v>
      </c>
    </row>
    <row r="812" spans="1:21" ht="12.75" x14ac:dyDescent="0.2">
      <c r="A812" s="1">
        <v>45729.517638182871</v>
      </c>
      <c r="B812" s="2" t="s">
        <v>1750</v>
      </c>
      <c r="C812" s="2" t="s">
        <v>4104</v>
      </c>
      <c r="D812" s="2" t="s">
        <v>41</v>
      </c>
      <c r="E812" s="3">
        <v>45688</v>
      </c>
      <c r="F812" s="4">
        <v>47000</v>
      </c>
      <c r="G812" s="2" t="s">
        <v>42</v>
      </c>
      <c r="H812" s="2" t="s">
        <v>43</v>
      </c>
      <c r="K812" s="2" t="s">
        <v>4105</v>
      </c>
      <c r="L812" s="2" t="s">
        <v>4106</v>
      </c>
      <c r="M812" s="2" t="s">
        <v>4107</v>
      </c>
      <c r="N812" s="2" t="s">
        <v>48</v>
      </c>
      <c r="O812" s="2" t="s">
        <v>1756</v>
      </c>
      <c r="Q812" s="2" t="s">
        <v>3474</v>
      </c>
      <c r="S812" s="7" t="s">
        <v>5572</v>
      </c>
      <c r="T812" s="7" t="s">
        <v>5713</v>
      </c>
      <c r="U812" s="2" t="s">
        <v>6513</v>
      </c>
    </row>
    <row r="813" spans="1:21" ht="12.75" x14ac:dyDescent="0.2">
      <c r="A813" s="1">
        <v>45729.693365416664</v>
      </c>
      <c r="B813" s="2" t="s">
        <v>181</v>
      </c>
      <c r="C813" s="2" t="s">
        <v>4108</v>
      </c>
      <c r="D813" s="2" t="s">
        <v>672</v>
      </c>
      <c r="E813" s="3">
        <v>45705</v>
      </c>
      <c r="F813" s="4">
        <v>375</v>
      </c>
      <c r="G813" s="2" t="s">
        <v>143</v>
      </c>
      <c r="H813" s="2" t="s">
        <v>43</v>
      </c>
      <c r="K813" s="2" t="s">
        <v>4109</v>
      </c>
      <c r="L813" s="2" t="s">
        <v>4110</v>
      </c>
      <c r="M813" s="2" t="s">
        <v>4111</v>
      </c>
      <c r="N813" s="2" t="s">
        <v>676</v>
      </c>
      <c r="O813" s="2" t="s">
        <v>186</v>
      </c>
      <c r="Q813" s="2" t="s">
        <v>3474</v>
      </c>
      <c r="S813" s="7" t="s">
        <v>5573</v>
      </c>
      <c r="T813" s="7" t="s">
        <v>5713</v>
      </c>
      <c r="U813" s="2" t="s">
        <v>6514</v>
      </c>
    </row>
    <row r="814" spans="1:21" ht="12.75" x14ac:dyDescent="0.2">
      <c r="A814" s="1">
        <v>45737.644093402778</v>
      </c>
      <c r="B814" s="2" t="s">
        <v>2073</v>
      </c>
      <c r="C814" s="2" t="s">
        <v>4112</v>
      </c>
      <c r="D814" s="2" t="s">
        <v>333</v>
      </c>
      <c r="E814" s="3">
        <v>45191</v>
      </c>
      <c r="F814" s="4">
        <v>175247</v>
      </c>
      <c r="G814" s="2" t="s">
        <v>326</v>
      </c>
      <c r="H814" s="2" t="s">
        <v>1665</v>
      </c>
      <c r="K814" s="2" t="s">
        <v>4113</v>
      </c>
      <c r="L814" s="2" t="s">
        <v>4114</v>
      </c>
      <c r="M814" s="2" t="s">
        <v>4115</v>
      </c>
      <c r="N814" s="2" t="s">
        <v>337</v>
      </c>
      <c r="O814" s="2" t="s">
        <v>2078</v>
      </c>
      <c r="Q814" s="2" t="s">
        <v>3474</v>
      </c>
      <c r="S814" s="7" t="s">
        <v>5574</v>
      </c>
      <c r="T814" s="7" t="s">
        <v>5713</v>
      </c>
      <c r="U814" s="2" t="s">
        <v>6515</v>
      </c>
    </row>
    <row r="815" spans="1:21" ht="12.75" x14ac:dyDescent="0.2">
      <c r="A815" s="1">
        <v>45737.644093402778</v>
      </c>
      <c r="B815" s="2" t="s">
        <v>2073</v>
      </c>
      <c r="C815" s="2" t="s">
        <v>4116</v>
      </c>
      <c r="D815" s="2" t="s">
        <v>333</v>
      </c>
      <c r="E815" s="3">
        <v>45378</v>
      </c>
      <c r="F815" s="4">
        <v>311588</v>
      </c>
      <c r="G815" s="2" t="s">
        <v>326</v>
      </c>
      <c r="H815" s="2" t="s">
        <v>1665</v>
      </c>
      <c r="K815" s="2" t="s">
        <v>4117</v>
      </c>
      <c r="L815" s="2" t="s">
        <v>4118</v>
      </c>
      <c r="M815" s="2" t="s">
        <v>4119</v>
      </c>
      <c r="N815" s="2" t="s">
        <v>337</v>
      </c>
      <c r="O815" s="2" t="s">
        <v>2078</v>
      </c>
      <c r="Q815" s="2" t="s">
        <v>3474</v>
      </c>
      <c r="S815" s="7" t="s">
        <v>5575</v>
      </c>
      <c r="T815" s="7" t="s">
        <v>5713</v>
      </c>
      <c r="U815" s="2" t="s">
        <v>6516</v>
      </c>
    </row>
    <row r="816" spans="1:21" ht="12.75" x14ac:dyDescent="0.2">
      <c r="A816" s="1">
        <v>45743.581729016209</v>
      </c>
      <c r="B816" s="2" t="s">
        <v>302</v>
      </c>
      <c r="C816" s="2" t="s">
        <v>4120</v>
      </c>
      <c r="D816" s="2" t="s">
        <v>41</v>
      </c>
      <c r="E816" s="3">
        <v>45716</v>
      </c>
      <c r="F816" s="4">
        <v>201200</v>
      </c>
      <c r="G816" s="2" t="s">
        <v>42</v>
      </c>
      <c r="H816" s="2" t="s">
        <v>43</v>
      </c>
      <c r="K816" s="2" t="s">
        <v>4121</v>
      </c>
      <c r="L816" s="2" t="s">
        <v>4122</v>
      </c>
      <c r="M816" s="2" t="s">
        <v>4123</v>
      </c>
      <c r="N816" s="2" t="s">
        <v>48</v>
      </c>
      <c r="O816" s="2" t="s">
        <v>307</v>
      </c>
      <c r="Q816" s="2" t="s">
        <v>3474</v>
      </c>
      <c r="S816" s="7" t="s">
        <v>5576</v>
      </c>
      <c r="T816" s="7" t="s">
        <v>5713</v>
      </c>
      <c r="U816" s="2" t="s">
        <v>6517</v>
      </c>
    </row>
    <row r="817" spans="1:21" ht="12.75" x14ac:dyDescent="0.2">
      <c r="A817" s="1">
        <v>45743.666784502318</v>
      </c>
      <c r="B817" s="2" t="s">
        <v>2815</v>
      </c>
      <c r="C817" s="2" t="s">
        <v>4124</v>
      </c>
      <c r="D817" s="2" t="s">
        <v>672</v>
      </c>
      <c r="E817" s="3">
        <v>45737</v>
      </c>
      <c r="F817" s="4">
        <v>1500</v>
      </c>
      <c r="G817" s="2" t="s">
        <v>143</v>
      </c>
      <c r="H817" s="2" t="s">
        <v>43</v>
      </c>
      <c r="J817" s="2" t="s">
        <v>4125</v>
      </c>
      <c r="K817" s="2" t="s">
        <v>4126</v>
      </c>
      <c r="L817" s="2" t="s">
        <v>4127</v>
      </c>
      <c r="M817" s="2" t="s">
        <v>4128</v>
      </c>
      <c r="N817" s="2" t="s">
        <v>676</v>
      </c>
      <c r="O817" s="2" t="s">
        <v>2821</v>
      </c>
      <c r="Q817" s="2" t="s">
        <v>3474</v>
      </c>
      <c r="S817" s="7" t="s">
        <v>5577</v>
      </c>
      <c r="T817" s="7" t="s">
        <v>5713</v>
      </c>
      <c r="U817" s="2" t="s">
        <v>6518</v>
      </c>
    </row>
    <row r="818" spans="1:21" ht="12.75" x14ac:dyDescent="0.2">
      <c r="A818" s="1">
        <v>45744.599542291668</v>
      </c>
      <c r="B818" s="2" t="s">
        <v>4129</v>
      </c>
      <c r="C818" s="2" t="s">
        <v>4130</v>
      </c>
      <c r="D818" s="2" t="s">
        <v>41</v>
      </c>
      <c r="E818" s="3">
        <v>45726</v>
      </c>
      <c r="F818" s="4">
        <v>524300</v>
      </c>
      <c r="G818" s="2" t="s">
        <v>42</v>
      </c>
      <c r="H818" s="2" t="s">
        <v>43</v>
      </c>
      <c r="K818" s="2" t="s">
        <v>4131</v>
      </c>
      <c r="L818" s="2" t="s">
        <v>4132</v>
      </c>
      <c r="M818" s="2" t="s">
        <v>4133</v>
      </c>
      <c r="N818" s="2" t="s">
        <v>48</v>
      </c>
      <c r="O818" s="2" t="s">
        <v>4134</v>
      </c>
      <c r="Q818" s="2" t="s">
        <v>3474</v>
      </c>
      <c r="S818" s="7" t="s">
        <v>5578</v>
      </c>
      <c r="T818" s="7" t="s">
        <v>5713</v>
      </c>
      <c r="U818" s="2" t="s">
        <v>6519</v>
      </c>
    </row>
    <row r="819" spans="1:21" ht="12.75" x14ac:dyDescent="0.2">
      <c r="A819" s="1">
        <v>45744.694012777778</v>
      </c>
      <c r="B819" s="2" t="s">
        <v>3743</v>
      </c>
      <c r="C819" s="2" t="s">
        <v>4135</v>
      </c>
      <c r="D819" s="2" t="s">
        <v>41</v>
      </c>
      <c r="E819" s="3">
        <v>45461</v>
      </c>
      <c r="F819" s="4">
        <v>9132</v>
      </c>
      <c r="G819" s="2" t="s">
        <v>42</v>
      </c>
      <c r="H819" s="2" t="s">
        <v>43</v>
      </c>
      <c r="K819" s="2" t="s">
        <v>4136</v>
      </c>
      <c r="L819" s="2" t="s">
        <v>4137</v>
      </c>
      <c r="M819" s="2" t="s">
        <v>4138</v>
      </c>
      <c r="N819" s="2" t="s">
        <v>48</v>
      </c>
      <c r="O819" s="2" t="s">
        <v>3749</v>
      </c>
      <c r="Q819" s="2" t="s">
        <v>3474</v>
      </c>
      <c r="S819" s="7" t="s">
        <v>5579</v>
      </c>
      <c r="T819" s="7" t="s">
        <v>5713</v>
      </c>
      <c r="U819" s="2" t="s">
        <v>6520</v>
      </c>
    </row>
    <row r="820" spans="1:21" ht="12.75" x14ac:dyDescent="0.2">
      <c r="A820" s="1">
        <v>45748.600179560184</v>
      </c>
      <c r="B820" s="2" t="s">
        <v>1792</v>
      </c>
      <c r="C820" s="2" t="s">
        <v>4139</v>
      </c>
      <c r="D820" s="2" t="s">
        <v>672</v>
      </c>
      <c r="E820" s="3">
        <v>45738</v>
      </c>
      <c r="F820" s="4">
        <v>500</v>
      </c>
      <c r="G820" s="2" t="s">
        <v>143</v>
      </c>
      <c r="H820" s="2" t="s">
        <v>43</v>
      </c>
      <c r="K820" s="2" t="s">
        <v>4140</v>
      </c>
      <c r="L820" s="2" t="s">
        <v>4141</v>
      </c>
      <c r="M820" s="2" t="s">
        <v>4142</v>
      </c>
      <c r="N820" s="2" t="s">
        <v>676</v>
      </c>
      <c r="O820" s="2" t="s">
        <v>1797</v>
      </c>
      <c r="Q820" s="2" t="s">
        <v>3474</v>
      </c>
      <c r="S820" s="7" t="s">
        <v>5580</v>
      </c>
      <c r="T820" s="7" t="s">
        <v>5713</v>
      </c>
      <c r="U820" s="2" t="s">
        <v>6521</v>
      </c>
    </row>
    <row r="821" spans="1:21" ht="12.75" x14ac:dyDescent="0.2">
      <c r="A821" s="1">
        <v>45749.513490567129</v>
      </c>
      <c r="B821" s="2" t="s">
        <v>2873</v>
      </c>
      <c r="C821" s="2" t="s">
        <v>4143</v>
      </c>
      <c r="D821" s="2" t="s">
        <v>223</v>
      </c>
      <c r="E821" s="3">
        <v>45689</v>
      </c>
      <c r="F821" s="4">
        <v>600</v>
      </c>
      <c r="G821" s="2" t="s">
        <v>42</v>
      </c>
      <c r="H821" s="2" t="s">
        <v>43</v>
      </c>
      <c r="J821" s="2" t="s">
        <v>4144</v>
      </c>
      <c r="K821" s="2" t="s">
        <v>4145</v>
      </c>
      <c r="L821" s="2" t="s">
        <v>4146</v>
      </c>
      <c r="M821" s="2" t="s">
        <v>4147</v>
      </c>
      <c r="N821" s="2" t="s">
        <v>228</v>
      </c>
      <c r="O821" s="2" t="s">
        <v>2879</v>
      </c>
      <c r="Q821" s="2" t="s">
        <v>3474</v>
      </c>
      <c r="S821" s="7" t="s">
        <v>5581</v>
      </c>
      <c r="T821" s="7" t="s">
        <v>5713</v>
      </c>
      <c r="U821" s="2" t="s">
        <v>6522</v>
      </c>
    </row>
    <row r="822" spans="1:21" ht="12.75" x14ac:dyDescent="0.2">
      <c r="A822" s="1">
        <v>45763.548218171301</v>
      </c>
      <c r="B822" s="2" t="s">
        <v>4052</v>
      </c>
      <c r="C822" s="2" t="s">
        <v>4148</v>
      </c>
      <c r="D822" s="2" t="s">
        <v>223</v>
      </c>
      <c r="E822" s="3">
        <v>45689</v>
      </c>
      <c r="F822" s="4">
        <v>300</v>
      </c>
      <c r="G822" s="2" t="s">
        <v>42</v>
      </c>
      <c r="H822" s="2" t="s">
        <v>43</v>
      </c>
      <c r="K822" s="2" t="s">
        <v>4149</v>
      </c>
      <c r="L822" s="2" t="s">
        <v>4150</v>
      </c>
      <c r="M822" s="2" t="s">
        <v>4151</v>
      </c>
      <c r="N822" s="2" t="s">
        <v>228</v>
      </c>
      <c r="O822" s="2" t="s">
        <v>4057</v>
      </c>
      <c r="Q822" s="2" t="s">
        <v>3474</v>
      </c>
      <c r="S822" s="7" t="s">
        <v>5582</v>
      </c>
      <c r="T822" s="7" t="s">
        <v>5713</v>
      </c>
      <c r="U822" s="2" t="s">
        <v>6523</v>
      </c>
    </row>
    <row r="823" spans="1:21" ht="12.75" x14ac:dyDescent="0.2">
      <c r="A823" s="1">
        <v>45763.548218171301</v>
      </c>
      <c r="B823" s="2" t="s">
        <v>4052</v>
      </c>
      <c r="C823" s="2" t="s">
        <v>4152</v>
      </c>
      <c r="D823" s="2" t="s">
        <v>223</v>
      </c>
      <c r="E823" s="3">
        <v>45689</v>
      </c>
      <c r="F823" s="4">
        <v>300</v>
      </c>
      <c r="G823" s="2" t="s">
        <v>42</v>
      </c>
      <c r="H823" s="2" t="s">
        <v>43</v>
      </c>
      <c r="K823" s="2" t="s">
        <v>4153</v>
      </c>
      <c r="L823" s="2" t="s">
        <v>4154</v>
      </c>
      <c r="M823" s="2" t="s">
        <v>4155</v>
      </c>
      <c r="N823" s="2" t="s">
        <v>228</v>
      </c>
      <c r="O823" s="2" t="s">
        <v>4057</v>
      </c>
      <c r="Q823" s="2" t="s">
        <v>3474</v>
      </c>
      <c r="S823" s="7" t="s">
        <v>5583</v>
      </c>
      <c r="T823" s="7" t="s">
        <v>5713</v>
      </c>
      <c r="U823" s="2" t="s">
        <v>6524</v>
      </c>
    </row>
    <row r="824" spans="1:21" ht="12.75" x14ac:dyDescent="0.2">
      <c r="A824" s="1">
        <v>45763.548218171301</v>
      </c>
      <c r="B824" s="2" t="s">
        <v>4052</v>
      </c>
      <c r="C824" s="2" t="s">
        <v>4156</v>
      </c>
      <c r="D824" s="2" t="s">
        <v>223</v>
      </c>
      <c r="E824" s="3">
        <v>45689</v>
      </c>
      <c r="F824" s="4">
        <v>300</v>
      </c>
      <c r="G824" s="2" t="s">
        <v>42</v>
      </c>
      <c r="H824" s="2" t="s">
        <v>43</v>
      </c>
      <c r="K824" s="2" t="s">
        <v>4157</v>
      </c>
      <c r="L824" s="2" t="s">
        <v>4158</v>
      </c>
      <c r="M824" s="2" t="s">
        <v>4159</v>
      </c>
      <c r="N824" s="2" t="s">
        <v>228</v>
      </c>
      <c r="O824" s="2" t="s">
        <v>4057</v>
      </c>
      <c r="Q824" s="2" t="s">
        <v>3474</v>
      </c>
      <c r="S824" s="7" t="s">
        <v>5584</v>
      </c>
      <c r="T824" s="7" t="s">
        <v>5713</v>
      </c>
      <c r="U824" s="2" t="s">
        <v>6525</v>
      </c>
    </row>
    <row r="825" spans="1:21" ht="12.75" x14ac:dyDescent="0.2">
      <c r="A825" s="1">
        <v>45763.578600185181</v>
      </c>
      <c r="B825" s="2" t="s">
        <v>468</v>
      </c>
      <c r="C825" s="2" t="s">
        <v>4160</v>
      </c>
      <c r="D825" s="2" t="s">
        <v>333</v>
      </c>
      <c r="E825" s="3">
        <v>45751</v>
      </c>
      <c r="F825" s="4">
        <v>582553.5</v>
      </c>
      <c r="G825" s="2" t="s">
        <v>42</v>
      </c>
      <c r="H825" s="2" t="s">
        <v>43</v>
      </c>
      <c r="J825" s="2" t="s">
        <v>1459</v>
      </c>
      <c r="K825" s="2" t="s">
        <v>4161</v>
      </c>
      <c r="L825" s="2" t="s">
        <v>4162</v>
      </c>
      <c r="M825" s="2" t="s">
        <v>4163</v>
      </c>
      <c r="N825" s="2" t="s">
        <v>337</v>
      </c>
      <c r="O825" s="2" t="s">
        <v>476</v>
      </c>
      <c r="Q825" s="2" t="s">
        <v>3474</v>
      </c>
      <c r="S825" s="7" t="s">
        <v>5585</v>
      </c>
      <c r="T825" s="7" t="s">
        <v>5713</v>
      </c>
      <c r="U825" s="2" t="s">
        <v>6526</v>
      </c>
    </row>
    <row r="826" spans="1:21" ht="12.75" x14ac:dyDescent="0.2">
      <c r="A826" s="1">
        <v>45763.578600185181</v>
      </c>
      <c r="B826" s="2" t="s">
        <v>3324</v>
      </c>
      <c r="C826" s="2" t="s">
        <v>4164</v>
      </c>
      <c r="D826" s="2" t="s">
        <v>41</v>
      </c>
      <c r="E826" s="3">
        <v>45750</v>
      </c>
      <c r="F826" s="4">
        <v>3500</v>
      </c>
      <c r="G826" s="2" t="s">
        <v>143</v>
      </c>
      <c r="H826" s="2" t="s">
        <v>43</v>
      </c>
      <c r="K826" s="2" t="s">
        <v>4165</v>
      </c>
      <c r="L826" s="2" t="s">
        <v>4166</v>
      </c>
      <c r="M826" s="2" t="s">
        <v>4167</v>
      </c>
      <c r="N826" s="2" t="s">
        <v>48</v>
      </c>
      <c r="O826" s="2" t="s">
        <v>3329</v>
      </c>
      <c r="Q826" s="2" t="s">
        <v>3474</v>
      </c>
      <c r="S826" s="7" t="s">
        <v>5586</v>
      </c>
      <c r="T826" s="7" t="s">
        <v>5713</v>
      </c>
      <c r="U826" s="2" t="s">
        <v>6527</v>
      </c>
    </row>
    <row r="827" spans="1:21" ht="12.75" x14ac:dyDescent="0.2">
      <c r="A827" s="1">
        <v>45763.62260289352</v>
      </c>
      <c r="B827" s="2" t="s">
        <v>4168</v>
      </c>
      <c r="C827" s="2" t="s">
        <v>3537</v>
      </c>
      <c r="D827" s="2" t="s">
        <v>333</v>
      </c>
      <c r="E827" s="3">
        <v>45748</v>
      </c>
      <c r="F827" s="4">
        <v>1480</v>
      </c>
      <c r="G827" s="2" t="s">
        <v>143</v>
      </c>
      <c r="H827" s="2" t="s">
        <v>43</v>
      </c>
      <c r="K827" s="2" t="s">
        <v>4169</v>
      </c>
      <c r="L827" s="2" t="s">
        <v>4170</v>
      </c>
      <c r="M827" s="2" t="s">
        <v>4171</v>
      </c>
      <c r="N827" s="2" t="s">
        <v>337</v>
      </c>
      <c r="O827" s="2" t="s">
        <v>4172</v>
      </c>
      <c r="Q827" s="2" t="s">
        <v>3474</v>
      </c>
      <c r="S827" s="7" t="s">
        <v>5587</v>
      </c>
      <c r="T827" s="7" t="s">
        <v>5713</v>
      </c>
      <c r="U827" s="2" t="s">
        <v>6528</v>
      </c>
    </row>
    <row r="828" spans="1:21" ht="12.75" x14ac:dyDescent="0.2">
      <c r="A828" s="1">
        <v>45763.62260289352</v>
      </c>
      <c r="B828" s="2" t="s">
        <v>4173</v>
      </c>
      <c r="C828" s="2" t="s">
        <v>3537</v>
      </c>
      <c r="D828" s="2" t="s">
        <v>333</v>
      </c>
      <c r="E828" s="3">
        <v>45748</v>
      </c>
      <c r="F828" s="4">
        <v>1900</v>
      </c>
      <c r="G828" s="2" t="s">
        <v>143</v>
      </c>
      <c r="H828" s="2" t="s">
        <v>43</v>
      </c>
      <c r="K828" s="2" t="s">
        <v>4174</v>
      </c>
      <c r="L828" s="2" t="s">
        <v>4175</v>
      </c>
      <c r="M828" s="2" t="s">
        <v>4176</v>
      </c>
      <c r="N828" s="2" t="s">
        <v>337</v>
      </c>
      <c r="O828" s="2" t="s">
        <v>4177</v>
      </c>
      <c r="Q828" s="2" t="s">
        <v>3474</v>
      </c>
      <c r="S828" s="7" t="s">
        <v>5588</v>
      </c>
      <c r="T828" s="7" t="s">
        <v>5713</v>
      </c>
      <c r="U828" s="2" t="s">
        <v>6529</v>
      </c>
    </row>
    <row r="829" spans="1:21" ht="12.75" x14ac:dyDescent="0.2">
      <c r="A829" s="1">
        <v>45763.62260289352</v>
      </c>
      <c r="B829" s="2" t="s">
        <v>4178</v>
      </c>
      <c r="C829" s="2" t="s">
        <v>3537</v>
      </c>
      <c r="D829" s="2" t="s">
        <v>333</v>
      </c>
      <c r="E829" s="3">
        <v>45748</v>
      </c>
      <c r="F829" s="4">
        <v>1900</v>
      </c>
      <c r="G829" s="2" t="s">
        <v>143</v>
      </c>
      <c r="H829" s="2" t="s">
        <v>43</v>
      </c>
      <c r="K829" s="2" t="s">
        <v>4179</v>
      </c>
      <c r="L829" s="2" t="s">
        <v>4180</v>
      </c>
      <c r="M829" s="2" t="s">
        <v>4181</v>
      </c>
      <c r="N829" s="2" t="s">
        <v>337</v>
      </c>
      <c r="O829" s="2" t="s">
        <v>4182</v>
      </c>
      <c r="Q829" s="2" t="s">
        <v>3474</v>
      </c>
      <c r="S829" s="7" t="s">
        <v>5589</v>
      </c>
      <c r="T829" s="7" t="s">
        <v>5713</v>
      </c>
      <c r="U829" s="2" t="s">
        <v>6530</v>
      </c>
    </row>
    <row r="830" spans="1:21" ht="12.75" x14ac:dyDescent="0.2">
      <c r="A830" s="1">
        <v>45763.633699837963</v>
      </c>
      <c r="B830" s="2" t="s">
        <v>4183</v>
      </c>
      <c r="C830" s="2" t="s">
        <v>4184</v>
      </c>
      <c r="D830" s="2" t="s">
        <v>41</v>
      </c>
      <c r="E830" s="3">
        <v>45743</v>
      </c>
      <c r="F830" s="4">
        <v>397794</v>
      </c>
      <c r="G830" s="2" t="s">
        <v>42</v>
      </c>
      <c r="H830" s="2" t="s">
        <v>43</v>
      </c>
      <c r="K830" s="2" t="s">
        <v>4185</v>
      </c>
      <c r="L830" s="2" t="s">
        <v>4186</v>
      </c>
      <c r="M830" s="2" t="s">
        <v>4187</v>
      </c>
      <c r="N830" s="2" t="s">
        <v>48</v>
      </c>
      <c r="O830" s="2" t="s">
        <v>4188</v>
      </c>
      <c r="Q830" s="2" t="s">
        <v>3474</v>
      </c>
      <c r="S830" s="7" t="s">
        <v>5590</v>
      </c>
      <c r="T830" s="7" t="s">
        <v>5713</v>
      </c>
      <c r="U830" s="2" t="s">
        <v>6531</v>
      </c>
    </row>
    <row r="831" spans="1:21" ht="12.75" x14ac:dyDescent="0.2">
      <c r="A831" s="1">
        <v>45763.683355393514</v>
      </c>
      <c r="B831" s="2" t="s">
        <v>4189</v>
      </c>
      <c r="C831" s="2" t="s">
        <v>4190</v>
      </c>
      <c r="D831" s="2" t="s">
        <v>41</v>
      </c>
      <c r="E831" s="3">
        <v>45763</v>
      </c>
      <c r="F831" s="4">
        <v>66150</v>
      </c>
      <c r="G831" s="2" t="s">
        <v>42</v>
      </c>
      <c r="H831" s="2" t="s">
        <v>43</v>
      </c>
      <c r="K831" s="2" t="s">
        <v>4191</v>
      </c>
      <c r="L831" s="2" t="s">
        <v>4192</v>
      </c>
      <c r="M831" s="2" t="s">
        <v>4193</v>
      </c>
      <c r="N831" s="2" t="s">
        <v>48</v>
      </c>
      <c r="O831" s="2" t="s">
        <v>4194</v>
      </c>
      <c r="Q831" s="2" t="s">
        <v>3474</v>
      </c>
      <c r="S831" s="7" t="s">
        <v>5591</v>
      </c>
      <c r="T831" s="7" t="s">
        <v>5713</v>
      </c>
      <c r="U831" s="2" t="s">
        <v>6532</v>
      </c>
    </row>
    <row r="832" spans="1:21" ht="12.75" x14ac:dyDescent="0.2">
      <c r="A832" s="1">
        <v>45765.53798739583</v>
      </c>
      <c r="B832" s="2" t="s">
        <v>2706</v>
      </c>
      <c r="C832" s="2" t="s">
        <v>4195</v>
      </c>
      <c r="D832" s="2" t="s">
        <v>470</v>
      </c>
      <c r="E832" s="3">
        <v>45441</v>
      </c>
      <c r="F832" s="4">
        <v>6930</v>
      </c>
      <c r="G832" s="2" t="s">
        <v>143</v>
      </c>
      <c r="H832" s="2" t="s">
        <v>43</v>
      </c>
      <c r="I832" s="2" t="s">
        <v>990</v>
      </c>
      <c r="K832" s="2" t="s">
        <v>4196</v>
      </c>
      <c r="L832" s="2" t="s">
        <v>4197</v>
      </c>
      <c r="M832" s="2" t="s">
        <v>4198</v>
      </c>
      <c r="N832" s="2" t="s">
        <v>475</v>
      </c>
      <c r="O832" s="2" t="s">
        <v>2711</v>
      </c>
      <c r="P832" s="2" t="s">
        <v>995</v>
      </c>
      <c r="Q832" s="2" t="s">
        <v>50</v>
      </c>
      <c r="S832" s="7" t="s">
        <v>5592</v>
      </c>
      <c r="T832" s="7" t="s">
        <v>5713</v>
      </c>
      <c r="U832" s="2" t="s">
        <v>6533</v>
      </c>
    </row>
    <row r="833" spans="1:21" ht="12.75" x14ac:dyDescent="0.2">
      <c r="A833" s="1">
        <v>45770.701652638891</v>
      </c>
      <c r="B833" s="2" t="s">
        <v>1846</v>
      </c>
      <c r="C833" s="2" t="s">
        <v>4199</v>
      </c>
      <c r="D833" s="2" t="s">
        <v>672</v>
      </c>
      <c r="E833" s="3">
        <v>45748</v>
      </c>
      <c r="F833" s="4">
        <v>8150</v>
      </c>
      <c r="G833" s="2" t="s">
        <v>42</v>
      </c>
      <c r="H833" s="2" t="s">
        <v>43</v>
      </c>
      <c r="K833" s="2" t="s">
        <v>4200</v>
      </c>
      <c r="L833" s="2" t="s">
        <v>4201</v>
      </c>
      <c r="M833" s="2" t="s">
        <v>4202</v>
      </c>
      <c r="N833" s="2" t="s">
        <v>676</v>
      </c>
      <c r="O833" s="2" t="s">
        <v>1852</v>
      </c>
      <c r="Q833" s="2" t="s">
        <v>3474</v>
      </c>
      <c r="S833" s="7" t="s">
        <v>5593</v>
      </c>
      <c r="T833" s="7" t="s">
        <v>5713</v>
      </c>
      <c r="U833" s="2" t="s">
        <v>6534</v>
      </c>
    </row>
    <row r="834" spans="1:21" ht="12.75" x14ac:dyDescent="0.2">
      <c r="A834" s="1">
        <v>45770.701652638891</v>
      </c>
      <c r="B834" s="2" t="s">
        <v>3951</v>
      </c>
      <c r="C834" s="2" t="s">
        <v>4203</v>
      </c>
      <c r="D834" s="2" t="s">
        <v>41</v>
      </c>
      <c r="E834" s="3">
        <v>45748</v>
      </c>
      <c r="F834" s="4">
        <v>1590.45</v>
      </c>
      <c r="G834" s="2" t="s">
        <v>143</v>
      </c>
      <c r="H834" s="2" t="s">
        <v>43</v>
      </c>
      <c r="K834" s="2" t="s">
        <v>4204</v>
      </c>
      <c r="L834" s="2" t="s">
        <v>4205</v>
      </c>
      <c r="M834" s="2" t="s">
        <v>4206</v>
      </c>
      <c r="N834" s="2" t="s">
        <v>48</v>
      </c>
      <c r="O834" s="2" t="s">
        <v>3957</v>
      </c>
      <c r="Q834" s="2" t="s">
        <v>3474</v>
      </c>
      <c r="S834" s="7" t="s">
        <v>5594</v>
      </c>
      <c r="T834" s="7" t="s">
        <v>5713</v>
      </c>
      <c r="U834" s="2" t="s">
        <v>6535</v>
      </c>
    </row>
    <row r="835" spans="1:21" ht="12.75" x14ac:dyDescent="0.2">
      <c r="A835" s="1">
        <v>45770.701652638891</v>
      </c>
      <c r="B835" s="2" t="s">
        <v>4207</v>
      </c>
      <c r="C835" s="2" t="s">
        <v>4208</v>
      </c>
      <c r="D835" s="2" t="s">
        <v>223</v>
      </c>
      <c r="E835" s="3">
        <v>45689</v>
      </c>
      <c r="F835" s="4">
        <v>1400</v>
      </c>
      <c r="G835" s="2" t="s">
        <v>42</v>
      </c>
      <c r="H835" s="2" t="s">
        <v>43</v>
      </c>
      <c r="J835" s="2" t="s">
        <v>4209</v>
      </c>
      <c r="K835" s="2" t="s">
        <v>4210</v>
      </c>
      <c r="L835" s="2" t="s">
        <v>4211</v>
      </c>
      <c r="M835" s="2" t="s">
        <v>4212</v>
      </c>
      <c r="N835" s="2" t="s">
        <v>228</v>
      </c>
      <c r="O835" s="2" t="s">
        <v>4213</v>
      </c>
      <c r="Q835" s="2" t="s">
        <v>3474</v>
      </c>
      <c r="S835" s="7" t="s">
        <v>5595</v>
      </c>
      <c r="T835" s="7" t="s">
        <v>5713</v>
      </c>
      <c r="U835" s="2" t="s">
        <v>6536</v>
      </c>
    </row>
    <row r="836" spans="1:21" ht="12.75" x14ac:dyDescent="0.2">
      <c r="A836" s="1">
        <v>45778.82676891204</v>
      </c>
      <c r="B836" s="2" t="s">
        <v>3245</v>
      </c>
      <c r="C836" s="2" t="s">
        <v>4214</v>
      </c>
      <c r="D836" s="2" t="s">
        <v>333</v>
      </c>
      <c r="E836" s="3">
        <v>45748</v>
      </c>
      <c r="F836" s="4">
        <v>160000</v>
      </c>
      <c r="G836" s="2" t="s">
        <v>143</v>
      </c>
      <c r="H836" s="2" t="s">
        <v>43</v>
      </c>
      <c r="I836" s="2" t="s">
        <v>990</v>
      </c>
      <c r="J836" s="2" t="s">
        <v>3252</v>
      </c>
      <c r="K836" s="2" t="s">
        <v>4215</v>
      </c>
      <c r="L836" s="2" t="s">
        <v>4216</v>
      </c>
      <c r="M836" s="2" t="s">
        <v>4217</v>
      </c>
      <c r="N836" s="2" t="s">
        <v>337</v>
      </c>
      <c r="O836" s="2" t="s">
        <v>3250</v>
      </c>
      <c r="P836" s="2" t="s">
        <v>995</v>
      </c>
      <c r="Q836" s="2" t="s">
        <v>50</v>
      </c>
      <c r="S836" s="7" t="s">
        <v>5596</v>
      </c>
      <c r="T836" s="7" t="s">
        <v>5713</v>
      </c>
      <c r="U836" s="2" t="s">
        <v>6537</v>
      </c>
    </row>
    <row r="837" spans="1:21" ht="12.75" x14ac:dyDescent="0.2">
      <c r="A837" s="1">
        <v>45783.509538981481</v>
      </c>
      <c r="B837" s="2" t="s">
        <v>114</v>
      </c>
      <c r="C837" s="2" t="s">
        <v>4218</v>
      </c>
      <c r="D837" s="2" t="s">
        <v>910</v>
      </c>
      <c r="E837" s="3">
        <v>45769</v>
      </c>
      <c r="F837" s="4">
        <v>3160</v>
      </c>
      <c r="G837" s="2" t="s">
        <v>143</v>
      </c>
      <c r="H837" s="2" t="s">
        <v>43</v>
      </c>
      <c r="K837" s="2" t="s">
        <v>4219</v>
      </c>
      <c r="L837" s="2" t="s">
        <v>4220</v>
      </c>
      <c r="M837" s="2" t="s">
        <v>4221</v>
      </c>
      <c r="N837" s="2" t="s">
        <v>915</v>
      </c>
      <c r="O837" s="2" t="s">
        <v>119</v>
      </c>
      <c r="Q837" s="2" t="s">
        <v>3474</v>
      </c>
      <c r="S837" s="7" t="s">
        <v>5597</v>
      </c>
      <c r="T837" s="7" t="s">
        <v>5713</v>
      </c>
      <c r="U837" s="2" t="s">
        <v>6538</v>
      </c>
    </row>
    <row r="838" spans="1:21" ht="12.75" x14ac:dyDescent="0.2">
      <c r="A838" s="1">
        <v>45783.509538981481</v>
      </c>
      <c r="B838" s="2" t="s">
        <v>468</v>
      </c>
      <c r="C838" s="2" t="s">
        <v>4222</v>
      </c>
      <c r="D838" s="2" t="s">
        <v>910</v>
      </c>
      <c r="E838" s="3">
        <v>45771</v>
      </c>
      <c r="F838" s="4">
        <v>1600</v>
      </c>
      <c r="G838" s="2" t="s">
        <v>42</v>
      </c>
      <c r="H838" s="2" t="s">
        <v>43</v>
      </c>
      <c r="K838" s="2" t="s">
        <v>4223</v>
      </c>
      <c r="L838" s="2" t="s">
        <v>4224</v>
      </c>
      <c r="M838" s="2" t="s">
        <v>4225</v>
      </c>
      <c r="N838" s="2" t="s">
        <v>915</v>
      </c>
      <c r="O838" s="2" t="s">
        <v>476</v>
      </c>
      <c r="Q838" s="2" t="s">
        <v>3474</v>
      </c>
      <c r="S838" s="7" t="s">
        <v>5598</v>
      </c>
      <c r="T838" s="7" t="s">
        <v>5713</v>
      </c>
      <c r="U838" s="2" t="s">
        <v>6539</v>
      </c>
    </row>
    <row r="839" spans="1:21" ht="12.75" x14ac:dyDescent="0.2">
      <c r="A839" s="1">
        <v>45784.575150439814</v>
      </c>
      <c r="B839" s="2" t="s">
        <v>363</v>
      </c>
      <c r="C839" s="2" t="s">
        <v>4226</v>
      </c>
      <c r="D839" s="2" t="s">
        <v>41</v>
      </c>
      <c r="E839" s="3">
        <v>45748</v>
      </c>
      <c r="F839" s="4">
        <v>15000</v>
      </c>
      <c r="G839" s="2" t="s">
        <v>42</v>
      </c>
      <c r="H839" s="2" t="s">
        <v>43</v>
      </c>
      <c r="K839" s="2" t="s">
        <v>4227</v>
      </c>
      <c r="L839" s="2" t="s">
        <v>4228</v>
      </c>
      <c r="M839" s="2" t="s">
        <v>4229</v>
      </c>
      <c r="N839" s="2" t="s">
        <v>48</v>
      </c>
      <c r="O839" s="2" t="s">
        <v>368</v>
      </c>
      <c r="Q839" s="2" t="s">
        <v>50</v>
      </c>
      <c r="S839" s="7" t="s">
        <v>5599</v>
      </c>
      <c r="T839" s="7" t="s">
        <v>5713</v>
      </c>
      <c r="U839" s="2" t="s">
        <v>6540</v>
      </c>
    </row>
    <row r="840" spans="1:21" ht="12.75" x14ac:dyDescent="0.2">
      <c r="A840" s="1">
        <v>45785.6523346412</v>
      </c>
      <c r="B840" s="2" t="s">
        <v>3024</v>
      </c>
      <c r="C840" s="2" t="s">
        <v>4230</v>
      </c>
      <c r="D840" s="2" t="s">
        <v>672</v>
      </c>
      <c r="E840" s="3">
        <v>45778</v>
      </c>
      <c r="F840" s="4">
        <v>500</v>
      </c>
      <c r="G840" s="2" t="s">
        <v>143</v>
      </c>
      <c r="H840" s="2" t="s">
        <v>43</v>
      </c>
      <c r="K840" s="2" t="s">
        <v>4231</v>
      </c>
      <c r="L840" s="2" t="s">
        <v>4232</v>
      </c>
      <c r="M840" s="2" t="s">
        <v>4233</v>
      </c>
      <c r="N840" s="2" t="s">
        <v>676</v>
      </c>
      <c r="O840" s="2" t="s">
        <v>2808</v>
      </c>
      <c r="Q840" s="2" t="s">
        <v>3474</v>
      </c>
      <c r="S840" s="7" t="s">
        <v>5600</v>
      </c>
      <c r="T840" s="7" t="s">
        <v>5713</v>
      </c>
      <c r="U840" s="2" t="s">
        <v>6541</v>
      </c>
    </row>
    <row r="841" spans="1:21" ht="12.75" x14ac:dyDescent="0.2">
      <c r="A841" s="1">
        <v>45791.591861064815</v>
      </c>
      <c r="B841" s="2" t="s">
        <v>2098</v>
      </c>
      <c r="C841" s="2" t="s">
        <v>4234</v>
      </c>
      <c r="D841" s="2" t="s">
        <v>333</v>
      </c>
      <c r="E841" s="3">
        <v>45778</v>
      </c>
      <c r="F841" s="4">
        <v>36547.699999999997</v>
      </c>
      <c r="G841" s="2" t="s">
        <v>42</v>
      </c>
      <c r="H841" s="2" t="s">
        <v>43</v>
      </c>
      <c r="K841" s="2" t="s">
        <v>4235</v>
      </c>
      <c r="L841" s="2" t="s">
        <v>4236</v>
      </c>
      <c r="M841" s="2" t="s">
        <v>4237</v>
      </c>
      <c r="N841" s="2" t="s">
        <v>337</v>
      </c>
      <c r="O841" s="2" t="s">
        <v>2103</v>
      </c>
      <c r="Q841" s="2" t="s">
        <v>3474</v>
      </c>
      <c r="S841" s="7" t="s">
        <v>5601</v>
      </c>
      <c r="T841" s="7" t="s">
        <v>5713</v>
      </c>
      <c r="U841" s="2" t="s">
        <v>6542</v>
      </c>
    </row>
    <row r="842" spans="1:21" ht="12.75" x14ac:dyDescent="0.2">
      <c r="A842" s="1">
        <v>45791.622671539357</v>
      </c>
      <c r="B842" s="2" t="s">
        <v>438</v>
      </c>
      <c r="C842" s="2" t="s">
        <v>4238</v>
      </c>
      <c r="D842" s="2" t="s">
        <v>333</v>
      </c>
      <c r="E842" s="3">
        <v>45715</v>
      </c>
      <c r="F842" s="4">
        <v>94315</v>
      </c>
      <c r="G842" s="2" t="s">
        <v>326</v>
      </c>
      <c r="H842" s="2" t="s">
        <v>43</v>
      </c>
      <c r="K842" s="2" t="s">
        <v>4239</v>
      </c>
      <c r="L842" s="2" t="s">
        <v>4240</v>
      </c>
      <c r="M842" s="2" t="s">
        <v>4241</v>
      </c>
      <c r="N842" s="2" t="s">
        <v>337</v>
      </c>
      <c r="O842" s="2" t="s">
        <v>443</v>
      </c>
      <c r="Q842" s="2" t="s">
        <v>3474</v>
      </c>
      <c r="S842" s="7" t="s">
        <v>5602</v>
      </c>
      <c r="T842" s="7" t="s">
        <v>5713</v>
      </c>
      <c r="U842" s="2" t="s">
        <v>6543</v>
      </c>
    </row>
    <row r="843" spans="1:21" ht="12.75" x14ac:dyDescent="0.2">
      <c r="A843" s="1">
        <v>45791.805944837964</v>
      </c>
      <c r="B843" s="2" t="s">
        <v>1846</v>
      </c>
      <c r="C843" s="2" t="s">
        <v>4242</v>
      </c>
      <c r="D843" s="2" t="s">
        <v>41</v>
      </c>
      <c r="E843" s="3">
        <v>45778</v>
      </c>
      <c r="F843" s="4">
        <v>10318</v>
      </c>
      <c r="G843" s="2" t="s">
        <v>42</v>
      </c>
      <c r="H843" s="2" t="s">
        <v>43</v>
      </c>
      <c r="I843" s="2" t="s">
        <v>2700</v>
      </c>
      <c r="K843" s="2" t="s">
        <v>4243</v>
      </c>
      <c r="L843" s="2" t="s">
        <v>4244</v>
      </c>
      <c r="M843" s="2" t="s">
        <v>4245</v>
      </c>
      <c r="N843" s="2" t="s">
        <v>48</v>
      </c>
      <c r="O843" s="2" t="s">
        <v>1852</v>
      </c>
      <c r="P843" s="2" t="s">
        <v>2705</v>
      </c>
      <c r="Q843" s="2" t="s">
        <v>50</v>
      </c>
      <c r="S843" s="7" t="s">
        <v>5603</v>
      </c>
      <c r="T843" s="7" t="s">
        <v>5713</v>
      </c>
      <c r="U843" s="2" t="s">
        <v>6544</v>
      </c>
    </row>
    <row r="844" spans="1:21" ht="12.75" x14ac:dyDescent="0.2">
      <c r="A844" s="1">
        <v>45792.647234108794</v>
      </c>
      <c r="B844" s="2" t="s">
        <v>2948</v>
      </c>
      <c r="C844" s="2" t="s">
        <v>4246</v>
      </c>
      <c r="D844" s="2" t="s">
        <v>41</v>
      </c>
      <c r="E844" s="3">
        <v>45790</v>
      </c>
      <c r="F844" s="4">
        <v>235060</v>
      </c>
      <c r="G844" s="2" t="s">
        <v>42</v>
      </c>
      <c r="H844" s="2" t="s">
        <v>43</v>
      </c>
      <c r="K844" s="2" t="s">
        <v>4247</v>
      </c>
      <c r="L844" s="2" t="s">
        <v>4248</v>
      </c>
      <c r="M844" s="2" t="s">
        <v>4249</v>
      </c>
      <c r="N844" s="2" t="s">
        <v>48</v>
      </c>
      <c r="O844" s="2" t="s">
        <v>2954</v>
      </c>
      <c r="Q844" s="2" t="s">
        <v>3474</v>
      </c>
      <c r="S844" s="7" t="s">
        <v>5604</v>
      </c>
      <c r="T844" s="7" t="s">
        <v>5713</v>
      </c>
      <c r="U844" s="2" t="s">
        <v>6545</v>
      </c>
    </row>
    <row r="845" spans="1:21" ht="12.75" x14ac:dyDescent="0.2">
      <c r="A845" s="1">
        <v>45799.756619965279</v>
      </c>
      <c r="B845" s="2" t="s">
        <v>4250</v>
      </c>
      <c r="C845" s="2" t="s">
        <v>4251</v>
      </c>
      <c r="D845" s="2" t="s">
        <v>41</v>
      </c>
      <c r="E845" s="3">
        <v>45799</v>
      </c>
      <c r="F845" s="4">
        <v>50000</v>
      </c>
      <c r="G845" s="2" t="s">
        <v>42</v>
      </c>
      <c r="H845" s="2" t="s">
        <v>43</v>
      </c>
      <c r="K845" s="2" t="s">
        <v>4252</v>
      </c>
      <c r="L845" s="2" t="s">
        <v>4253</v>
      </c>
      <c r="M845" s="2" t="s">
        <v>4254</v>
      </c>
      <c r="N845" s="2" t="s">
        <v>48</v>
      </c>
      <c r="O845" s="2" t="s">
        <v>4255</v>
      </c>
      <c r="Q845" s="2" t="s">
        <v>3474</v>
      </c>
      <c r="S845" s="7" t="s">
        <v>5605</v>
      </c>
      <c r="T845" s="7" t="s">
        <v>5713</v>
      </c>
      <c r="U845" s="2" t="s">
        <v>6546</v>
      </c>
    </row>
    <row r="846" spans="1:21" ht="12.75" x14ac:dyDescent="0.2">
      <c r="A846" s="1">
        <v>45804.60171210648</v>
      </c>
      <c r="B846" s="2" t="s">
        <v>2079</v>
      </c>
      <c r="C846" s="2" t="s">
        <v>4256</v>
      </c>
      <c r="D846" s="2" t="s">
        <v>333</v>
      </c>
      <c r="E846" s="3">
        <v>45791</v>
      </c>
      <c r="F846" s="4">
        <v>28000</v>
      </c>
      <c r="G846" s="2" t="s">
        <v>326</v>
      </c>
      <c r="H846" s="2" t="s">
        <v>43</v>
      </c>
      <c r="K846" s="2" t="s">
        <v>4257</v>
      </c>
      <c r="L846" s="2" t="s">
        <v>4258</v>
      </c>
      <c r="M846" s="2" t="s">
        <v>4259</v>
      </c>
      <c r="N846" s="2" t="s">
        <v>337</v>
      </c>
      <c r="O846" s="2" t="s">
        <v>2084</v>
      </c>
      <c r="Q846" s="2" t="s">
        <v>3474</v>
      </c>
      <c r="S846" s="7" t="s">
        <v>5606</v>
      </c>
      <c r="T846" s="7" t="s">
        <v>5713</v>
      </c>
      <c r="U846" s="2" t="s">
        <v>6547</v>
      </c>
    </row>
    <row r="847" spans="1:21" ht="12.75" x14ac:dyDescent="0.2">
      <c r="A847" s="1">
        <v>45804.691020347222</v>
      </c>
      <c r="B847" s="2" t="s">
        <v>51</v>
      </c>
      <c r="C847" s="2" t="s">
        <v>4260</v>
      </c>
      <c r="D847" s="2" t="s">
        <v>333</v>
      </c>
      <c r="E847" s="3">
        <v>45798</v>
      </c>
      <c r="F847" s="4">
        <v>5806</v>
      </c>
      <c r="G847" s="2" t="s">
        <v>326</v>
      </c>
      <c r="H847" s="2" t="s">
        <v>43</v>
      </c>
      <c r="K847" s="2" t="s">
        <v>4261</v>
      </c>
      <c r="L847" s="2" t="s">
        <v>4262</v>
      </c>
      <c r="M847" s="2" t="s">
        <v>4263</v>
      </c>
      <c r="N847" s="2" t="s">
        <v>337</v>
      </c>
      <c r="O847" s="2" t="s">
        <v>57</v>
      </c>
      <c r="Q847" s="2" t="s">
        <v>3474</v>
      </c>
      <c r="S847" s="7" t="s">
        <v>5607</v>
      </c>
      <c r="T847" s="7" t="s">
        <v>5713</v>
      </c>
      <c r="U847" s="2" t="s">
        <v>6548</v>
      </c>
    </row>
    <row r="848" spans="1:21" ht="12.75" x14ac:dyDescent="0.2">
      <c r="A848" s="1">
        <v>45805.486422847222</v>
      </c>
      <c r="B848" s="2" t="s">
        <v>4264</v>
      </c>
      <c r="C848" s="2" t="s">
        <v>4265</v>
      </c>
      <c r="D848" s="2" t="s">
        <v>672</v>
      </c>
      <c r="E848" s="3">
        <v>45727</v>
      </c>
      <c r="F848" s="4">
        <v>500</v>
      </c>
      <c r="G848" s="2" t="s">
        <v>42</v>
      </c>
      <c r="H848" s="2" t="s">
        <v>43</v>
      </c>
      <c r="K848" s="2" t="s">
        <v>4266</v>
      </c>
      <c r="L848" s="2" t="s">
        <v>4267</v>
      </c>
      <c r="M848" s="2" t="s">
        <v>4268</v>
      </c>
      <c r="N848" s="2" t="s">
        <v>676</v>
      </c>
      <c r="O848" s="2" t="s">
        <v>4269</v>
      </c>
      <c r="Q848" s="2" t="s">
        <v>3474</v>
      </c>
      <c r="S848" s="7" t="s">
        <v>5608</v>
      </c>
      <c r="T848" s="7" t="s">
        <v>5713</v>
      </c>
      <c r="U848" s="2" t="s">
        <v>6549</v>
      </c>
    </row>
    <row r="849" spans="1:21" ht="12.75" x14ac:dyDescent="0.2">
      <c r="A849" s="1">
        <v>45805.486422847222</v>
      </c>
      <c r="B849" s="2" t="s">
        <v>438</v>
      </c>
      <c r="C849" s="2" t="s">
        <v>4270</v>
      </c>
      <c r="D849" s="2" t="s">
        <v>910</v>
      </c>
      <c r="E849" s="3">
        <v>45778</v>
      </c>
      <c r="F849" s="4">
        <v>5500</v>
      </c>
      <c r="G849" s="2" t="s">
        <v>143</v>
      </c>
      <c r="H849" s="2" t="s">
        <v>43</v>
      </c>
      <c r="K849" s="2" t="s">
        <v>4271</v>
      </c>
      <c r="L849" s="2" t="s">
        <v>4272</v>
      </c>
      <c r="M849" s="2" t="s">
        <v>4273</v>
      </c>
      <c r="N849" s="2" t="s">
        <v>915</v>
      </c>
      <c r="O849" s="2" t="s">
        <v>443</v>
      </c>
      <c r="Q849" s="2" t="s">
        <v>3474</v>
      </c>
      <c r="S849" s="7" t="s">
        <v>5609</v>
      </c>
      <c r="T849" s="7" t="s">
        <v>5713</v>
      </c>
      <c r="U849" s="2" t="s">
        <v>6550</v>
      </c>
    </row>
    <row r="850" spans="1:21" ht="12.75" x14ac:dyDescent="0.2">
      <c r="A850" s="1">
        <v>45806.517162870368</v>
      </c>
      <c r="B850" s="2" t="s">
        <v>4274</v>
      </c>
      <c r="C850" s="2" t="s">
        <v>4275</v>
      </c>
      <c r="D850" s="2" t="s">
        <v>41</v>
      </c>
      <c r="E850" s="3">
        <v>45806</v>
      </c>
      <c r="F850" s="4">
        <v>339800</v>
      </c>
      <c r="G850" s="2" t="s">
        <v>42</v>
      </c>
      <c r="H850" s="2" t="s">
        <v>43</v>
      </c>
      <c r="K850" s="2" t="s">
        <v>4276</v>
      </c>
      <c r="L850" s="2" t="s">
        <v>4277</v>
      </c>
      <c r="M850" s="2" t="s">
        <v>4278</v>
      </c>
      <c r="N850" s="2" t="s">
        <v>48</v>
      </c>
      <c r="O850" s="2" t="s">
        <v>4279</v>
      </c>
      <c r="Q850" s="2" t="s">
        <v>3474</v>
      </c>
      <c r="S850" s="7" t="s">
        <v>5610</v>
      </c>
      <c r="T850" s="7" t="s">
        <v>5713</v>
      </c>
      <c r="U850" s="2" t="s">
        <v>6551</v>
      </c>
    </row>
    <row r="851" spans="1:21" ht="12.75" x14ac:dyDescent="0.2">
      <c r="A851" s="1">
        <v>45806.974145891203</v>
      </c>
      <c r="B851" s="2" t="s">
        <v>4280</v>
      </c>
      <c r="C851" s="2" t="s">
        <v>4281</v>
      </c>
      <c r="D851" s="2" t="s">
        <v>41</v>
      </c>
      <c r="E851" s="3">
        <v>45778</v>
      </c>
      <c r="F851" s="4">
        <v>94000</v>
      </c>
      <c r="G851" s="2" t="s">
        <v>42</v>
      </c>
      <c r="H851" s="2" t="s">
        <v>43</v>
      </c>
      <c r="I851" s="2" t="s">
        <v>2691</v>
      </c>
      <c r="K851" s="2" t="s">
        <v>4282</v>
      </c>
      <c r="L851" s="2" t="s">
        <v>4283</v>
      </c>
      <c r="M851" s="2" t="s">
        <v>4284</v>
      </c>
      <c r="N851" s="2" t="s">
        <v>48</v>
      </c>
      <c r="O851" s="2" t="s">
        <v>4285</v>
      </c>
      <c r="P851" s="2" t="s">
        <v>2697</v>
      </c>
      <c r="Q851" s="2" t="s">
        <v>50</v>
      </c>
      <c r="S851" s="7" t="s">
        <v>5611</v>
      </c>
      <c r="T851" s="7" t="s">
        <v>5713</v>
      </c>
      <c r="U851" s="2" t="s">
        <v>6552</v>
      </c>
    </row>
    <row r="852" spans="1:21" ht="12.75" x14ac:dyDescent="0.2">
      <c r="A852" s="1">
        <v>45807.525394351847</v>
      </c>
      <c r="B852" s="2" t="s">
        <v>4052</v>
      </c>
      <c r="C852" s="2" t="s">
        <v>4286</v>
      </c>
      <c r="D852" s="2" t="s">
        <v>672</v>
      </c>
      <c r="E852" s="3">
        <v>45784</v>
      </c>
      <c r="F852" s="4">
        <v>1400</v>
      </c>
      <c r="G852" s="2" t="s">
        <v>143</v>
      </c>
      <c r="H852" s="2" t="s">
        <v>1665</v>
      </c>
      <c r="K852" s="2" t="s">
        <v>4287</v>
      </c>
      <c r="L852" s="2" t="s">
        <v>4288</v>
      </c>
      <c r="M852" s="2" t="s">
        <v>4289</v>
      </c>
      <c r="N852" s="2" t="s">
        <v>676</v>
      </c>
      <c r="O852" s="2" t="s">
        <v>4057</v>
      </c>
      <c r="Q852" s="2" t="s">
        <v>3474</v>
      </c>
      <c r="S852" s="7" t="s">
        <v>5612</v>
      </c>
      <c r="T852" s="7" t="s">
        <v>5713</v>
      </c>
      <c r="U852" s="2" t="s">
        <v>6553</v>
      </c>
    </row>
    <row r="853" spans="1:21" ht="12.75" x14ac:dyDescent="0.2">
      <c r="A853" s="1">
        <v>45807.527821724536</v>
      </c>
      <c r="B853" s="2" t="s">
        <v>1007</v>
      </c>
      <c r="C853" s="2" t="s">
        <v>4290</v>
      </c>
      <c r="D853" s="2" t="s">
        <v>672</v>
      </c>
      <c r="E853" s="3">
        <v>45757</v>
      </c>
      <c r="F853" s="4">
        <v>400</v>
      </c>
      <c r="G853" s="2" t="s">
        <v>143</v>
      </c>
      <c r="H853" s="2" t="s">
        <v>43</v>
      </c>
      <c r="K853" s="2" t="s">
        <v>4291</v>
      </c>
      <c r="L853" s="2" t="s">
        <v>4292</v>
      </c>
      <c r="M853" s="2" t="s">
        <v>4293</v>
      </c>
      <c r="N853" s="2" t="s">
        <v>676</v>
      </c>
      <c r="O853" s="2" t="s">
        <v>1013</v>
      </c>
      <c r="Q853" s="2" t="s">
        <v>3474</v>
      </c>
      <c r="S853" s="7" t="s">
        <v>5613</v>
      </c>
      <c r="T853" s="7" t="s">
        <v>5713</v>
      </c>
      <c r="U853" s="2" t="s">
        <v>6554</v>
      </c>
    </row>
    <row r="854" spans="1:21" ht="12.75" x14ac:dyDescent="0.2">
      <c r="A854" s="1">
        <v>45807.557904722227</v>
      </c>
      <c r="B854" s="2" t="s">
        <v>4294</v>
      </c>
      <c r="C854" s="2" t="s">
        <v>4295</v>
      </c>
      <c r="D854" s="2" t="s">
        <v>41</v>
      </c>
      <c r="E854" s="3">
        <v>45798</v>
      </c>
      <c r="F854" s="4">
        <v>26680</v>
      </c>
      <c r="G854" s="2" t="s">
        <v>42</v>
      </c>
      <c r="H854" s="2" t="s">
        <v>43</v>
      </c>
      <c r="K854" s="2" t="s">
        <v>4296</v>
      </c>
      <c r="L854" s="2" t="s">
        <v>4297</v>
      </c>
      <c r="M854" s="2" t="s">
        <v>4298</v>
      </c>
      <c r="N854" s="2" t="s">
        <v>48</v>
      </c>
      <c r="O854" s="2" t="s">
        <v>4299</v>
      </c>
      <c r="Q854" s="2" t="s">
        <v>3474</v>
      </c>
      <c r="S854" s="7" t="s">
        <v>5614</v>
      </c>
      <c r="T854" s="7" t="s">
        <v>5713</v>
      </c>
      <c r="U854" s="2" t="s">
        <v>6555</v>
      </c>
    </row>
    <row r="855" spans="1:21" ht="12.75" x14ac:dyDescent="0.2">
      <c r="A855" s="1">
        <v>45807.649727569442</v>
      </c>
      <c r="B855" s="2" t="s">
        <v>339</v>
      </c>
      <c r="C855" s="2" t="s">
        <v>4300</v>
      </c>
      <c r="D855" s="2" t="s">
        <v>333</v>
      </c>
      <c r="E855" s="3">
        <v>43634</v>
      </c>
      <c r="F855" s="4">
        <v>3835</v>
      </c>
      <c r="G855" s="2" t="s">
        <v>42</v>
      </c>
      <c r="H855" s="2" t="s">
        <v>1665</v>
      </c>
      <c r="K855" s="2" t="s">
        <v>4301</v>
      </c>
      <c r="L855" s="2" t="s">
        <v>4302</v>
      </c>
      <c r="M855" s="2" t="s">
        <v>4303</v>
      </c>
      <c r="N855" s="2" t="s">
        <v>337</v>
      </c>
      <c r="O855" s="2" t="s">
        <v>344</v>
      </c>
      <c r="Q855" s="2" t="s">
        <v>3474</v>
      </c>
      <c r="S855" s="7" t="s">
        <v>5615</v>
      </c>
      <c r="T855" s="7" t="s">
        <v>5713</v>
      </c>
      <c r="U855" s="2" t="s">
        <v>6556</v>
      </c>
    </row>
    <row r="856" spans="1:21" ht="12.75" x14ac:dyDescent="0.2">
      <c r="A856" s="1">
        <v>45810.526650717591</v>
      </c>
      <c r="B856" s="2" t="s">
        <v>363</v>
      </c>
      <c r="C856" s="2" t="s">
        <v>4304</v>
      </c>
      <c r="D856" s="2" t="s">
        <v>41</v>
      </c>
      <c r="E856" s="3">
        <v>45809</v>
      </c>
      <c r="F856" s="4">
        <v>30000</v>
      </c>
      <c r="G856" s="2" t="s">
        <v>42</v>
      </c>
      <c r="H856" s="2" t="s">
        <v>43</v>
      </c>
      <c r="I856" s="2" t="s">
        <v>1228</v>
      </c>
      <c r="K856" s="2" t="s">
        <v>4305</v>
      </c>
      <c r="L856" s="2" t="s">
        <v>4306</v>
      </c>
      <c r="M856" s="2" t="s">
        <v>4307</v>
      </c>
      <c r="N856" s="2" t="s">
        <v>48</v>
      </c>
      <c r="O856" s="2" t="s">
        <v>368</v>
      </c>
      <c r="P856" s="2" t="s">
        <v>1233</v>
      </c>
      <c r="Q856" s="2" t="s">
        <v>50</v>
      </c>
      <c r="S856" s="7" t="s">
        <v>5616</v>
      </c>
      <c r="T856" s="7" t="s">
        <v>5713</v>
      </c>
      <c r="U856" s="2" t="s">
        <v>6557</v>
      </c>
    </row>
    <row r="857" spans="1:21" ht="12.75" x14ac:dyDescent="0.2">
      <c r="A857" s="1">
        <v>45810.754254768515</v>
      </c>
      <c r="B857" s="2" t="s">
        <v>363</v>
      </c>
      <c r="C857" s="2" t="s">
        <v>4308</v>
      </c>
      <c r="D857" s="2" t="s">
        <v>41</v>
      </c>
      <c r="E857" s="3">
        <v>45292</v>
      </c>
      <c r="F857" s="4">
        <v>10000</v>
      </c>
      <c r="G857" s="2" t="s">
        <v>42</v>
      </c>
      <c r="H857" s="2" t="s">
        <v>43</v>
      </c>
      <c r="I857" s="2" t="s">
        <v>1228</v>
      </c>
      <c r="K857" s="2" t="s">
        <v>4309</v>
      </c>
      <c r="L857" s="2" t="s">
        <v>4310</v>
      </c>
      <c r="M857" s="2" t="s">
        <v>4311</v>
      </c>
      <c r="N857" s="2" t="s">
        <v>48</v>
      </c>
      <c r="O857" s="2" t="s">
        <v>368</v>
      </c>
      <c r="P857" s="2" t="s">
        <v>1233</v>
      </c>
      <c r="Q857" s="2" t="s">
        <v>50</v>
      </c>
      <c r="S857" s="7" t="s">
        <v>5617</v>
      </c>
      <c r="T857" s="7" t="s">
        <v>5713</v>
      </c>
      <c r="U857" s="2" t="s">
        <v>6558</v>
      </c>
    </row>
    <row r="858" spans="1:21" ht="12.75" x14ac:dyDescent="0.2">
      <c r="A858" s="1">
        <v>45811.487654861106</v>
      </c>
      <c r="B858" s="2" t="s">
        <v>2706</v>
      </c>
      <c r="C858" s="2" t="s">
        <v>4312</v>
      </c>
      <c r="D858" s="2" t="s">
        <v>333</v>
      </c>
      <c r="E858" s="3">
        <v>45804</v>
      </c>
      <c r="F858" s="4">
        <v>4040</v>
      </c>
      <c r="G858" s="2" t="s">
        <v>42</v>
      </c>
      <c r="H858" s="2" t="s">
        <v>43</v>
      </c>
      <c r="K858" s="2" t="s">
        <v>4313</v>
      </c>
      <c r="L858" s="2" t="s">
        <v>4314</v>
      </c>
      <c r="M858" s="2" t="s">
        <v>4315</v>
      </c>
      <c r="N858" s="2" t="s">
        <v>337</v>
      </c>
      <c r="O858" s="2" t="s">
        <v>2711</v>
      </c>
      <c r="Q858" s="2" t="s">
        <v>3474</v>
      </c>
      <c r="S858" s="7" t="s">
        <v>5618</v>
      </c>
      <c r="T858" s="7" t="s">
        <v>5713</v>
      </c>
      <c r="U858" s="2" t="s">
        <v>6559</v>
      </c>
    </row>
    <row r="859" spans="1:21" ht="12.75" x14ac:dyDescent="0.2">
      <c r="A859" s="1">
        <v>45811.740803414352</v>
      </c>
      <c r="B859" s="2" t="s">
        <v>4316</v>
      </c>
      <c r="C859" s="2" t="s">
        <v>4317</v>
      </c>
      <c r="D859" s="2" t="s">
        <v>333</v>
      </c>
      <c r="E859" s="3">
        <v>45804</v>
      </c>
      <c r="F859" s="4">
        <v>8720</v>
      </c>
      <c r="G859" s="2" t="s">
        <v>42</v>
      </c>
      <c r="H859" s="2" t="s">
        <v>43</v>
      </c>
      <c r="K859" s="2" t="s">
        <v>4318</v>
      </c>
      <c r="L859" s="2" t="s">
        <v>4319</v>
      </c>
      <c r="M859" s="2" t="s">
        <v>4320</v>
      </c>
      <c r="N859" s="2" t="s">
        <v>337</v>
      </c>
      <c r="O859" s="2" t="s">
        <v>4321</v>
      </c>
      <c r="Q859" s="2" t="s">
        <v>3474</v>
      </c>
      <c r="S859" s="7" t="s">
        <v>5619</v>
      </c>
      <c r="T859" s="7" t="s">
        <v>5713</v>
      </c>
      <c r="U859" s="2" t="s">
        <v>6560</v>
      </c>
    </row>
    <row r="860" spans="1:21" ht="12.75" x14ac:dyDescent="0.2">
      <c r="A860" s="1">
        <v>45811.740803414352</v>
      </c>
      <c r="B860" s="2" t="s">
        <v>4207</v>
      </c>
      <c r="C860" s="2" t="s">
        <v>4322</v>
      </c>
      <c r="D860" s="2" t="s">
        <v>672</v>
      </c>
      <c r="E860" s="3">
        <v>45807</v>
      </c>
      <c r="F860" s="4">
        <v>1000</v>
      </c>
      <c r="G860" s="2" t="s">
        <v>143</v>
      </c>
      <c r="H860" s="2" t="s">
        <v>43</v>
      </c>
      <c r="K860" s="2" t="s">
        <v>4323</v>
      </c>
      <c r="L860" s="2" t="s">
        <v>4324</v>
      </c>
      <c r="M860" s="2" t="s">
        <v>4325</v>
      </c>
      <c r="N860" s="2" t="s">
        <v>676</v>
      </c>
      <c r="O860" s="2" t="s">
        <v>4213</v>
      </c>
      <c r="Q860" s="2" t="s">
        <v>3474</v>
      </c>
      <c r="S860" s="7" t="s">
        <v>5620</v>
      </c>
      <c r="T860" s="7" t="s">
        <v>5713</v>
      </c>
      <c r="U860" s="2" t="s">
        <v>6561</v>
      </c>
    </row>
    <row r="861" spans="1:21" ht="12.75" x14ac:dyDescent="0.2">
      <c r="A861" s="1">
        <v>45817.509531828706</v>
      </c>
      <c r="B861" s="2" t="s">
        <v>120</v>
      </c>
      <c r="C861" s="2" t="s">
        <v>4326</v>
      </c>
      <c r="D861" s="2" t="s">
        <v>672</v>
      </c>
      <c r="E861" s="3">
        <v>45096</v>
      </c>
      <c r="F861" s="4">
        <v>3000</v>
      </c>
      <c r="G861" s="2" t="s">
        <v>143</v>
      </c>
      <c r="H861" s="2" t="s">
        <v>1665</v>
      </c>
      <c r="K861" s="2" t="s">
        <v>4327</v>
      </c>
      <c r="L861" s="2" t="s">
        <v>4328</v>
      </c>
      <c r="M861" s="2" t="s">
        <v>4329</v>
      </c>
      <c r="N861" s="2" t="s">
        <v>676</v>
      </c>
      <c r="O861" s="2" t="s">
        <v>126</v>
      </c>
      <c r="Q861" s="2" t="s">
        <v>3474</v>
      </c>
      <c r="S861" s="7" t="s">
        <v>5621</v>
      </c>
      <c r="T861" s="7" t="s">
        <v>5713</v>
      </c>
      <c r="U861" s="2" t="s">
        <v>6562</v>
      </c>
    </row>
    <row r="862" spans="1:21" ht="12.75" x14ac:dyDescent="0.2">
      <c r="A862" s="1">
        <v>45819.814949641208</v>
      </c>
      <c r="B862" s="2" t="s">
        <v>2706</v>
      </c>
      <c r="C862" s="2" t="s">
        <v>4312</v>
      </c>
      <c r="D862" s="2" t="s">
        <v>333</v>
      </c>
      <c r="E862" s="3">
        <v>45809</v>
      </c>
      <c r="F862" s="4">
        <v>4040</v>
      </c>
      <c r="G862" s="2" t="s">
        <v>42</v>
      </c>
      <c r="H862" s="2" t="s">
        <v>43</v>
      </c>
      <c r="I862" s="2" t="s">
        <v>990</v>
      </c>
      <c r="K862" s="2" t="s">
        <v>4330</v>
      </c>
      <c r="L862" s="2" t="s">
        <v>4331</v>
      </c>
      <c r="M862" s="2" t="s">
        <v>4315</v>
      </c>
      <c r="N862" s="2" t="s">
        <v>337</v>
      </c>
      <c r="O862" s="2" t="s">
        <v>2711</v>
      </c>
      <c r="P862" s="2" t="s">
        <v>995</v>
      </c>
      <c r="Q862" s="2" t="s">
        <v>50</v>
      </c>
      <c r="S862" s="7" t="s">
        <v>5622</v>
      </c>
      <c r="T862" s="7" t="s">
        <v>5713</v>
      </c>
      <c r="U862" s="2" t="s">
        <v>6563</v>
      </c>
    </row>
    <row r="863" spans="1:21" ht="12.75" x14ac:dyDescent="0.2">
      <c r="A863" s="1">
        <v>45820.598705358796</v>
      </c>
      <c r="B863" s="2" t="s">
        <v>3263</v>
      </c>
      <c r="C863" s="2" t="s">
        <v>4332</v>
      </c>
      <c r="D863" s="2" t="s">
        <v>41</v>
      </c>
      <c r="E863" s="3">
        <v>45620</v>
      </c>
      <c r="F863" s="4">
        <v>900</v>
      </c>
      <c r="G863" s="2" t="s">
        <v>42</v>
      </c>
      <c r="H863" s="2" t="s">
        <v>43</v>
      </c>
      <c r="K863" s="2" t="s">
        <v>4333</v>
      </c>
      <c r="L863" s="2" t="s">
        <v>4334</v>
      </c>
      <c r="M863" s="2" t="s">
        <v>4335</v>
      </c>
      <c r="N863" s="2" t="s">
        <v>48</v>
      </c>
      <c r="O863" s="2" t="s">
        <v>3269</v>
      </c>
      <c r="Q863" s="2" t="s">
        <v>3474</v>
      </c>
      <c r="S863" s="7" t="s">
        <v>5623</v>
      </c>
      <c r="T863" s="7" t="s">
        <v>5713</v>
      </c>
      <c r="U863" s="2" t="s">
        <v>6564</v>
      </c>
    </row>
    <row r="864" spans="1:21" ht="12.75" x14ac:dyDescent="0.2">
      <c r="A864" s="1">
        <v>45820.636676736111</v>
      </c>
      <c r="B864" s="2" t="s">
        <v>438</v>
      </c>
      <c r="C864" s="2" t="s">
        <v>4336</v>
      </c>
      <c r="D864" s="2" t="s">
        <v>333</v>
      </c>
      <c r="E864" s="3">
        <v>45671</v>
      </c>
      <c r="F864" s="4">
        <v>84565</v>
      </c>
      <c r="G864" s="2" t="s">
        <v>42</v>
      </c>
      <c r="H864" s="2" t="s">
        <v>43</v>
      </c>
      <c r="I864" s="2" t="s">
        <v>983</v>
      </c>
      <c r="K864" s="2" t="s">
        <v>4337</v>
      </c>
      <c r="L864" s="2" t="s">
        <v>4338</v>
      </c>
      <c r="M864" s="2" t="s">
        <v>4339</v>
      </c>
      <c r="N864" s="2" t="s">
        <v>337</v>
      </c>
      <c r="O864" s="2" t="s">
        <v>443</v>
      </c>
      <c r="P864" s="2" t="s">
        <v>987</v>
      </c>
      <c r="Q864" s="2" t="s">
        <v>50</v>
      </c>
      <c r="S864" s="7" t="s">
        <v>5624</v>
      </c>
      <c r="T864" s="7" t="s">
        <v>5713</v>
      </c>
      <c r="U864" s="2" t="s">
        <v>6565</v>
      </c>
    </row>
    <row r="865" spans="1:21" ht="12.75" x14ac:dyDescent="0.2">
      <c r="A865" s="1">
        <v>45824.961819201388</v>
      </c>
      <c r="B865" s="2" t="s">
        <v>3245</v>
      </c>
      <c r="C865" s="2" t="s">
        <v>4340</v>
      </c>
      <c r="D865" s="2" t="s">
        <v>333</v>
      </c>
      <c r="E865" s="3">
        <v>45813</v>
      </c>
      <c r="F865" s="4">
        <v>16491</v>
      </c>
      <c r="G865" s="2" t="s">
        <v>143</v>
      </c>
      <c r="H865" s="2" t="s">
        <v>43</v>
      </c>
      <c r="I865" s="2" t="s">
        <v>990</v>
      </c>
      <c r="K865" s="2" t="s">
        <v>4341</v>
      </c>
      <c r="L865" s="2" t="s">
        <v>4342</v>
      </c>
      <c r="M865" s="2" t="s">
        <v>4343</v>
      </c>
      <c r="N865" s="2" t="s">
        <v>337</v>
      </c>
      <c r="O865" s="2" t="s">
        <v>3250</v>
      </c>
      <c r="P865" s="2" t="s">
        <v>995</v>
      </c>
      <c r="Q865" s="2" t="s">
        <v>50</v>
      </c>
      <c r="S865" s="7" t="s">
        <v>5625</v>
      </c>
      <c r="T865" s="7" t="s">
        <v>5713</v>
      </c>
      <c r="U865" s="2" t="s">
        <v>6566</v>
      </c>
    </row>
    <row r="866" spans="1:21" ht="12.75" x14ac:dyDescent="0.2">
      <c r="A866" s="1">
        <v>45825.448754467594</v>
      </c>
      <c r="B866" s="2" t="s">
        <v>1485</v>
      </c>
      <c r="C866" s="2" t="s">
        <v>4344</v>
      </c>
      <c r="D866" s="2" t="s">
        <v>672</v>
      </c>
      <c r="E866" s="3">
        <v>45806</v>
      </c>
      <c r="F866" s="4">
        <v>770</v>
      </c>
      <c r="G866" s="2" t="s">
        <v>143</v>
      </c>
      <c r="H866" s="2" t="s">
        <v>43</v>
      </c>
      <c r="K866" s="2" t="s">
        <v>4345</v>
      </c>
      <c r="L866" s="2" t="s">
        <v>4346</v>
      </c>
      <c r="M866" s="2" t="s">
        <v>4347</v>
      </c>
      <c r="N866" s="2" t="s">
        <v>676</v>
      </c>
      <c r="O866" s="2" t="s">
        <v>1491</v>
      </c>
      <c r="Q866" s="2" t="s">
        <v>3474</v>
      </c>
      <c r="S866" s="7" t="s">
        <v>5626</v>
      </c>
      <c r="T866" s="7" t="s">
        <v>5713</v>
      </c>
      <c r="U866" s="2" t="s">
        <v>6567</v>
      </c>
    </row>
    <row r="867" spans="1:21" ht="12.75" x14ac:dyDescent="0.2">
      <c r="A867" s="1">
        <v>45825.448754467594</v>
      </c>
      <c r="B867" s="2" t="s">
        <v>419</v>
      </c>
      <c r="C867" s="2" t="s">
        <v>4348</v>
      </c>
      <c r="D867" s="2" t="s">
        <v>672</v>
      </c>
      <c r="E867" s="3">
        <v>45809</v>
      </c>
      <c r="F867" s="4">
        <v>4600</v>
      </c>
      <c r="G867" s="2" t="s">
        <v>143</v>
      </c>
      <c r="H867" s="2" t="s">
        <v>43</v>
      </c>
      <c r="K867" s="2" t="s">
        <v>4349</v>
      </c>
      <c r="L867" s="2" t="s">
        <v>4350</v>
      </c>
      <c r="M867" s="2" t="s">
        <v>4351</v>
      </c>
      <c r="N867" s="2" t="s">
        <v>676</v>
      </c>
      <c r="O867" s="2" t="s">
        <v>424</v>
      </c>
      <c r="Q867" s="2" t="s">
        <v>3474</v>
      </c>
      <c r="S867" s="7" t="s">
        <v>5627</v>
      </c>
      <c r="T867" s="7" t="s">
        <v>5713</v>
      </c>
      <c r="U867" s="2" t="s">
        <v>6568</v>
      </c>
    </row>
    <row r="868" spans="1:21" ht="12.75" x14ac:dyDescent="0.2">
      <c r="A868" s="1">
        <v>45825.698270162036</v>
      </c>
      <c r="B868" s="2" t="s">
        <v>234</v>
      </c>
      <c r="C868" s="2" t="s">
        <v>4352</v>
      </c>
      <c r="D868" s="2" t="s">
        <v>672</v>
      </c>
      <c r="E868" s="3">
        <v>45824</v>
      </c>
      <c r="F868" s="4">
        <v>99619.5</v>
      </c>
      <c r="G868" s="2" t="s">
        <v>42</v>
      </c>
      <c r="H868" s="2" t="s">
        <v>43</v>
      </c>
      <c r="K868" s="2" t="s">
        <v>4353</v>
      </c>
      <c r="L868" s="2" t="s">
        <v>4354</v>
      </c>
      <c r="M868" s="2" t="s">
        <v>4355</v>
      </c>
      <c r="N868" s="2" t="s">
        <v>676</v>
      </c>
      <c r="O868" s="2" t="s">
        <v>240</v>
      </c>
      <c r="Q868" s="2" t="s">
        <v>3474</v>
      </c>
      <c r="S868" s="7" t="s">
        <v>5628</v>
      </c>
      <c r="T868" s="7" t="s">
        <v>5713</v>
      </c>
      <c r="U868" s="2" t="s">
        <v>6569</v>
      </c>
    </row>
    <row r="869" spans="1:21" ht="12.75" x14ac:dyDescent="0.2">
      <c r="A869" s="1">
        <v>45827.529140567131</v>
      </c>
      <c r="B869" s="2" t="s">
        <v>2917</v>
      </c>
      <c r="C869" s="2" t="s">
        <v>4356</v>
      </c>
      <c r="D869" s="2" t="s">
        <v>41</v>
      </c>
      <c r="E869" s="3">
        <v>45505</v>
      </c>
      <c r="F869" s="4">
        <v>3100</v>
      </c>
      <c r="G869" s="2" t="s">
        <v>143</v>
      </c>
      <c r="H869" s="2" t="s">
        <v>43</v>
      </c>
      <c r="K869" s="2" t="s">
        <v>4357</v>
      </c>
      <c r="L869" s="2" t="s">
        <v>4358</v>
      </c>
      <c r="M869" s="2" t="s">
        <v>4359</v>
      </c>
      <c r="N869" s="2" t="s">
        <v>48</v>
      </c>
      <c r="O869" s="2" t="s">
        <v>2923</v>
      </c>
      <c r="Q869" s="2" t="s">
        <v>3474</v>
      </c>
      <c r="S869" s="7" t="s">
        <v>5629</v>
      </c>
      <c r="T869" s="7" t="s">
        <v>5713</v>
      </c>
      <c r="U869" s="2" t="s">
        <v>6570</v>
      </c>
    </row>
    <row r="870" spans="1:21" ht="12.75" x14ac:dyDescent="0.2">
      <c r="A870" s="1">
        <v>45832.506952986107</v>
      </c>
      <c r="B870" s="2" t="s">
        <v>3671</v>
      </c>
      <c r="C870" s="2" t="s">
        <v>3672</v>
      </c>
      <c r="D870" s="2" t="s">
        <v>223</v>
      </c>
      <c r="E870" s="3">
        <v>45627</v>
      </c>
      <c r="F870" s="4">
        <v>300</v>
      </c>
      <c r="G870" s="2" t="s">
        <v>143</v>
      </c>
      <c r="H870" s="2" t="s">
        <v>43</v>
      </c>
      <c r="K870" s="2" t="s">
        <v>4360</v>
      </c>
      <c r="L870" s="2" t="s">
        <v>4361</v>
      </c>
      <c r="M870" s="2" t="s">
        <v>4362</v>
      </c>
      <c r="N870" s="2" t="s">
        <v>228</v>
      </c>
      <c r="O870" s="2" t="s">
        <v>3676</v>
      </c>
      <c r="Q870" s="2" t="s">
        <v>3474</v>
      </c>
      <c r="S870" s="7" t="s">
        <v>5630</v>
      </c>
      <c r="T870" s="7" t="s">
        <v>5713</v>
      </c>
      <c r="U870" s="2" t="s">
        <v>6571</v>
      </c>
    </row>
    <row r="871" spans="1:21" ht="12.75" x14ac:dyDescent="0.2">
      <c r="A871" s="1">
        <v>45832.506952986107</v>
      </c>
      <c r="B871" s="2" t="s">
        <v>4264</v>
      </c>
      <c r="C871" s="2" t="s">
        <v>4363</v>
      </c>
      <c r="D871" s="2" t="s">
        <v>223</v>
      </c>
      <c r="E871" s="3">
        <v>45790</v>
      </c>
      <c r="F871" s="4">
        <v>100</v>
      </c>
      <c r="G871" s="2" t="s">
        <v>42</v>
      </c>
      <c r="H871" s="2" t="s">
        <v>43</v>
      </c>
      <c r="K871" s="2" t="s">
        <v>4364</v>
      </c>
      <c r="L871" s="2" t="s">
        <v>4365</v>
      </c>
      <c r="M871" s="2" t="s">
        <v>4366</v>
      </c>
      <c r="N871" s="2" t="s">
        <v>228</v>
      </c>
      <c r="O871" s="2" t="s">
        <v>4269</v>
      </c>
      <c r="Q871" s="2" t="s">
        <v>3474</v>
      </c>
      <c r="S871" s="7" t="s">
        <v>5631</v>
      </c>
      <c r="T871" s="7" t="s">
        <v>5713</v>
      </c>
      <c r="U871" s="2" t="s">
        <v>6572</v>
      </c>
    </row>
    <row r="872" spans="1:21" ht="12.75" x14ac:dyDescent="0.2">
      <c r="A872" s="1">
        <v>45833.717177777777</v>
      </c>
      <c r="B872" s="2" t="s">
        <v>4367</v>
      </c>
      <c r="C872" s="2" t="s">
        <v>4368</v>
      </c>
      <c r="D872" s="2" t="s">
        <v>333</v>
      </c>
      <c r="E872" s="3">
        <v>45906</v>
      </c>
      <c r="F872" s="4">
        <v>4400</v>
      </c>
      <c r="G872" s="2" t="s">
        <v>42</v>
      </c>
      <c r="H872" s="2" t="s">
        <v>43</v>
      </c>
      <c r="K872" s="2" t="s">
        <v>4369</v>
      </c>
      <c r="L872" s="2" t="s">
        <v>4370</v>
      </c>
      <c r="M872" s="2" t="s">
        <v>4371</v>
      </c>
      <c r="N872" s="2" t="s">
        <v>337</v>
      </c>
      <c r="O872" s="2" t="s">
        <v>4372</v>
      </c>
      <c r="Q872" s="2" t="s">
        <v>3474</v>
      </c>
      <c r="S872" s="7" t="s">
        <v>5632</v>
      </c>
      <c r="T872" s="7" t="s">
        <v>5713</v>
      </c>
      <c r="U872" s="2" t="s">
        <v>6573</v>
      </c>
    </row>
    <row r="873" spans="1:21" ht="12.75" x14ac:dyDescent="0.2">
      <c r="A873" s="1">
        <v>45838.832923310183</v>
      </c>
      <c r="B873" s="2" t="s">
        <v>2098</v>
      </c>
      <c r="C873" s="2" t="s">
        <v>4373</v>
      </c>
      <c r="D873" s="2" t="s">
        <v>333</v>
      </c>
      <c r="E873" s="3">
        <v>45597</v>
      </c>
      <c r="F873" s="4">
        <v>1000</v>
      </c>
      <c r="G873" s="2" t="s">
        <v>143</v>
      </c>
      <c r="H873" s="2" t="s">
        <v>43</v>
      </c>
      <c r="I873" s="2" t="s">
        <v>990</v>
      </c>
      <c r="K873" s="2" t="s">
        <v>4374</v>
      </c>
      <c r="L873" s="2" t="s">
        <v>4375</v>
      </c>
      <c r="M873" s="2" t="s">
        <v>4376</v>
      </c>
      <c r="N873" s="2" t="s">
        <v>337</v>
      </c>
      <c r="O873" s="2" t="s">
        <v>2103</v>
      </c>
      <c r="P873" s="2" t="s">
        <v>995</v>
      </c>
      <c r="Q873" s="2" t="s">
        <v>50</v>
      </c>
      <c r="S873" s="7" t="s">
        <v>5633</v>
      </c>
      <c r="T873" s="7" t="s">
        <v>5713</v>
      </c>
      <c r="U873" s="2" t="s">
        <v>6574</v>
      </c>
    </row>
    <row r="874" spans="1:21" ht="12.75" x14ac:dyDescent="0.2">
      <c r="A874" s="1">
        <v>45838.847702349536</v>
      </c>
      <c r="B874" s="2" t="s">
        <v>2098</v>
      </c>
      <c r="C874" s="2" t="s">
        <v>4377</v>
      </c>
      <c r="D874" s="2" t="s">
        <v>333</v>
      </c>
      <c r="E874" s="3">
        <v>45566</v>
      </c>
      <c r="F874" s="4">
        <v>6100</v>
      </c>
      <c r="G874" s="2" t="s">
        <v>143</v>
      </c>
      <c r="H874" s="2" t="s">
        <v>43</v>
      </c>
      <c r="I874" s="2" t="s">
        <v>990</v>
      </c>
      <c r="K874" s="2" t="s">
        <v>4378</v>
      </c>
      <c r="L874" s="2" t="s">
        <v>4379</v>
      </c>
      <c r="M874" s="2" t="s">
        <v>4380</v>
      </c>
      <c r="N874" s="2" t="s">
        <v>337</v>
      </c>
      <c r="O874" s="2" t="s">
        <v>2103</v>
      </c>
      <c r="P874" s="2" t="s">
        <v>995</v>
      </c>
      <c r="Q874" s="2" t="s">
        <v>50</v>
      </c>
      <c r="S874" s="7" t="s">
        <v>5634</v>
      </c>
      <c r="T874" s="7" t="s">
        <v>5713</v>
      </c>
      <c r="U874" s="2" t="s">
        <v>6575</v>
      </c>
    </row>
    <row r="875" spans="1:21" ht="12.75" x14ac:dyDescent="0.2">
      <c r="A875" s="1">
        <v>45838.849423993059</v>
      </c>
      <c r="B875" s="2" t="s">
        <v>2098</v>
      </c>
      <c r="C875" s="2" t="s">
        <v>4381</v>
      </c>
      <c r="D875" s="2" t="s">
        <v>41</v>
      </c>
      <c r="E875" s="3">
        <v>45778</v>
      </c>
      <c r="F875" s="4">
        <v>24300</v>
      </c>
      <c r="G875" s="2" t="s">
        <v>42</v>
      </c>
      <c r="H875" s="2" t="s">
        <v>43</v>
      </c>
      <c r="K875" s="2" t="s">
        <v>4382</v>
      </c>
      <c r="L875" s="2" t="s">
        <v>4383</v>
      </c>
      <c r="M875" s="2" t="s">
        <v>4384</v>
      </c>
      <c r="N875" s="2" t="s">
        <v>48</v>
      </c>
      <c r="O875" s="2" t="s">
        <v>2103</v>
      </c>
      <c r="Q875" s="2" t="s">
        <v>50</v>
      </c>
      <c r="S875" s="7" t="s">
        <v>5635</v>
      </c>
      <c r="T875" s="7" t="s">
        <v>5713</v>
      </c>
      <c r="U875" s="2" t="s">
        <v>6576</v>
      </c>
    </row>
    <row r="876" spans="1:21" ht="12.75" x14ac:dyDescent="0.2">
      <c r="A876" s="1">
        <v>45849.603582118056</v>
      </c>
      <c r="B876" s="2" t="s">
        <v>1181</v>
      </c>
      <c r="C876" s="2" t="s">
        <v>4385</v>
      </c>
      <c r="D876" s="2" t="s">
        <v>41</v>
      </c>
      <c r="E876" s="3">
        <v>45846</v>
      </c>
      <c r="F876" s="4">
        <v>1087440</v>
      </c>
      <c r="G876" s="2" t="s">
        <v>42</v>
      </c>
      <c r="H876" s="2" t="s">
        <v>43</v>
      </c>
      <c r="K876" s="2" t="s">
        <v>4386</v>
      </c>
      <c r="L876" s="2" t="s">
        <v>4387</v>
      </c>
      <c r="M876" s="2" t="s">
        <v>4388</v>
      </c>
      <c r="N876" s="2" t="s">
        <v>48</v>
      </c>
      <c r="O876" s="2" t="s">
        <v>1186</v>
      </c>
      <c r="Q876" s="2" t="s">
        <v>3474</v>
      </c>
      <c r="S876" s="7" t="s">
        <v>5636</v>
      </c>
      <c r="T876" s="7" t="s">
        <v>5713</v>
      </c>
      <c r="U876" s="2" t="s">
        <v>6577</v>
      </c>
    </row>
    <row r="877" spans="1:21" ht="12.75" x14ac:dyDescent="0.2">
      <c r="A877" s="1">
        <v>45849.603582118056</v>
      </c>
      <c r="B877" s="2" t="s">
        <v>1181</v>
      </c>
      <c r="C877" s="2" t="s">
        <v>4389</v>
      </c>
      <c r="D877" s="2" t="s">
        <v>41</v>
      </c>
      <c r="E877" s="3">
        <v>45846</v>
      </c>
      <c r="F877" s="4">
        <v>123120</v>
      </c>
      <c r="G877" s="2" t="s">
        <v>326</v>
      </c>
      <c r="H877" s="2" t="s">
        <v>43</v>
      </c>
      <c r="K877" s="2" t="s">
        <v>4390</v>
      </c>
      <c r="L877" s="2" t="s">
        <v>4391</v>
      </c>
      <c r="M877" s="2" t="s">
        <v>4392</v>
      </c>
      <c r="N877" s="2" t="s">
        <v>48</v>
      </c>
      <c r="O877" s="2" t="s">
        <v>1186</v>
      </c>
      <c r="Q877" s="2" t="s">
        <v>3474</v>
      </c>
      <c r="S877" s="7" t="s">
        <v>5637</v>
      </c>
      <c r="T877" s="7" t="s">
        <v>5713</v>
      </c>
      <c r="U877" s="2" t="s">
        <v>6578</v>
      </c>
    </row>
    <row r="878" spans="1:21" ht="12.75" x14ac:dyDescent="0.2">
      <c r="A878" s="1">
        <v>45853.54477403935</v>
      </c>
      <c r="B878" s="2" t="s">
        <v>4393</v>
      </c>
      <c r="C878" s="2" t="s">
        <v>4394</v>
      </c>
      <c r="D878" s="2" t="s">
        <v>470</v>
      </c>
      <c r="E878" s="3">
        <v>45787</v>
      </c>
      <c r="F878" s="4">
        <v>200</v>
      </c>
      <c r="G878" s="2" t="s">
        <v>42</v>
      </c>
      <c r="H878" s="2" t="s">
        <v>43</v>
      </c>
      <c r="K878" s="2" t="s">
        <v>4395</v>
      </c>
      <c r="L878" s="2" t="s">
        <v>4396</v>
      </c>
      <c r="M878" s="2" t="s">
        <v>4397</v>
      </c>
      <c r="N878" s="2" t="s">
        <v>475</v>
      </c>
      <c r="O878" s="2" t="s">
        <v>4398</v>
      </c>
      <c r="Q878" s="2" t="s">
        <v>3474</v>
      </c>
      <c r="S878" s="7" t="s">
        <v>5638</v>
      </c>
      <c r="T878" s="7" t="s">
        <v>5713</v>
      </c>
      <c r="U878" s="2" t="s">
        <v>6579</v>
      </c>
    </row>
    <row r="879" spans="1:21" ht="12.75" x14ac:dyDescent="0.2">
      <c r="A879" s="1">
        <v>45853.548677743056</v>
      </c>
      <c r="B879" s="2" t="s">
        <v>438</v>
      </c>
      <c r="C879" s="2" t="s">
        <v>4399</v>
      </c>
      <c r="D879" s="2" t="s">
        <v>333</v>
      </c>
      <c r="E879" s="3">
        <v>45792</v>
      </c>
      <c r="F879" s="4">
        <v>1200</v>
      </c>
      <c r="G879" s="2" t="s">
        <v>42</v>
      </c>
      <c r="H879" s="2" t="s">
        <v>43</v>
      </c>
      <c r="K879" s="2" t="s">
        <v>4400</v>
      </c>
      <c r="L879" s="2" t="s">
        <v>4401</v>
      </c>
      <c r="M879" s="2" t="s">
        <v>4402</v>
      </c>
      <c r="N879" s="2" t="s">
        <v>337</v>
      </c>
      <c r="O879" s="2" t="s">
        <v>443</v>
      </c>
      <c r="Q879" s="2" t="s">
        <v>3474</v>
      </c>
      <c r="S879" s="7" t="s">
        <v>5639</v>
      </c>
      <c r="T879" s="7" t="s">
        <v>5713</v>
      </c>
      <c r="U879" s="2" t="s">
        <v>6580</v>
      </c>
    </row>
    <row r="880" spans="1:21" ht="12.75" x14ac:dyDescent="0.2">
      <c r="A880" s="1">
        <v>45853.686290115744</v>
      </c>
      <c r="B880" s="2" t="s">
        <v>2683</v>
      </c>
      <c r="C880" s="2" t="s">
        <v>4403</v>
      </c>
      <c r="D880" s="2" t="s">
        <v>41</v>
      </c>
      <c r="E880" s="3">
        <v>45840</v>
      </c>
      <c r="F880" s="4">
        <v>50480</v>
      </c>
      <c r="G880" s="2" t="s">
        <v>42</v>
      </c>
      <c r="H880" s="2" t="s">
        <v>43</v>
      </c>
      <c r="K880" s="2" t="s">
        <v>4404</v>
      </c>
      <c r="L880" s="2" t="s">
        <v>4405</v>
      </c>
      <c r="M880" s="2" t="s">
        <v>4406</v>
      </c>
      <c r="N880" s="2" t="s">
        <v>48</v>
      </c>
      <c r="O880" s="2" t="s">
        <v>2688</v>
      </c>
      <c r="Q880" s="2" t="s">
        <v>3474</v>
      </c>
      <c r="S880" s="7" t="s">
        <v>5640</v>
      </c>
      <c r="T880" s="7" t="s">
        <v>5713</v>
      </c>
      <c r="U880" s="2" t="s">
        <v>6581</v>
      </c>
    </row>
    <row r="881" spans="1:21" ht="12.75" x14ac:dyDescent="0.2">
      <c r="A881" s="1">
        <v>45853.686290115744</v>
      </c>
      <c r="B881" s="2" t="s">
        <v>3245</v>
      </c>
      <c r="C881" s="2" t="s">
        <v>4407</v>
      </c>
      <c r="D881" s="2" t="s">
        <v>910</v>
      </c>
      <c r="E881" s="3">
        <v>45806</v>
      </c>
      <c r="F881" s="4">
        <v>2800</v>
      </c>
      <c r="G881" s="2" t="s">
        <v>42</v>
      </c>
      <c r="H881" s="2" t="s">
        <v>43</v>
      </c>
      <c r="K881" s="2" t="s">
        <v>4408</v>
      </c>
      <c r="L881" s="2" t="s">
        <v>4409</v>
      </c>
      <c r="M881" s="2" t="s">
        <v>4410</v>
      </c>
      <c r="N881" s="2" t="s">
        <v>915</v>
      </c>
      <c r="O881" s="2" t="s">
        <v>3250</v>
      </c>
      <c r="Q881" s="2" t="s">
        <v>3474</v>
      </c>
      <c r="S881" s="7" t="s">
        <v>5641</v>
      </c>
      <c r="T881" s="7" t="s">
        <v>5713</v>
      </c>
      <c r="U881" s="2" t="s">
        <v>6582</v>
      </c>
    </row>
    <row r="882" spans="1:21" ht="12.75" x14ac:dyDescent="0.2">
      <c r="A882" s="1">
        <v>45853.895822662038</v>
      </c>
      <c r="B882" s="2" t="s">
        <v>302</v>
      </c>
      <c r="C882" s="2" t="s">
        <v>4411</v>
      </c>
      <c r="D882" s="2" t="s">
        <v>41</v>
      </c>
      <c r="E882" s="3">
        <v>45852</v>
      </c>
      <c r="F882" s="4">
        <v>51000</v>
      </c>
      <c r="G882" s="2" t="s">
        <v>143</v>
      </c>
      <c r="H882" s="2" t="s">
        <v>43</v>
      </c>
      <c r="K882" s="2" t="s">
        <v>4412</v>
      </c>
      <c r="L882" s="2" t="s">
        <v>4413</v>
      </c>
      <c r="M882" s="2" t="s">
        <v>4414</v>
      </c>
      <c r="N882" s="2" t="s">
        <v>48</v>
      </c>
      <c r="O882" s="2" t="s">
        <v>307</v>
      </c>
      <c r="Q882" s="2" t="s">
        <v>50</v>
      </c>
      <c r="S882" s="7" t="s">
        <v>5642</v>
      </c>
      <c r="T882" s="7" t="s">
        <v>5713</v>
      </c>
      <c r="U882" s="2" t="s">
        <v>6583</v>
      </c>
    </row>
    <row r="883" spans="1:21" ht="12.75" x14ac:dyDescent="0.2">
      <c r="A883" s="1">
        <v>45855.580025428237</v>
      </c>
      <c r="B883" s="2" t="s">
        <v>4415</v>
      </c>
      <c r="C883" s="2" t="s">
        <v>4416</v>
      </c>
      <c r="D883" s="2" t="s">
        <v>333</v>
      </c>
      <c r="E883" s="3">
        <v>45853</v>
      </c>
      <c r="F883" s="4">
        <v>12585</v>
      </c>
      <c r="G883" s="2" t="s">
        <v>42</v>
      </c>
      <c r="H883" s="2" t="s">
        <v>43</v>
      </c>
      <c r="K883" s="2" t="s">
        <v>4417</v>
      </c>
      <c r="L883" s="2" t="s">
        <v>4418</v>
      </c>
      <c r="M883" s="2" t="s">
        <v>4419</v>
      </c>
      <c r="N883" s="2" t="s">
        <v>337</v>
      </c>
      <c r="O883" s="2" t="s">
        <v>4420</v>
      </c>
      <c r="Q883" s="2" t="s">
        <v>3474</v>
      </c>
      <c r="S883" s="7" t="s">
        <v>5643</v>
      </c>
      <c r="T883" s="7" t="s">
        <v>5713</v>
      </c>
      <c r="U883" s="2" t="s">
        <v>6584</v>
      </c>
    </row>
    <row r="884" spans="1:21" ht="12.75" x14ac:dyDescent="0.2">
      <c r="A884" s="1">
        <v>45856.937781886576</v>
      </c>
      <c r="B884" s="2" t="s">
        <v>419</v>
      </c>
      <c r="C884" s="2" t="s">
        <v>4348</v>
      </c>
      <c r="D884" s="2" t="s">
        <v>672</v>
      </c>
      <c r="E884" s="3">
        <v>45846</v>
      </c>
      <c r="F884" s="4">
        <v>4600</v>
      </c>
      <c r="G884" s="2" t="s">
        <v>143</v>
      </c>
      <c r="H884" s="2" t="s">
        <v>43</v>
      </c>
      <c r="K884" s="2" t="s">
        <v>4421</v>
      </c>
      <c r="L884" s="2" t="s">
        <v>4422</v>
      </c>
      <c r="M884" s="2" t="s">
        <v>4351</v>
      </c>
      <c r="N884" s="2" t="s">
        <v>676</v>
      </c>
      <c r="O884" s="2" t="s">
        <v>424</v>
      </c>
      <c r="Q884" s="2" t="s">
        <v>50</v>
      </c>
      <c r="S884" s="7" t="s">
        <v>5644</v>
      </c>
      <c r="T884" s="7" t="s">
        <v>5713</v>
      </c>
      <c r="U884" s="2" t="s">
        <v>6585</v>
      </c>
    </row>
    <row r="885" spans="1:21" ht="12.75" x14ac:dyDescent="0.2">
      <c r="A885" s="1">
        <v>45860.732035462963</v>
      </c>
      <c r="B885" s="2" t="s">
        <v>4423</v>
      </c>
      <c r="C885" s="2" t="s">
        <v>4424</v>
      </c>
      <c r="D885" s="2" t="s">
        <v>223</v>
      </c>
      <c r="E885" s="3">
        <v>44316</v>
      </c>
      <c r="F885" s="4">
        <v>600</v>
      </c>
      <c r="G885" s="2" t="s">
        <v>143</v>
      </c>
      <c r="H885" s="2" t="s">
        <v>43</v>
      </c>
      <c r="K885" s="2" t="s">
        <v>4425</v>
      </c>
      <c r="L885" s="2" t="s">
        <v>4426</v>
      </c>
      <c r="M885" s="2" t="s">
        <v>4427</v>
      </c>
      <c r="N885" s="2" t="s">
        <v>228</v>
      </c>
      <c r="O885" s="2" t="s">
        <v>4428</v>
      </c>
      <c r="Q885" s="2" t="s">
        <v>3474</v>
      </c>
      <c r="S885" s="7" t="s">
        <v>5645</v>
      </c>
      <c r="T885" s="7" t="s">
        <v>5713</v>
      </c>
      <c r="U885" s="2" t="s">
        <v>6586</v>
      </c>
    </row>
    <row r="886" spans="1:21" ht="12.75" x14ac:dyDescent="0.2">
      <c r="A886" s="1">
        <v>45860.827780856482</v>
      </c>
      <c r="B886" s="2" t="s">
        <v>83</v>
      </c>
      <c r="C886" s="2" t="s">
        <v>4429</v>
      </c>
      <c r="D886" s="2" t="s">
        <v>41</v>
      </c>
      <c r="E886" s="3">
        <v>45831</v>
      </c>
      <c r="F886" s="4">
        <v>9300</v>
      </c>
      <c r="G886" s="2" t="s">
        <v>42</v>
      </c>
      <c r="H886" s="2" t="s">
        <v>43</v>
      </c>
      <c r="I886" s="2" t="s">
        <v>1234</v>
      </c>
      <c r="K886" s="2" t="s">
        <v>4430</v>
      </c>
      <c r="L886" s="2" t="s">
        <v>4431</v>
      </c>
      <c r="M886" s="2" t="s">
        <v>4432</v>
      </c>
      <c r="N886" s="2" t="s">
        <v>48</v>
      </c>
      <c r="O886" s="2" t="s">
        <v>88</v>
      </c>
      <c r="P886" s="2" t="s">
        <v>1238</v>
      </c>
      <c r="Q886" s="2" t="s">
        <v>50</v>
      </c>
      <c r="S886" s="7" t="s">
        <v>5646</v>
      </c>
      <c r="T886" s="7" t="s">
        <v>5713</v>
      </c>
      <c r="U886" s="2" t="s">
        <v>6587</v>
      </c>
    </row>
    <row r="887" spans="1:21" ht="12.75" x14ac:dyDescent="0.2">
      <c r="A887" s="1">
        <v>45863.737380277773</v>
      </c>
      <c r="B887" s="2" t="s">
        <v>2278</v>
      </c>
      <c r="C887" s="2" t="s">
        <v>4433</v>
      </c>
      <c r="D887" s="2" t="s">
        <v>223</v>
      </c>
      <c r="E887" s="3">
        <v>45809</v>
      </c>
      <c r="F887" s="4">
        <v>500</v>
      </c>
      <c r="G887" s="2" t="s">
        <v>42</v>
      </c>
      <c r="H887" s="2" t="s">
        <v>43</v>
      </c>
      <c r="K887" s="2" t="s">
        <v>4434</v>
      </c>
      <c r="L887" s="2" t="s">
        <v>4435</v>
      </c>
      <c r="M887" s="2" t="s">
        <v>4436</v>
      </c>
      <c r="N887" s="2" t="s">
        <v>228</v>
      </c>
      <c r="O887" s="2" t="s">
        <v>1108</v>
      </c>
      <c r="Q887" s="2" t="s">
        <v>3474</v>
      </c>
      <c r="S887" s="7" t="s">
        <v>5647</v>
      </c>
      <c r="T887" s="7" t="s">
        <v>5713</v>
      </c>
      <c r="U887" s="2" t="s">
        <v>6588</v>
      </c>
    </row>
    <row r="888" spans="1:21" ht="12.75" x14ac:dyDescent="0.2">
      <c r="A888" s="1">
        <v>45863.746531273151</v>
      </c>
      <c r="B888" s="2" t="s">
        <v>4437</v>
      </c>
      <c r="C888" s="2" t="s">
        <v>4438</v>
      </c>
      <c r="D888" s="2" t="s">
        <v>41</v>
      </c>
      <c r="E888" s="3">
        <v>45863</v>
      </c>
      <c r="F888" s="4">
        <v>106000</v>
      </c>
      <c r="G888" s="2" t="s">
        <v>42</v>
      </c>
      <c r="H888" s="2" t="s">
        <v>43</v>
      </c>
      <c r="K888" s="2" t="s">
        <v>4439</v>
      </c>
      <c r="L888" s="2" t="s">
        <v>4440</v>
      </c>
      <c r="M888" s="2" t="s">
        <v>4441</v>
      </c>
      <c r="N888" s="2" t="s">
        <v>48</v>
      </c>
      <c r="O888" s="2" t="s">
        <v>4442</v>
      </c>
      <c r="Q888" s="2" t="s">
        <v>3474</v>
      </c>
      <c r="S888" s="7" t="s">
        <v>5648</v>
      </c>
      <c r="T888" s="7" t="s">
        <v>5713</v>
      </c>
      <c r="U888" s="2" t="s">
        <v>6589</v>
      </c>
    </row>
    <row r="889" spans="1:21" ht="12.75" x14ac:dyDescent="0.2">
      <c r="A889" s="1">
        <v>45863.851205196755</v>
      </c>
      <c r="B889" s="2" t="s">
        <v>4443</v>
      </c>
      <c r="C889" s="2" t="s">
        <v>4444</v>
      </c>
      <c r="D889" s="2" t="s">
        <v>333</v>
      </c>
      <c r="E889" s="3">
        <v>45860</v>
      </c>
      <c r="F889" s="4">
        <v>2500</v>
      </c>
      <c r="G889" s="2" t="s">
        <v>143</v>
      </c>
      <c r="H889" s="2" t="s">
        <v>43</v>
      </c>
      <c r="I889" s="2" t="s">
        <v>990</v>
      </c>
      <c r="K889" s="2" t="s">
        <v>4445</v>
      </c>
      <c r="L889" s="2" t="s">
        <v>4446</v>
      </c>
      <c r="M889" s="2" t="s">
        <v>4447</v>
      </c>
      <c r="N889" s="2" t="s">
        <v>337</v>
      </c>
      <c r="O889" s="2" t="s">
        <v>4448</v>
      </c>
      <c r="P889" s="2" t="s">
        <v>995</v>
      </c>
      <c r="Q889" s="2" t="s">
        <v>50</v>
      </c>
      <c r="S889" s="7" t="s">
        <v>5649</v>
      </c>
      <c r="T889" s="7" t="s">
        <v>5713</v>
      </c>
      <c r="U889" s="2" t="s">
        <v>6590</v>
      </c>
    </row>
    <row r="890" spans="1:21" ht="12.75" x14ac:dyDescent="0.2">
      <c r="A890" s="1">
        <v>45869.579004872685</v>
      </c>
      <c r="B890" s="2" t="s">
        <v>4449</v>
      </c>
      <c r="C890" s="2" t="s">
        <v>4450</v>
      </c>
      <c r="D890" s="2" t="s">
        <v>41</v>
      </c>
      <c r="E890" s="3">
        <v>45866</v>
      </c>
      <c r="F890" s="4">
        <v>104480</v>
      </c>
      <c r="G890" s="2" t="s">
        <v>326</v>
      </c>
      <c r="H890" s="2" t="s">
        <v>43</v>
      </c>
      <c r="K890" s="2" t="s">
        <v>4451</v>
      </c>
      <c r="L890" s="2" t="s">
        <v>4452</v>
      </c>
      <c r="M890" s="2" t="s">
        <v>4453</v>
      </c>
      <c r="N890" s="2" t="s">
        <v>48</v>
      </c>
      <c r="O890" s="2" t="s">
        <v>4454</v>
      </c>
      <c r="Q890" s="2" t="s">
        <v>3474</v>
      </c>
      <c r="S890" s="7" t="s">
        <v>5650</v>
      </c>
      <c r="T890" s="7" t="s">
        <v>5713</v>
      </c>
      <c r="U890" s="2" t="s">
        <v>6591</v>
      </c>
    </row>
    <row r="891" spans="1:21" ht="12.75" x14ac:dyDescent="0.2">
      <c r="A891" s="1">
        <v>45869.585764988427</v>
      </c>
      <c r="B891" s="2" t="s">
        <v>4449</v>
      </c>
      <c r="C891" s="2" t="s">
        <v>4455</v>
      </c>
      <c r="D891" s="2" t="s">
        <v>41</v>
      </c>
      <c r="E891" s="3">
        <v>45866</v>
      </c>
      <c r="F891" s="4">
        <v>417080</v>
      </c>
      <c r="G891" s="2" t="s">
        <v>326</v>
      </c>
      <c r="H891" s="2" t="s">
        <v>43</v>
      </c>
      <c r="K891" s="2" t="s">
        <v>4456</v>
      </c>
      <c r="L891" s="2" t="s">
        <v>4457</v>
      </c>
      <c r="M891" s="2" t="s">
        <v>4458</v>
      </c>
      <c r="N891" s="2" t="s">
        <v>48</v>
      </c>
      <c r="O891" s="2" t="s">
        <v>4454</v>
      </c>
      <c r="Q891" s="2" t="s">
        <v>3474</v>
      </c>
      <c r="S891" s="7" t="s">
        <v>5651</v>
      </c>
      <c r="T891" s="7" t="s">
        <v>5713</v>
      </c>
      <c r="U891" s="2" t="s">
        <v>6592</v>
      </c>
    </row>
    <row r="892" spans="1:21" ht="12.75" x14ac:dyDescent="0.2">
      <c r="A892" s="1">
        <v>45869.585764988427</v>
      </c>
      <c r="B892" s="2" t="s">
        <v>4449</v>
      </c>
      <c r="C892" s="2" t="s">
        <v>4459</v>
      </c>
      <c r="D892" s="2" t="s">
        <v>41</v>
      </c>
      <c r="E892" s="3">
        <v>45866</v>
      </c>
      <c r="F892" s="4">
        <v>11340</v>
      </c>
      <c r="G892" s="2" t="s">
        <v>326</v>
      </c>
      <c r="H892" s="2" t="s">
        <v>43</v>
      </c>
      <c r="K892" s="2" t="s">
        <v>4460</v>
      </c>
      <c r="L892" s="2" t="s">
        <v>4461</v>
      </c>
      <c r="M892" s="2" t="s">
        <v>4462</v>
      </c>
      <c r="N892" s="2" t="s">
        <v>48</v>
      </c>
      <c r="O892" s="2" t="s">
        <v>4454</v>
      </c>
      <c r="Q892" s="2" t="s">
        <v>3474</v>
      </c>
      <c r="S892" s="7" t="s">
        <v>5652</v>
      </c>
      <c r="T892" s="7" t="s">
        <v>5713</v>
      </c>
      <c r="U892" s="2" t="s">
        <v>6593</v>
      </c>
    </row>
    <row r="893" spans="1:21" ht="12.75" x14ac:dyDescent="0.2">
      <c r="A893" s="1">
        <v>45870.788246944445</v>
      </c>
      <c r="B893" s="2" t="s">
        <v>1956</v>
      </c>
      <c r="C893" s="2" t="s">
        <v>4463</v>
      </c>
      <c r="D893" s="2" t="s">
        <v>910</v>
      </c>
      <c r="E893" s="3">
        <v>45868</v>
      </c>
      <c r="F893" s="4">
        <v>1050</v>
      </c>
      <c r="G893" s="2" t="s">
        <v>143</v>
      </c>
      <c r="H893" s="2" t="s">
        <v>43</v>
      </c>
      <c r="K893" s="2" t="s">
        <v>4464</v>
      </c>
      <c r="L893" s="2" t="s">
        <v>4465</v>
      </c>
      <c r="M893" s="2" t="s">
        <v>4466</v>
      </c>
      <c r="N893" s="2" t="s">
        <v>915</v>
      </c>
      <c r="O893" s="2" t="s">
        <v>1961</v>
      </c>
      <c r="Q893" s="2" t="s">
        <v>3474</v>
      </c>
      <c r="S893" s="7" t="s">
        <v>5653</v>
      </c>
      <c r="T893" s="7" t="s">
        <v>5713</v>
      </c>
      <c r="U893" s="2" t="s">
        <v>6594</v>
      </c>
    </row>
    <row r="894" spans="1:21" ht="12.75" x14ac:dyDescent="0.2">
      <c r="A894" s="1">
        <v>45874.715700706016</v>
      </c>
      <c r="B894" s="2" t="s">
        <v>363</v>
      </c>
      <c r="C894" s="2" t="s">
        <v>4467</v>
      </c>
      <c r="D894" s="2" t="s">
        <v>333</v>
      </c>
      <c r="E894" s="3">
        <v>44482</v>
      </c>
      <c r="F894" s="4">
        <v>10807.36</v>
      </c>
      <c r="G894" s="2" t="s">
        <v>42</v>
      </c>
      <c r="H894" s="2" t="s">
        <v>1665</v>
      </c>
      <c r="K894" s="2" t="s">
        <v>4468</v>
      </c>
      <c r="L894" s="2" t="s">
        <v>4469</v>
      </c>
      <c r="M894" s="2" t="s">
        <v>4470</v>
      </c>
      <c r="N894" s="2" t="s">
        <v>337</v>
      </c>
      <c r="O894" s="2" t="s">
        <v>368</v>
      </c>
      <c r="Q894" s="2" t="s">
        <v>3474</v>
      </c>
      <c r="S894" s="7" t="s">
        <v>5654</v>
      </c>
      <c r="T894" s="7" t="s">
        <v>5713</v>
      </c>
      <c r="U894" s="2" t="s">
        <v>6595</v>
      </c>
    </row>
    <row r="895" spans="1:21" ht="12.75" x14ac:dyDescent="0.2">
      <c r="A895" s="1">
        <v>45874.72047104167</v>
      </c>
      <c r="B895" s="2" t="s">
        <v>363</v>
      </c>
      <c r="C895" s="2" t="s">
        <v>4471</v>
      </c>
      <c r="D895" s="2" t="s">
        <v>333</v>
      </c>
      <c r="E895" s="3">
        <v>44725</v>
      </c>
      <c r="F895" s="4">
        <v>1124.53</v>
      </c>
      <c r="G895" s="2" t="s">
        <v>42</v>
      </c>
      <c r="H895" s="2" t="s">
        <v>43</v>
      </c>
      <c r="K895" s="2" t="s">
        <v>4472</v>
      </c>
      <c r="L895" s="2" t="s">
        <v>4473</v>
      </c>
      <c r="M895" s="2" t="s">
        <v>4474</v>
      </c>
      <c r="N895" s="2" t="s">
        <v>337</v>
      </c>
      <c r="O895" s="2" t="s">
        <v>368</v>
      </c>
      <c r="Q895" s="2" t="s">
        <v>3474</v>
      </c>
      <c r="S895" s="7" t="s">
        <v>5655</v>
      </c>
      <c r="T895" s="7" t="s">
        <v>5713</v>
      </c>
      <c r="U895" s="2" t="s">
        <v>6596</v>
      </c>
    </row>
    <row r="896" spans="1:21" ht="12.75" x14ac:dyDescent="0.2">
      <c r="A896" s="1">
        <v>45874.729168333331</v>
      </c>
      <c r="B896" s="2" t="s">
        <v>363</v>
      </c>
      <c r="C896" s="2" t="s">
        <v>4475</v>
      </c>
      <c r="D896" s="2" t="s">
        <v>333</v>
      </c>
      <c r="E896" s="3">
        <v>44256</v>
      </c>
      <c r="F896" s="4">
        <v>34167.15</v>
      </c>
      <c r="G896" s="2" t="s">
        <v>326</v>
      </c>
      <c r="H896" s="2" t="s">
        <v>43</v>
      </c>
      <c r="K896" s="2" t="s">
        <v>4476</v>
      </c>
      <c r="L896" s="2" t="s">
        <v>4477</v>
      </c>
      <c r="M896" s="2" t="s">
        <v>4478</v>
      </c>
      <c r="N896" s="2" t="s">
        <v>337</v>
      </c>
      <c r="O896" s="2" t="s">
        <v>368</v>
      </c>
      <c r="Q896" s="2" t="s">
        <v>3474</v>
      </c>
      <c r="S896" s="7" t="s">
        <v>5656</v>
      </c>
      <c r="T896" s="7" t="s">
        <v>5713</v>
      </c>
      <c r="U896" s="2" t="s">
        <v>6597</v>
      </c>
    </row>
    <row r="897" spans="1:21" ht="12.75" x14ac:dyDescent="0.2">
      <c r="A897" s="1">
        <v>45874.764672511577</v>
      </c>
      <c r="B897" s="2" t="s">
        <v>363</v>
      </c>
      <c r="C897" s="2" t="s">
        <v>4479</v>
      </c>
      <c r="D897" s="2" t="s">
        <v>333</v>
      </c>
      <c r="E897" s="3">
        <v>45422</v>
      </c>
      <c r="F897" s="4">
        <v>11189.02</v>
      </c>
      <c r="G897" s="2" t="s">
        <v>326</v>
      </c>
      <c r="H897" s="2" t="s">
        <v>43</v>
      </c>
      <c r="K897" s="2" t="s">
        <v>4480</v>
      </c>
      <c r="L897" s="2" t="s">
        <v>4481</v>
      </c>
      <c r="M897" s="2" t="s">
        <v>4482</v>
      </c>
      <c r="N897" s="2" t="s">
        <v>337</v>
      </c>
      <c r="O897" s="2" t="s">
        <v>368</v>
      </c>
      <c r="Q897" s="2" t="s">
        <v>3474</v>
      </c>
      <c r="S897" s="7" t="s">
        <v>5657</v>
      </c>
      <c r="T897" s="7" t="s">
        <v>5713</v>
      </c>
      <c r="U897" s="2" t="s">
        <v>6598</v>
      </c>
    </row>
    <row r="898" spans="1:21" ht="12.75" x14ac:dyDescent="0.2">
      <c r="A898" s="1">
        <v>45874.779881793977</v>
      </c>
      <c r="B898" s="2" t="s">
        <v>363</v>
      </c>
      <c r="C898" s="2" t="s">
        <v>4483</v>
      </c>
      <c r="D898" s="2" t="s">
        <v>1258</v>
      </c>
      <c r="E898" s="3">
        <v>45679</v>
      </c>
      <c r="F898" s="4">
        <v>1800</v>
      </c>
      <c r="G898" s="2" t="s">
        <v>143</v>
      </c>
      <c r="H898" s="2" t="s">
        <v>43</v>
      </c>
      <c r="K898" s="2" t="s">
        <v>4484</v>
      </c>
      <c r="L898" s="2" t="s">
        <v>4485</v>
      </c>
      <c r="M898" s="2" t="s">
        <v>4486</v>
      </c>
      <c r="N898" s="2" t="s">
        <v>1263</v>
      </c>
      <c r="O898" s="2" t="s">
        <v>368</v>
      </c>
      <c r="Q898" s="2" t="s">
        <v>3474</v>
      </c>
      <c r="S898" s="7" t="s">
        <v>5658</v>
      </c>
      <c r="T898" s="7" t="s">
        <v>5713</v>
      </c>
      <c r="U898" s="2" t="s">
        <v>6599</v>
      </c>
    </row>
    <row r="899" spans="1:21" ht="12.75" x14ac:dyDescent="0.2">
      <c r="A899" s="1">
        <v>45875.539351585649</v>
      </c>
      <c r="B899" s="2" t="s">
        <v>1750</v>
      </c>
      <c r="C899" s="2" t="s">
        <v>4487</v>
      </c>
      <c r="D899" s="2" t="s">
        <v>910</v>
      </c>
      <c r="E899" s="3">
        <v>45839</v>
      </c>
      <c r="F899" s="4">
        <v>960</v>
      </c>
      <c r="G899" s="2" t="s">
        <v>143</v>
      </c>
      <c r="H899" s="2" t="s">
        <v>43</v>
      </c>
      <c r="K899" s="2" t="s">
        <v>4488</v>
      </c>
      <c r="L899" s="2" t="s">
        <v>4489</v>
      </c>
      <c r="M899" s="2" t="s">
        <v>4490</v>
      </c>
      <c r="N899" s="2" t="s">
        <v>915</v>
      </c>
      <c r="O899" s="2" t="s">
        <v>1756</v>
      </c>
      <c r="Q899" s="2" t="s">
        <v>50</v>
      </c>
      <c r="S899" s="7" t="s">
        <v>5659</v>
      </c>
      <c r="T899" s="7" t="s">
        <v>5713</v>
      </c>
      <c r="U899" s="2" t="s">
        <v>6600</v>
      </c>
    </row>
    <row r="900" spans="1:21" ht="12.75" x14ac:dyDescent="0.2">
      <c r="A900" s="1">
        <v>45875.746743124997</v>
      </c>
      <c r="B900" s="2" t="s">
        <v>363</v>
      </c>
      <c r="C900" s="2" t="s">
        <v>4491</v>
      </c>
      <c r="D900" s="2" t="s">
        <v>333</v>
      </c>
      <c r="E900" s="3">
        <v>45386</v>
      </c>
      <c r="F900" s="4">
        <v>595.84</v>
      </c>
      <c r="G900" s="2" t="s">
        <v>143</v>
      </c>
      <c r="H900" s="2" t="s">
        <v>43</v>
      </c>
      <c r="K900" s="2" t="s">
        <v>4492</v>
      </c>
      <c r="L900" s="2" t="s">
        <v>4493</v>
      </c>
      <c r="M900" s="2" t="s">
        <v>4494</v>
      </c>
      <c r="N900" s="2" t="s">
        <v>337</v>
      </c>
      <c r="O900" s="2" t="s">
        <v>368</v>
      </c>
      <c r="Q900" s="2" t="s">
        <v>3474</v>
      </c>
      <c r="S900" s="7" t="s">
        <v>5660</v>
      </c>
      <c r="T900" s="7" t="s">
        <v>5713</v>
      </c>
      <c r="U900" s="2" t="s">
        <v>6601</v>
      </c>
    </row>
    <row r="901" spans="1:21" ht="12.75" x14ac:dyDescent="0.2">
      <c r="A901" s="1">
        <v>45876.555107025459</v>
      </c>
      <c r="B901" s="2" t="s">
        <v>363</v>
      </c>
      <c r="C901" s="2" t="s">
        <v>4495</v>
      </c>
      <c r="D901" s="2" t="s">
        <v>333</v>
      </c>
      <c r="E901" s="3">
        <v>44166</v>
      </c>
      <c r="F901" s="4">
        <v>3849</v>
      </c>
      <c r="G901" s="2" t="s">
        <v>143</v>
      </c>
      <c r="H901" s="2" t="s">
        <v>43</v>
      </c>
      <c r="K901" s="2" t="s">
        <v>4496</v>
      </c>
      <c r="L901" s="2" t="s">
        <v>4497</v>
      </c>
      <c r="M901" s="2" t="s">
        <v>4498</v>
      </c>
      <c r="N901" s="2" t="s">
        <v>337</v>
      </c>
      <c r="O901" s="2" t="s">
        <v>368</v>
      </c>
      <c r="Q901" s="2" t="s">
        <v>3474</v>
      </c>
      <c r="S901" s="7" t="s">
        <v>5661</v>
      </c>
      <c r="T901" s="7" t="s">
        <v>5713</v>
      </c>
      <c r="U901" s="2" t="s">
        <v>6602</v>
      </c>
    </row>
    <row r="902" spans="1:21" ht="12.75" x14ac:dyDescent="0.2">
      <c r="A902" s="1">
        <v>45877.819680173612</v>
      </c>
      <c r="B902" s="2" t="s">
        <v>1956</v>
      </c>
      <c r="C902" s="2" t="s">
        <v>4499</v>
      </c>
      <c r="D902" s="2" t="s">
        <v>910</v>
      </c>
      <c r="E902" s="3">
        <v>45798</v>
      </c>
      <c r="F902" s="4">
        <v>2000</v>
      </c>
      <c r="G902" s="2" t="s">
        <v>143</v>
      </c>
      <c r="H902" s="2" t="s">
        <v>43</v>
      </c>
      <c r="I902" s="2" t="s">
        <v>990</v>
      </c>
      <c r="K902" s="2" t="s">
        <v>4500</v>
      </c>
      <c r="L902" s="2" t="s">
        <v>4501</v>
      </c>
      <c r="M902" s="2" t="s">
        <v>4502</v>
      </c>
      <c r="N902" s="2" t="s">
        <v>915</v>
      </c>
      <c r="O902" s="2" t="s">
        <v>1961</v>
      </c>
      <c r="P902" s="2" t="s">
        <v>995</v>
      </c>
      <c r="Q902" s="2" t="s">
        <v>50</v>
      </c>
      <c r="S902" s="7" t="s">
        <v>5662</v>
      </c>
      <c r="T902" s="7" t="s">
        <v>5713</v>
      </c>
      <c r="U902" s="2" t="s">
        <v>6603</v>
      </c>
    </row>
    <row r="903" spans="1:21" ht="12.75" x14ac:dyDescent="0.2">
      <c r="A903" s="1">
        <v>45881.576607199073</v>
      </c>
      <c r="B903" s="2" t="s">
        <v>4503</v>
      </c>
      <c r="C903" s="2" t="s">
        <v>4504</v>
      </c>
      <c r="D903" s="2" t="s">
        <v>41</v>
      </c>
      <c r="E903" s="3">
        <v>45880</v>
      </c>
      <c r="F903" s="4">
        <v>200340</v>
      </c>
      <c r="G903" s="2" t="s">
        <v>42</v>
      </c>
      <c r="H903" s="2" t="s">
        <v>43</v>
      </c>
      <c r="I903" s="2" t="s">
        <v>2691</v>
      </c>
      <c r="K903" s="2" t="s">
        <v>4505</v>
      </c>
      <c r="L903" s="2" t="s">
        <v>4506</v>
      </c>
      <c r="M903" s="2" t="s">
        <v>4507</v>
      </c>
      <c r="N903" s="2" t="s">
        <v>48</v>
      </c>
      <c r="O903" s="2" t="s">
        <v>4508</v>
      </c>
      <c r="P903" s="2" t="s">
        <v>2697</v>
      </c>
      <c r="Q903" s="2" t="s">
        <v>50</v>
      </c>
      <c r="S903" s="7" t="s">
        <v>5663</v>
      </c>
      <c r="T903" s="7" t="s">
        <v>5713</v>
      </c>
      <c r="U903" s="2" t="s">
        <v>6604</v>
      </c>
    </row>
    <row r="904" spans="1:21" ht="12.75" x14ac:dyDescent="0.2">
      <c r="A904" s="1">
        <v>45881.710606967594</v>
      </c>
      <c r="B904" s="2" t="s">
        <v>3245</v>
      </c>
      <c r="C904" s="2" t="s">
        <v>4509</v>
      </c>
      <c r="D904" s="2" t="s">
        <v>333</v>
      </c>
      <c r="E904" s="3">
        <v>45881</v>
      </c>
      <c r="F904" s="4">
        <v>2914</v>
      </c>
      <c r="G904" s="2" t="s">
        <v>143</v>
      </c>
      <c r="H904" s="2" t="s">
        <v>43</v>
      </c>
      <c r="I904" s="2" t="s">
        <v>990</v>
      </c>
      <c r="K904" s="2" t="s">
        <v>4510</v>
      </c>
      <c r="L904" s="2" t="s">
        <v>4511</v>
      </c>
      <c r="M904" s="2" t="s">
        <v>4512</v>
      </c>
      <c r="N904" s="2" t="s">
        <v>337</v>
      </c>
      <c r="O904" s="2" t="s">
        <v>3250</v>
      </c>
      <c r="P904" s="2" t="s">
        <v>995</v>
      </c>
      <c r="Q904" s="2" t="s">
        <v>50</v>
      </c>
      <c r="S904" s="7" t="s">
        <v>5664</v>
      </c>
      <c r="T904" s="7" t="s">
        <v>5713</v>
      </c>
      <c r="U904" s="2" t="s">
        <v>6605</v>
      </c>
    </row>
    <row r="905" spans="1:21" ht="12.75" x14ac:dyDescent="0.2">
      <c r="A905" s="1">
        <v>45882.472210023145</v>
      </c>
      <c r="B905" s="2" t="s">
        <v>2079</v>
      </c>
      <c r="C905" s="2" t="s">
        <v>4513</v>
      </c>
      <c r="D905" s="2" t="s">
        <v>333</v>
      </c>
      <c r="E905" s="3">
        <v>45839</v>
      </c>
      <c r="F905" s="4">
        <v>2040</v>
      </c>
      <c r="G905" s="2" t="s">
        <v>42</v>
      </c>
      <c r="H905" s="2" t="s">
        <v>43</v>
      </c>
      <c r="K905" s="2" t="s">
        <v>4514</v>
      </c>
      <c r="L905" s="2" t="s">
        <v>4515</v>
      </c>
      <c r="M905" s="2" t="s">
        <v>4516</v>
      </c>
      <c r="N905" s="2" t="s">
        <v>337</v>
      </c>
      <c r="O905" s="2" t="s">
        <v>2084</v>
      </c>
      <c r="Q905" s="2" t="s">
        <v>3474</v>
      </c>
      <c r="S905" s="7" t="s">
        <v>5665</v>
      </c>
      <c r="T905" s="7" t="s">
        <v>5713</v>
      </c>
      <c r="U905" s="2" t="s">
        <v>6606</v>
      </c>
    </row>
    <row r="906" spans="1:21" ht="12.75" x14ac:dyDescent="0.2">
      <c r="A906" s="1">
        <v>45882.509885775464</v>
      </c>
      <c r="B906" s="2" t="s">
        <v>2320</v>
      </c>
      <c r="C906" s="2" t="s">
        <v>4517</v>
      </c>
      <c r="D906" s="2" t="s">
        <v>223</v>
      </c>
      <c r="E906" s="3">
        <v>45839</v>
      </c>
      <c r="F906" s="4">
        <v>100</v>
      </c>
      <c r="G906" s="2" t="s">
        <v>42</v>
      </c>
      <c r="H906" s="2" t="s">
        <v>43</v>
      </c>
      <c r="K906" s="2" t="s">
        <v>4518</v>
      </c>
      <c r="L906" s="2" t="s">
        <v>4519</v>
      </c>
      <c r="M906" s="2" t="s">
        <v>4520</v>
      </c>
      <c r="N906" s="2" t="s">
        <v>228</v>
      </c>
      <c r="O906" s="2" t="s">
        <v>2326</v>
      </c>
      <c r="Q906" s="2" t="s">
        <v>3474</v>
      </c>
      <c r="S906" s="7" t="s">
        <v>5666</v>
      </c>
      <c r="T906" s="7" t="s">
        <v>5713</v>
      </c>
      <c r="U906" s="2" t="s">
        <v>6607</v>
      </c>
    </row>
    <row r="907" spans="1:21" ht="12.75" x14ac:dyDescent="0.2">
      <c r="A907" s="1">
        <v>45883.505528194444</v>
      </c>
      <c r="B907" s="2" t="s">
        <v>724</v>
      </c>
      <c r="C907" s="2" t="s">
        <v>4521</v>
      </c>
      <c r="D907" s="2" t="s">
        <v>672</v>
      </c>
      <c r="E907" s="3">
        <v>45883</v>
      </c>
      <c r="F907" s="4">
        <v>300</v>
      </c>
      <c r="G907" s="2" t="s">
        <v>143</v>
      </c>
      <c r="H907" s="2" t="s">
        <v>43</v>
      </c>
      <c r="K907" s="2" t="s">
        <v>4522</v>
      </c>
      <c r="L907" s="2" t="s">
        <v>4523</v>
      </c>
      <c r="M907" s="2" t="s">
        <v>4524</v>
      </c>
      <c r="N907" s="2" t="s">
        <v>676</v>
      </c>
      <c r="O907" s="2" t="s">
        <v>729</v>
      </c>
      <c r="Q907" s="2" t="s">
        <v>3474</v>
      </c>
      <c r="S907" s="7" t="s">
        <v>5667</v>
      </c>
      <c r="T907" s="7" t="s">
        <v>5713</v>
      </c>
      <c r="U907" s="2" t="s">
        <v>6608</v>
      </c>
    </row>
    <row r="908" spans="1:21" ht="12.75" x14ac:dyDescent="0.2">
      <c r="A908" s="1">
        <v>45887.535491817129</v>
      </c>
      <c r="B908" s="2" t="s">
        <v>4525</v>
      </c>
      <c r="C908" s="2" t="s">
        <v>4526</v>
      </c>
      <c r="D908" s="2" t="s">
        <v>41</v>
      </c>
      <c r="E908" s="3">
        <v>45870</v>
      </c>
      <c r="F908" s="4">
        <v>152170</v>
      </c>
      <c r="G908" s="2" t="s">
        <v>42</v>
      </c>
      <c r="H908" s="2" t="s">
        <v>43</v>
      </c>
      <c r="K908" s="2" t="s">
        <v>4527</v>
      </c>
      <c r="L908" s="2" t="s">
        <v>4528</v>
      </c>
      <c r="M908" s="2" t="s">
        <v>4529</v>
      </c>
      <c r="N908" s="2" t="s">
        <v>48</v>
      </c>
      <c r="O908" s="2" t="s">
        <v>4530</v>
      </c>
      <c r="Q908" s="2" t="s">
        <v>3474</v>
      </c>
      <c r="S908" s="7" t="s">
        <v>5668</v>
      </c>
      <c r="T908" s="7" t="s">
        <v>5713</v>
      </c>
      <c r="U908" s="2" t="s">
        <v>6609</v>
      </c>
    </row>
    <row r="909" spans="1:21" ht="12.75" x14ac:dyDescent="0.2">
      <c r="A909" s="1">
        <v>45887.535491817129</v>
      </c>
      <c r="B909" s="2" t="s">
        <v>2098</v>
      </c>
      <c r="C909" s="2" t="s">
        <v>4531</v>
      </c>
      <c r="D909" s="2" t="s">
        <v>333</v>
      </c>
      <c r="E909" s="3">
        <v>45875</v>
      </c>
      <c r="F909" s="4">
        <v>92605.45</v>
      </c>
      <c r="G909" s="2" t="s">
        <v>42</v>
      </c>
      <c r="H909" s="2" t="s">
        <v>43</v>
      </c>
      <c r="K909" s="2" t="s">
        <v>4532</v>
      </c>
      <c r="L909" s="2" t="s">
        <v>4533</v>
      </c>
      <c r="M909" s="2" t="s">
        <v>4534</v>
      </c>
      <c r="N909" s="2" t="s">
        <v>337</v>
      </c>
      <c r="O909" s="2" t="s">
        <v>2103</v>
      </c>
      <c r="Q909" s="2" t="s">
        <v>3474</v>
      </c>
      <c r="S909" s="7" t="s">
        <v>5669</v>
      </c>
      <c r="T909" s="7" t="s">
        <v>5713</v>
      </c>
      <c r="U909" s="2" t="s">
        <v>6610</v>
      </c>
    </row>
    <row r="910" spans="1:21" ht="12.75" x14ac:dyDescent="0.2">
      <c r="A910" s="1">
        <v>45891.557940891202</v>
      </c>
      <c r="B910" s="2" t="s">
        <v>4052</v>
      </c>
      <c r="C910" s="2" t="s">
        <v>4535</v>
      </c>
      <c r="D910" s="2" t="s">
        <v>672</v>
      </c>
      <c r="E910" s="3">
        <v>45736</v>
      </c>
      <c r="F910" s="4">
        <v>800</v>
      </c>
      <c r="G910" s="2" t="s">
        <v>42</v>
      </c>
      <c r="H910" s="2" t="s">
        <v>43</v>
      </c>
      <c r="K910" s="2" t="s">
        <v>4536</v>
      </c>
      <c r="L910" s="2" t="s">
        <v>4537</v>
      </c>
      <c r="M910" s="2" t="s">
        <v>4538</v>
      </c>
      <c r="N910" s="2" t="s">
        <v>676</v>
      </c>
      <c r="O910" s="2" t="s">
        <v>4057</v>
      </c>
      <c r="Q910" s="2" t="s">
        <v>3474</v>
      </c>
      <c r="S910" s="7" t="s">
        <v>5670</v>
      </c>
      <c r="T910" s="7" t="s">
        <v>5713</v>
      </c>
      <c r="U910" s="2" t="s">
        <v>6611</v>
      </c>
    </row>
    <row r="911" spans="1:21" ht="12.75" x14ac:dyDescent="0.2">
      <c r="A911" s="1">
        <v>45896.721499976848</v>
      </c>
      <c r="B911" s="2" t="s">
        <v>4539</v>
      </c>
      <c r="C911" s="2" t="s">
        <v>4540</v>
      </c>
      <c r="D911" s="2" t="s">
        <v>333</v>
      </c>
      <c r="E911" s="3">
        <v>45896</v>
      </c>
      <c r="F911" s="4">
        <v>20234.84</v>
      </c>
      <c r="G911" s="2" t="s">
        <v>143</v>
      </c>
      <c r="H911" s="2" t="s">
        <v>43</v>
      </c>
      <c r="K911" s="2" t="s">
        <v>4541</v>
      </c>
      <c r="L911" s="2" t="s">
        <v>4542</v>
      </c>
      <c r="M911" s="2" t="s">
        <v>4543</v>
      </c>
      <c r="N911" s="2" t="s">
        <v>337</v>
      </c>
      <c r="O911" s="2" t="s">
        <v>4544</v>
      </c>
      <c r="Q911" s="2" t="s">
        <v>3474</v>
      </c>
      <c r="S911" s="7" t="s">
        <v>5671</v>
      </c>
      <c r="T911" s="7" t="s">
        <v>5713</v>
      </c>
      <c r="U911" s="2" t="s">
        <v>6612</v>
      </c>
    </row>
    <row r="912" spans="1:21" ht="12.75" x14ac:dyDescent="0.2">
      <c r="A912" s="1">
        <v>45896.809322314817</v>
      </c>
      <c r="B912" s="2" t="s">
        <v>4316</v>
      </c>
      <c r="C912" s="2" t="s">
        <v>4545</v>
      </c>
      <c r="D912" s="2" t="s">
        <v>333</v>
      </c>
      <c r="E912" s="3">
        <v>45804</v>
      </c>
      <c r="F912" s="4">
        <v>8720</v>
      </c>
      <c r="G912" s="2" t="s">
        <v>42</v>
      </c>
      <c r="H912" s="2" t="s">
        <v>43</v>
      </c>
      <c r="I912" s="2" t="s">
        <v>990</v>
      </c>
      <c r="K912" s="2" t="s">
        <v>4546</v>
      </c>
      <c r="L912" s="2" t="s">
        <v>4547</v>
      </c>
      <c r="M912" s="2" t="s">
        <v>4548</v>
      </c>
      <c r="N912" s="2" t="s">
        <v>337</v>
      </c>
      <c r="O912" s="2" t="s">
        <v>4321</v>
      </c>
      <c r="P912" s="2" t="s">
        <v>995</v>
      </c>
      <c r="Q912" s="2" t="s">
        <v>50</v>
      </c>
      <c r="S912" s="7" t="s">
        <v>5672</v>
      </c>
      <c r="T912" s="7" t="s">
        <v>5713</v>
      </c>
      <c r="U912" s="2" t="s">
        <v>6613</v>
      </c>
    </row>
    <row r="913" spans="1:21" ht="12.75" x14ac:dyDescent="0.2">
      <c r="A913" s="1">
        <v>45896.841254247687</v>
      </c>
      <c r="B913" s="2" t="s">
        <v>1949</v>
      </c>
      <c r="C913" s="2" t="s">
        <v>4549</v>
      </c>
      <c r="D913" s="2" t="s">
        <v>672</v>
      </c>
      <c r="E913" s="3">
        <v>45895</v>
      </c>
      <c r="F913" s="4">
        <v>1350</v>
      </c>
      <c r="G913" s="2" t="s">
        <v>143</v>
      </c>
      <c r="H913" s="2" t="s">
        <v>43</v>
      </c>
      <c r="I913" s="2" t="s">
        <v>2700</v>
      </c>
      <c r="K913" s="2" t="s">
        <v>4550</v>
      </c>
      <c r="L913" s="2" t="s">
        <v>4551</v>
      </c>
      <c r="M913" s="2" t="s">
        <v>4552</v>
      </c>
      <c r="N913" s="2" t="s">
        <v>676</v>
      </c>
      <c r="O913" s="2" t="s">
        <v>1955</v>
      </c>
      <c r="P913" s="2" t="s">
        <v>2705</v>
      </c>
      <c r="Q913" s="2" t="s">
        <v>50</v>
      </c>
      <c r="S913" s="7" t="s">
        <v>5673</v>
      </c>
      <c r="T913" s="7" t="s">
        <v>5713</v>
      </c>
      <c r="U913" s="2" t="s">
        <v>6614</v>
      </c>
    </row>
    <row r="914" spans="1:21" ht="12.75" x14ac:dyDescent="0.2">
      <c r="A914" s="1">
        <v>45898.563781736113</v>
      </c>
      <c r="B914" s="2" t="s">
        <v>1846</v>
      </c>
      <c r="C914" s="2" t="s">
        <v>4553</v>
      </c>
      <c r="D914" s="2" t="s">
        <v>672</v>
      </c>
      <c r="E914" s="3">
        <v>45831</v>
      </c>
      <c r="F914" s="4">
        <v>3960</v>
      </c>
      <c r="G914" s="2" t="s">
        <v>42</v>
      </c>
      <c r="H914" s="2" t="s">
        <v>43</v>
      </c>
      <c r="K914" s="2" t="s">
        <v>4554</v>
      </c>
      <c r="L914" s="2" t="s">
        <v>4555</v>
      </c>
      <c r="M914" s="2" t="s">
        <v>4556</v>
      </c>
      <c r="N914" s="2" t="s">
        <v>676</v>
      </c>
      <c r="O914" s="2" t="s">
        <v>1852</v>
      </c>
      <c r="Q914" s="2" t="s">
        <v>3474</v>
      </c>
      <c r="S914" s="7" t="s">
        <v>5674</v>
      </c>
      <c r="T914" s="7" t="s">
        <v>5713</v>
      </c>
      <c r="U914" s="2" t="s">
        <v>6615</v>
      </c>
    </row>
    <row r="915" spans="1:21" ht="12.75" x14ac:dyDescent="0.2">
      <c r="A915" s="1">
        <v>45902.617563541666</v>
      </c>
      <c r="B915" s="2" t="s">
        <v>4557</v>
      </c>
      <c r="C915" s="2" t="s">
        <v>4558</v>
      </c>
      <c r="D915" s="2" t="s">
        <v>41</v>
      </c>
      <c r="E915" s="3">
        <v>45882</v>
      </c>
      <c r="F915" s="4">
        <v>140500</v>
      </c>
      <c r="G915" s="2" t="s">
        <v>42</v>
      </c>
      <c r="H915" s="2" t="s">
        <v>43</v>
      </c>
      <c r="K915" s="2" t="s">
        <v>4559</v>
      </c>
      <c r="L915" s="2" t="s">
        <v>4560</v>
      </c>
      <c r="M915" s="2" t="s">
        <v>4561</v>
      </c>
      <c r="N915" s="2" t="s">
        <v>48</v>
      </c>
      <c r="O915" s="2" t="s">
        <v>4562</v>
      </c>
      <c r="Q915" s="2" t="s">
        <v>3474</v>
      </c>
      <c r="S915" s="7" t="s">
        <v>5675</v>
      </c>
      <c r="T915" s="7" t="s">
        <v>5713</v>
      </c>
      <c r="U915" s="2" t="s">
        <v>6616</v>
      </c>
    </row>
    <row r="916" spans="1:21" ht="12.75" x14ac:dyDescent="0.2">
      <c r="A916" s="1">
        <v>45902.66437888889</v>
      </c>
      <c r="B916" s="2" t="s">
        <v>4563</v>
      </c>
      <c r="C916" s="2" t="s">
        <v>4564</v>
      </c>
      <c r="D916" s="2" t="s">
        <v>223</v>
      </c>
      <c r="E916" s="3">
        <v>45818</v>
      </c>
      <c r="F916" s="4">
        <v>200</v>
      </c>
      <c r="G916" s="2" t="s">
        <v>42</v>
      </c>
      <c r="H916" s="2" t="s">
        <v>43</v>
      </c>
      <c r="K916" s="2" t="s">
        <v>4565</v>
      </c>
      <c r="L916" s="2" t="s">
        <v>4566</v>
      </c>
      <c r="M916" s="2" t="s">
        <v>4567</v>
      </c>
      <c r="N916" s="2" t="s">
        <v>228</v>
      </c>
      <c r="O916" s="2" t="s">
        <v>4568</v>
      </c>
      <c r="Q916" s="2" t="s">
        <v>3474</v>
      </c>
      <c r="S916" s="7" t="s">
        <v>5676</v>
      </c>
      <c r="T916" s="7" t="s">
        <v>5713</v>
      </c>
      <c r="U916" s="2" t="s">
        <v>6617</v>
      </c>
    </row>
    <row r="917" spans="1:21" ht="12.75" x14ac:dyDescent="0.2">
      <c r="A917" s="1">
        <v>45902.683675798609</v>
      </c>
      <c r="B917" s="2" t="s">
        <v>363</v>
      </c>
      <c r="C917" s="2" t="s">
        <v>4569</v>
      </c>
      <c r="D917" s="2" t="s">
        <v>910</v>
      </c>
      <c r="E917" s="3">
        <v>45870</v>
      </c>
      <c r="F917" s="4">
        <v>920</v>
      </c>
      <c r="G917" s="2" t="s">
        <v>42</v>
      </c>
      <c r="H917" s="2" t="s">
        <v>43</v>
      </c>
      <c r="K917" s="2" t="s">
        <v>4570</v>
      </c>
      <c r="L917" s="2" t="s">
        <v>4571</v>
      </c>
      <c r="M917" s="2" t="s">
        <v>4572</v>
      </c>
      <c r="N917" s="2" t="s">
        <v>915</v>
      </c>
      <c r="O917" s="2" t="s">
        <v>368</v>
      </c>
      <c r="Q917" s="2" t="s">
        <v>3474</v>
      </c>
      <c r="S917" s="7" t="s">
        <v>5677</v>
      </c>
      <c r="T917" s="7" t="s">
        <v>5713</v>
      </c>
      <c r="U917" s="2" t="s">
        <v>6618</v>
      </c>
    </row>
    <row r="918" spans="1:21" ht="12.75" x14ac:dyDescent="0.2">
      <c r="A918" s="1">
        <v>45905.581913402777</v>
      </c>
      <c r="B918" s="2" t="s">
        <v>2683</v>
      </c>
      <c r="C918" s="2" t="s">
        <v>4573</v>
      </c>
      <c r="D918" s="2" t="s">
        <v>41</v>
      </c>
      <c r="E918" s="3">
        <v>45901</v>
      </c>
      <c r="F918" s="4">
        <v>30000</v>
      </c>
      <c r="G918" s="2" t="s">
        <v>42</v>
      </c>
      <c r="H918" s="2" t="s">
        <v>43</v>
      </c>
      <c r="K918" s="2" t="s">
        <v>4574</v>
      </c>
      <c r="L918" s="2" t="s">
        <v>4575</v>
      </c>
      <c r="M918" s="2" t="s">
        <v>4576</v>
      </c>
      <c r="N918" s="2" t="s">
        <v>48</v>
      </c>
      <c r="O918" s="2" t="s">
        <v>2688</v>
      </c>
      <c r="Q918" s="2" t="s">
        <v>3474</v>
      </c>
      <c r="S918" s="7" t="s">
        <v>5678</v>
      </c>
      <c r="T918" s="7" t="s">
        <v>5713</v>
      </c>
      <c r="U918" s="2" t="s">
        <v>6619</v>
      </c>
    </row>
    <row r="919" spans="1:21" ht="12.75" x14ac:dyDescent="0.2">
      <c r="A919" s="1">
        <v>45911.665074884259</v>
      </c>
      <c r="B919" s="2" t="s">
        <v>4274</v>
      </c>
      <c r="C919" s="2" t="s">
        <v>4577</v>
      </c>
      <c r="D919" s="2" t="s">
        <v>333</v>
      </c>
      <c r="E919" s="3">
        <v>45901</v>
      </c>
      <c r="F919" s="4">
        <v>6011672.5</v>
      </c>
      <c r="G919" s="2" t="s">
        <v>42</v>
      </c>
      <c r="H919" s="2" t="s">
        <v>43</v>
      </c>
      <c r="I919" s="2" t="s">
        <v>810</v>
      </c>
      <c r="K919" s="2" t="s">
        <v>4578</v>
      </c>
      <c r="L919" s="2" t="s">
        <v>4579</v>
      </c>
      <c r="M919" s="2" t="s">
        <v>4580</v>
      </c>
      <c r="N919" s="2" t="s">
        <v>337</v>
      </c>
      <c r="O919" s="2" t="s">
        <v>4279</v>
      </c>
      <c r="P919" s="2" t="s">
        <v>815</v>
      </c>
      <c r="Q919" s="2" t="s">
        <v>50</v>
      </c>
      <c r="S919" s="7" t="s">
        <v>5679</v>
      </c>
      <c r="T919" s="7" t="s">
        <v>5713</v>
      </c>
      <c r="U919" s="2" t="s">
        <v>6620</v>
      </c>
    </row>
    <row r="920" spans="1:21" ht="12.75" x14ac:dyDescent="0.2">
      <c r="A920" s="1">
        <v>45917.689264664354</v>
      </c>
      <c r="B920" s="2" t="s">
        <v>3917</v>
      </c>
      <c r="C920" s="2" t="s">
        <v>4581</v>
      </c>
      <c r="D920" s="2" t="s">
        <v>223</v>
      </c>
      <c r="E920" s="3">
        <v>45870</v>
      </c>
      <c r="F920" s="4">
        <v>200</v>
      </c>
      <c r="G920" s="2" t="s">
        <v>42</v>
      </c>
      <c r="H920" s="2" t="s">
        <v>43</v>
      </c>
      <c r="K920" s="2" t="s">
        <v>4582</v>
      </c>
      <c r="L920" s="2" t="s">
        <v>4583</v>
      </c>
      <c r="M920" s="2" t="s">
        <v>4584</v>
      </c>
      <c r="N920" s="2" t="s">
        <v>228</v>
      </c>
      <c r="O920" s="2" t="s">
        <v>3923</v>
      </c>
      <c r="Q920" s="2" t="s">
        <v>3474</v>
      </c>
      <c r="S920" s="7" t="s">
        <v>5680</v>
      </c>
      <c r="T920" s="7" t="s">
        <v>5713</v>
      </c>
      <c r="U920" s="2" t="s">
        <v>6621</v>
      </c>
    </row>
    <row r="921" spans="1:21" ht="12.75" x14ac:dyDescent="0.2">
      <c r="A921" s="1">
        <v>45918.557354918987</v>
      </c>
      <c r="B921" s="2" t="s">
        <v>4585</v>
      </c>
      <c r="C921" s="2" t="s">
        <v>4586</v>
      </c>
      <c r="D921" s="2" t="s">
        <v>223</v>
      </c>
      <c r="E921" s="3">
        <v>45870</v>
      </c>
      <c r="F921" s="4">
        <v>300</v>
      </c>
      <c r="G921" s="2" t="s">
        <v>42</v>
      </c>
      <c r="H921" s="2" t="s">
        <v>43</v>
      </c>
      <c r="K921" s="2" t="s">
        <v>4587</v>
      </c>
      <c r="L921" s="2" t="s">
        <v>4588</v>
      </c>
      <c r="M921" s="2" t="s">
        <v>4589</v>
      </c>
      <c r="N921" s="2" t="s">
        <v>228</v>
      </c>
      <c r="O921" s="2" t="s">
        <v>4590</v>
      </c>
      <c r="Q921" s="2" t="s">
        <v>3474</v>
      </c>
      <c r="S921" s="7" t="s">
        <v>5681</v>
      </c>
      <c r="T921" s="7" t="s">
        <v>5713</v>
      </c>
      <c r="U921" s="2" t="s">
        <v>6622</v>
      </c>
    </row>
    <row r="922" spans="1:21" ht="12.75" x14ac:dyDescent="0.2">
      <c r="A922" s="1">
        <v>45923.673590034727</v>
      </c>
      <c r="B922" s="2" t="s">
        <v>363</v>
      </c>
      <c r="C922" s="2" t="s">
        <v>4591</v>
      </c>
      <c r="D922" s="2" t="s">
        <v>41</v>
      </c>
      <c r="E922" s="3">
        <v>45920</v>
      </c>
      <c r="F922" s="4">
        <v>10000</v>
      </c>
      <c r="G922" s="2" t="s">
        <v>42</v>
      </c>
      <c r="H922" s="2" t="s">
        <v>43</v>
      </c>
      <c r="K922" s="2" t="s">
        <v>4592</v>
      </c>
      <c r="L922" s="2" t="s">
        <v>4593</v>
      </c>
      <c r="M922" s="2" t="s">
        <v>4594</v>
      </c>
      <c r="N922" s="2" t="s">
        <v>48</v>
      </c>
      <c r="O922" s="2" t="s">
        <v>368</v>
      </c>
      <c r="Q922" s="2" t="s">
        <v>3474</v>
      </c>
      <c r="S922" s="7" t="s">
        <v>5682</v>
      </c>
      <c r="T922" s="7" t="s">
        <v>5713</v>
      </c>
      <c r="U922" s="2" t="s">
        <v>6623</v>
      </c>
    </row>
    <row r="923" spans="1:21" ht="12.75" x14ac:dyDescent="0.2">
      <c r="A923" s="1">
        <v>45924.559507650461</v>
      </c>
      <c r="B923" s="2" t="s">
        <v>4443</v>
      </c>
      <c r="C923" s="2" t="s">
        <v>4595</v>
      </c>
      <c r="D923" s="2" t="s">
        <v>333</v>
      </c>
      <c r="E923" s="3">
        <v>45910</v>
      </c>
      <c r="F923" s="4">
        <v>117350</v>
      </c>
      <c r="G923" s="2" t="s">
        <v>42</v>
      </c>
      <c r="H923" s="2" t="s">
        <v>43</v>
      </c>
      <c r="K923" s="2" t="s">
        <v>4596</v>
      </c>
      <c r="L923" s="2" t="s">
        <v>4597</v>
      </c>
      <c r="M923" s="2" t="s">
        <v>4598</v>
      </c>
      <c r="N923" s="2" t="s">
        <v>337</v>
      </c>
      <c r="O923" s="2" t="s">
        <v>4448</v>
      </c>
      <c r="Q923" s="2" t="s">
        <v>3474</v>
      </c>
      <c r="S923" s="7" t="s">
        <v>5683</v>
      </c>
      <c r="T923" s="7" t="s">
        <v>5713</v>
      </c>
      <c r="U923" s="2" t="s">
        <v>6624</v>
      </c>
    </row>
    <row r="924" spans="1:21" ht="12.75" x14ac:dyDescent="0.2">
      <c r="A924" s="1">
        <v>45924.559507650461</v>
      </c>
      <c r="B924" s="2" t="s">
        <v>1007</v>
      </c>
      <c r="C924" s="2" t="s">
        <v>4599</v>
      </c>
      <c r="D924" s="2" t="s">
        <v>672</v>
      </c>
      <c r="E924" s="3">
        <v>45910</v>
      </c>
      <c r="F924" s="4">
        <v>5025</v>
      </c>
      <c r="G924" s="2" t="s">
        <v>42</v>
      </c>
      <c r="H924" s="2" t="s">
        <v>43</v>
      </c>
      <c r="K924" s="2" t="s">
        <v>4600</v>
      </c>
      <c r="L924" s="2" t="s">
        <v>4601</v>
      </c>
      <c r="M924" s="2" t="s">
        <v>4602</v>
      </c>
      <c r="N924" s="2" t="s">
        <v>676</v>
      </c>
      <c r="O924" s="2" t="s">
        <v>1013</v>
      </c>
      <c r="Q924" s="2" t="s">
        <v>3474</v>
      </c>
      <c r="S924" s="7" t="s">
        <v>5684</v>
      </c>
      <c r="T924" s="7" t="s">
        <v>5713</v>
      </c>
      <c r="U924" s="2" t="s">
        <v>6625</v>
      </c>
    </row>
    <row r="925" spans="1:21" ht="12.75" x14ac:dyDescent="0.2">
      <c r="A925" s="1">
        <v>45924.559507650461</v>
      </c>
      <c r="B925" s="2" t="s">
        <v>4603</v>
      </c>
      <c r="C925" s="2" t="s">
        <v>4604</v>
      </c>
      <c r="D925" s="2" t="s">
        <v>41</v>
      </c>
      <c r="E925" s="3">
        <v>45901</v>
      </c>
      <c r="F925" s="4">
        <v>25850</v>
      </c>
      <c r="G925" s="2" t="s">
        <v>42</v>
      </c>
      <c r="H925" s="2" t="s">
        <v>43</v>
      </c>
      <c r="K925" s="2" t="s">
        <v>4605</v>
      </c>
      <c r="L925" s="2" t="s">
        <v>4606</v>
      </c>
      <c r="M925" s="2" t="s">
        <v>4607</v>
      </c>
      <c r="N925" s="2" t="s">
        <v>48</v>
      </c>
      <c r="O925" s="2" t="s">
        <v>4608</v>
      </c>
      <c r="Q925" s="2" t="s">
        <v>3474</v>
      </c>
      <c r="S925" s="7" t="s">
        <v>5685</v>
      </c>
      <c r="T925" s="7" t="s">
        <v>5713</v>
      </c>
      <c r="U925" s="2" t="s">
        <v>6626</v>
      </c>
    </row>
    <row r="926" spans="1:21" ht="12.75" x14ac:dyDescent="0.2">
      <c r="A926" s="1">
        <v>45924.559507650461</v>
      </c>
      <c r="B926" s="2" t="s">
        <v>4609</v>
      </c>
      <c r="C926" s="2" t="s">
        <v>4610</v>
      </c>
      <c r="D926" s="2" t="s">
        <v>910</v>
      </c>
      <c r="E926" s="3">
        <v>45902</v>
      </c>
      <c r="F926" s="4">
        <v>3800</v>
      </c>
      <c r="G926" s="2" t="s">
        <v>143</v>
      </c>
      <c r="H926" s="2" t="s">
        <v>43</v>
      </c>
      <c r="K926" s="2" t="s">
        <v>4611</v>
      </c>
      <c r="L926" s="2" t="s">
        <v>4612</v>
      </c>
      <c r="M926" s="2" t="s">
        <v>4613</v>
      </c>
      <c r="N926" s="2" t="s">
        <v>915</v>
      </c>
      <c r="O926" s="2" t="s">
        <v>4614</v>
      </c>
      <c r="Q926" s="2" t="s">
        <v>3474</v>
      </c>
      <c r="S926" s="7" t="s">
        <v>5686</v>
      </c>
      <c r="T926" s="7" t="s">
        <v>5713</v>
      </c>
      <c r="U926" s="2" t="s">
        <v>6627</v>
      </c>
    </row>
    <row r="927" spans="1:21" ht="12.75" x14ac:dyDescent="0.2">
      <c r="A927" s="1">
        <v>45925.517106527783</v>
      </c>
      <c r="B927" s="2" t="s">
        <v>2079</v>
      </c>
      <c r="C927" s="2" t="s">
        <v>4615</v>
      </c>
      <c r="D927" s="2" t="s">
        <v>333</v>
      </c>
      <c r="E927" s="3">
        <v>45834</v>
      </c>
      <c r="F927" s="4">
        <v>6750</v>
      </c>
      <c r="G927" s="2" t="s">
        <v>42</v>
      </c>
      <c r="H927" s="2" t="s">
        <v>43</v>
      </c>
      <c r="K927" s="2" t="s">
        <v>4616</v>
      </c>
      <c r="L927" s="2" t="s">
        <v>4617</v>
      </c>
      <c r="M927" s="2" t="s">
        <v>4618</v>
      </c>
      <c r="N927" s="2" t="s">
        <v>337</v>
      </c>
      <c r="O927" s="2" t="s">
        <v>2084</v>
      </c>
      <c r="Q927" s="2" t="s">
        <v>3474</v>
      </c>
      <c r="S927" s="7" t="s">
        <v>5687</v>
      </c>
      <c r="T927" s="7" t="s">
        <v>5713</v>
      </c>
      <c r="U927" s="2" t="s">
        <v>6628</v>
      </c>
    </row>
    <row r="928" spans="1:21" ht="12.75" x14ac:dyDescent="0.2">
      <c r="A928" s="1">
        <v>45925.528465671297</v>
      </c>
      <c r="B928" s="2" t="s">
        <v>4619</v>
      </c>
      <c r="C928" s="2" t="s">
        <v>4620</v>
      </c>
      <c r="D928" s="2" t="s">
        <v>333</v>
      </c>
      <c r="E928" s="3">
        <v>45909</v>
      </c>
      <c r="F928" s="4">
        <v>23520</v>
      </c>
      <c r="G928" s="2" t="s">
        <v>42</v>
      </c>
      <c r="H928" s="2" t="s">
        <v>43</v>
      </c>
      <c r="K928" s="2" t="s">
        <v>4621</v>
      </c>
      <c r="L928" s="2" t="s">
        <v>4622</v>
      </c>
      <c r="M928" s="2" t="s">
        <v>4623</v>
      </c>
      <c r="N928" s="2" t="s">
        <v>337</v>
      </c>
      <c r="O928" s="2" t="s">
        <v>4624</v>
      </c>
      <c r="Q928" s="2" t="s">
        <v>3474</v>
      </c>
      <c r="S928" s="7" t="s">
        <v>5688</v>
      </c>
      <c r="T928" s="7" t="s">
        <v>5713</v>
      </c>
      <c r="U928" s="2" t="s">
        <v>6629</v>
      </c>
    </row>
    <row r="929" spans="1:21" ht="12.75" x14ac:dyDescent="0.2">
      <c r="A929" s="1">
        <v>45925.784305196757</v>
      </c>
      <c r="B929" s="2" t="s">
        <v>2098</v>
      </c>
      <c r="C929" s="2" t="s">
        <v>4625</v>
      </c>
      <c r="D929" s="2" t="s">
        <v>333</v>
      </c>
      <c r="E929" s="3">
        <v>45901</v>
      </c>
      <c r="F929" s="4">
        <v>795000</v>
      </c>
      <c r="G929" s="2" t="s">
        <v>42</v>
      </c>
      <c r="H929" s="2" t="s">
        <v>43</v>
      </c>
      <c r="I929" s="2" t="s">
        <v>990</v>
      </c>
      <c r="K929" s="2" t="s">
        <v>4626</v>
      </c>
      <c r="L929" s="2" t="s">
        <v>4627</v>
      </c>
      <c r="M929" s="2" t="s">
        <v>4628</v>
      </c>
      <c r="N929" s="2" t="s">
        <v>337</v>
      </c>
      <c r="O929" s="2" t="s">
        <v>2103</v>
      </c>
      <c r="P929" s="2" t="s">
        <v>995</v>
      </c>
      <c r="Q929" s="2" t="s">
        <v>50</v>
      </c>
      <c r="S929" s="7" t="s">
        <v>5689</v>
      </c>
      <c r="T929" s="7" t="s">
        <v>5713</v>
      </c>
      <c r="U929" s="2" t="s">
        <v>6630</v>
      </c>
    </row>
    <row r="930" spans="1:21" ht="12.75" x14ac:dyDescent="0.2">
      <c r="A930" s="1">
        <v>45931.855229791661</v>
      </c>
      <c r="B930" s="2" t="s">
        <v>4629</v>
      </c>
      <c r="C930" s="2" t="s">
        <v>4630</v>
      </c>
      <c r="D930" s="2" t="s">
        <v>41</v>
      </c>
      <c r="E930" s="3">
        <v>45901</v>
      </c>
      <c r="F930" s="4">
        <v>50000</v>
      </c>
      <c r="G930" s="2" t="s">
        <v>42</v>
      </c>
      <c r="H930" s="2" t="s">
        <v>43</v>
      </c>
      <c r="K930" s="2" t="s">
        <v>4631</v>
      </c>
      <c r="L930" s="2" t="s">
        <v>4632</v>
      </c>
      <c r="M930" s="2" t="s">
        <v>4633</v>
      </c>
      <c r="N930" s="2" t="s">
        <v>48</v>
      </c>
      <c r="O930" s="2" t="s">
        <v>4634</v>
      </c>
      <c r="Q930" s="2" t="s">
        <v>50</v>
      </c>
      <c r="S930" s="7" t="s">
        <v>5690</v>
      </c>
      <c r="T930" s="7" t="s">
        <v>5713</v>
      </c>
      <c r="U930" s="2" t="s">
        <v>6631</v>
      </c>
    </row>
    <row r="931" spans="1:21" ht="12.75" x14ac:dyDescent="0.2">
      <c r="A931" s="1">
        <v>45937.516324861106</v>
      </c>
      <c r="B931" s="2" t="s">
        <v>4635</v>
      </c>
      <c r="C931" s="2" t="s">
        <v>4636</v>
      </c>
      <c r="D931" s="2" t="s">
        <v>41</v>
      </c>
      <c r="E931" s="3">
        <v>45935</v>
      </c>
      <c r="F931" s="4">
        <v>155000</v>
      </c>
      <c r="G931" s="2" t="s">
        <v>42</v>
      </c>
      <c r="H931" s="2" t="s">
        <v>43</v>
      </c>
      <c r="K931" s="2" t="s">
        <v>4637</v>
      </c>
      <c r="L931" s="2" t="s">
        <v>4638</v>
      </c>
      <c r="M931" s="2" t="s">
        <v>4639</v>
      </c>
      <c r="N931" s="2" t="s">
        <v>48</v>
      </c>
      <c r="O931" s="2" t="s">
        <v>4640</v>
      </c>
      <c r="Q931" s="2" t="s">
        <v>3474</v>
      </c>
      <c r="S931" s="7" t="s">
        <v>5691</v>
      </c>
      <c r="T931" s="7" t="s">
        <v>5713</v>
      </c>
      <c r="U931" s="2" t="s">
        <v>6632</v>
      </c>
    </row>
    <row r="932" spans="1:21" ht="12.75" x14ac:dyDescent="0.2">
      <c r="A932" s="1">
        <v>45938.610832488426</v>
      </c>
      <c r="B932" s="2" t="s">
        <v>3687</v>
      </c>
      <c r="C932" s="2" t="s">
        <v>4641</v>
      </c>
      <c r="D932" s="2" t="s">
        <v>672</v>
      </c>
      <c r="E932" s="3">
        <v>45905</v>
      </c>
      <c r="F932" s="4">
        <v>300</v>
      </c>
      <c r="G932" s="2" t="s">
        <v>143</v>
      </c>
      <c r="H932" s="2" t="s">
        <v>43</v>
      </c>
      <c r="K932" s="2" t="s">
        <v>4642</v>
      </c>
      <c r="L932" s="2" t="s">
        <v>4643</v>
      </c>
      <c r="M932" s="2" t="s">
        <v>4644</v>
      </c>
      <c r="N932" s="2" t="s">
        <v>676</v>
      </c>
      <c r="O932" s="2" t="s">
        <v>3692</v>
      </c>
      <c r="Q932" s="2" t="s">
        <v>3474</v>
      </c>
      <c r="S932" s="7" t="s">
        <v>5692</v>
      </c>
      <c r="T932" s="7" t="s">
        <v>5713</v>
      </c>
      <c r="U932" s="2" t="s">
        <v>6633</v>
      </c>
    </row>
    <row r="933" spans="1:21" ht="12.75" x14ac:dyDescent="0.2">
      <c r="A933" s="1">
        <v>45938.636180358793</v>
      </c>
      <c r="B933" s="2" t="s">
        <v>2079</v>
      </c>
      <c r="C933" s="2" t="s">
        <v>4645</v>
      </c>
      <c r="D933" s="2" t="s">
        <v>910</v>
      </c>
      <c r="E933" s="3">
        <v>45917</v>
      </c>
      <c r="F933" s="4">
        <v>941</v>
      </c>
      <c r="G933" s="2" t="s">
        <v>42</v>
      </c>
      <c r="H933" s="2" t="s">
        <v>43</v>
      </c>
      <c r="K933" s="2" t="s">
        <v>4646</v>
      </c>
      <c r="L933" s="2" t="s">
        <v>4647</v>
      </c>
      <c r="M933" s="2" t="s">
        <v>4648</v>
      </c>
      <c r="N933" s="2" t="s">
        <v>915</v>
      </c>
      <c r="O933" s="2" t="s">
        <v>2084</v>
      </c>
      <c r="Q933" s="2" t="s">
        <v>3474</v>
      </c>
      <c r="S933" s="7" t="s">
        <v>5693</v>
      </c>
      <c r="T933" s="7" t="s">
        <v>5713</v>
      </c>
      <c r="U933" s="2" t="s">
        <v>6634</v>
      </c>
    </row>
    <row r="934" spans="1:21" ht="12.75" x14ac:dyDescent="0.2">
      <c r="A934" s="1">
        <v>45945.828076620368</v>
      </c>
      <c r="B934" s="2" t="s">
        <v>1853</v>
      </c>
      <c r="C934" s="2" t="s">
        <v>4649</v>
      </c>
      <c r="D934" s="2" t="s">
        <v>672</v>
      </c>
      <c r="E934" s="3">
        <v>45931</v>
      </c>
      <c r="F934" s="4">
        <v>1700</v>
      </c>
      <c r="G934" s="2" t="s">
        <v>42</v>
      </c>
      <c r="H934" s="2" t="s">
        <v>43</v>
      </c>
      <c r="I934" s="2" t="s">
        <v>1228</v>
      </c>
      <c r="K934" s="2" t="s">
        <v>4650</v>
      </c>
      <c r="L934" s="2" t="s">
        <v>4651</v>
      </c>
      <c r="M934" s="2" t="s">
        <v>4652</v>
      </c>
      <c r="N934" s="2" t="s">
        <v>676</v>
      </c>
      <c r="O934" s="2" t="s">
        <v>1859</v>
      </c>
      <c r="P934" s="2" t="s">
        <v>1233</v>
      </c>
      <c r="Q934" s="2" t="s">
        <v>50</v>
      </c>
      <c r="S934" s="7" t="s">
        <v>5694</v>
      </c>
      <c r="T934" s="7" t="s">
        <v>5713</v>
      </c>
      <c r="U934" s="2" t="s">
        <v>6635</v>
      </c>
    </row>
    <row r="935" spans="1:21" ht="12.75" x14ac:dyDescent="0.2">
      <c r="A935" s="1">
        <v>45946.523745162034</v>
      </c>
      <c r="B935" s="2" t="s">
        <v>1701</v>
      </c>
      <c r="C935" s="2" t="s">
        <v>4653</v>
      </c>
      <c r="D935" s="2" t="s">
        <v>41</v>
      </c>
      <c r="E935" s="3">
        <v>45933</v>
      </c>
      <c r="F935" s="4">
        <v>77000</v>
      </c>
      <c r="G935" s="2" t="s">
        <v>42</v>
      </c>
      <c r="H935" s="2" t="s">
        <v>43</v>
      </c>
      <c r="K935" s="2" t="s">
        <v>4654</v>
      </c>
      <c r="L935" s="2" t="s">
        <v>4655</v>
      </c>
      <c r="M935" s="2" t="s">
        <v>4656</v>
      </c>
      <c r="N935" s="2" t="s">
        <v>48</v>
      </c>
      <c r="O935" s="2" t="s">
        <v>1707</v>
      </c>
      <c r="Q935" s="2" t="s">
        <v>3474</v>
      </c>
      <c r="S935" s="7" t="s">
        <v>5695</v>
      </c>
      <c r="T935" s="7" t="s">
        <v>5713</v>
      </c>
      <c r="U935" s="2" t="s">
        <v>6636</v>
      </c>
    </row>
    <row r="936" spans="1:21" ht="12.75" x14ac:dyDescent="0.2">
      <c r="A936" s="1">
        <v>45946.523745162034</v>
      </c>
      <c r="B936" s="2" t="s">
        <v>1496</v>
      </c>
      <c r="C936" s="2" t="s">
        <v>4657</v>
      </c>
      <c r="D936" s="2" t="s">
        <v>41</v>
      </c>
      <c r="E936" s="3">
        <v>45940</v>
      </c>
      <c r="F936" s="4">
        <v>60810</v>
      </c>
      <c r="G936" s="2" t="s">
        <v>42</v>
      </c>
      <c r="H936" s="2" t="s">
        <v>43</v>
      </c>
      <c r="K936" s="2" t="s">
        <v>4658</v>
      </c>
      <c r="L936" s="2" t="s">
        <v>4659</v>
      </c>
      <c r="M936" s="2" t="s">
        <v>4660</v>
      </c>
      <c r="N936" s="2" t="s">
        <v>48</v>
      </c>
      <c r="O936" s="2" t="s">
        <v>1502</v>
      </c>
      <c r="Q936" s="2" t="s">
        <v>3474</v>
      </c>
      <c r="S936" s="7" t="s">
        <v>5696</v>
      </c>
      <c r="T936" s="7" t="s">
        <v>5713</v>
      </c>
      <c r="U936" s="2" t="s">
        <v>6637</v>
      </c>
    </row>
    <row r="937" spans="1:21" ht="12.75" x14ac:dyDescent="0.2">
      <c r="A937" s="1">
        <v>45946.523745162034</v>
      </c>
      <c r="B937" s="2" t="s">
        <v>4661</v>
      </c>
      <c r="C937" s="2" t="s">
        <v>4662</v>
      </c>
      <c r="D937" s="2" t="s">
        <v>672</v>
      </c>
      <c r="E937" s="3">
        <v>45931</v>
      </c>
      <c r="F937" s="4">
        <v>783</v>
      </c>
      <c r="G937" s="2" t="s">
        <v>143</v>
      </c>
      <c r="H937" s="2" t="s">
        <v>43</v>
      </c>
      <c r="K937" s="2" t="s">
        <v>4663</v>
      </c>
      <c r="L937" s="2" t="s">
        <v>4664</v>
      </c>
      <c r="M937" s="2" t="s">
        <v>4665</v>
      </c>
      <c r="N937" s="2" t="s">
        <v>676</v>
      </c>
      <c r="O937" s="2" t="s">
        <v>4666</v>
      </c>
      <c r="Q937" s="2" t="s">
        <v>3474</v>
      </c>
      <c r="S937" s="7" t="s">
        <v>5697</v>
      </c>
      <c r="T937" s="7" t="s">
        <v>5713</v>
      </c>
      <c r="U937" s="2" t="s">
        <v>6638</v>
      </c>
    </row>
    <row r="938" spans="1:21" ht="12.75" x14ac:dyDescent="0.2">
      <c r="A938" s="1">
        <v>45952.605385902774</v>
      </c>
      <c r="B938" s="2" t="s">
        <v>3475</v>
      </c>
      <c r="C938" s="2" t="s">
        <v>4667</v>
      </c>
      <c r="D938" s="2" t="s">
        <v>41</v>
      </c>
      <c r="E938" s="3">
        <v>45950</v>
      </c>
      <c r="F938" s="4">
        <v>11597</v>
      </c>
      <c r="G938" s="2" t="s">
        <v>42</v>
      </c>
      <c r="H938" s="2" t="s">
        <v>43</v>
      </c>
      <c r="K938" s="2" t="s">
        <v>4668</v>
      </c>
      <c r="L938" s="2" t="s">
        <v>4669</v>
      </c>
      <c r="M938" s="2" t="s">
        <v>4670</v>
      </c>
      <c r="N938" s="2" t="s">
        <v>48</v>
      </c>
      <c r="O938" s="2" t="s">
        <v>3480</v>
      </c>
      <c r="Q938" s="2" t="s">
        <v>3474</v>
      </c>
      <c r="S938" s="7" t="s">
        <v>5698</v>
      </c>
      <c r="T938" s="7" t="s">
        <v>5713</v>
      </c>
      <c r="U938" s="2" t="s">
        <v>6639</v>
      </c>
    </row>
    <row r="939" spans="1:21" ht="12.75" x14ac:dyDescent="0.2">
      <c r="A939" s="1">
        <v>45953.726787268519</v>
      </c>
      <c r="B939" s="2" t="s">
        <v>363</v>
      </c>
      <c r="C939" s="2" t="s">
        <v>4671</v>
      </c>
      <c r="D939" s="2" t="s">
        <v>333</v>
      </c>
      <c r="E939" s="3">
        <v>45950</v>
      </c>
      <c r="F939" s="4">
        <v>67988.320000000007</v>
      </c>
      <c r="G939" s="2" t="s">
        <v>143</v>
      </c>
      <c r="H939" s="2" t="s">
        <v>43</v>
      </c>
      <c r="K939" s="2" t="s">
        <v>4672</v>
      </c>
      <c r="L939" s="2" t="s">
        <v>4673</v>
      </c>
      <c r="M939" s="2" t="s">
        <v>4674</v>
      </c>
      <c r="N939" s="2" t="s">
        <v>337</v>
      </c>
      <c r="O939" s="2" t="s">
        <v>368</v>
      </c>
      <c r="Q939" s="2" t="s">
        <v>3474</v>
      </c>
      <c r="S939" s="7" t="s">
        <v>5699</v>
      </c>
      <c r="T939" s="7" t="s">
        <v>5713</v>
      </c>
      <c r="U939" s="2" t="s">
        <v>6640</v>
      </c>
    </row>
    <row r="940" spans="1:21" ht="12.75" x14ac:dyDescent="0.2">
      <c r="A940" s="1">
        <v>45957.57080908565</v>
      </c>
      <c r="B940" s="2" t="s">
        <v>3308</v>
      </c>
      <c r="C940" s="2" t="s">
        <v>4675</v>
      </c>
      <c r="D940" s="2" t="s">
        <v>333</v>
      </c>
      <c r="E940" s="3">
        <v>45860</v>
      </c>
      <c r="F940" s="4">
        <v>59200</v>
      </c>
      <c r="G940" s="2" t="s">
        <v>42</v>
      </c>
      <c r="H940" s="2" t="s">
        <v>43</v>
      </c>
      <c r="K940" s="2" t="s">
        <v>4676</v>
      </c>
      <c r="L940" s="2" t="s">
        <v>4677</v>
      </c>
      <c r="M940" s="2" t="s">
        <v>4678</v>
      </c>
      <c r="N940" s="2" t="s">
        <v>337</v>
      </c>
      <c r="O940" s="2" t="s">
        <v>3313</v>
      </c>
      <c r="Q940" s="2" t="s">
        <v>3474</v>
      </c>
      <c r="S940" s="7" t="s">
        <v>5700</v>
      </c>
      <c r="T940" s="7" t="s">
        <v>5713</v>
      </c>
      <c r="U940" s="2" t="s">
        <v>6641</v>
      </c>
    </row>
    <row r="941" spans="1:21" ht="12.75" x14ac:dyDescent="0.2">
      <c r="A941" s="1">
        <v>45966.588964479168</v>
      </c>
      <c r="B941" s="2" t="s">
        <v>4679</v>
      </c>
      <c r="C941" s="2" t="s">
        <v>4680</v>
      </c>
      <c r="D941" s="2" t="s">
        <v>223</v>
      </c>
      <c r="E941" s="3">
        <v>45962</v>
      </c>
      <c r="F941" s="4">
        <v>600</v>
      </c>
      <c r="G941" s="2" t="s">
        <v>42</v>
      </c>
      <c r="H941" s="2" t="s">
        <v>43</v>
      </c>
      <c r="K941" s="2" t="s">
        <v>4681</v>
      </c>
      <c r="L941" s="2" t="s">
        <v>4682</v>
      </c>
      <c r="M941" s="2" t="s">
        <v>4683</v>
      </c>
      <c r="N941" s="2" t="s">
        <v>228</v>
      </c>
      <c r="O941" s="2" t="s">
        <v>4684</v>
      </c>
      <c r="Q941" s="2" t="s">
        <v>3474</v>
      </c>
      <c r="S941" s="7" t="s">
        <v>5701</v>
      </c>
      <c r="T941" s="7" t="s">
        <v>5713</v>
      </c>
      <c r="U941" s="2" t="s">
        <v>6642</v>
      </c>
    </row>
    <row r="942" spans="1:21" ht="12.75" x14ac:dyDescent="0.2">
      <c r="A942" s="1">
        <v>45966.719250879629</v>
      </c>
      <c r="B942" s="2" t="s">
        <v>4685</v>
      </c>
      <c r="C942" s="2" t="s">
        <v>4686</v>
      </c>
      <c r="D942" s="2" t="s">
        <v>41</v>
      </c>
      <c r="E942" s="3">
        <v>45953</v>
      </c>
      <c r="F942" s="4">
        <v>300000</v>
      </c>
      <c r="G942" s="2" t="s">
        <v>42</v>
      </c>
      <c r="H942" s="2" t="s">
        <v>43</v>
      </c>
      <c r="K942" s="2" t="s">
        <v>4687</v>
      </c>
      <c r="L942" s="2" t="s">
        <v>4688</v>
      </c>
      <c r="M942" s="2" t="s">
        <v>4689</v>
      </c>
      <c r="N942" s="2" t="s">
        <v>48</v>
      </c>
      <c r="O942" s="2" t="s">
        <v>4690</v>
      </c>
      <c r="Q942" s="2" t="s">
        <v>3474</v>
      </c>
      <c r="S942" s="7" t="s">
        <v>5702</v>
      </c>
      <c r="T942" s="7" t="s">
        <v>5713</v>
      </c>
      <c r="U942" s="2" t="s">
        <v>6643</v>
      </c>
    </row>
    <row r="943" spans="1:21" ht="12.75" x14ac:dyDescent="0.2">
      <c r="A943" s="1">
        <v>45971.502944155094</v>
      </c>
      <c r="B943" s="2" t="s">
        <v>2942</v>
      </c>
      <c r="C943" s="2" t="s">
        <v>4691</v>
      </c>
      <c r="D943" s="2" t="s">
        <v>223</v>
      </c>
      <c r="E943" s="3">
        <v>45931</v>
      </c>
      <c r="F943" s="4">
        <v>900</v>
      </c>
      <c r="G943" s="2" t="s">
        <v>143</v>
      </c>
      <c r="H943" s="2" t="s">
        <v>43</v>
      </c>
      <c r="K943" s="2" t="s">
        <v>4692</v>
      </c>
      <c r="L943" s="2" t="s">
        <v>4693</v>
      </c>
      <c r="M943" s="2" t="s">
        <v>4694</v>
      </c>
      <c r="N943" s="2" t="s">
        <v>228</v>
      </c>
      <c r="O943" s="2" t="s">
        <v>2947</v>
      </c>
      <c r="Q943" s="2" t="s">
        <v>3474</v>
      </c>
      <c r="S943" s="7" t="s">
        <v>5703</v>
      </c>
      <c r="T943" s="7" t="s">
        <v>5713</v>
      </c>
      <c r="U943" s="2" t="s">
        <v>6644</v>
      </c>
    </row>
    <row r="944" spans="1:21" ht="12.75" x14ac:dyDescent="0.2">
      <c r="A944" s="1">
        <v>45971.51141417824</v>
      </c>
      <c r="B944" s="2" t="s">
        <v>2976</v>
      </c>
      <c r="C944" s="2" t="s">
        <v>4695</v>
      </c>
      <c r="D944" s="2" t="s">
        <v>223</v>
      </c>
      <c r="E944" s="3">
        <v>45931</v>
      </c>
      <c r="F944" s="4">
        <v>300</v>
      </c>
      <c r="G944" s="2" t="s">
        <v>143</v>
      </c>
      <c r="H944" s="2" t="s">
        <v>43</v>
      </c>
      <c r="K944" s="2" t="s">
        <v>4696</v>
      </c>
      <c r="L944" s="2" t="s">
        <v>4697</v>
      </c>
      <c r="M944" s="2" t="s">
        <v>4698</v>
      </c>
      <c r="N944" s="2" t="s">
        <v>228</v>
      </c>
      <c r="O944" s="2" t="s">
        <v>2982</v>
      </c>
      <c r="Q944" s="2" t="s">
        <v>3474</v>
      </c>
      <c r="S944" s="7" t="s">
        <v>5704</v>
      </c>
      <c r="T944" s="7" t="s">
        <v>5713</v>
      </c>
      <c r="U944" s="2" t="s">
        <v>6645</v>
      </c>
    </row>
    <row r="945" spans="1:21" ht="12.75" x14ac:dyDescent="0.2">
      <c r="A945" s="1">
        <v>45971.560447129625</v>
      </c>
      <c r="B945" s="2" t="s">
        <v>3481</v>
      </c>
      <c r="C945" s="2" t="s">
        <v>4699</v>
      </c>
      <c r="D945" s="2" t="s">
        <v>223</v>
      </c>
      <c r="E945" s="3">
        <v>45962</v>
      </c>
      <c r="F945" s="4">
        <v>450</v>
      </c>
      <c r="G945" s="2" t="s">
        <v>143</v>
      </c>
      <c r="H945" s="2" t="s">
        <v>43</v>
      </c>
      <c r="K945" s="2" t="s">
        <v>4700</v>
      </c>
      <c r="L945" s="2" t="s">
        <v>4701</v>
      </c>
      <c r="M945" s="2" t="s">
        <v>4702</v>
      </c>
      <c r="N945" s="2" t="s">
        <v>228</v>
      </c>
      <c r="O945" s="2" t="s">
        <v>3486</v>
      </c>
      <c r="Q945" s="2" t="s">
        <v>3474</v>
      </c>
      <c r="S945" s="7" t="s">
        <v>5705</v>
      </c>
      <c r="T945" s="7" t="s">
        <v>5713</v>
      </c>
      <c r="U945" s="2" t="s">
        <v>6646</v>
      </c>
    </row>
    <row r="946" spans="1:21" ht="12.75" x14ac:dyDescent="0.2">
      <c r="A946" s="1">
        <v>45971.584836828704</v>
      </c>
      <c r="B946" s="2" t="s">
        <v>4661</v>
      </c>
      <c r="C946" s="2" t="s">
        <v>4703</v>
      </c>
      <c r="D946" s="2" t="s">
        <v>223</v>
      </c>
      <c r="E946" s="3">
        <v>45931</v>
      </c>
      <c r="F946" s="4">
        <v>300</v>
      </c>
      <c r="G946" s="2" t="s">
        <v>143</v>
      </c>
      <c r="H946" s="2" t="s">
        <v>43</v>
      </c>
      <c r="K946" s="2" t="s">
        <v>4704</v>
      </c>
      <c r="L946" s="2" t="s">
        <v>4705</v>
      </c>
      <c r="M946" s="2" t="s">
        <v>4706</v>
      </c>
      <c r="N946" s="2" t="s">
        <v>228</v>
      </c>
      <c r="O946" s="2" t="s">
        <v>4666</v>
      </c>
      <c r="Q946" s="2" t="s">
        <v>3474</v>
      </c>
      <c r="S946" s="7" t="s">
        <v>5706</v>
      </c>
      <c r="T946" s="7" t="s">
        <v>5713</v>
      </c>
      <c r="U946" s="2" t="s">
        <v>6647</v>
      </c>
    </row>
    <row r="947" spans="1:21" ht="12.75" x14ac:dyDescent="0.2">
      <c r="A947" s="1">
        <v>45971.584836828704</v>
      </c>
      <c r="B947" s="2" t="s">
        <v>4679</v>
      </c>
      <c r="C947" s="2" t="s">
        <v>4680</v>
      </c>
      <c r="D947" s="2" t="s">
        <v>223</v>
      </c>
      <c r="E947" s="3">
        <v>45962</v>
      </c>
      <c r="F947" s="4">
        <v>600</v>
      </c>
      <c r="G947" s="2" t="s">
        <v>42</v>
      </c>
      <c r="H947" s="2" t="s">
        <v>43</v>
      </c>
      <c r="K947" s="2" t="s">
        <v>4707</v>
      </c>
      <c r="L947" s="2" t="s">
        <v>4708</v>
      </c>
      <c r="M947" s="2" t="s">
        <v>4683</v>
      </c>
      <c r="N947" s="2" t="s">
        <v>228</v>
      </c>
      <c r="O947" s="2" t="s">
        <v>4684</v>
      </c>
      <c r="Q947" s="2" t="s">
        <v>3474</v>
      </c>
      <c r="S947" s="7" t="s">
        <v>5701</v>
      </c>
      <c r="T947" s="7" t="s">
        <v>5713</v>
      </c>
      <c r="U947" s="2" t="s">
        <v>6648</v>
      </c>
    </row>
    <row r="948" spans="1:21" ht="12.75" x14ac:dyDescent="0.2">
      <c r="A948" s="1">
        <v>45971.584836828704</v>
      </c>
      <c r="B948" s="2" t="s">
        <v>4709</v>
      </c>
      <c r="C948" s="2" t="s">
        <v>4710</v>
      </c>
      <c r="D948" s="2" t="s">
        <v>223</v>
      </c>
      <c r="E948" s="3">
        <v>45962</v>
      </c>
      <c r="F948" s="4">
        <v>800</v>
      </c>
      <c r="G948" s="2" t="s">
        <v>42</v>
      </c>
      <c r="H948" s="2" t="s">
        <v>43</v>
      </c>
      <c r="K948" s="2" t="s">
        <v>4711</v>
      </c>
      <c r="L948" s="2" t="s">
        <v>4712</v>
      </c>
      <c r="M948" s="2" t="s">
        <v>4713</v>
      </c>
      <c r="N948" s="2" t="s">
        <v>228</v>
      </c>
      <c r="O948" s="2" t="s">
        <v>4714</v>
      </c>
      <c r="Q948" s="2" t="s">
        <v>3474</v>
      </c>
      <c r="S948" s="7" t="s">
        <v>5707</v>
      </c>
      <c r="T948" s="7" t="s">
        <v>5713</v>
      </c>
      <c r="U948" s="2" t="s">
        <v>6649</v>
      </c>
    </row>
    <row r="949" spans="1:21" ht="12.75" x14ac:dyDescent="0.2">
      <c r="A949" s="1">
        <v>45978.681925914352</v>
      </c>
      <c r="B949" s="2" t="s">
        <v>4715</v>
      </c>
      <c r="C949" s="2" t="s">
        <v>4716</v>
      </c>
      <c r="D949" s="2" t="s">
        <v>41</v>
      </c>
      <c r="E949" s="3">
        <v>45975</v>
      </c>
      <c r="F949" s="4">
        <v>300280</v>
      </c>
      <c r="G949" s="2" t="s">
        <v>326</v>
      </c>
      <c r="H949" s="2" t="s">
        <v>43</v>
      </c>
      <c r="I949" s="2" t="s">
        <v>2691</v>
      </c>
      <c r="K949" s="2" t="s">
        <v>4717</v>
      </c>
      <c r="L949" s="2" t="s">
        <v>4718</v>
      </c>
      <c r="M949" s="2" t="s">
        <v>4719</v>
      </c>
      <c r="N949" s="2" t="s">
        <v>48</v>
      </c>
      <c r="O949" s="2" t="s">
        <v>4720</v>
      </c>
      <c r="P949" s="2" t="s">
        <v>2697</v>
      </c>
      <c r="Q949" s="2" t="s">
        <v>50</v>
      </c>
      <c r="S949" s="7" t="s">
        <v>5708</v>
      </c>
      <c r="T949" s="7" t="s">
        <v>5713</v>
      </c>
      <c r="U949" s="2" t="s">
        <v>6650</v>
      </c>
    </row>
    <row r="950" spans="1:21" ht="12.75" x14ac:dyDescent="0.2">
      <c r="A950" s="1">
        <v>45980.949436296301</v>
      </c>
      <c r="B950" s="2" t="s">
        <v>4721</v>
      </c>
      <c r="C950" s="2" t="s">
        <v>4722</v>
      </c>
      <c r="D950" s="2" t="s">
        <v>41</v>
      </c>
      <c r="E950" s="3">
        <v>45980</v>
      </c>
      <c r="F950" s="4">
        <v>247120</v>
      </c>
      <c r="G950" s="2" t="s">
        <v>42</v>
      </c>
      <c r="H950" s="2" t="s">
        <v>43</v>
      </c>
      <c r="I950" s="2" t="s">
        <v>2691</v>
      </c>
      <c r="K950" s="2" t="s">
        <v>4723</v>
      </c>
      <c r="L950" s="2" t="s">
        <v>4724</v>
      </c>
      <c r="M950" s="2" t="s">
        <v>4725</v>
      </c>
      <c r="N950" s="2" t="s">
        <v>48</v>
      </c>
      <c r="O950" s="2" t="s">
        <v>4726</v>
      </c>
      <c r="P950" s="2" t="s">
        <v>2697</v>
      </c>
      <c r="Q950" s="2" t="s">
        <v>50</v>
      </c>
      <c r="S950" s="7" t="s">
        <v>5709</v>
      </c>
      <c r="T950" s="7" t="s">
        <v>5713</v>
      </c>
      <c r="U950" s="2" t="s">
        <v>6651</v>
      </c>
    </row>
    <row r="951" spans="1:21" ht="12.75" x14ac:dyDescent="0.2">
      <c r="A951" s="1">
        <v>45985.544584907402</v>
      </c>
      <c r="B951" s="2" t="s">
        <v>4721</v>
      </c>
      <c r="C951" s="2" t="s">
        <v>4727</v>
      </c>
      <c r="D951" s="2" t="s">
        <v>41</v>
      </c>
      <c r="E951" s="3">
        <v>45979</v>
      </c>
      <c r="F951" s="4">
        <v>247120</v>
      </c>
      <c r="G951" s="2" t="s">
        <v>42</v>
      </c>
      <c r="H951" s="2" t="s">
        <v>43</v>
      </c>
      <c r="K951" s="2" t="s">
        <v>4728</v>
      </c>
      <c r="L951" s="2" t="s">
        <v>4729</v>
      </c>
      <c r="M951" s="2" t="s">
        <v>4730</v>
      </c>
      <c r="N951" s="2" t="s">
        <v>48</v>
      </c>
      <c r="O951" s="2" t="s">
        <v>4726</v>
      </c>
      <c r="Q951" s="2" t="s">
        <v>3474</v>
      </c>
      <c r="S951" s="7" t="s">
        <v>5710</v>
      </c>
      <c r="T951" s="7" t="s">
        <v>5713</v>
      </c>
      <c r="U951" s="2" t="s">
        <v>6652</v>
      </c>
    </row>
    <row r="952" spans="1:21" ht="12.75" x14ac:dyDescent="0.2">
      <c r="A952" s="1">
        <v>45988.488710636579</v>
      </c>
      <c r="B952" s="2" t="s">
        <v>3386</v>
      </c>
      <c r="C952" s="2" t="s">
        <v>4731</v>
      </c>
      <c r="D952" s="2" t="s">
        <v>672</v>
      </c>
      <c r="E952" s="3">
        <v>45988</v>
      </c>
      <c r="F952" s="4">
        <v>1080</v>
      </c>
      <c r="G952" s="2" t="s">
        <v>42</v>
      </c>
      <c r="H952" s="2" t="s">
        <v>43</v>
      </c>
      <c r="K952" s="2" t="s">
        <v>4732</v>
      </c>
      <c r="L952" s="2" t="s">
        <v>4733</v>
      </c>
      <c r="M952" s="2" t="s">
        <v>4734</v>
      </c>
      <c r="N952" s="2" t="s">
        <v>676</v>
      </c>
      <c r="O952" s="2" t="s">
        <v>3392</v>
      </c>
      <c r="Q952" s="2" t="s">
        <v>3474</v>
      </c>
      <c r="S952" s="7" t="s">
        <v>5711</v>
      </c>
      <c r="T952" s="7" t="s">
        <v>5713</v>
      </c>
      <c r="U952" s="2" t="s">
        <v>6653</v>
      </c>
    </row>
    <row r="953" spans="1:21" ht="12.75" x14ac:dyDescent="0.2">
      <c r="A953" s="1"/>
      <c r="B953" s="2"/>
      <c r="C953" s="2"/>
      <c r="D953" s="2"/>
      <c r="E953" s="3"/>
      <c r="F953" s="4"/>
      <c r="G953" s="2"/>
      <c r="H953" s="2"/>
      <c r="K953" s="2"/>
      <c r="L953" s="2"/>
      <c r="M953" s="2"/>
      <c r="N953" s="2"/>
      <c r="O953" s="2"/>
      <c r="Q953" s="2"/>
      <c r="S953" s="7" t="s">
        <v>5712</v>
      </c>
      <c r="T953" s="7" t="s">
        <v>5712</v>
      </c>
      <c r="U953" s="2" t="s">
        <v>5712</v>
      </c>
    </row>
    <row r="954" spans="1:21" ht="12.75" x14ac:dyDescent="0.2">
      <c r="A954" s="1"/>
      <c r="B954" s="2"/>
      <c r="C954" s="2"/>
      <c r="D954" s="2"/>
      <c r="E954" s="3"/>
      <c r="F954" s="4"/>
      <c r="G954" s="2"/>
      <c r="H954" s="2"/>
      <c r="K954" s="2"/>
      <c r="L954" s="2"/>
      <c r="M954" s="2"/>
      <c r="N954" s="2"/>
      <c r="O954" s="2"/>
      <c r="Q954" s="2"/>
      <c r="S954" s="7" t="s">
        <v>5712</v>
      </c>
      <c r="T954" s="7" t="s">
        <v>5712</v>
      </c>
      <c r="U954" s="2" t="s">
        <v>5712</v>
      </c>
    </row>
    <row r="955" spans="1:21" ht="12.75" x14ac:dyDescent="0.2">
      <c r="A955" s="1"/>
      <c r="B955" s="2"/>
      <c r="C955" s="2"/>
      <c r="D955" s="2"/>
      <c r="E955" s="3"/>
      <c r="F955" s="4"/>
      <c r="G955" s="2"/>
      <c r="H955" s="2"/>
      <c r="K955" s="2"/>
      <c r="L955" s="2"/>
      <c r="M955" s="2"/>
      <c r="N955" s="2"/>
      <c r="O955" s="2"/>
      <c r="Q955" s="2"/>
      <c r="S955" s="7" t="s">
        <v>5712</v>
      </c>
      <c r="T955" s="7" t="s">
        <v>5712</v>
      </c>
      <c r="U955" s="2" t="s">
        <v>5712</v>
      </c>
    </row>
    <row r="956" spans="1:21" ht="12.75" x14ac:dyDescent="0.2">
      <c r="A956" s="1"/>
      <c r="B956" s="2"/>
      <c r="C956" s="2"/>
      <c r="D956" s="2"/>
      <c r="E956" s="3"/>
      <c r="F956" s="4"/>
      <c r="G956" s="2"/>
      <c r="H956" s="2"/>
      <c r="K956" s="2"/>
      <c r="L956" s="2"/>
      <c r="M956" s="2"/>
      <c r="N956" s="2"/>
      <c r="O956" s="2"/>
      <c r="Q956" s="2"/>
      <c r="S956" s="7" t="s">
        <v>5712</v>
      </c>
      <c r="T956" s="7" t="s">
        <v>5712</v>
      </c>
      <c r="U956" s="2" t="s">
        <v>5712</v>
      </c>
    </row>
    <row r="957" spans="1:21" ht="12.75" x14ac:dyDescent="0.2">
      <c r="A957" s="1"/>
      <c r="B957" s="2"/>
      <c r="C957" s="2"/>
      <c r="D957" s="2"/>
      <c r="E957" s="3"/>
      <c r="F957" s="4"/>
      <c r="G957" s="2"/>
      <c r="H957" s="2"/>
      <c r="K957" s="2"/>
      <c r="L957" s="2"/>
      <c r="M957" s="2"/>
      <c r="N957" s="2"/>
      <c r="O957" s="2"/>
      <c r="Q957" s="2"/>
      <c r="S957" s="7" t="s">
        <v>5712</v>
      </c>
      <c r="T957" s="7" t="s">
        <v>5712</v>
      </c>
      <c r="U957" s="2" t="s">
        <v>5712</v>
      </c>
    </row>
    <row r="958" spans="1:21" ht="12.75" x14ac:dyDescent="0.2">
      <c r="A958" s="1"/>
      <c r="B958" s="2"/>
      <c r="C958" s="2"/>
      <c r="D958" s="2"/>
      <c r="E958" s="3"/>
      <c r="F958" s="4"/>
      <c r="G958" s="2"/>
      <c r="H958" s="2"/>
      <c r="K958" s="2"/>
      <c r="L958" s="2"/>
      <c r="M958" s="2"/>
      <c r="N958" s="2"/>
      <c r="O958" s="2"/>
      <c r="Q958" s="2"/>
      <c r="S958" s="7" t="s">
        <v>5712</v>
      </c>
      <c r="T958" s="7" t="s">
        <v>5712</v>
      </c>
      <c r="U958" s="2" t="s">
        <v>5712</v>
      </c>
    </row>
    <row r="959" spans="1:21" ht="12.75" x14ac:dyDescent="0.2">
      <c r="A959" s="1"/>
      <c r="B959" s="2"/>
      <c r="C959" s="2"/>
      <c r="D959" s="2"/>
      <c r="E959" s="3"/>
      <c r="F959" s="4"/>
      <c r="G959" s="2"/>
      <c r="H959" s="2"/>
      <c r="K959" s="2"/>
      <c r="L959" s="2"/>
      <c r="M959" s="2"/>
      <c r="N959" s="2"/>
      <c r="O959" s="2"/>
      <c r="Q959" s="2"/>
      <c r="S959" s="7" t="s">
        <v>5712</v>
      </c>
      <c r="T959" s="7" t="s">
        <v>5712</v>
      </c>
      <c r="U959" s="2" t="s">
        <v>5712</v>
      </c>
    </row>
    <row r="960" spans="1:21" ht="12.75" x14ac:dyDescent="0.2">
      <c r="A960" s="1"/>
      <c r="B960" s="2"/>
      <c r="C960" s="2"/>
      <c r="D960" s="2"/>
      <c r="E960" s="3"/>
      <c r="F960" s="4"/>
      <c r="G960" s="2"/>
      <c r="H960" s="2"/>
      <c r="K960" s="2"/>
      <c r="L960" s="2"/>
      <c r="M960" s="2"/>
      <c r="N960" s="2"/>
      <c r="O960" s="2"/>
      <c r="Q960" s="2"/>
      <c r="S960" s="7" t="s">
        <v>5712</v>
      </c>
      <c r="T960" s="7" t="s">
        <v>5712</v>
      </c>
      <c r="U960" s="2" t="s">
        <v>5712</v>
      </c>
    </row>
    <row r="961" spans="1:21" ht="12.75" x14ac:dyDescent="0.2">
      <c r="A961" s="1"/>
      <c r="B961" s="2"/>
      <c r="C961" s="2"/>
      <c r="D961" s="2"/>
      <c r="E961" s="3"/>
      <c r="F961" s="4"/>
      <c r="G961" s="2"/>
      <c r="H961" s="2"/>
      <c r="K961" s="2"/>
      <c r="L961" s="2"/>
      <c r="M961" s="2"/>
      <c r="N961" s="2"/>
      <c r="O961" s="2"/>
      <c r="Q961" s="2"/>
      <c r="S961" s="7" t="s">
        <v>5712</v>
      </c>
      <c r="T961" s="7" t="s">
        <v>5712</v>
      </c>
      <c r="U961" s="2" t="s">
        <v>5712</v>
      </c>
    </row>
    <row r="962" spans="1:21" ht="12.75" x14ac:dyDescent="0.2">
      <c r="A962" s="1"/>
      <c r="B962" s="2"/>
      <c r="C962" s="2"/>
      <c r="D962" s="2"/>
      <c r="E962" s="3"/>
      <c r="F962" s="4"/>
      <c r="G962" s="2"/>
      <c r="H962" s="2"/>
      <c r="K962" s="2"/>
      <c r="L962" s="2"/>
      <c r="M962" s="2"/>
      <c r="N962" s="2"/>
      <c r="O962" s="2"/>
      <c r="Q962" s="2"/>
      <c r="S962" s="7" t="s">
        <v>5712</v>
      </c>
      <c r="T962" s="7" t="s">
        <v>5712</v>
      </c>
      <c r="U962" s="2" t="s">
        <v>5712</v>
      </c>
    </row>
    <row r="963" spans="1:21" ht="12.75" x14ac:dyDescent="0.2">
      <c r="A963" s="1"/>
      <c r="B963" s="2"/>
      <c r="C963" s="2"/>
      <c r="D963" s="2"/>
      <c r="E963" s="3"/>
      <c r="F963" s="4"/>
      <c r="G963" s="2"/>
      <c r="H963" s="2"/>
      <c r="K963" s="2"/>
      <c r="L963" s="2"/>
      <c r="M963" s="2"/>
      <c r="N963" s="2"/>
      <c r="O963" s="2"/>
      <c r="Q963" s="2"/>
      <c r="S963" s="7" t="s">
        <v>5712</v>
      </c>
      <c r="T963" s="7" t="s">
        <v>5712</v>
      </c>
      <c r="U963" s="2" t="s">
        <v>5712</v>
      </c>
    </row>
    <row r="964" spans="1:21" ht="12.75" x14ac:dyDescent="0.2">
      <c r="A964" s="1"/>
      <c r="B964" s="2"/>
      <c r="C964" s="2"/>
      <c r="D964" s="2"/>
      <c r="E964" s="3"/>
      <c r="F964" s="4"/>
      <c r="G964" s="2"/>
      <c r="H964" s="2"/>
      <c r="K964" s="2"/>
      <c r="L964" s="2"/>
      <c r="M964" s="2"/>
      <c r="N964" s="2"/>
      <c r="O964" s="2"/>
      <c r="Q964" s="2"/>
      <c r="S964" s="7" t="s">
        <v>5712</v>
      </c>
      <c r="T964" s="7" t="s">
        <v>5712</v>
      </c>
      <c r="U964" s="2" t="s">
        <v>5712</v>
      </c>
    </row>
    <row r="965" spans="1:21" ht="12.75" x14ac:dyDescent="0.2">
      <c r="A965" s="1"/>
      <c r="B965" s="2"/>
      <c r="C965" s="2"/>
      <c r="D965" s="2"/>
      <c r="E965" s="3"/>
      <c r="F965" s="4"/>
      <c r="G965" s="2"/>
      <c r="H965" s="2"/>
      <c r="K965" s="2"/>
      <c r="L965" s="2"/>
      <c r="M965" s="2"/>
      <c r="N965" s="2"/>
      <c r="O965" s="2"/>
      <c r="Q965" s="2"/>
      <c r="S965" s="7" t="s">
        <v>5712</v>
      </c>
      <c r="T965" s="7" t="s">
        <v>5712</v>
      </c>
      <c r="U965" s="2" t="s">
        <v>5712</v>
      </c>
    </row>
    <row r="966" spans="1:21" ht="12.75" x14ac:dyDescent="0.2">
      <c r="A966" s="1"/>
      <c r="B966" s="2"/>
      <c r="C966" s="2"/>
      <c r="D966" s="2"/>
      <c r="E966" s="3"/>
      <c r="F966" s="4"/>
      <c r="G966" s="2"/>
      <c r="H966" s="2"/>
      <c r="K966" s="2"/>
      <c r="L966" s="2"/>
      <c r="M966" s="2"/>
      <c r="N966" s="2"/>
      <c r="O966" s="2"/>
      <c r="Q966" s="2"/>
      <c r="S966" s="7" t="s">
        <v>5712</v>
      </c>
      <c r="T966" s="7" t="s">
        <v>5712</v>
      </c>
      <c r="U966" s="2" t="s">
        <v>5712</v>
      </c>
    </row>
    <row r="967" spans="1:21" ht="12.75" x14ac:dyDescent="0.2">
      <c r="A967" s="1"/>
      <c r="B967" s="2"/>
      <c r="C967" s="2"/>
      <c r="D967" s="2"/>
      <c r="E967" s="3"/>
      <c r="F967" s="4"/>
      <c r="G967" s="2"/>
      <c r="H967" s="2"/>
      <c r="K967" s="2"/>
      <c r="L967" s="2"/>
      <c r="M967" s="2"/>
      <c r="N967" s="2"/>
      <c r="O967" s="2"/>
      <c r="Q967" s="2"/>
      <c r="S967" s="7" t="s">
        <v>5712</v>
      </c>
      <c r="T967" s="7" t="s">
        <v>5712</v>
      </c>
      <c r="U967" s="2" t="s">
        <v>5712</v>
      </c>
    </row>
    <row r="968" spans="1:21" ht="12.75" x14ac:dyDescent="0.2">
      <c r="A968" s="1"/>
      <c r="B968" s="2"/>
      <c r="C968" s="2"/>
      <c r="D968" s="2"/>
      <c r="E968" s="3"/>
      <c r="F968" s="4"/>
      <c r="G968" s="2"/>
      <c r="H968" s="2"/>
      <c r="K968" s="2"/>
      <c r="L968" s="2"/>
      <c r="M968" s="2"/>
      <c r="N968" s="2"/>
      <c r="O968" s="2"/>
      <c r="Q968" s="2"/>
      <c r="S968" s="7" t="s">
        <v>5712</v>
      </c>
      <c r="T968" s="7" t="s">
        <v>5712</v>
      </c>
      <c r="U968" s="2" t="s">
        <v>5712</v>
      </c>
    </row>
    <row r="969" spans="1:21" ht="12.75" x14ac:dyDescent="0.2">
      <c r="A969" s="1"/>
      <c r="B969" s="2"/>
      <c r="C969" s="2"/>
      <c r="D969" s="2"/>
      <c r="E969" s="3"/>
      <c r="F969" s="4"/>
      <c r="G969" s="2"/>
      <c r="H969" s="2"/>
      <c r="K969" s="2"/>
      <c r="L969" s="2"/>
      <c r="M969" s="2"/>
      <c r="N969" s="2"/>
      <c r="O969" s="2"/>
      <c r="Q969" s="2"/>
      <c r="S969" s="7" t="s">
        <v>5712</v>
      </c>
      <c r="T969" s="7" t="s">
        <v>5712</v>
      </c>
      <c r="U969" s="2" t="s">
        <v>5712</v>
      </c>
    </row>
    <row r="970" spans="1:21" ht="12.75" x14ac:dyDescent="0.2">
      <c r="A970" s="1"/>
      <c r="B970" s="2"/>
      <c r="C970" s="2"/>
      <c r="D970" s="2"/>
      <c r="E970" s="3"/>
      <c r="F970" s="4"/>
      <c r="G970" s="2"/>
      <c r="H970" s="2"/>
      <c r="K970" s="2"/>
      <c r="L970" s="2"/>
      <c r="M970" s="2"/>
      <c r="N970" s="2"/>
      <c r="O970" s="2"/>
      <c r="Q970" s="2"/>
      <c r="S970" s="7" t="s">
        <v>5712</v>
      </c>
      <c r="T970" s="7" t="s">
        <v>5712</v>
      </c>
      <c r="U970" s="2" t="s">
        <v>5712</v>
      </c>
    </row>
    <row r="971" spans="1:21" ht="12.75" x14ac:dyDescent="0.2">
      <c r="A971" s="1"/>
      <c r="B971" s="2"/>
      <c r="C971" s="2"/>
      <c r="D971" s="2"/>
      <c r="E971" s="3"/>
      <c r="F971" s="4"/>
      <c r="G971" s="2"/>
      <c r="H971" s="2"/>
      <c r="K971" s="2"/>
      <c r="L971" s="2"/>
      <c r="M971" s="2"/>
      <c r="N971" s="2"/>
      <c r="O971" s="2"/>
      <c r="Q971" s="2"/>
      <c r="S971" s="7" t="s">
        <v>5712</v>
      </c>
      <c r="T971" s="7" t="s">
        <v>5712</v>
      </c>
      <c r="U971" s="2" t="s">
        <v>5712</v>
      </c>
    </row>
    <row r="972" spans="1:21" ht="12.75" x14ac:dyDescent="0.2">
      <c r="A972" s="1"/>
      <c r="B972" s="2"/>
      <c r="C972" s="2"/>
      <c r="D972" s="2"/>
      <c r="E972" s="3"/>
      <c r="F972" s="4"/>
      <c r="G972" s="2"/>
      <c r="H972" s="2"/>
      <c r="K972" s="2"/>
      <c r="L972" s="2"/>
      <c r="M972" s="2"/>
      <c r="N972" s="2"/>
      <c r="O972" s="2"/>
      <c r="Q972" s="2"/>
      <c r="S972" s="7" t="s">
        <v>5712</v>
      </c>
      <c r="T972" s="7" t="s">
        <v>5712</v>
      </c>
      <c r="U972" s="2" t="s">
        <v>5712</v>
      </c>
    </row>
    <row r="973" spans="1:21" ht="12.75" x14ac:dyDescent="0.2">
      <c r="A973" s="1"/>
      <c r="B973" s="2"/>
      <c r="C973" s="2"/>
      <c r="D973" s="2"/>
      <c r="E973" s="3"/>
      <c r="F973" s="4"/>
      <c r="G973" s="2"/>
      <c r="H973" s="2"/>
      <c r="K973" s="2"/>
      <c r="L973" s="2"/>
      <c r="M973" s="2"/>
      <c r="N973" s="2"/>
      <c r="O973" s="2"/>
      <c r="Q973" s="2"/>
      <c r="S973" s="7" t="s">
        <v>5712</v>
      </c>
      <c r="T973" s="7" t="s">
        <v>5712</v>
      </c>
      <c r="U973" s="2" t="s">
        <v>5712</v>
      </c>
    </row>
    <row r="974" spans="1:21" ht="12.75" x14ac:dyDescent="0.2">
      <c r="A974" s="1"/>
      <c r="B974" s="2"/>
      <c r="C974" s="2"/>
      <c r="D974" s="2"/>
      <c r="E974" s="3"/>
      <c r="F974" s="4"/>
      <c r="G974" s="2"/>
      <c r="H974" s="2"/>
      <c r="K974" s="2"/>
      <c r="L974" s="2"/>
      <c r="M974" s="2"/>
      <c r="N974" s="2"/>
      <c r="O974" s="2"/>
      <c r="Q974" s="2"/>
      <c r="S974" s="7" t="s">
        <v>5712</v>
      </c>
      <c r="T974" s="7" t="s">
        <v>5712</v>
      </c>
      <c r="U974" s="2" t="s">
        <v>5712</v>
      </c>
    </row>
    <row r="975" spans="1:21" ht="12.75" x14ac:dyDescent="0.2">
      <c r="A975" s="1"/>
      <c r="B975" s="2"/>
      <c r="C975" s="2"/>
      <c r="D975" s="2"/>
      <c r="E975" s="3"/>
      <c r="F975" s="4"/>
      <c r="G975" s="2"/>
      <c r="H975" s="2"/>
      <c r="K975" s="2"/>
      <c r="L975" s="2"/>
      <c r="M975" s="2"/>
      <c r="N975" s="2"/>
      <c r="O975" s="2"/>
      <c r="Q975" s="2"/>
      <c r="S975" s="7" t="s">
        <v>5712</v>
      </c>
      <c r="T975" s="7" t="s">
        <v>5712</v>
      </c>
      <c r="U975" s="2" t="s">
        <v>5712</v>
      </c>
    </row>
    <row r="976" spans="1:21" ht="12.75" x14ac:dyDescent="0.2">
      <c r="A976" s="1"/>
      <c r="B976" s="2"/>
      <c r="C976" s="2"/>
      <c r="D976" s="2"/>
      <c r="E976" s="3"/>
      <c r="F976" s="4"/>
      <c r="G976" s="2"/>
      <c r="H976" s="2"/>
      <c r="K976" s="2"/>
      <c r="L976" s="2"/>
      <c r="M976" s="2"/>
      <c r="N976" s="2"/>
      <c r="O976" s="2"/>
      <c r="Q976" s="2"/>
      <c r="S976" s="7" t="s">
        <v>5712</v>
      </c>
      <c r="T976" s="7" t="s">
        <v>5712</v>
      </c>
      <c r="U976" s="2" t="s">
        <v>5712</v>
      </c>
    </row>
    <row r="977" spans="1:21" ht="12.75" x14ac:dyDescent="0.2">
      <c r="A977" s="1"/>
      <c r="B977" s="2"/>
      <c r="C977" s="2"/>
      <c r="D977" s="2"/>
      <c r="E977" s="3"/>
      <c r="F977" s="4"/>
      <c r="G977" s="2"/>
      <c r="H977" s="2"/>
      <c r="K977" s="2"/>
      <c r="L977" s="2"/>
      <c r="M977" s="2"/>
      <c r="N977" s="2"/>
      <c r="O977" s="2"/>
      <c r="Q977" s="2"/>
      <c r="S977" s="7" t="s">
        <v>5712</v>
      </c>
      <c r="T977" s="7" t="s">
        <v>5712</v>
      </c>
      <c r="U977" s="2" t="s">
        <v>5712</v>
      </c>
    </row>
    <row r="978" spans="1:21" ht="12.75" x14ac:dyDescent="0.2">
      <c r="A978" s="1"/>
      <c r="B978" s="2"/>
      <c r="C978" s="2"/>
      <c r="D978" s="2"/>
      <c r="E978" s="3"/>
      <c r="F978" s="4"/>
      <c r="G978" s="2"/>
      <c r="H978" s="2"/>
      <c r="K978" s="2"/>
      <c r="L978" s="2"/>
      <c r="M978" s="2"/>
      <c r="N978" s="2"/>
      <c r="O978" s="2"/>
      <c r="Q978" s="2"/>
      <c r="S978" s="7" t="s">
        <v>5712</v>
      </c>
      <c r="T978" s="7" t="s">
        <v>5712</v>
      </c>
      <c r="U978" s="2" t="s">
        <v>5712</v>
      </c>
    </row>
    <row r="979" spans="1:21" ht="12.75" x14ac:dyDescent="0.2">
      <c r="A979" s="1"/>
      <c r="B979" s="2"/>
      <c r="C979" s="2"/>
      <c r="D979" s="2"/>
      <c r="E979" s="3"/>
      <c r="F979" s="4"/>
      <c r="G979" s="2"/>
      <c r="H979" s="2"/>
      <c r="K979" s="2"/>
      <c r="L979" s="2"/>
      <c r="M979" s="2"/>
      <c r="N979" s="2"/>
      <c r="O979" s="2"/>
      <c r="Q979" s="2"/>
      <c r="S979" s="7" t="s">
        <v>5712</v>
      </c>
      <c r="T979" s="7" t="s">
        <v>5712</v>
      </c>
      <c r="U979" s="2" t="s">
        <v>5712</v>
      </c>
    </row>
    <row r="980" spans="1:21" ht="12.75" x14ac:dyDescent="0.2">
      <c r="A980" s="1"/>
      <c r="B980" s="2"/>
      <c r="C980" s="2"/>
      <c r="D980" s="2"/>
      <c r="E980" s="3"/>
      <c r="F980" s="4"/>
      <c r="G980" s="2"/>
      <c r="H980" s="2"/>
      <c r="K980" s="2"/>
      <c r="L980" s="2"/>
      <c r="M980" s="2"/>
      <c r="N980" s="2"/>
      <c r="O980" s="2"/>
      <c r="Q980" s="2"/>
      <c r="S980" s="7" t="s">
        <v>5712</v>
      </c>
      <c r="T980" s="7" t="s">
        <v>5712</v>
      </c>
      <c r="U980" s="2" t="s">
        <v>5712</v>
      </c>
    </row>
    <row r="981" spans="1:21" ht="12.75" x14ac:dyDescent="0.2">
      <c r="A981" s="1"/>
      <c r="B981" s="2"/>
      <c r="C981" s="2"/>
      <c r="D981" s="2"/>
      <c r="E981" s="3"/>
      <c r="F981" s="4"/>
      <c r="G981" s="2"/>
      <c r="H981" s="2"/>
      <c r="K981" s="2"/>
      <c r="L981" s="2"/>
      <c r="M981" s="2"/>
      <c r="N981" s="2"/>
      <c r="O981" s="2"/>
      <c r="Q981" s="2"/>
      <c r="S981" s="7" t="s">
        <v>5712</v>
      </c>
      <c r="T981" s="7" t="s">
        <v>5712</v>
      </c>
      <c r="U981" s="2" t="s">
        <v>5712</v>
      </c>
    </row>
    <row r="982" spans="1:21" ht="12.75" x14ac:dyDescent="0.2">
      <c r="A982" s="1"/>
      <c r="B982" s="2"/>
      <c r="C982" s="2"/>
      <c r="D982" s="2"/>
      <c r="E982" s="3"/>
      <c r="F982" s="4"/>
      <c r="G982" s="2"/>
      <c r="H982" s="2"/>
      <c r="K982" s="2"/>
      <c r="L982" s="2"/>
      <c r="M982" s="2"/>
      <c r="N982" s="2"/>
      <c r="O982" s="2"/>
      <c r="Q982" s="2"/>
      <c r="S982" s="7" t="s">
        <v>5712</v>
      </c>
      <c r="T982" s="7" t="s">
        <v>5712</v>
      </c>
      <c r="U982" s="2" t="s">
        <v>5712</v>
      </c>
    </row>
    <row r="983" spans="1:21" ht="12.75" x14ac:dyDescent="0.2">
      <c r="A983" s="1"/>
      <c r="B983" s="2"/>
      <c r="C983" s="2"/>
      <c r="D983" s="2"/>
      <c r="E983" s="3"/>
      <c r="F983" s="4"/>
      <c r="G983" s="2"/>
      <c r="H983" s="2"/>
      <c r="K983" s="2"/>
      <c r="L983" s="2"/>
      <c r="M983" s="2"/>
      <c r="N983" s="2"/>
      <c r="O983" s="2"/>
      <c r="Q983" s="2"/>
      <c r="S983" s="7" t="s">
        <v>5712</v>
      </c>
      <c r="T983" s="7" t="s">
        <v>5712</v>
      </c>
      <c r="U983" s="2" t="s">
        <v>5712</v>
      </c>
    </row>
    <row r="984" spans="1:21" ht="12.75" x14ac:dyDescent="0.2">
      <c r="A984" s="1"/>
      <c r="B984" s="2"/>
      <c r="C984" s="2"/>
      <c r="D984" s="2"/>
      <c r="E984" s="3"/>
      <c r="F984" s="4"/>
      <c r="G984" s="2"/>
      <c r="H984" s="2"/>
      <c r="K984" s="2"/>
      <c r="L984" s="2"/>
      <c r="M984" s="2"/>
      <c r="N984" s="2"/>
      <c r="O984" s="2"/>
      <c r="Q984" s="2"/>
      <c r="S984" s="7" t="s">
        <v>5712</v>
      </c>
      <c r="T984" s="7" t="s">
        <v>5712</v>
      </c>
      <c r="U984" s="2" t="s">
        <v>5712</v>
      </c>
    </row>
    <row r="985" spans="1:21" ht="12.75" x14ac:dyDescent="0.2">
      <c r="A985" s="1"/>
      <c r="B985" s="2"/>
      <c r="C985" s="2"/>
      <c r="D985" s="2"/>
      <c r="E985" s="3"/>
      <c r="F985" s="4"/>
      <c r="G985" s="2"/>
      <c r="H985" s="2"/>
      <c r="K985" s="2"/>
      <c r="L985" s="2"/>
      <c r="M985" s="2"/>
      <c r="N985" s="2"/>
      <c r="O985" s="2"/>
      <c r="Q985" s="2"/>
      <c r="S985" s="7" t="s">
        <v>5712</v>
      </c>
      <c r="T985" s="7" t="s">
        <v>5712</v>
      </c>
      <c r="U985" s="2" t="s">
        <v>5712</v>
      </c>
    </row>
    <row r="986" spans="1:21" ht="12.75" x14ac:dyDescent="0.2">
      <c r="A986" s="1"/>
      <c r="B986" s="2"/>
      <c r="C986" s="2"/>
      <c r="D986" s="2"/>
      <c r="E986" s="3"/>
      <c r="F986" s="4"/>
      <c r="G986" s="2"/>
      <c r="H986" s="2"/>
      <c r="K986" s="2"/>
      <c r="L986" s="2"/>
      <c r="M986" s="2"/>
      <c r="N986" s="2"/>
      <c r="O986" s="2"/>
      <c r="Q986" s="2"/>
      <c r="S986" s="7" t="s">
        <v>5712</v>
      </c>
      <c r="T986" s="7" t="s">
        <v>5712</v>
      </c>
      <c r="U986" s="2" t="s">
        <v>5712</v>
      </c>
    </row>
    <row r="987" spans="1:21" ht="12.75" x14ac:dyDescent="0.2">
      <c r="A987" s="1"/>
      <c r="B987" s="2"/>
      <c r="C987" s="2"/>
      <c r="D987" s="2"/>
      <c r="E987" s="3"/>
      <c r="F987" s="4"/>
      <c r="G987" s="2"/>
      <c r="H987" s="2"/>
      <c r="K987" s="2"/>
      <c r="L987" s="2"/>
      <c r="M987" s="2"/>
      <c r="N987" s="2"/>
      <c r="O987" s="2"/>
      <c r="Q987" s="2"/>
      <c r="S987" s="7" t="s">
        <v>5712</v>
      </c>
      <c r="T987" s="7" t="s">
        <v>5712</v>
      </c>
      <c r="U987" s="2" t="s">
        <v>5712</v>
      </c>
    </row>
    <row r="988" spans="1:21" ht="12.75" x14ac:dyDescent="0.2">
      <c r="A988" s="1"/>
      <c r="B988" s="2"/>
      <c r="C988" s="2"/>
      <c r="D988" s="2"/>
      <c r="E988" s="3"/>
      <c r="F988" s="4"/>
      <c r="G988" s="2"/>
      <c r="H988" s="2"/>
      <c r="K988" s="2"/>
      <c r="L988" s="2"/>
      <c r="M988" s="2"/>
      <c r="N988" s="2"/>
      <c r="O988" s="2"/>
      <c r="Q988" s="2"/>
      <c r="S988" s="7" t="s">
        <v>5712</v>
      </c>
      <c r="T988" s="7" t="s">
        <v>5712</v>
      </c>
      <c r="U988" s="2" t="s">
        <v>5712</v>
      </c>
    </row>
    <row r="989" spans="1:21" ht="12.75" x14ac:dyDescent="0.2">
      <c r="A989" s="1"/>
      <c r="B989" s="2"/>
      <c r="C989" s="2"/>
      <c r="D989" s="2"/>
      <c r="E989" s="3"/>
      <c r="F989" s="4"/>
      <c r="G989" s="2"/>
      <c r="H989" s="2"/>
      <c r="K989" s="2"/>
      <c r="L989" s="2"/>
      <c r="M989" s="2"/>
      <c r="N989" s="2"/>
      <c r="O989" s="2"/>
      <c r="Q989" s="2"/>
      <c r="S989" s="7" t="s">
        <v>5712</v>
      </c>
      <c r="T989" s="7" t="s">
        <v>5712</v>
      </c>
      <c r="U989" s="2" t="s">
        <v>5712</v>
      </c>
    </row>
    <row r="990" spans="1:21" ht="12.75" x14ac:dyDescent="0.2">
      <c r="A990" s="1"/>
      <c r="B990" s="2"/>
      <c r="C990" s="2"/>
      <c r="D990" s="2"/>
      <c r="E990" s="3"/>
      <c r="F990" s="4"/>
      <c r="G990" s="2"/>
      <c r="H990" s="2"/>
      <c r="K990" s="2"/>
      <c r="L990" s="2"/>
      <c r="M990" s="2"/>
      <c r="N990" s="2"/>
      <c r="O990" s="2"/>
      <c r="Q990" s="2"/>
      <c r="S990" s="7" t="s">
        <v>5712</v>
      </c>
      <c r="T990" s="7" t="s">
        <v>5712</v>
      </c>
      <c r="U990" s="2" t="s">
        <v>5712</v>
      </c>
    </row>
    <row r="991" spans="1:21" ht="12.75" x14ac:dyDescent="0.2">
      <c r="A991" s="1"/>
      <c r="B991" s="2"/>
      <c r="C991" s="2"/>
      <c r="D991" s="2"/>
      <c r="E991" s="3"/>
      <c r="F991" s="4"/>
      <c r="G991" s="2"/>
      <c r="H991" s="2"/>
      <c r="K991" s="2"/>
      <c r="L991" s="2"/>
      <c r="M991" s="2"/>
      <c r="N991" s="2"/>
      <c r="O991" s="2"/>
      <c r="Q991" s="2"/>
      <c r="S991" s="7" t="s">
        <v>5712</v>
      </c>
      <c r="T991" s="7" t="s">
        <v>5712</v>
      </c>
      <c r="U991" s="2" t="s">
        <v>5712</v>
      </c>
    </row>
    <row r="992" spans="1:21" ht="12.75" x14ac:dyDescent="0.2">
      <c r="A992" s="1"/>
      <c r="B992" s="2"/>
      <c r="C992" s="2"/>
      <c r="D992" s="2"/>
      <c r="E992" s="3"/>
      <c r="F992" s="4"/>
      <c r="G992" s="2"/>
      <c r="H992" s="2"/>
      <c r="K992" s="2"/>
      <c r="L992" s="2"/>
      <c r="M992" s="2"/>
      <c r="N992" s="2"/>
      <c r="O992" s="2"/>
      <c r="Q992" s="2"/>
      <c r="S992" s="7" t="s">
        <v>5712</v>
      </c>
      <c r="T992" s="7" t="s">
        <v>5712</v>
      </c>
      <c r="U992" s="2" t="s">
        <v>5712</v>
      </c>
    </row>
    <row r="993" spans="1:21" ht="12.75" x14ac:dyDescent="0.2">
      <c r="A993" s="1"/>
      <c r="B993" s="2"/>
      <c r="C993" s="2"/>
      <c r="D993" s="2"/>
      <c r="E993" s="3"/>
      <c r="F993" s="4"/>
      <c r="G993" s="2"/>
      <c r="H993" s="2"/>
      <c r="K993" s="2"/>
      <c r="L993" s="2"/>
      <c r="M993" s="2"/>
      <c r="N993" s="2"/>
      <c r="O993" s="2"/>
      <c r="Q993" s="2"/>
      <c r="S993" s="7" t="s">
        <v>5712</v>
      </c>
      <c r="T993" s="7" t="s">
        <v>5712</v>
      </c>
      <c r="U993" s="2" t="s">
        <v>5712</v>
      </c>
    </row>
    <row r="994" spans="1:21" ht="12.75" x14ac:dyDescent="0.2">
      <c r="A994" s="1"/>
      <c r="B994" s="2"/>
      <c r="C994" s="2"/>
      <c r="D994" s="2"/>
      <c r="E994" s="3"/>
      <c r="F994" s="4"/>
      <c r="G994" s="2"/>
      <c r="H994" s="2"/>
      <c r="K994" s="2"/>
      <c r="L994" s="2"/>
      <c r="M994" s="2"/>
      <c r="N994" s="2"/>
      <c r="O994" s="2"/>
      <c r="Q994" s="2"/>
      <c r="S994" s="7" t="s">
        <v>5712</v>
      </c>
      <c r="T994" s="7" t="s">
        <v>5712</v>
      </c>
      <c r="U994" s="2" t="s">
        <v>5712</v>
      </c>
    </row>
    <row r="995" spans="1:21" ht="12.75" x14ac:dyDescent="0.2">
      <c r="A995" s="1"/>
      <c r="B995" s="2"/>
      <c r="C995" s="2"/>
      <c r="D995" s="2"/>
      <c r="E995" s="3"/>
      <c r="F995" s="4"/>
      <c r="G995" s="2"/>
      <c r="H995" s="2"/>
      <c r="K995" s="2"/>
      <c r="L995" s="2"/>
      <c r="M995" s="2"/>
      <c r="N995" s="2"/>
      <c r="O995" s="2"/>
      <c r="Q995" s="2"/>
      <c r="S995" s="7" t="s">
        <v>5712</v>
      </c>
      <c r="T995" s="7" t="s">
        <v>5712</v>
      </c>
      <c r="U995" s="2" t="s">
        <v>5712</v>
      </c>
    </row>
    <row r="996" spans="1:21" ht="12.75" x14ac:dyDescent="0.2">
      <c r="A996" s="1"/>
      <c r="B996" s="2"/>
      <c r="C996" s="2"/>
      <c r="D996" s="2"/>
      <c r="E996" s="3"/>
      <c r="F996" s="4"/>
      <c r="G996" s="2"/>
      <c r="H996" s="2"/>
      <c r="K996" s="2"/>
      <c r="L996" s="2"/>
      <c r="M996" s="2"/>
      <c r="N996" s="2"/>
      <c r="O996" s="2"/>
      <c r="Q996" s="2"/>
      <c r="S996" s="7" t="s">
        <v>5712</v>
      </c>
      <c r="T996" s="7" t="s">
        <v>5712</v>
      </c>
      <c r="U996" s="2" t="s">
        <v>5712</v>
      </c>
    </row>
    <row r="997" spans="1:21" ht="12.75" x14ac:dyDescent="0.2">
      <c r="A997" s="1"/>
      <c r="B997" s="2"/>
      <c r="C997" s="2"/>
      <c r="D997" s="2"/>
      <c r="E997" s="3"/>
      <c r="F997" s="4"/>
      <c r="G997" s="2"/>
      <c r="H997" s="2"/>
      <c r="K997" s="2"/>
      <c r="L997" s="2"/>
      <c r="M997" s="2"/>
      <c r="N997" s="2"/>
      <c r="O997" s="2"/>
      <c r="Q997" s="2"/>
      <c r="S997" s="7" t="s">
        <v>5712</v>
      </c>
      <c r="T997" s="7" t="s">
        <v>5712</v>
      </c>
      <c r="U997" s="2" t="s">
        <v>5712</v>
      </c>
    </row>
    <row r="998" spans="1:21" ht="12.75" x14ac:dyDescent="0.2">
      <c r="A998" s="1"/>
      <c r="B998" s="2"/>
      <c r="C998" s="2"/>
      <c r="D998" s="2"/>
      <c r="E998" s="3"/>
      <c r="F998" s="4"/>
      <c r="G998" s="2"/>
      <c r="H998" s="2"/>
      <c r="K998" s="2"/>
      <c r="L998" s="2"/>
      <c r="M998" s="2"/>
      <c r="N998" s="2"/>
      <c r="O998" s="2"/>
      <c r="Q998" s="2"/>
      <c r="S998" s="7" t="s">
        <v>5712</v>
      </c>
      <c r="T998" s="7" t="s">
        <v>5712</v>
      </c>
      <c r="U998" s="2" t="s">
        <v>5712</v>
      </c>
    </row>
    <row r="999" spans="1:21" ht="12.75" x14ac:dyDescent="0.2">
      <c r="A999" s="1"/>
      <c r="B999" s="2"/>
      <c r="C999" s="2"/>
      <c r="D999" s="2"/>
      <c r="E999" s="3"/>
      <c r="F999" s="4"/>
      <c r="G999" s="2"/>
      <c r="H999" s="2"/>
      <c r="K999" s="2"/>
      <c r="L999" s="2"/>
      <c r="M999" s="2"/>
      <c r="N999" s="2"/>
      <c r="O999" s="2"/>
      <c r="Q999" s="2"/>
      <c r="S999" s="7" t="s">
        <v>5712</v>
      </c>
      <c r="T999" s="7" t="s">
        <v>5712</v>
      </c>
      <c r="U999" s="2" t="s">
        <v>5712</v>
      </c>
    </row>
    <row r="1000" spans="1:21" ht="12.75" x14ac:dyDescent="0.2">
      <c r="A1000" s="1"/>
      <c r="B1000" s="2"/>
      <c r="C1000" s="2"/>
      <c r="D1000" s="2"/>
      <c r="E1000" s="3"/>
      <c r="F1000" s="4"/>
      <c r="G1000" s="2"/>
      <c r="H1000" s="2"/>
      <c r="K1000" s="2"/>
      <c r="L1000" s="2"/>
      <c r="M1000" s="2"/>
      <c r="N1000" s="2"/>
      <c r="O1000" s="2"/>
      <c r="Q1000" s="2"/>
      <c r="S1000" s="7" t="s">
        <v>5712</v>
      </c>
      <c r="T1000" s="7" t="s">
        <v>5712</v>
      </c>
      <c r="U1000" s="2" t="s">
        <v>5712</v>
      </c>
    </row>
    <row r="1001" spans="1:21" ht="12.75" x14ac:dyDescent="0.2">
      <c r="A1001" s="1"/>
      <c r="B1001" s="2"/>
      <c r="C1001" s="2"/>
      <c r="D1001" s="2"/>
      <c r="E1001" s="3"/>
      <c r="F1001" s="4"/>
      <c r="G1001" s="2"/>
      <c r="H1001" s="2"/>
      <c r="K1001" s="2"/>
      <c r="L1001" s="2"/>
      <c r="M1001" s="2"/>
      <c r="N1001" s="2"/>
      <c r="O1001" s="2"/>
      <c r="Q1001" s="2"/>
      <c r="S1001" s="7" t="s">
        <v>5712</v>
      </c>
      <c r="T1001" s="7" t="s">
        <v>5712</v>
      </c>
      <c r="U1001" s="2" t="s">
        <v>5712</v>
      </c>
    </row>
    <row r="1002" spans="1:21" ht="12.75" x14ac:dyDescent="0.2">
      <c r="A1002" s="1"/>
      <c r="B1002" s="2"/>
      <c r="C1002" s="2"/>
      <c r="D1002" s="2"/>
      <c r="E1002" s="3"/>
      <c r="F1002" s="4"/>
      <c r="G1002" s="2"/>
      <c r="H1002" s="2"/>
      <c r="K1002" s="2"/>
      <c r="L1002" s="2"/>
      <c r="M1002" s="2"/>
      <c r="N1002" s="2"/>
      <c r="O1002" s="2"/>
      <c r="Q1002" s="2"/>
      <c r="S1002" s="7" t="s">
        <v>5712</v>
      </c>
      <c r="T1002" s="7" t="s">
        <v>5712</v>
      </c>
      <c r="U1002" s="2" t="s">
        <v>5712</v>
      </c>
    </row>
    <row r="1003" spans="1:21" ht="12.75" x14ac:dyDescent="0.2">
      <c r="A1003" s="1"/>
      <c r="B1003" s="2"/>
      <c r="C1003" s="2"/>
      <c r="D1003" s="2"/>
      <c r="E1003" s="3"/>
      <c r="F1003" s="4"/>
      <c r="G1003" s="2"/>
      <c r="H1003" s="2"/>
      <c r="K1003" s="2"/>
      <c r="L1003" s="2"/>
      <c r="M1003" s="2"/>
      <c r="N1003" s="2"/>
      <c r="O1003" s="2"/>
      <c r="Q1003" s="2"/>
      <c r="S1003" s="7" t="s">
        <v>5712</v>
      </c>
      <c r="T1003" s="7" t="s">
        <v>5712</v>
      </c>
      <c r="U1003" s="2" t="s">
        <v>5712</v>
      </c>
    </row>
    <row r="1004" spans="1:21" ht="12.75" x14ac:dyDescent="0.2">
      <c r="A1004" s="1"/>
      <c r="B1004" s="2"/>
      <c r="C1004" s="2"/>
      <c r="D1004" s="2"/>
      <c r="E1004" s="3"/>
      <c r="F1004" s="4"/>
      <c r="G1004" s="2"/>
      <c r="H1004" s="2"/>
      <c r="K1004" s="2"/>
      <c r="L1004" s="2"/>
      <c r="M1004" s="2"/>
      <c r="N1004" s="2"/>
      <c r="O1004" s="2"/>
      <c r="Q1004" s="2"/>
      <c r="S1004" s="7" t="s">
        <v>5712</v>
      </c>
      <c r="T1004" s="7" t="s">
        <v>5712</v>
      </c>
      <c r="U1004" s="2" t="s">
        <v>5712</v>
      </c>
    </row>
    <row r="1005" spans="1:21" ht="12.75" x14ac:dyDescent="0.2">
      <c r="A1005" s="1"/>
      <c r="B1005" s="2"/>
      <c r="C1005" s="2"/>
      <c r="D1005" s="2"/>
      <c r="E1005" s="3"/>
      <c r="F1005" s="4"/>
      <c r="G1005" s="2"/>
      <c r="H1005" s="2"/>
      <c r="K1005" s="2"/>
      <c r="L1005" s="2"/>
      <c r="M1005" s="2"/>
      <c r="N1005" s="2"/>
      <c r="O1005" s="2"/>
      <c r="Q1005" s="2"/>
      <c r="S1005" s="7" t="s">
        <v>5712</v>
      </c>
      <c r="T1005" s="7" t="s">
        <v>5712</v>
      </c>
      <c r="U1005" s="2" t="s">
        <v>5712</v>
      </c>
    </row>
    <row r="1006" spans="1:21" ht="12.75" x14ac:dyDescent="0.2">
      <c r="A1006" s="1"/>
      <c r="B1006" s="2"/>
      <c r="C1006" s="2"/>
      <c r="D1006" s="2"/>
      <c r="E1006" s="3"/>
      <c r="F1006" s="4"/>
      <c r="G1006" s="2"/>
      <c r="H1006" s="2"/>
      <c r="K1006" s="2"/>
      <c r="L1006" s="2"/>
      <c r="M1006" s="2"/>
      <c r="N1006" s="2"/>
      <c r="O1006" s="2"/>
      <c r="Q1006" s="2"/>
      <c r="S1006" s="7" t="s">
        <v>5712</v>
      </c>
      <c r="T1006" s="7" t="s">
        <v>5712</v>
      </c>
      <c r="U1006" s="2" t="s">
        <v>5712</v>
      </c>
    </row>
    <row r="1007" spans="1:21" ht="12.75" x14ac:dyDescent="0.2">
      <c r="A1007" s="1"/>
      <c r="B1007" s="2"/>
      <c r="C1007" s="2"/>
      <c r="D1007" s="2"/>
      <c r="E1007" s="3"/>
      <c r="F1007" s="4"/>
      <c r="G1007" s="2"/>
      <c r="H1007" s="2"/>
      <c r="K1007" s="2"/>
      <c r="L1007" s="2"/>
      <c r="M1007" s="2"/>
      <c r="N1007" s="2"/>
      <c r="O1007" s="2"/>
      <c r="Q1007" s="2"/>
      <c r="S1007" s="7" t="s">
        <v>5712</v>
      </c>
      <c r="T1007" s="7" t="s">
        <v>5712</v>
      </c>
      <c r="U1007" s="2" t="s">
        <v>5712</v>
      </c>
    </row>
    <row r="1008" spans="1:21" ht="12.75" x14ac:dyDescent="0.2">
      <c r="A1008" s="1"/>
      <c r="B1008" s="2"/>
      <c r="C1008" s="2"/>
      <c r="D1008" s="2"/>
      <c r="E1008" s="3"/>
      <c r="F1008" s="4"/>
      <c r="G1008" s="2"/>
      <c r="H1008" s="2"/>
      <c r="K1008" s="2"/>
      <c r="L1008" s="2"/>
      <c r="M1008" s="2"/>
      <c r="N1008" s="2"/>
      <c r="O1008" s="2"/>
      <c r="Q1008" s="2"/>
      <c r="S1008" s="7" t="s">
        <v>5712</v>
      </c>
      <c r="T1008" s="7" t="s">
        <v>5712</v>
      </c>
      <c r="U1008" s="2" t="s">
        <v>5712</v>
      </c>
    </row>
    <row r="1009" spans="1:21" ht="12.75" x14ac:dyDescent="0.2">
      <c r="A1009" s="1"/>
      <c r="B1009" s="2"/>
      <c r="C1009" s="2"/>
      <c r="D1009" s="2"/>
      <c r="E1009" s="3"/>
      <c r="F1009" s="4"/>
      <c r="G1009" s="2"/>
      <c r="H1009" s="2"/>
      <c r="K1009" s="2"/>
      <c r="L1009" s="2"/>
      <c r="M1009" s="2"/>
      <c r="N1009" s="2"/>
      <c r="O1009" s="2"/>
      <c r="Q1009" s="2"/>
      <c r="S1009" s="7" t="s">
        <v>5712</v>
      </c>
      <c r="T1009" s="7" t="s">
        <v>5712</v>
      </c>
      <c r="U1009" s="2" t="s">
        <v>5712</v>
      </c>
    </row>
    <row r="1010" spans="1:21" ht="12.75" x14ac:dyDescent="0.2">
      <c r="A1010" s="1"/>
      <c r="B1010" s="2"/>
      <c r="C1010" s="2"/>
      <c r="D1010" s="2"/>
      <c r="E1010" s="3"/>
      <c r="F1010" s="4"/>
      <c r="G1010" s="2"/>
      <c r="H1010" s="2"/>
      <c r="K1010" s="2"/>
      <c r="L1010" s="2"/>
      <c r="M1010" s="2"/>
      <c r="N1010" s="2"/>
      <c r="O1010" s="2"/>
      <c r="Q1010" s="2"/>
      <c r="S1010" s="7" t="s">
        <v>5712</v>
      </c>
      <c r="T1010" s="7" t="s">
        <v>5712</v>
      </c>
      <c r="U1010" s="2" t="s">
        <v>5712</v>
      </c>
    </row>
    <row r="1011" spans="1:21" ht="12.75" x14ac:dyDescent="0.2">
      <c r="A1011" s="1"/>
      <c r="B1011" s="2"/>
      <c r="C1011" s="2"/>
      <c r="D1011" s="2"/>
      <c r="E1011" s="3"/>
      <c r="F1011" s="4"/>
      <c r="G1011" s="2"/>
      <c r="H1011" s="2"/>
      <c r="K1011" s="2"/>
      <c r="L1011" s="2"/>
      <c r="M1011" s="2"/>
      <c r="N1011" s="2"/>
      <c r="O1011" s="2"/>
      <c r="Q1011" s="2"/>
      <c r="S1011" s="7" t="s">
        <v>5712</v>
      </c>
      <c r="T1011" s="7" t="s">
        <v>5712</v>
      </c>
      <c r="U1011" s="2" t="s">
        <v>5712</v>
      </c>
    </row>
    <row r="1012" spans="1:21" ht="12.75" x14ac:dyDescent="0.2">
      <c r="A1012" s="1"/>
      <c r="B1012" s="2"/>
      <c r="C1012" s="2"/>
      <c r="D1012" s="2"/>
      <c r="E1012" s="3"/>
      <c r="F1012" s="4"/>
      <c r="G1012" s="2"/>
      <c r="H1012" s="2"/>
      <c r="K1012" s="2"/>
      <c r="L1012" s="2"/>
      <c r="M1012" s="2"/>
      <c r="N1012" s="2"/>
      <c r="O1012" s="2"/>
      <c r="Q1012" s="2"/>
      <c r="S1012" s="7" t="s">
        <v>5712</v>
      </c>
      <c r="T1012" s="7" t="s">
        <v>5712</v>
      </c>
      <c r="U1012" s="2" t="s">
        <v>5712</v>
      </c>
    </row>
    <row r="1013" spans="1:21" ht="12.75" x14ac:dyDescent="0.2">
      <c r="A1013" s="1"/>
      <c r="B1013" s="2"/>
      <c r="C1013" s="2"/>
      <c r="D1013" s="2"/>
      <c r="E1013" s="3"/>
      <c r="F1013" s="4"/>
      <c r="G1013" s="2"/>
      <c r="H1013" s="2"/>
      <c r="K1013" s="2"/>
      <c r="L1013" s="2"/>
      <c r="M1013" s="2"/>
      <c r="N1013" s="2"/>
      <c r="O1013" s="2"/>
      <c r="Q1013" s="2"/>
      <c r="S1013" s="7" t="s">
        <v>5712</v>
      </c>
      <c r="T1013" s="7" t="s">
        <v>5712</v>
      </c>
      <c r="U1013" s="2" t="s">
        <v>5712</v>
      </c>
    </row>
    <row r="1014" spans="1:21" ht="12.75" x14ac:dyDescent="0.2">
      <c r="A1014" s="1"/>
      <c r="B1014" s="2"/>
      <c r="C1014" s="2"/>
      <c r="D1014" s="2"/>
      <c r="E1014" s="3"/>
      <c r="F1014" s="4"/>
      <c r="G1014" s="2"/>
      <c r="H1014" s="2"/>
      <c r="K1014" s="2"/>
      <c r="L1014" s="2"/>
      <c r="M1014" s="2"/>
      <c r="N1014" s="2"/>
      <c r="O1014" s="2"/>
      <c r="Q1014" s="2"/>
      <c r="S1014" s="7" t="s">
        <v>5712</v>
      </c>
      <c r="T1014" s="7" t="s">
        <v>5712</v>
      </c>
      <c r="U1014" s="2" t="s">
        <v>5712</v>
      </c>
    </row>
    <row r="1015" spans="1:21" ht="12.75" x14ac:dyDescent="0.2">
      <c r="A1015" s="1"/>
      <c r="B1015" s="2"/>
      <c r="C1015" s="2"/>
      <c r="D1015" s="2"/>
      <c r="E1015" s="3"/>
      <c r="F1015" s="4"/>
      <c r="G1015" s="2"/>
      <c r="H1015" s="2"/>
      <c r="K1015" s="2"/>
      <c r="L1015" s="2"/>
      <c r="M1015" s="2"/>
      <c r="N1015" s="2"/>
      <c r="O1015" s="2"/>
      <c r="Q1015" s="2"/>
      <c r="S1015" s="7" t="s">
        <v>5712</v>
      </c>
      <c r="T1015" s="7" t="s">
        <v>5712</v>
      </c>
      <c r="U1015" s="2" t="s">
        <v>5712</v>
      </c>
    </row>
    <row r="1016" spans="1:21" ht="12.75" x14ac:dyDescent="0.2">
      <c r="A1016" s="1"/>
      <c r="B1016" s="2"/>
      <c r="C1016" s="2"/>
      <c r="D1016" s="2"/>
      <c r="E1016" s="3"/>
      <c r="F1016" s="4"/>
      <c r="G1016" s="2"/>
      <c r="H1016" s="2"/>
      <c r="K1016" s="2"/>
      <c r="L1016" s="2"/>
      <c r="M1016" s="2"/>
      <c r="N1016" s="2"/>
      <c r="O1016" s="2"/>
      <c r="Q1016" s="2"/>
      <c r="S1016" s="7" t="s">
        <v>5712</v>
      </c>
      <c r="T1016" s="7" t="s">
        <v>5712</v>
      </c>
      <c r="U1016" s="2" t="s">
        <v>5712</v>
      </c>
    </row>
    <row r="1017" spans="1:21" ht="12.75" x14ac:dyDescent="0.2">
      <c r="A1017" s="1"/>
      <c r="B1017" s="2"/>
      <c r="C1017" s="2"/>
      <c r="D1017" s="2"/>
      <c r="E1017" s="3"/>
      <c r="F1017" s="4"/>
      <c r="G1017" s="2"/>
      <c r="H1017" s="2"/>
      <c r="K1017" s="2"/>
      <c r="L1017" s="2"/>
      <c r="M1017" s="2"/>
      <c r="N1017" s="2"/>
      <c r="O1017" s="2"/>
      <c r="Q1017" s="2"/>
      <c r="S1017" s="7" t="s">
        <v>5712</v>
      </c>
      <c r="T1017" s="7" t="s">
        <v>5712</v>
      </c>
      <c r="U1017" s="2" t="s">
        <v>5712</v>
      </c>
    </row>
    <row r="1018" spans="1:21" ht="12.75" x14ac:dyDescent="0.2">
      <c r="A1018" s="1"/>
      <c r="B1018" s="2"/>
      <c r="C1018" s="2"/>
      <c r="D1018" s="2"/>
      <c r="E1018" s="3"/>
      <c r="F1018" s="4"/>
      <c r="G1018" s="2"/>
      <c r="H1018" s="2"/>
      <c r="K1018" s="2"/>
      <c r="L1018" s="2"/>
      <c r="M1018" s="2"/>
      <c r="N1018" s="2"/>
      <c r="O1018" s="2"/>
      <c r="Q1018" s="2"/>
      <c r="S1018" s="7" t="s">
        <v>5712</v>
      </c>
      <c r="T1018" s="7" t="s">
        <v>5712</v>
      </c>
      <c r="U1018" s="2" t="s">
        <v>5712</v>
      </c>
    </row>
    <row r="1019" spans="1:21" ht="12.75" x14ac:dyDescent="0.2">
      <c r="A1019" s="1"/>
      <c r="B1019" s="2"/>
      <c r="C1019" s="2"/>
      <c r="D1019" s="2"/>
      <c r="E1019" s="3"/>
      <c r="F1019" s="4"/>
      <c r="G1019" s="2"/>
      <c r="H1019" s="2"/>
      <c r="K1019" s="2"/>
      <c r="L1019" s="2"/>
      <c r="M1019" s="2"/>
      <c r="N1019" s="2"/>
      <c r="O1019" s="2"/>
      <c r="Q1019" s="2"/>
      <c r="S1019" s="7" t="s">
        <v>5712</v>
      </c>
      <c r="T1019" s="7" t="s">
        <v>5712</v>
      </c>
      <c r="U1019" s="2" t="s">
        <v>5712</v>
      </c>
    </row>
    <row r="1020" spans="1:21" ht="12.75" x14ac:dyDescent="0.2">
      <c r="A1020" s="1"/>
      <c r="B1020" s="2"/>
      <c r="C1020" s="2"/>
      <c r="D1020" s="2"/>
      <c r="E1020" s="3"/>
      <c r="F1020" s="4"/>
      <c r="G1020" s="2"/>
      <c r="H1020" s="2"/>
      <c r="K1020" s="2"/>
      <c r="L1020" s="2"/>
      <c r="M1020" s="2"/>
      <c r="N1020" s="2"/>
      <c r="O1020" s="2"/>
      <c r="Q1020" s="2"/>
      <c r="S1020" s="7" t="s">
        <v>5712</v>
      </c>
      <c r="T1020" s="7" t="s">
        <v>5712</v>
      </c>
      <c r="U1020" s="2" t="s">
        <v>5712</v>
      </c>
    </row>
    <row r="1021" spans="1:21" ht="12.75" x14ac:dyDescent="0.2">
      <c r="A1021" s="1"/>
      <c r="B1021" s="2"/>
      <c r="C1021" s="2"/>
      <c r="D1021" s="2"/>
      <c r="E1021" s="3"/>
      <c r="F1021" s="4"/>
      <c r="G1021" s="2"/>
      <c r="H1021" s="2"/>
      <c r="K1021" s="2"/>
      <c r="L1021" s="2"/>
      <c r="M1021" s="2"/>
      <c r="N1021" s="2"/>
      <c r="O1021" s="2"/>
      <c r="Q1021" s="2"/>
      <c r="S1021" s="7" t="s">
        <v>5712</v>
      </c>
      <c r="T1021" s="7" t="s">
        <v>5712</v>
      </c>
      <c r="U1021" s="2" t="s">
        <v>5712</v>
      </c>
    </row>
    <row r="1022" spans="1:21" ht="12.75" x14ac:dyDescent="0.2">
      <c r="A1022" s="1"/>
      <c r="B1022" s="2"/>
      <c r="C1022" s="2"/>
      <c r="D1022" s="2"/>
      <c r="E1022" s="3"/>
      <c r="F1022" s="4"/>
      <c r="G1022" s="2"/>
      <c r="H1022" s="2"/>
      <c r="K1022" s="2"/>
      <c r="L1022" s="2"/>
      <c r="M1022" s="2"/>
      <c r="N1022" s="2"/>
      <c r="O1022" s="2"/>
      <c r="Q1022" s="2"/>
      <c r="S1022" s="7" t="s">
        <v>5712</v>
      </c>
      <c r="T1022" s="7" t="s">
        <v>5712</v>
      </c>
      <c r="U1022" s="2" t="s">
        <v>5712</v>
      </c>
    </row>
    <row r="1023" spans="1:21" ht="12.75" x14ac:dyDescent="0.2">
      <c r="A1023" s="1"/>
      <c r="B1023" s="2"/>
      <c r="C1023" s="2"/>
      <c r="D1023" s="2"/>
      <c r="E1023" s="3"/>
      <c r="F1023" s="4"/>
      <c r="G1023" s="2"/>
      <c r="H1023" s="2"/>
      <c r="K1023" s="2"/>
      <c r="L1023" s="2"/>
      <c r="M1023" s="2"/>
      <c r="N1023" s="2"/>
      <c r="O1023" s="2"/>
      <c r="Q1023" s="2"/>
      <c r="S1023" s="7" t="s">
        <v>5712</v>
      </c>
      <c r="T1023" s="7" t="s">
        <v>5712</v>
      </c>
      <c r="U1023" s="2" t="s">
        <v>5712</v>
      </c>
    </row>
    <row r="1024" spans="1:21" ht="12.75" x14ac:dyDescent="0.2">
      <c r="A1024" s="1"/>
      <c r="B1024" s="2"/>
      <c r="C1024" s="2"/>
      <c r="D1024" s="2"/>
      <c r="E1024" s="3"/>
      <c r="F1024" s="4"/>
      <c r="G1024" s="2"/>
      <c r="H1024" s="2"/>
      <c r="K1024" s="2"/>
      <c r="L1024" s="2"/>
      <c r="M1024" s="2"/>
      <c r="N1024" s="2"/>
      <c r="O1024" s="2"/>
      <c r="Q1024" s="2"/>
      <c r="S1024" s="7" t="s">
        <v>5712</v>
      </c>
      <c r="T1024" s="7" t="s">
        <v>5712</v>
      </c>
      <c r="U1024" s="2" t="s">
        <v>5712</v>
      </c>
    </row>
    <row r="1025" spans="1:21" ht="12.75" x14ac:dyDescent="0.2">
      <c r="A1025" s="1"/>
      <c r="B1025" s="2"/>
      <c r="C1025" s="2"/>
      <c r="D1025" s="2"/>
      <c r="E1025" s="3"/>
      <c r="F1025" s="4"/>
      <c r="G1025" s="2"/>
      <c r="H1025" s="2"/>
      <c r="K1025" s="2"/>
      <c r="L1025" s="2"/>
      <c r="M1025" s="2"/>
      <c r="N1025" s="2"/>
      <c r="O1025" s="2"/>
      <c r="Q1025" s="2"/>
      <c r="S1025" s="7" t="s">
        <v>5712</v>
      </c>
      <c r="T1025" s="7" t="s">
        <v>5712</v>
      </c>
      <c r="U1025" s="2" t="s">
        <v>5712</v>
      </c>
    </row>
    <row r="1026" spans="1:21" ht="12.75" x14ac:dyDescent="0.2">
      <c r="A1026" s="1"/>
      <c r="B1026" s="2"/>
      <c r="C1026" s="2"/>
      <c r="D1026" s="2"/>
      <c r="E1026" s="3"/>
      <c r="F1026" s="4"/>
      <c r="G1026" s="2"/>
      <c r="H1026" s="2"/>
      <c r="K1026" s="2"/>
      <c r="L1026" s="2"/>
      <c r="M1026" s="2"/>
      <c r="N1026" s="2"/>
      <c r="O1026" s="2"/>
      <c r="Q1026" s="2"/>
      <c r="S1026" s="7" t="s">
        <v>5712</v>
      </c>
      <c r="T1026" s="7" t="s">
        <v>5712</v>
      </c>
      <c r="U1026" s="2" t="s">
        <v>5712</v>
      </c>
    </row>
    <row r="1027" spans="1:21" ht="12.75" x14ac:dyDescent="0.2">
      <c r="A1027" s="1"/>
      <c r="B1027" s="2"/>
      <c r="C1027" s="2"/>
      <c r="D1027" s="2"/>
      <c r="E1027" s="3"/>
      <c r="F1027" s="4"/>
      <c r="G1027" s="2"/>
      <c r="H1027" s="2"/>
      <c r="K1027" s="2"/>
      <c r="L1027" s="2"/>
      <c r="M1027" s="2"/>
      <c r="N1027" s="2"/>
      <c r="O1027" s="2"/>
      <c r="Q1027" s="2"/>
      <c r="S1027" s="7" t="s">
        <v>5712</v>
      </c>
      <c r="T1027" s="7" t="s">
        <v>5712</v>
      </c>
      <c r="U1027" s="2" t="s">
        <v>5712</v>
      </c>
    </row>
    <row r="1028" spans="1:21" ht="12.75" x14ac:dyDescent="0.2">
      <c r="A1028" s="1"/>
      <c r="B1028" s="2"/>
      <c r="C1028" s="2"/>
      <c r="D1028" s="2"/>
      <c r="E1028" s="3"/>
      <c r="F1028" s="4"/>
      <c r="G1028" s="2"/>
      <c r="H1028" s="2"/>
      <c r="K1028" s="2"/>
      <c r="L1028" s="2"/>
      <c r="M1028" s="2"/>
      <c r="N1028" s="2"/>
      <c r="O1028" s="2"/>
      <c r="Q1028" s="2"/>
      <c r="S1028" s="7" t="s">
        <v>5712</v>
      </c>
      <c r="T1028" s="7" t="s">
        <v>5712</v>
      </c>
      <c r="U1028" s="2" t="s">
        <v>5712</v>
      </c>
    </row>
    <row r="1029" spans="1:21" ht="12.75" x14ac:dyDescent="0.2">
      <c r="A1029" s="1"/>
      <c r="B1029" s="2"/>
      <c r="C1029" s="2"/>
      <c r="D1029" s="2"/>
      <c r="E1029" s="3"/>
      <c r="F1029" s="4"/>
      <c r="G1029" s="2"/>
      <c r="H1029" s="2"/>
      <c r="K1029" s="2"/>
      <c r="L1029" s="2"/>
      <c r="M1029" s="2"/>
      <c r="N1029" s="2"/>
      <c r="O1029" s="2"/>
      <c r="Q1029" s="2"/>
      <c r="S1029" s="7" t="s">
        <v>5712</v>
      </c>
      <c r="T1029" s="7" t="s">
        <v>5712</v>
      </c>
      <c r="U1029" s="2" t="s">
        <v>5712</v>
      </c>
    </row>
    <row r="1030" spans="1:21" ht="12.75" x14ac:dyDescent="0.2">
      <c r="A1030" s="1"/>
      <c r="B1030" s="2"/>
      <c r="C1030" s="2"/>
      <c r="D1030" s="2"/>
      <c r="E1030" s="3"/>
      <c r="F1030" s="4"/>
      <c r="G1030" s="2"/>
      <c r="H1030" s="2"/>
      <c r="K1030" s="2"/>
      <c r="L1030" s="2"/>
      <c r="M1030" s="2"/>
      <c r="N1030" s="2"/>
      <c r="O1030" s="2"/>
      <c r="Q1030" s="2"/>
      <c r="S1030" s="7" t="s">
        <v>5712</v>
      </c>
      <c r="T1030" s="7" t="s">
        <v>5712</v>
      </c>
      <c r="U1030" s="2" t="s">
        <v>5712</v>
      </c>
    </row>
    <row r="1031" spans="1:21" ht="12.75" x14ac:dyDescent="0.2">
      <c r="A1031" s="1"/>
      <c r="B1031" s="2"/>
      <c r="C1031" s="2"/>
      <c r="D1031" s="2"/>
      <c r="E1031" s="3"/>
      <c r="F1031" s="4"/>
      <c r="G1031" s="2"/>
      <c r="H1031" s="2"/>
      <c r="K1031" s="2"/>
      <c r="L1031" s="2"/>
      <c r="M1031" s="2"/>
      <c r="N1031" s="2"/>
      <c r="O1031" s="2"/>
      <c r="Q1031" s="2"/>
      <c r="S1031" s="7" t="s">
        <v>5712</v>
      </c>
      <c r="T1031" s="7" t="s">
        <v>5712</v>
      </c>
      <c r="U1031" s="2" t="s">
        <v>5712</v>
      </c>
    </row>
    <row r="1032" spans="1:21" ht="12.75" x14ac:dyDescent="0.2">
      <c r="A1032" s="1"/>
      <c r="B1032" s="2"/>
      <c r="C1032" s="2"/>
      <c r="D1032" s="2"/>
      <c r="E1032" s="3"/>
      <c r="F1032" s="4"/>
      <c r="G1032" s="2"/>
      <c r="H1032" s="2"/>
      <c r="K1032" s="2"/>
      <c r="L1032" s="2"/>
      <c r="M1032" s="2"/>
      <c r="N1032" s="2"/>
      <c r="O1032" s="2"/>
      <c r="Q1032" s="2"/>
      <c r="S1032" s="7" t="s">
        <v>5712</v>
      </c>
      <c r="T1032" s="7" t="s">
        <v>5712</v>
      </c>
      <c r="U1032" s="2" t="s">
        <v>5712</v>
      </c>
    </row>
    <row r="1033" spans="1:21" ht="12.75" x14ac:dyDescent="0.2">
      <c r="A1033" s="1"/>
      <c r="B1033" s="2"/>
      <c r="C1033" s="2"/>
      <c r="D1033" s="2"/>
      <c r="E1033" s="3"/>
      <c r="F1033" s="4"/>
      <c r="G1033" s="2"/>
      <c r="H1033" s="2"/>
      <c r="K1033" s="2"/>
      <c r="L1033" s="2"/>
      <c r="M1033" s="2"/>
      <c r="N1033" s="2"/>
      <c r="O1033" s="2"/>
      <c r="Q1033" s="2"/>
      <c r="S1033" s="7" t="s">
        <v>5712</v>
      </c>
      <c r="T1033" s="7" t="s">
        <v>5712</v>
      </c>
      <c r="U1033" s="2" t="s">
        <v>5712</v>
      </c>
    </row>
    <row r="1034" spans="1:21" ht="12.75" x14ac:dyDescent="0.2">
      <c r="A1034" s="1"/>
      <c r="B1034" s="2"/>
      <c r="C1034" s="2"/>
      <c r="D1034" s="2"/>
      <c r="E1034" s="3"/>
      <c r="F1034" s="4"/>
      <c r="G1034" s="2"/>
      <c r="H1034" s="2"/>
      <c r="K1034" s="2"/>
      <c r="L1034" s="2"/>
      <c r="M1034" s="2"/>
      <c r="N1034" s="2"/>
      <c r="O1034" s="2"/>
      <c r="Q1034" s="2"/>
      <c r="S1034" s="7" t="s">
        <v>5712</v>
      </c>
      <c r="T1034" s="7" t="s">
        <v>5712</v>
      </c>
      <c r="U1034" s="2" t="s">
        <v>5712</v>
      </c>
    </row>
    <row r="1035" spans="1:21" ht="12.75" x14ac:dyDescent="0.2">
      <c r="A1035" s="1"/>
      <c r="B1035" s="2"/>
      <c r="C1035" s="2"/>
      <c r="D1035" s="2"/>
      <c r="E1035" s="3"/>
      <c r="F1035" s="4"/>
      <c r="G1035" s="2"/>
      <c r="H1035" s="2"/>
      <c r="K1035" s="2"/>
      <c r="L1035" s="2"/>
      <c r="M1035" s="2"/>
      <c r="N1035" s="2"/>
      <c r="O1035" s="2"/>
      <c r="Q1035" s="2"/>
      <c r="S1035" s="7" t="s">
        <v>5712</v>
      </c>
      <c r="T1035" s="7" t="s">
        <v>5712</v>
      </c>
      <c r="U1035" s="2" t="s">
        <v>5712</v>
      </c>
    </row>
    <row r="1036" spans="1:21" ht="12.75" x14ac:dyDescent="0.2">
      <c r="A1036" s="1"/>
      <c r="B1036" s="2"/>
      <c r="C1036" s="2"/>
      <c r="D1036" s="2"/>
      <c r="E1036" s="3"/>
      <c r="F1036" s="4"/>
      <c r="G1036" s="2"/>
      <c r="H1036" s="2"/>
      <c r="K1036" s="2"/>
      <c r="L1036" s="2"/>
      <c r="M1036" s="2"/>
      <c r="N1036" s="2"/>
      <c r="O1036" s="2"/>
      <c r="Q1036" s="2"/>
      <c r="S1036" s="7" t="s">
        <v>5712</v>
      </c>
      <c r="T1036" s="7" t="s">
        <v>5712</v>
      </c>
      <c r="U1036" s="2" t="s">
        <v>5712</v>
      </c>
    </row>
    <row r="1037" spans="1:21" ht="12.75" x14ac:dyDescent="0.2">
      <c r="A1037" s="1"/>
      <c r="B1037" s="2"/>
      <c r="C1037" s="2"/>
      <c r="D1037" s="2"/>
      <c r="E1037" s="3"/>
      <c r="F1037" s="4"/>
      <c r="G1037" s="2"/>
      <c r="H1037" s="2"/>
      <c r="K1037" s="2"/>
      <c r="L1037" s="2"/>
      <c r="M1037" s="2"/>
      <c r="N1037" s="2"/>
      <c r="O1037" s="2"/>
      <c r="Q1037" s="2"/>
      <c r="S1037" s="7" t="s">
        <v>5712</v>
      </c>
      <c r="T1037" s="7" t="s">
        <v>5712</v>
      </c>
      <c r="U1037" s="2" t="s">
        <v>5712</v>
      </c>
    </row>
    <row r="1038" spans="1:21" ht="12.75" x14ac:dyDescent="0.2">
      <c r="A1038" s="1"/>
      <c r="B1038" s="2"/>
      <c r="C1038" s="2"/>
      <c r="D1038" s="2"/>
      <c r="E1038" s="3"/>
      <c r="F1038" s="4"/>
      <c r="G1038" s="2"/>
      <c r="H1038" s="2"/>
      <c r="K1038" s="2"/>
      <c r="L1038" s="2"/>
      <c r="M1038" s="2"/>
      <c r="N1038" s="2"/>
      <c r="O1038" s="2"/>
      <c r="Q1038" s="2"/>
      <c r="S1038" s="7" t="s">
        <v>5712</v>
      </c>
      <c r="T1038" s="7" t="s">
        <v>5712</v>
      </c>
      <c r="U1038" s="2" t="s">
        <v>5712</v>
      </c>
    </row>
    <row r="1039" spans="1:21" ht="12.75" x14ac:dyDescent="0.2">
      <c r="A1039" s="1"/>
      <c r="B1039" s="2"/>
      <c r="C1039" s="2"/>
      <c r="D1039" s="2"/>
      <c r="E1039" s="3"/>
      <c r="F1039" s="4"/>
      <c r="G1039" s="2"/>
      <c r="H1039" s="2"/>
      <c r="K1039" s="2"/>
      <c r="L1039" s="2"/>
      <c r="M1039" s="2"/>
      <c r="N1039" s="2"/>
      <c r="O1039" s="2"/>
      <c r="Q1039" s="2"/>
      <c r="S1039" s="7" t="s">
        <v>5712</v>
      </c>
      <c r="T1039" s="7" t="s">
        <v>5712</v>
      </c>
      <c r="U1039" s="2" t="s">
        <v>5712</v>
      </c>
    </row>
    <row r="1040" spans="1:21" ht="12.75" x14ac:dyDescent="0.2">
      <c r="A1040" s="1"/>
      <c r="B1040" s="2"/>
      <c r="C1040" s="2"/>
      <c r="D1040" s="2"/>
      <c r="E1040" s="3"/>
      <c r="F1040" s="4"/>
      <c r="G1040" s="2"/>
      <c r="H1040" s="2"/>
      <c r="K1040" s="2"/>
      <c r="L1040" s="2"/>
      <c r="M1040" s="2"/>
      <c r="N1040" s="2"/>
      <c r="O1040" s="2"/>
      <c r="Q1040" s="2"/>
      <c r="S1040" s="7" t="s">
        <v>5712</v>
      </c>
      <c r="T1040" s="7" t="s">
        <v>5712</v>
      </c>
      <c r="U1040" s="2" t="s">
        <v>5712</v>
      </c>
    </row>
    <row r="1041" spans="1:21" ht="12.75" x14ac:dyDescent="0.2">
      <c r="A1041" s="1"/>
      <c r="B1041" s="2"/>
      <c r="C1041" s="2"/>
      <c r="D1041" s="2"/>
      <c r="E1041" s="3"/>
      <c r="F1041" s="4"/>
      <c r="G1041" s="2"/>
      <c r="H1041" s="2"/>
      <c r="K1041" s="2"/>
      <c r="L1041" s="2"/>
      <c r="M1041" s="2"/>
      <c r="N1041" s="2"/>
      <c r="O1041" s="2"/>
      <c r="Q1041" s="2"/>
      <c r="S1041" s="7" t="s">
        <v>5712</v>
      </c>
      <c r="T1041" s="7" t="s">
        <v>5712</v>
      </c>
      <c r="U1041" s="2" t="s">
        <v>5712</v>
      </c>
    </row>
    <row r="1042" spans="1:21" ht="12.75" x14ac:dyDescent="0.2">
      <c r="A1042" s="1"/>
      <c r="B1042" s="2"/>
      <c r="C1042" s="2"/>
      <c r="D1042" s="2"/>
      <c r="E1042" s="3"/>
      <c r="F1042" s="4"/>
      <c r="G1042" s="2"/>
      <c r="H1042" s="2"/>
      <c r="K1042" s="2"/>
      <c r="L1042" s="2"/>
      <c r="M1042" s="2"/>
      <c r="N1042" s="2"/>
      <c r="O1042" s="2"/>
      <c r="Q1042" s="2"/>
      <c r="S1042" s="7" t="s">
        <v>5712</v>
      </c>
      <c r="T1042" s="7" t="s">
        <v>5712</v>
      </c>
      <c r="U1042" s="2" t="s">
        <v>5712</v>
      </c>
    </row>
    <row r="1043" spans="1:21" ht="12.75" x14ac:dyDescent="0.2">
      <c r="A1043" s="1"/>
      <c r="B1043" s="2"/>
      <c r="C1043" s="2"/>
      <c r="D1043" s="2"/>
      <c r="E1043" s="3"/>
      <c r="F1043" s="4"/>
      <c r="G1043" s="2"/>
      <c r="H1043" s="2"/>
      <c r="K1043" s="2"/>
      <c r="L1043" s="2"/>
      <c r="M1043" s="2"/>
      <c r="N1043" s="2"/>
      <c r="O1043" s="2"/>
      <c r="Q1043" s="2"/>
      <c r="S1043" s="7" t="s">
        <v>5712</v>
      </c>
      <c r="T1043" s="7" t="s">
        <v>5712</v>
      </c>
      <c r="U1043" s="2" t="s">
        <v>5712</v>
      </c>
    </row>
    <row r="1044" spans="1:21" ht="12.75" x14ac:dyDescent="0.2">
      <c r="A1044" s="1"/>
      <c r="B1044" s="2"/>
      <c r="C1044" s="2"/>
      <c r="D1044" s="2"/>
      <c r="E1044" s="3"/>
      <c r="F1044" s="4"/>
      <c r="G1044" s="2"/>
      <c r="H1044" s="2"/>
      <c r="K1044" s="2"/>
      <c r="L1044" s="2"/>
      <c r="M1044" s="2"/>
      <c r="N1044" s="2"/>
      <c r="O1044" s="2"/>
      <c r="Q1044" s="2"/>
      <c r="S1044" s="7" t="s">
        <v>5712</v>
      </c>
      <c r="T1044" s="7" t="s">
        <v>5712</v>
      </c>
      <c r="U1044" s="2" t="s">
        <v>5712</v>
      </c>
    </row>
    <row r="1045" spans="1:21" ht="12.75" x14ac:dyDescent="0.2">
      <c r="A1045" s="1"/>
      <c r="B1045" s="2"/>
      <c r="C1045" s="2"/>
      <c r="D1045" s="2"/>
      <c r="E1045" s="3"/>
      <c r="F1045" s="4"/>
      <c r="G1045" s="2"/>
      <c r="H1045" s="2"/>
      <c r="K1045" s="2"/>
      <c r="L1045" s="2"/>
      <c r="M1045" s="2"/>
      <c r="N1045" s="2"/>
      <c r="O1045" s="2"/>
      <c r="Q1045" s="2"/>
      <c r="S1045" s="7" t="s">
        <v>5712</v>
      </c>
      <c r="T1045" s="7" t="s">
        <v>5712</v>
      </c>
      <c r="U1045" s="2" t="s">
        <v>5712</v>
      </c>
    </row>
    <row r="1046" spans="1:21" ht="12.75" x14ac:dyDescent="0.2">
      <c r="A1046" s="1"/>
      <c r="B1046" s="2"/>
      <c r="C1046" s="2"/>
      <c r="D1046" s="2"/>
      <c r="E1046" s="3"/>
      <c r="F1046" s="4"/>
      <c r="G1046" s="2"/>
      <c r="H1046" s="2"/>
      <c r="K1046" s="2"/>
      <c r="L1046" s="2"/>
      <c r="M1046" s="2"/>
      <c r="N1046" s="2"/>
      <c r="O1046" s="2"/>
      <c r="Q1046" s="2"/>
      <c r="S1046" s="7" t="s">
        <v>5712</v>
      </c>
      <c r="T1046" s="7" t="s">
        <v>5712</v>
      </c>
      <c r="U1046" s="2" t="s">
        <v>5712</v>
      </c>
    </row>
    <row r="1047" spans="1:21" ht="12.75" x14ac:dyDescent="0.2">
      <c r="A1047" s="1"/>
      <c r="B1047" s="2"/>
      <c r="C1047" s="2"/>
      <c r="D1047" s="2"/>
      <c r="E1047" s="3"/>
      <c r="F1047" s="4"/>
      <c r="G1047" s="2"/>
      <c r="H1047" s="2"/>
      <c r="K1047" s="2"/>
      <c r="L1047" s="2"/>
      <c r="M1047" s="2"/>
      <c r="N1047" s="2"/>
      <c r="O1047" s="2"/>
      <c r="Q1047" s="2"/>
      <c r="S1047" s="7" t="s">
        <v>5712</v>
      </c>
      <c r="T1047" s="7" t="s">
        <v>5712</v>
      </c>
      <c r="U1047" s="2" t="s">
        <v>5712</v>
      </c>
    </row>
    <row r="1048" spans="1:21" ht="12.75" x14ac:dyDescent="0.2">
      <c r="A1048" s="1"/>
      <c r="B1048" s="2"/>
      <c r="C1048" s="2"/>
      <c r="D1048" s="2"/>
      <c r="E1048" s="3"/>
      <c r="F1048" s="4"/>
      <c r="G1048" s="2"/>
      <c r="H1048" s="2"/>
      <c r="K1048" s="2"/>
      <c r="L1048" s="2"/>
      <c r="M1048" s="2"/>
      <c r="N1048" s="2"/>
      <c r="O1048" s="2"/>
      <c r="Q1048" s="2"/>
      <c r="S1048" s="7" t="s">
        <v>5712</v>
      </c>
      <c r="T1048" s="7" t="s">
        <v>5712</v>
      </c>
      <c r="U1048" s="2" t="s">
        <v>5712</v>
      </c>
    </row>
    <row r="1049" spans="1:21" ht="12.75" x14ac:dyDescent="0.2">
      <c r="A1049" s="1"/>
      <c r="B1049" s="2"/>
      <c r="C1049" s="2"/>
      <c r="D1049" s="2"/>
      <c r="E1049" s="3"/>
      <c r="F1049" s="4"/>
      <c r="G1049" s="2"/>
      <c r="H1049" s="2"/>
      <c r="K1049" s="2"/>
      <c r="L1049" s="2"/>
      <c r="M1049" s="2"/>
      <c r="N1049" s="2"/>
      <c r="O1049" s="2"/>
      <c r="Q1049" s="2"/>
      <c r="S1049" s="7" t="s">
        <v>5712</v>
      </c>
      <c r="T1049" s="7" t="s">
        <v>5712</v>
      </c>
      <c r="U1049" s="2" t="s">
        <v>5712</v>
      </c>
    </row>
    <row r="1050" spans="1:21" ht="12.75" x14ac:dyDescent="0.2">
      <c r="A1050" s="1"/>
      <c r="B1050" s="2"/>
      <c r="C1050" s="2"/>
      <c r="D1050" s="2"/>
      <c r="E1050" s="3"/>
      <c r="F1050" s="4"/>
      <c r="G1050" s="2"/>
      <c r="H1050" s="2"/>
      <c r="K1050" s="2"/>
      <c r="L1050" s="2"/>
      <c r="M1050" s="2"/>
      <c r="N1050" s="2"/>
      <c r="O1050" s="2"/>
      <c r="Q1050" s="2"/>
      <c r="S1050" s="7" t="s">
        <v>5712</v>
      </c>
      <c r="T1050" s="7" t="s">
        <v>5712</v>
      </c>
      <c r="U1050" s="2" t="s">
        <v>5712</v>
      </c>
    </row>
    <row r="1051" spans="1:21" ht="12.75" x14ac:dyDescent="0.2">
      <c r="A1051" s="1"/>
      <c r="B1051" s="2"/>
      <c r="C1051" s="2"/>
      <c r="D1051" s="2"/>
      <c r="E1051" s="3"/>
      <c r="F1051" s="4"/>
      <c r="G1051" s="2"/>
      <c r="H1051" s="2"/>
      <c r="K1051" s="2"/>
      <c r="L1051" s="2"/>
      <c r="M1051" s="2"/>
      <c r="N1051" s="2"/>
      <c r="O1051" s="2"/>
      <c r="Q1051" s="2"/>
      <c r="S1051" s="7" t="s">
        <v>5712</v>
      </c>
      <c r="T1051" s="7" t="s">
        <v>5712</v>
      </c>
      <c r="U1051" s="2" t="s">
        <v>5712</v>
      </c>
    </row>
    <row r="1052" spans="1:21" ht="12.75" x14ac:dyDescent="0.2">
      <c r="A1052" s="1"/>
      <c r="B1052" s="2"/>
      <c r="C1052" s="2"/>
      <c r="D1052" s="2"/>
      <c r="E1052" s="3"/>
      <c r="F1052" s="4"/>
      <c r="G1052" s="2"/>
      <c r="H1052" s="2"/>
      <c r="K1052" s="2"/>
      <c r="L1052" s="2"/>
      <c r="M1052" s="2"/>
      <c r="N1052" s="2"/>
      <c r="O1052" s="2"/>
      <c r="Q1052" s="2"/>
      <c r="S1052" s="7" t="s">
        <v>5712</v>
      </c>
      <c r="T1052" s="7" t="s">
        <v>5712</v>
      </c>
      <c r="U1052" s="2" t="s">
        <v>5712</v>
      </c>
    </row>
    <row r="1053" spans="1:21" ht="12.75" x14ac:dyDescent="0.2">
      <c r="A1053" s="1"/>
      <c r="B1053" s="2"/>
      <c r="C1053" s="2"/>
      <c r="D1053" s="2"/>
      <c r="E1053" s="3"/>
      <c r="F1053" s="4"/>
      <c r="G1053" s="2"/>
      <c r="H1053" s="2"/>
      <c r="K1053" s="2"/>
      <c r="L1053" s="2"/>
      <c r="M1053" s="2"/>
      <c r="N1053" s="2"/>
      <c r="O1053" s="2"/>
      <c r="Q1053" s="2"/>
      <c r="S1053" s="7" t="s">
        <v>5712</v>
      </c>
      <c r="T1053" s="7" t="s">
        <v>5712</v>
      </c>
      <c r="U1053" s="2" t="s">
        <v>5712</v>
      </c>
    </row>
    <row r="1054" spans="1:21" ht="12.75" x14ac:dyDescent="0.2">
      <c r="A1054" s="1"/>
      <c r="B1054" s="2"/>
      <c r="C1054" s="2"/>
      <c r="D1054" s="2"/>
      <c r="E1054" s="3"/>
      <c r="F1054" s="4"/>
      <c r="G1054" s="2"/>
      <c r="H1054" s="2"/>
      <c r="K1054" s="2"/>
      <c r="L1054" s="2"/>
      <c r="M1054" s="2"/>
      <c r="N1054" s="2"/>
      <c r="O1054" s="2"/>
      <c r="Q1054" s="2"/>
      <c r="S1054" s="7" t="s">
        <v>5712</v>
      </c>
      <c r="T1054" s="7" t="s">
        <v>5712</v>
      </c>
      <c r="U1054" s="2" t="s">
        <v>5712</v>
      </c>
    </row>
    <row r="1055" spans="1:21" ht="12.75" x14ac:dyDescent="0.2">
      <c r="A1055" s="1"/>
      <c r="B1055" s="2"/>
      <c r="C1055" s="2"/>
      <c r="D1055" s="2"/>
      <c r="E1055" s="3"/>
      <c r="F1055" s="4"/>
      <c r="G1055" s="2"/>
      <c r="H1055" s="2"/>
      <c r="K1055" s="2"/>
      <c r="L1055" s="2"/>
      <c r="M1055" s="2"/>
      <c r="N1055" s="2"/>
      <c r="O1055" s="2"/>
      <c r="Q1055" s="2"/>
      <c r="S1055" s="7" t="s">
        <v>5712</v>
      </c>
      <c r="T1055" s="7" t="s">
        <v>5712</v>
      </c>
      <c r="U1055" s="2" t="s">
        <v>5712</v>
      </c>
    </row>
    <row r="1056" spans="1:21" ht="12.75" x14ac:dyDescent="0.2">
      <c r="A1056" s="1"/>
      <c r="B1056" s="2"/>
      <c r="C1056" s="2"/>
      <c r="D1056" s="2"/>
      <c r="E1056" s="3"/>
      <c r="F1056" s="4"/>
      <c r="G1056" s="2"/>
      <c r="H1056" s="2"/>
      <c r="K1056" s="2"/>
      <c r="L1056" s="2"/>
      <c r="M1056" s="2"/>
      <c r="N1056" s="2"/>
      <c r="O1056" s="2"/>
      <c r="Q1056" s="2"/>
      <c r="S1056" s="7" t="s">
        <v>5712</v>
      </c>
      <c r="T1056" s="7" t="s">
        <v>5712</v>
      </c>
      <c r="U1056" s="2" t="s">
        <v>5712</v>
      </c>
    </row>
    <row r="1057" spans="1:21" ht="12.75" x14ac:dyDescent="0.2">
      <c r="A1057" s="1"/>
      <c r="B1057" s="2"/>
      <c r="C1057" s="2"/>
      <c r="D1057" s="2"/>
      <c r="E1057" s="3"/>
      <c r="F1057" s="4"/>
      <c r="G1057" s="2"/>
      <c r="H1057" s="2"/>
      <c r="K1057" s="2"/>
      <c r="L1057" s="2"/>
      <c r="M1057" s="2"/>
      <c r="N1057" s="2"/>
      <c r="O1057" s="2"/>
      <c r="Q1057" s="2"/>
      <c r="S1057" s="7" t="s">
        <v>5712</v>
      </c>
      <c r="T1057" s="7" t="s">
        <v>5712</v>
      </c>
      <c r="U1057" s="2" t="s">
        <v>5712</v>
      </c>
    </row>
    <row r="1058" spans="1:21" ht="12.75" x14ac:dyDescent="0.2">
      <c r="A1058" s="1"/>
      <c r="B1058" s="2"/>
      <c r="C1058" s="2"/>
      <c r="D1058" s="2"/>
      <c r="E1058" s="3"/>
      <c r="F1058" s="4"/>
      <c r="G1058" s="2"/>
      <c r="H1058" s="2"/>
      <c r="K1058" s="2"/>
      <c r="L1058" s="2"/>
      <c r="M1058" s="2"/>
      <c r="N1058" s="2"/>
      <c r="O1058" s="2"/>
      <c r="Q1058" s="2"/>
      <c r="S1058" s="7" t="s">
        <v>5712</v>
      </c>
      <c r="T1058" s="7" t="s">
        <v>5712</v>
      </c>
      <c r="U1058" s="2" t="s">
        <v>5712</v>
      </c>
    </row>
    <row r="1059" spans="1:21" ht="12.75" x14ac:dyDescent="0.2">
      <c r="A1059" s="1"/>
      <c r="B1059" s="2"/>
      <c r="C1059" s="2"/>
      <c r="D1059" s="2"/>
      <c r="E1059" s="3"/>
      <c r="F1059" s="4"/>
      <c r="G1059" s="2"/>
      <c r="H1059" s="2"/>
      <c r="K1059" s="2"/>
      <c r="L1059" s="2"/>
      <c r="M1059" s="2"/>
      <c r="N1059" s="2"/>
      <c r="O1059" s="2"/>
      <c r="Q1059" s="2"/>
      <c r="S1059" s="7" t="s">
        <v>5712</v>
      </c>
      <c r="T1059" s="7" t="s">
        <v>5712</v>
      </c>
      <c r="U1059" s="2" t="s">
        <v>5712</v>
      </c>
    </row>
    <row r="1060" spans="1:21" ht="12.75" x14ac:dyDescent="0.2">
      <c r="A1060" s="1"/>
      <c r="B1060" s="2"/>
      <c r="C1060" s="2"/>
      <c r="D1060" s="2"/>
      <c r="E1060" s="3"/>
      <c r="F1060" s="4"/>
      <c r="G1060" s="2"/>
      <c r="H1060" s="2"/>
      <c r="K1060" s="2"/>
      <c r="L1060" s="2"/>
      <c r="M1060" s="2"/>
      <c r="N1060" s="2"/>
      <c r="O1060" s="2"/>
      <c r="Q1060" s="2"/>
      <c r="S1060" s="7" t="s">
        <v>5712</v>
      </c>
      <c r="T1060" s="7" t="s">
        <v>5712</v>
      </c>
      <c r="U1060" s="2" t="s">
        <v>5712</v>
      </c>
    </row>
    <row r="1061" spans="1:21" ht="12.75" x14ac:dyDescent="0.2">
      <c r="A1061" s="1"/>
      <c r="B1061" s="2"/>
      <c r="C1061" s="2"/>
      <c r="D1061" s="2"/>
      <c r="E1061" s="3"/>
      <c r="F1061" s="4"/>
      <c r="G1061" s="2"/>
      <c r="H1061" s="2"/>
      <c r="K1061" s="2"/>
      <c r="L1061" s="2"/>
      <c r="M1061" s="2"/>
      <c r="N1061" s="2"/>
      <c r="O1061" s="2"/>
      <c r="Q1061" s="2"/>
      <c r="S1061" s="7" t="s">
        <v>5712</v>
      </c>
      <c r="T1061" s="7" t="s">
        <v>5712</v>
      </c>
      <c r="U1061" s="2" t="s">
        <v>5712</v>
      </c>
    </row>
    <row r="1062" spans="1:21" ht="12.75" x14ac:dyDescent="0.2">
      <c r="A1062" s="1"/>
      <c r="B1062" s="2"/>
      <c r="C1062" s="2"/>
      <c r="D1062" s="2"/>
      <c r="E1062" s="3"/>
      <c r="F1062" s="4"/>
      <c r="G1062" s="2"/>
      <c r="H1062" s="2"/>
      <c r="K1062" s="2"/>
      <c r="L1062" s="2"/>
      <c r="M1062" s="2"/>
      <c r="N1062" s="2"/>
      <c r="O1062" s="2"/>
      <c r="Q1062" s="2"/>
      <c r="S1062" s="7" t="s">
        <v>5712</v>
      </c>
      <c r="T1062" s="7" t="s">
        <v>5712</v>
      </c>
      <c r="U1062" s="2" t="s">
        <v>5712</v>
      </c>
    </row>
    <row r="1063" spans="1:21" ht="12.75" x14ac:dyDescent="0.2">
      <c r="A1063" s="1"/>
      <c r="B1063" s="2"/>
      <c r="C1063" s="2"/>
      <c r="D1063" s="2"/>
      <c r="E1063" s="3"/>
      <c r="F1063" s="4"/>
      <c r="G1063" s="2"/>
      <c r="H1063" s="2"/>
      <c r="K1063" s="2"/>
      <c r="L1063" s="2"/>
      <c r="M1063" s="2"/>
      <c r="N1063" s="2"/>
      <c r="O1063" s="2"/>
      <c r="Q1063" s="2"/>
      <c r="S1063" s="7" t="s">
        <v>5712</v>
      </c>
      <c r="T1063" s="7" t="s">
        <v>5712</v>
      </c>
      <c r="U1063" s="2" t="s">
        <v>5712</v>
      </c>
    </row>
    <row r="1064" spans="1:21" ht="12.75" x14ac:dyDescent="0.2">
      <c r="A1064" s="1"/>
      <c r="B1064" s="2"/>
      <c r="C1064" s="2"/>
      <c r="D1064" s="2"/>
      <c r="E1064" s="3"/>
      <c r="F1064" s="4"/>
      <c r="G1064" s="2"/>
      <c r="H1064" s="2"/>
      <c r="K1064" s="2"/>
      <c r="L1064" s="2"/>
      <c r="M1064" s="2"/>
      <c r="N1064" s="2"/>
      <c r="O1064" s="2"/>
      <c r="Q1064" s="2"/>
      <c r="S1064" s="7" t="s">
        <v>5712</v>
      </c>
      <c r="T1064" s="7" t="s">
        <v>5712</v>
      </c>
      <c r="U1064" s="2" t="s">
        <v>5712</v>
      </c>
    </row>
    <row r="1065" spans="1:21" ht="12.75" x14ac:dyDescent="0.2">
      <c r="A1065" s="1"/>
      <c r="B1065" s="2"/>
      <c r="C1065" s="2"/>
      <c r="D1065" s="2"/>
      <c r="E1065" s="3"/>
      <c r="F1065" s="4"/>
      <c r="G1065" s="2"/>
      <c r="H1065" s="2"/>
      <c r="K1065" s="2"/>
      <c r="L1065" s="2"/>
      <c r="M1065" s="2"/>
      <c r="N1065" s="2"/>
      <c r="O1065" s="2"/>
      <c r="Q1065" s="2"/>
      <c r="S1065" s="7" t="s">
        <v>5712</v>
      </c>
      <c r="T1065" s="7" t="s">
        <v>5712</v>
      </c>
      <c r="U1065" s="2" t="s">
        <v>5712</v>
      </c>
    </row>
    <row r="1066" spans="1:21" ht="12.75" x14ac:dyDescent="0.2">
      <c r="A1066" s="1"/>
      <c r="B1066" s="2"/>
      <c r="C1066" s="2"/>
      <c r="D1066" s="2"/>
      <c r="E1066" s="3"/>
      <c r="F1066" s="4"/>
      <c r="G1066" s="2"/>
      <c r="H1066" s="2"/>
      <c r="K1066" s="2"/>
      <c r="L1066" s="2"/>
      <c r="M1066" s="2"/>
      <c r="N1066" s="2"/>
      <c r="O1066" s="2"/>
      <c r="Q1066" s="2"/>
      <c r="S1066" s="7" t="s">
        <v>5712</v>
      </c>
      <c r="T1066" s="7" t="s">
        <v>5712</v>
      </c>
      <c r="U1066" s="2" t="s">
        <v>5712</v>
      </c>
    </row>
    <row r="1067" spans="1:21" ht="12.75" x14ac:dyDescent="0.2">
      <c r="A1067" s="1"/>
      <c r="B1067" s="2"/>
      <c r="C1067" s="2"/>
      <c r="D1067" s="2"/>
      <c r="E1067" s="3"/>
      <c r="F1067" s="4"/>
      <c r="G1067" s="2"/>
      <c r="H1067" s="2"/>
      <c r="K1067" s="2"/>
      <c r="L1067" s="2"/>
      <c r="M1067" s="2"/>
      <c r="N1067" s="2"/>
      <c r="O1067" s="2"/>
      <c r="Q1067" s="2"/>
      <c r="S1067" s="7" t="s">
        <v>5712</v>
      </c>
      <c r="T1067" s="7" t="s">
        <v>5712</v>
      </c>
      <c r="U1067" s="2" t="s">
        <v>5712</v>
      </c>
    </row>
    <row r="1068" spans="1:21" ht="12.75" x14ac:dyDescent="0.2">
      <c r="A1068" s="1"/>
      <c r="B1068" s="2"/>
      <c r="C1068" s="2"/>
      <c r="D1068" s="2"/>
      <c r="E1068" s="3"/>
      <c r="F1068" s="4"/>
      <c r="G1068" s="2"/>
      <c r="H1068" s="2"/>
      <c r="K1068" s="2"/>
      <c r="L1068" s="2"/>
      <c r="M1068" s="2"/>
      <c r="N1068" s="2"/>
      <c r="O1068" s="2"/>
      <c r="Q1068" s="2"/>
      <c r="S1068" s="7" t="s">
        <v>5712</v>
      </c>
      <c r="T1068" s="7" t="s">
        <v>5712</v>
      </c>
      <c r="U1068" s="2" t="s">
        <v>5712</v>
      </c>
    </row>
    <row r="1069" spans="1:21" ht="12.75" x14ac:dyDescent="0.2">
      <c r="A1069" s="1"/>
      <c r="B1069" s="2"/>
      <c r="C1069" s="2"/>
      <c r="D1069" s="2"/>
      <c r="E1069" s="3"/>
      <c r="F1069" s="4"/>
      <c r="G1069" s="2"/>
      <c r="H1069" s="2"/>
      <c r="K1069" s="2"/>
      <c r="L1069" s="2"/>
      <c r="M1069" s="2"/>
      <c r="N1069" s="2"/>
      <c r="O1069" s="2"/>
      <c r="Q1069" s="2"/>
      <c r="S1069" s="7" t="s">
        <v>5712</v>
      </c>
      <c r="T1069" s="7" t="s">
        <v>5712</v>
      </c>
      <c r="U1069" s="2" t="s">
        <v>5712</v>
      </c>
    </row>
    <row r="1070" spans="1:21" ht="12.75" x14ac:dyDescent="0.2">
      <c r="A1070" s="1"/>
      <c r="B1070" s="2"/>
      <c r="C1070" s="2"/>
      <c r="D1070" s="2"/>
      <c r="E1070" s="3"/>
      <c r="F1070" s="4"/>
      <c r="G1070" s="2"/>
      <c r="H1070" s="2"/>
      <c r="K1070" s="2"/>
      <c r="L1070" s="2"/>
      <c r="M1070" s="2"/>
      <c r="N1070" s="2"/>
      <c r="O1070" s="2"/>
      <c r="Q1070" s="2"/>
      <c r="S1070" s="7" t="s">
        <v>5712</v>
      </c>
      <c r="T1070" s="7" t="s">
        <v>5712</v>
      </c>
      <c r="U1070" s="2" t="s">
        <v>5712</v>
      </c>
    </row>
    <row r="1071" spans="1:21" ht="12.75" x14ac:dyDescent="0.2">
      <c r="A1071" s="1"/>
      <c r="B1071" s="2"/>
      <c r="C1071" s="2"/>
      <c r="D1071" s="2"/>
      <c r="E1071" s="3"/>
      <c r="F1071" s="4"/>
      <c r="G1071" s="2"/>
      <c r="H1071" s="2"/>
      <c r="K1071" s="2"/>
      <c r="L1071" s="2"/>
      <c r="M1071" s="2"/>
      <c r="N1071" s="2"/>
      <c r="O1071" s="2"/>
      <c r="Q1071" s="2"/>
      <c r="S1071" s="7" t="s">
        <v>5712</v>
      </c>
      <c r="T1071" s="7" t="s">
        <v>5712</v>
      </c>
      <c r="U1071" s="2" t="s">
        <v>5712</v>
      </c>
    </row>
    <row r="1072" spans="1:21" ht="12.75" x14ac:dyDescent="0.2">
      <c r="A1072" s="1"/>
      <c r="B1072" s="2"/>
      <c r="C1072" s="2"/>
      <c r="D1072" s="2"/>
      <c r="E1072" s="3"/>
      <c r="F1072" s="4"/>
      <c r="G1072" s="2"/>
      <c r="H1072" s="2"/>
      <c r="K1072" s="2"/>
      <c r="L1072" s="2"/>
      <c r="M1072" s="2"/>
      <c r="N1072" s="2"/>
      <c r="O1072" s="2"/>
      <c r="Q1072" s="2"/>
      <c r="S1072" s="7" t="s">
        <v>5712</v>
      </c>
      <c r="T1072" s="7" t="s">
        <v>5712</v>
      </c>
      <c r="U1072" s="2" t="s">
        <v>5712</v>
      </c>
    </row>
    <row r="1073" spans="1:21" ht="12.75" x14ac:dyDescent="0.2">
      <c r="A1073" s="1"/>
      <c r="B1073" s="2"/>
      <c r="C1073" s="2"/>
      <c r="D1073" s="2"/>
      <c r="E1073" s="3"/>
      <c r="F1073" s="4"/>
      <c r="G1073" s="2"/>
      <c r="H1073" s="2"/>
      <c r="K1073" s="2"/>
      <c r="L1073" s="2"/>
      <c r="M1073" s="2"/>
      <c r="N1073" s="2"/>
      <c r="O1073" s="2"/>
      <c r="Q1073" s="2"/>
      <c r="S1073" s="7" t="s">
        <v>5712</v>
      </c>
      <c r="T1073" s="7" t="s">
        <v>5712</v>
      </c>
      <c r="U1073" s="2" t="s">
        <v>5712</v>
      </c>
    </row>
    <row r="1074" spans="1:21" ht="12.75" x14ac:dyDescent="0.2">
      <c r="A1074" s="1"/>
      <c r="B1074" s="2"/>
      <c r="C1074" s="2"/>
      <c r="D1074" s="2"/>
      <c r="E1074" s="3"/>
      <c r="F1074" s="4"/>
      <c r="G1074" s="2"/>
      <c r="H1074" s="2"/>
      <c r="K1074" s="2"/>
      <c r="L1074" s="2"/>
      <c r="M1074" s="2"/>
      <c r="N1074" s="2"/>
      <c r="O1074" s="2"/>
      <c r="Q1074" s="2"/>
      <c r="S1074" s="7" t="s">
        <v>5712</v>
      </c>
      <c r="T1074" s="7" t="s">
        <v>5712</v>
      </c>
      <c r="U1074" s="2" t="s">
        <v>5712</v>
      </c>
    </row>
    <row r="1075" spans="1:21" ht="12.75" x14ac:dyDescent="0.2">
      <c r="A1075" s="1"/>
      <c r="B1075" s="2"/>
      <c r="C1075" s="2"/>
      <c r="D1075" s="2"/>
      <c r="E1075" s="3"/>
      <c r="F1075" s="4"/>
      <c r="G1075" s="2"/>
      <c r="H1075" s="2"/>
      <c r="K1075" s="2"/>
      <c r="L1075" s="2"/>
      <c r="M1075" s="2"/>
      <c r="N1075" s="2"/>
      <c r="O1075" s="2"/>
      <c r="Q1075" s="2"/>
      <c r="S1075" s="7" t="s">
        <v>5712</v>
      </c>
      <c r="T1075" s="7" t="s">
        <v>5712</v>
      </c>
      <c r="U1075" s="2" t="s">
        <v>5712</v>
      </c>
    </row>
    <row r="1076" spans="1:21" ht="12.75" x14ac:dyDescent="0.2">
      <c r="A1076" s="1"/>
      <c r="B1076" s="2"/>
      <c r="C1076" s="2"/>
      <c r="D1076" s="2"/>
      <c r="E1076" s="3"/>
      <c r="F1076" s="4"/>
      <c r="G1076" s="2"/>
      <c r="H1076" s="2"/>
      <c r="K1076" s="2"/>
      <c r="L1076" s="2"/>
      <c r="M1076" s="2"/>
      <c r="N1076" s="2"/>
      <c r="O1076" s="2"/>
      <c r="Q1076" s="2"/>
      <c r="S1076" s="7" t="s">
        <v>5712</v>
      </c>
      <c r="T1076" s="7" t="s">
        <v>5712</v>
      </c>
      <c r="U1076" s="2" t="s">
        <v>5712</v>
      </c>
    </row>
    <row r="1077" spans="1:21" ht="12.75" x14ac:dyDescent="0.2">
      <c r="A1077" s="1"/>
      <c r="B1077" s="2"/>
      <c r="C1077" s="2"/>
      <c r="D1077" s="2"/>
      <c r="E1077" s="3"/>
      <c r="F1077" s="4"/>
      <c r="G1077" s="2"/>
      <c r="H1077" s="2"/>
      <c r="K1077" s="2"/>
      <c r="L1077" s="2"/>
      <c r="M1077" s="2"/>
      <c r="N1077" s="2"/>
      <c r="O1077" s="2"/>
      <c r="Q1077" s="2"/>
      <c r="S1077" s="7" t="s">
        <v>5712</v>
      </c>
      <c r="T1077" s="7" t="s">
        <v>5712</v>
      </c>
      <c r="U1077" s="2" t="s">
        <v>5712</v>
      </c>
    </row>
    <row r="1078" spans="1:21" ht="12.75" x14ac:dyDescent="0.2">
      <c r="A1078" s="1"/>
      <c r="B1078" s="2"/>
      <c r="C1078" s="2"/>
      <c r="D1078" s="2"/>
      <c r="E1078" s="3"/>
      <c r="F1078" s="4"/>
      <c r="G1078" s="2"/>
      <c r="H1078" s="2"/>
      <c r="K1078" s="2"/>
      <c r="L1078" s="2"/>
      <c r="M1078" s="2"/>
      <c r="N1078" s="2"/>
      <c r="O1078" s="2"/>
      <c r="Q1078" s="2"/>
      <c r="S1078" s="7" t="s">
        <v>5712</v>
      </c>
      <c r="T1078" s="7" t="s">
        <v>5712</v>
      </c>
      <c r="U1078" s="2" t="s">
        <v>5712</v>
      </c>
    </row>
    <row r="1079" spans="1:21" ht="12.75" x14ac:dyDescent="0.2">
      <c r="A1079" s="1"/>
      <c r="B1079" s="2"/>
      <c r="C1079" s="2"/>
      <c r="D1079" s="2"/>
      <c r="E1079" s="3"/>
      <c r="F1079" s="4"/>
      <c r="G1079" s="2"/>
      <c r="H1079" s="2"/>
      <c r="K1079" s="2"/>
      <c r="L1079" s="2"/>
      <c r="M1079" s="2"/>
      <c r="N1079" s="2"/>
      <c r="O1079" s="2"/>
      <c r="Q1079" s="2"/>
      <c r="S1079" s="7" t="s">
        <v>5712</v>
      </c>
      <c r="T1079" s="7" t="s">
        <v>5712</v>
      </c>
      <c r="U1079" s="2" t="s">
        <v>5712</v>
      </c>
    </row>
    <row r="1080" spans="1:21" ht="12.75" x14ac:dyDescent="0.2">
      <c r="A1080" s="1"/>
      <c r="B1080" s="2"/>
      <c r="C1080" s="2"/>
      <c r="D1080" s="2"/>
      <c r="E1080" s="3"/>
      <c r="F1080" s="4"/>
      <c r="G1080" s="2"/>
      <c r="H1080" s="2"/>
      <c r="K1080" s="2"/>
      <c r="L1080" s="2"/>
      <c r="M1080" s="2"/>
      <c r="N1080" s="2"/>
      <c r="O1080" s="2"/>
      <c r="Q1080" s="2"/>
      <c r="S1080" s="7" t="s">
        <v>5712</v>
      </c>
      <c r="T1080" s="7" t="s">
        <v>5712</v>
      </c>
      <c r="U1080" s="2" t="s">
        <v>5712</v>
      </c>
    </row>
    <row r="1081" spans="1:21" ht="12.75" x14ac:dyDescent="0.2">
      <c r="A1081" s="1"/>
      <c r="B1081" s="2"/>
      <c r="C1081" s="2"/>
      <c r="D1081" s="2"/>
      <c r="E1081" s="3"/>
      <c r="F1081" s="4"/>
      <c r="G1081" s="2"/>
      <c r="H1081" s="2"/>
      <c r="K1081" s="2"/>
      <c r="L1081" s="2"/>
      <c r="M1081" s="2"/>
      <c r="N1081" s="2"/>
      <c r="O1081" s="2"/>
      <c r="Q1081" s="2"/>
      <c r="S1081" s="7" t="s">
        <v>5712</v>
      </c>
      <c r="T1081" s="7" t="s">
        <v>5712</v>
      </c>
      <c r="U1081" s="2" t="s">
        <v>5712</v>
      </c>
    </row>
    <row r="1082" spans="1:21" ht="12.75" x14ac:dyDescent="0.2">
      <c r="A1082" s="1"/>
      <c r="B1082" s="2"/>
      <c r="C1082" s="2"/>
      <c r="D1082" s="2"/>
      <c r="E1082" s="3"/>
      <c r="F1082" s="4"/>
      <c r="G1082" s="2"/>
      <c r="H1082" s="2"/>
      <c r="K1082" s="2"/>
      <c r="L1082" s="2"/>
      <c r="M1082" s="2"/>
      <c r="N1082" s="2"/>
      <c r="O1082" s="2"/>
      <c r="Q1082" s="2"/>
      <c r="S1082" s="7" t="s">
        <v>5712</v>
      </c>
      <c r="T1082" s="7" t="s">
        <v>5712</v>
      </c>
      <c r="U1082" s="2" t="s">
        <v>5712</v>
      </c>
    </row>
    <row r="1083" spans="1:21" ht="12.75" x14ac:dyDescent="0.2">
      <c r="A1083" s="1"/>
      <c r="B1083" s="2"/>
      <c r="C1083" s="2"/>
      <c r="D1083" s="2"/>
      <c r="E1083" s="3"/>
      <c r="F1083" s="4"/>
      <c r="G1083" s="2"/>
      <c r="H1083" s="2"/>
      <c r="K1083" s="2"/>
      <c r="L1083" s="2"/>
      <c r="M1083" s="2"/>
      <c r="N1083" s="2"/>
      <c r="O1083" s="2"/>
      <c r="Q1083" s="2"/>
      <c r="S1083" s="7" t="s">
        <v>5712</v>
      </c>
      <c r="T1083" s="7" t="s">
        <v>5712</v>
      </c>
      <c r="U1083" s="2" t="s">
        <v>5712</v>
      </c>
    </row>
    <row r="1084" spans="1:21" ht="12.75" x14ac:dyDescent="0.2">
      <c r="A1084" s="1"/>
      <c r="B1084" s="2"/>
      <c r="C1084" s="2"/>
      <c r="D1084" s="2"/>
      <c r="E1084" s="3"/>
      <c r="F1084" s="4"/>
      <c r="G1084" s="2"/>
      <c r="H1084" s="2"/>
      <c r="K1084" s="2"/>
      <c r="L1084" s="2"/>
      <c r="M1084" s="2"/>
      <c r="N1084" s="2"/>
      <c r="O1084" s="2"/>
      <c r="Q1084" s="2"/>
      <c r="S1084" s="7" t="s">
        <v>5712</v>
      </c>
      <c r="T1084" s="7" t="s">
        <v>5712</v>
      </c>
      <c r="U1084" s="2" t="s">
        <v>5712</v>
      </c>
    </row>
    <row r="1085" spans="1:21" ht="12.75" x14ac:dyDescent="0.2">
      <c r="A1085" s="1"/>
      <c r="B1085" s="2"/>
      <c r="C1085" s="2"/>
      <c r="D1085" s="2"/>
      <c r="E1085" s="3"/>
      <c r="F1085" s="4"/>
      <c r="G1085" s="2"/>
      <c r="H1085" s="2"/>
      <c r="K1085" s="2"/>
      <c r="L1085" s="2"/>
      <c r="M1085" s="2"/>
      <c r="N1085" s="2"/>
      <c r="O1085" s="2"/>
      <c r="Q1085" s="2"/>
      <c r="S1085" s="7" t="s">
        <v>5712</v>
      </c>
      <c r="T1085" s="7" t="s">
        <v>5712</v>
      </c>
      <c r="U1085" s="2" t="s">
        <v>5712</v>
      </c>
    </row>
    <row r="1086" spans="1:21" ht="12.75" x14ac:dyDescent="0.2">
      <c r="A1086" s="1"/>
      <c r="B1086" s="2"/>
      <c r="C1086" s="2"/>
      <c r="D1086" s="2"/>
      <c r="E1086" s="3"/>
      <c r="F1086" s="4"/>
      <c r="G1086" s="2"/>
      <c r="H1086" s="2"/>
      <c r="K1086" s="2"/>
      <c r="L1086" s="2"/>
      <c r="M1086" s="2"/>
      <c r="N1086" s="2"/>
      <c r="O1086" s="2"/>
      <c r="Q1086" s="2"/>
      <c r="S1086" s="7" t="s">
        <v>5712</v>
      </c>
      <c r="T1086" s="7" t="s">
        <v>5712</v>
      </c>
      <c r="U1086" s="2" t="s">
        <v>5712</v>
      </c>
    </row>
    <row r="1087" spans="1:21" ht="12.75" x14ac:dyDescent="0.2">
      <c r="A1087" s="1"/>
      <c r="B1087" s="2"/>
      <c r="C1087" s="2"/>
      <c r="D1087" s="2"/>
      <c r="E1087" s="3"/>
      <c r="F1087" s="4"/>
      <c r="G1087" s="2"/>
      <c r="H1087" s="2"/>
      <c r="K1087" s="2"/>
      <c r="L1087" s="2"/>
      <c r="M1087" s="2"/>
      <c r="N1087" s="2"/>
      <c r="O1087" s="2"/>
      <c r="Q1087" s="2"/>
      <c r="S1087" s="7" t="s">
        <v>5712</v>
      </c>
      <c r="T1087" s="7" t="s">
        <v>5712</v>
      </c>
      <c r="U1087" s="2" t="s">
        <v>5712</v>
      </c>
    </row>
    <row r="1088" spans="1:21" ht="12.75" x14ac:dyDescent="0.2">
      <c r="A1088" s="1"/>
      <c r="B1088" s="2"/>
      <c r="C1088" s="2"/>
      <c r="D1088" s="2"/>
      <c r="E1088" s="3"/>
      <c r="F1088" s="4"/>
      <c r="G1088" s="2"/>
      <c r="H1088" s="2"/>
      <c r="K1088" s="2"/>
      <c r="L1088" s="2"/>
      <c r="M1088" s="2"/>
      <c r="N1088" s="2"/>
      <c r="O1088" s="2"/>
      <c r="Q1088" s="2"/>
      <c r="S1088" s="7" t="s">
        <v>5712</v>
      </c>
      <c r="T1088" s="7" t="s">
        <v>5712</v>
      </c>
      <c r="U1088" s="2" t="s">
        <v>5712</v>
      </c>
    </row>
    <row r="1089" spans="1:21" ht="12.75" x14ac:dyDescent="0.2">
      <c r="A1089" s="1"/>
      <c r="B1089" s="2"/>
      <c r="C1089" s="2"/>
      <c r="D1089" s="2"/>
      <c r="E1089" s="3"/>
      <c r="F1089" s="4"/>
      <c r="G1089" s="2"/>
      <c r="H1089" s="2"/>
      <c r="K1089" s="2"/>
      <c r="L1089" s="2"/>
      <c r="M1089" s="2"/>
      <c r="N1089" s="2"/>
      <c r="O1089" s="2"/>
      <c r="Q1089" s="2"/>
      <c r="S1089" s="7" t="s">
        <v>5712</v>
      </c>
      <c r="T1089" s="7" t="s">
        <v>5712</v>
      </c>
      <c r="U1089" s="2" t="s">
        <v>5712</v>
      </c>
    </row>
    <row r="1090" spans="1:21" ht="12.75" x14ac:dyDescent="0.2">
      <c r="A1090" s="1"/>
      <c r="B1090" s="2"/>
      <c r="C1090" s="2"/>
      <c r="D1090" s="2"/>
      <c r="E1090" s="3"/>
      <c r="F1090" s="4"/>
      <c r="G1090" s="2"/>
      <c r="H1090" s="2"/>
      <c r="K1090" s="2"/>
      <c r="L1090" s="2"/>
      <c r="M1090" s="2"/>
      <c r="N1090" s="2"/>
      <c r="O1090" s="2"/>
      <c r="Q1090" s="2"/>
      <c r="S1090" s="7" t="s">
        <v>5712</v>
      </c>
      <c r="T1090" s="7" t="s">
        <v>5712</v>
      </c>
      <c r="U1090" s="2" t="s">
        <v>5712</v>
      </c>
    </row>
    <row r="1091" spans="1:21" ht="12.75" x14ac:dyDescent="0.2">
      <c r="A1091" s="1"/>
      <c r="B1091" s="2"/>
      <c r="C1091" s="2"/>
      <c r="D1091" s="2"/>
      <c r="E1091" s="3"/>
      <c r="F1091" s="4"/>
      <c r="G1091" s="2"/>
      <c r="H1091" s="2"/>
      <c r="K1091" s="2"/>
      <c r="L1091" s="2"/>
      <c r="M1091" s="2"/>
      <c r="N1091" s="2"/>
      <c r="O1091" s="2"/>
      <c r="Q1091" s="2"/>
      <c r="S1091" s="7" t="s">
        <v>5712</v>
      </c>
      <c r="T1091" s="7" t="s">
        <v>5712</v>
      </c>
      <c r="U1091" s="2" t="s">
        <v>5712</v>
      </c>
    </row>
    <row r="1092" spans="1:21" ht="12.75" x14ac:dyDescent="0.2">
      <c r="A1092" s="1"/>
      <c r="B1092" s="2"/>
      <c r="C1092" s="2"/>
      <c r="D1092" s="2"/>
      <c r="E1092" s="3"/>
      <c r="F1092" s="4"/>
      <c r="G1092" s="2"/>
      <c r="H1092" s="2"/>
      <c r="K1092" s="2"/>
      <c r="L1092" s="2"/>
      <c r="M1092" s="2"/>
      <c r="N1092" s="2"/>
      <c r="O1092" s="2"/>
      <c r="Q1092" s="2"/>
      <c r="S1092" s="7" t="s">
        <v>5712</v>
      </c>
      <c r="T1092" s="7" t="s">
        <v>5712</v>
      </c>
      <c r="U1092" s="2" t="s">
        <v>5712</v>
      </c>
    </row>
    <row r="1093" spans="1:21" ht="12.75" x14ac:dyDescent="0.2">
      <c r="A1093" s="1"/>
      <c r="B1093" s="2"/>
      <c r="C1093" s="2"/>
      <c r="D1093" s="2"/>
      <c r="E1093" s="3"/>
      <c r="F1093" s="4"/>
      <c r="G1093" s="2"/>
      <c r="H1093" s="2"/>
      <c r="K1093" s="2"/>
      <c r="L1093" s="2"/>
      <c r="M1093" s="2"/>
      <c r="N1093" s="2"/>
      <c r="O1093" s="2"/>
      <c r="Q1093" s="2"/>
      <c r="S1093" s="7" t="s">
        <v>5712</v>
      </c>
      <c r="T1093" s="7" t="s">
        <v>5712</v>
      </c>
      <c r="U1093" s="2" t="s">
        <v>5712</v>
      </c>
    </row>
    <row r="1094" spans="1:21" ht="12.75" x14ac:dyDescent="0.2">
      <c r="A1094" s="1"/>
      <c r="B1094" s="2"/>
      <c r="C1094" s="2"/>
      <c r="D1094" s="2"/>
      <c r="E1094" s="3"/>
      <c r="F1094" s="4"/>
      <c r="G1094" s="2"/>
      <c r="H1094" s="2"/>
      <c r="K1094" s="2"/>
      <c r="L1094" s="2"/>
      <c r="M1094" s="2"/>
      <c r="N1094" s="2"/>
      <c r="O1094" s="2"/>
      <c r="Q1094" s="2"/>
      <c r="S1094" s="7" t="s">
        <v>5712</v>
      </c>
      <c r="T1094" s="7" t="s">
        <v>5712</v>
      </c>
      <c r="U1094" s="2" t="s">
        <v>5712</v>
      </c>
    </row>
    <row r="1095" spans="1:21" ht="12.75" x14ac:dyDescent="0.2">
      <c r="A1095" s="1"/>
      <c r="B1095" s="2"/>
      <c r="C1095" s="2"/>
      <c r="D1095" s="2"/>
      <c r="E1095" s="3"/>
      <c r="F1095" s="4"/>
      <c r="G1095" s="2"/>
      <c r="H1095" s="2"/>
      <c r="K1095" s="2"/>
      <c r="L1095" s="2"/>
      <c r="M1095" s="2"/>
      <c r="N1095" s="2"/>
      <c r="O1095" s="2"/>
      <c r="Q1095" s="2"/>
      <c r="S1095" s="7" t="s">
        <v>5712</v>
      </c>
      <c r="T1095" s="7" t="s">
        <v>5712</v>
      </c>
      <c r="U1095" s="2" t="s">
        <v>5712</v>
      </c>
    </row>
    <row r="1096" spans="1:21" ht="12.75" x14ac:dyDescent="0.2">
      <c r="A1096" s="1"/>
      <c r="B1096" s="2"/>
      <c r="C1096" s="2"/>
      <c r="D1096" s="2"/>
      <c r="E1096" s="3"/>
      <c r="F1096" s="4"/>
      <c r="G1096" s="2"/>
      <c r="H1096" s="2"/>
      <c r="K1096" s="2"/>
      <c r="L1096" s="2"/>
      <c r="M1096" s="2"/>
      <c r="N1096" s="2"/>
      <c r="O1096" s="2"/>
      <c r="Q1096" s="2"/>
      <c r="S1096" s="7" t="s">
        <v>5712</v>
      </c>
      <c r="T1096" s="7" t="s">
        <v>5712</v>
      </c>
      <c r="U1096" s="2" t="s">
        <v>5712</v>
      </c>
    </row>
    <row r="1097" spans="1:21" ht="12.75" x14ac:dyDescent="0.2">
      <c r="A1097" s="1"/>
      <c r="B1097" s="2"/>
      <c r="C1097" s="2"/>
      <c r="D1097" s="2"/>
      <c r="E1097" s="3"/>
      <c r="F1097" s="4"/>
      <c r="G1097" s="2"/>
      <c r="H1097" s="2"/>
      <c r="K1097" s="2"/>
      <c r="L1097" s="2"/>
      <c r="M1097" s="2"/>
      <c r="N1097" s="2"/>
      <c r="O1097" s="2"/>
      <c r="Q1097" s="2"/>
      <c r="S1097" s="7" t="s">
        <v>5712</v>
      </c>
      <c r="T1097" s="7" t="s">
        <v>5712</v>
      </c>
      <c r="U1097" s="2" t="s">
        <v>5712</v>
      </c>
    </row>
    <row r="1098" spans="1:21" ht="12.75" x14ac:dyDescent="0.2">
      <c r="A1098" s="1"/>
      <c r="B1098" s="2"/>
      <c r="C1098" s="2"/>
      <c r="D1098" s="2"/>
      <c r="E1098" s="3"/>
      <c r="F1098" s="4"/>
      <c r="G1098" s="2"/>
      <c r="H1098" s="2"/>
      <c r="K1098" s="2"/>
      <c r="L1098" s="2"/>
      <c r="M1098" s="2"/>
      <c r="N1098" s="2"/>
      <c r="O1098" s="2"/>
      <c r="Q1098" s="2"/>
      <c r="S1098" s="7" t="s">
        <v>5712</v>
      </c>
      <c r="T1098" s="7" t="s">
        <v>5712</v>
      </c>
      <c r="U1098" s="2" t="s">
        <v>5712</v>
      </c>
    </row>
    <row r="1099" spans="1:21" ht="12.75" x14ac:dyDescent="0.2">
      <c r="A1099" s="1"/>
      <c r="B1099" s="2"/>
      <c r="C1099" s="2"/>
      <c r="D1099" s="2"/>
      <c r="E1099" s="3"/>
      <c r="F1099" s="4"/>
      <c r="G1099" s="2"/>
      <c r="H1099" s="2"/>
      <c r="K1099" s="2"/>
      <c r="L1099" s="2"/>
      <c r="M1099" s="2"/>
      <c r="N1099" s="2"/>
      <c r="O1099" s="2"/>
      <c r="Q1099" s="2"/>
      <c r="S1099" s="7" t="s">
        <v>5712</v>
      </c>
      <c r="T1099" s="7" t="s">
        <v>5712</v>
      </c>
      <c r="U1099" s="2" t="s">
        <v>5712</v>
      </c>
    </row>
    <row r="1100" spans="1:21" ht="12.75" x14ac:dyDescent="0.2">
      <c r="A1100" s="1"/>
      <c r="B1100" s="2"/>
      <c r="C1100" s="2"/>
      <c r="D1100" s="2"/>
      <c r="E1100" s="3"/>
      <c r="F1100" s="4"/>
      <c r="G1100" s="2"/>
      <c r="H1100" s="2"/>
      <c r="K1100" s="2"/>
      <c r="L1100" s="2"/>
      <c r="M1100" s="2"/>
      <c r="N1100" s="2"/>
      <c r="O1100" s="2"/>
      <c r="Q1100" s="2"/>
      <c r="S1100" s="7" t="s">
        <v>5712</v>
      </c>
      <c r="T1100" s="7" t="s">
        <v>5712</v>
      </c>
      <c r="U1100" s="2" t="s">
        <v>5712</v>
      </c>
    </row>
    <row r="1101" spans="1:21" ht="12.75" x14ac:dyDescent="0.2">
      <c r="A1101" s="1"/>
      <c r="B1101" s="2"/>
      <c r="C1101" s="2"/>
      <c r="D1101" s="2"/>
      <c r="E1101" s="3"/>
      <c r="F1101" s="4"/>
      <c r="G1101" s="2"/>
      <c r="H1101" s="2"/>
      <c r="K1101" s="2"/>
      <c r="L1101" s="2"/>
      <c r="M1101" s="2"/>
      <c r="N1101" s="2"/>
      <c r="O1101" s="2"/>
      <c r="Q1101" s="2"/>
      <c r="S1101" s="7" t="s">
        <v>5712</v>
      </c>
      <c r="T1101" s="7" t="s">
        <v>5712</v>
      </c>
      <c r="U1101" s="2" t="s">
        <v>5712</v>
      </c>
    </row>
    <row r="1102" spans="1:21" ht="12.75" x14ac:dyDescent="0.2">
      <c r="A1102" s="1"/>
      <c r="B1102" s="2"/>
      <c r="C1102" s="2"/>
      <c r="D1102" s="2"/>
      <c r="E1102" s="3"/>
      <c r="F1102" s="4"/>
      <c r="G1102" s="2"/>
      <c r="H1102" s="2"/>
      <c r="K1102" s="2"/>
      <c r="L1102" s="2"/>
      <c r="M1102" s="2"/>
      <c r="N1102" s="2"/>
      <c r="O1102" s="2"/>
      <c r="Q1102" s="2"/>
      <c r="S1102" s="7" t="s">
        <v>5712</v>
      </c>
      <c r="T1102" s="7" t="s">
        <v>5712</v>
      </c>
      <c r="U1102" s="2" t="s">
        <v>5712</v>
      </c>
    </row>
    <row r="1103" spans="1:21" ht="12.75" x14ac:dyDescent="0.2">
      <c r="A1103" s="1"/>
      <c r="B1103" s="2"/>
      <c r="C1103" s="2"/>
      <c r="D1103" s="2"/>
      <c r="E1103" s="3"/>
      <c r="F1103" s="4"/>
      <c r="G1103" s="2"/>
      <c r="H1103" s="2"/>
      <c r="K1103" s="2"/>
      <c r="L1103" s="2"/>
      <c r="M1103" s="2"/>
      <c r="N1103" s="2"/>
      <c r="O1103" s="2"/>
      <c r="Q1103" s="2"/>
      <c r="S1103" s="7" t="s">
        <v>5712</v>
      </c>
      <c r="T1103" s="7" t="s">
        <v>5712</v>
      </c>
      <c r="U1103" s="2" t="s">
        <v>5712</v>
      </c>
    </row>
    <row r="1104" spans="1:21" ht="12.75" x14ac:dyDescent="0.2">
      <c r="A1104" s="1"/>
      <c r="B1104" s="2"/>
      <c r="C1104" s="2"/>
      <c r="D1104" s="2"/>
      <c r="E1104" s="3"/>
      <c r="F1104" s="4"/>
      <c r="G1104" s="2"/>
      <c r="H1104" s="2"/>
      <c r="K1104" s="2"/>
      <c r="L1104" s="2"/>
      <c r="M1104" s="2"/>
      <c r="N1104" s="2"/>
      <c r="O1104" s="2"/>
      <c r="Q1104" s="2"/>
      <c r="S1104" s="7" t="s">
        <v>5712</v>
      </c>
      <c r="T1104" s="7" t="s">
        <v>5712</v>
      </c>
      <c r="U1104" s="2" t="s">
        <v>5712</v>
      </c>
    </row>
    <row r="1105" spans="1:21" ht="12.75" x14ac:dyDescent="0.2">
      <c r="A1105" s="1"/>
      <c r="B1105" s="2"/>
      <c r="C1105" s="2"/>
      <c r="D1105" s="2"/>
      <c r="E1105" s="3"/>
      <c r="F1105" s="4"/>
      <c r="G1105" s="2"/>
      <c r="H1105" s="2"/>
      <c r="K1105" s="2"/>
      <c r="L1105" s="2"/>
      <c r="M1105" s="2"/>
      <c r="N1105" s="2"/>
      <c r="O1105" s="2"/>
      <c r="Q1105" s="2"/>
      <c r="S1105" s="7" t="s">
        <v>5712</v>
      </c>
      <c r="T1105" s="7" t="s">
        <v>5712</v>
      </c>
      <c r="U1105" s="2" t="s">
        <v>5712</v>
      </c>
    </row>
    <row r="1106" spans="1:21" ht="12.75" x14ac:dyDescent="0.2">
      <c r="A1106" s="1"/>
      <c r="B1106" s="2"/>
      <c r="C1106" s="2"/>
      <c r="D1106" s="2"/>
      <c r="E1106" s="3"/>
      <c r="F1106" s="4"/>
      <c r="G1106" s="2"/>
      <c r="H1106" s="2"/>
      <c r="K1106" s="2"/>
      <c r="L1106" s="2"/>
      <c r="M1106" s="2"/>
      <c r="N1106" s="2"/>
      <c r="O1106" s="2"/>
      <c r="Q1106" s="2"/>
      <c r="S1106" s="7" t="s">
        <v>5712</v>
      </c>
      <c r="T1106" s="7" t="s">
        <v>5712</v>
      </c>
      <c r="U1106" s="2" t="s">
        <v>5712</v>
      </c>
    </row>
    <row r="1107" spans="1:21" ht="12.75" x14ac:dyDescent="0.2">
      <c r="A1107" s="1"/>
      <c r="B1107" s="2"/>
      <c r="C1107" s="2"/>
      <c r="D1107" s="2"/>
      <c r="E1107" s="3"/>
      <c r="F1107" s="4"/>
      <c r="G1107" s="2"/>
      <c r="H1107" s="2"/>
      <c r="K1107" s="2"/>
      <c r="L1107" s="2"/>
      <c r="M1107" s="2"/>
      <c r="N1107" s="2"/>
      <c r="O1107" s="2"/>
      <c r="Q1107" s="2"/>
      <c r="S1107" s="7" t="s">
        <v>5712</v>
      </c>
      <c r="T1107" s="7" t="s">
        <v>5712</v>
      </c>
      <c r="U1107" s="2" t="s">
        <v>5712</v>
      </c>
    </row>
    <row r="1108" spans="1:21" ht="12.75" x14ac:dyDescent="0.2">
      <c r="A1108" s="1"/>
      <c r="B1108" s="2"/>
      <c r="C1108" s="2"/>
      <c r="D1108" s="2"/>
      <c r="E1108" s="3"/>
      <c r="F1108" s="4"/>
      <c r="G1108" s="2"/>
      <c r="H1108" s="2"/>
      <c r="K1108" s="2"/>
      <c r="L1108" s="2"/>
      <c r="M1108" s="2"/>
      <c r="N1108" s="2"/>
      <c r="O1108" s="2"/>
      <c r="Q1108" s="2"/>
      <c r="S1108" s="7" t="s">
        <v>5712</v>
      </c>
      <c r="T1108" s="7" t="s">
        <v>5712</v>
      </c>
      <c r="U1108" s="2" t="s">
        <v>5712</v>
      </c>
    </row>
    <row r="1109" spans="1:21" ht="12.75" x14ac:dyDescent="0.2">
      <c r="A1109" s="1"/>
      <c r="B1109" s="2"/>
      <c r="C1109" s="2"/>
      <c r="D1109" s="2"/>
      <c r="E1109" s="3"/>
      <c r="F1109" s="4"/>
      <c r="G1109" s="2"/>
      <c r="H1109" s="2"/>
      <c r="K1109" s="2"/>
      <c r="L1109" s="2"/>
      <c r="M1109" s="2"/>
      <c r="N1109" s="2"/>
      <c r="O1109" s="2"/>
      <c r="Q1109" s="2"/>
      <c r="S1109" s="7" t="s">
        <v>5712</v>
      </c>
      <c r="T1109" s="7" t="s">
        <v>5712</v>
      </c>
      <c r="U1109" s="2" t="s">
        <v>5712</v>
      </c>
    </row>
    <row r="1110" spans="1:21" ht="12.75" x14ac:dyDescent="0.2">
      <c r="A1110" s="1"/>
      <c r="B1110" s="2"/>
      <c r="C1110" s="2"/>
      <c r="D1110" s="2"/>
      <c r="E1110" s="3"/>
      <c r="F1110" s="4"/>
      <c r="G1110" s="2"/>
      <c r="H1110" s="2"/>
      <c r="K1110" s="2"/>
      <c r="L1110" s="2"/>
      <c r="M1110" s="2"/>
      <c r="N1110" s="2"/>
      <c r="O1110" s="2"/>
      <c r="Q1110" s="2"/>
      <c r="S1110" s="7" t="s">
        <v>5712</v>
      </c>
      <c r="T1110" s="7" t="s">
        <v>5712</v>
      </c>
      <c r="U1110" s="2" t="s">
        <v>5712</v>
      </c>
    </row>
    <row r="1111" spans="1:21" ht="12.75" x14ac:dyDescent="0.2">
      <c r="A1111" s="1"/>
      <c r="B1111" s="2"/>
      <c r="C1111" s="2"/>
      <c r="D1111" s="2"/>
      <c r="E1111" s="3"/>
      <c r="F1111" s="4"/>
      <c r="G1111" s="2"/>
      <c r="H1111" s="2"/>
      <c r="K1111" s="2"/>
      <c r="L1111" s="2"/>
      <c r="M1111" s="2"/>
      <c r="N1111" s="2"/>
      <c r="O1111" s="2"/>
      <c r="Q1111" s="2"/>
      <c r="S1111" s="7" t="s">
        <v>5712</v>
      </c>
      <c r="T1111" s="7" t="s">
        <v>5712</v>
      </c>
      <c r="U1111" s="2" t="s">
        <v>5712</v>
      </c>
    </row>
    <row r="1112" spans="1:21" ht="12.75" x14ac:dyDescent="0.2">
      <c r="A1112" s="1"/>
      <c r="B1112" s="2"/>
      <c r="C1112" s="2"/>
      <c r="D1112" s="2"/>
      <c r="E1112" s="3"/>
      <c r="F1112" s="4"/>
      <c r="G1112" s="2"/>
      <c r="H1112" s="2"/>
      <c r="K1112" s="2"/>
      <c r="L1112" s="2"/>
      <c r="M1112" s="2"/>
      <c r="N1112" s="2"/>
      <c r="O1112" s="2"/>
      <c r="Q1112" s="2"/>
      <c r="S1112" s="7" t="s">
        <v>5712</v>
      </c>
      <c r="T1112" s="7" t="s">
        <v>5712</v>
      </c>
      <c r="U1112" s="2" t="s">
        <v>5712</v>
      </c>
    </row>
    <row r="1113" spans="1:21" ht="12.75" x14ac:dyDescent="0.2">
      <c r="A1113" s="1"/>
      <c r="B1113" s="2"/>
      <c r="C1113" s="2"/>
      <c r="D1113" s="2"/>
      <c r="E1113" s="3"/>
      <c r="F1113" s="4"/>
      <c r="G1113" s="2"/>
      <c r="H1113" s="2"/>
      <c r="K1113" s="2"/>
      <c r="L1113" s="2"/>
      <c r="M1113" s="2"/>
      <c r="N1113" s="2"/>
      <c r="O1113" s="2"/>
      <c r="Q1113" s="2"/>
      <c r="S1113" s="7" t="s">
        <v>5712</v>
      </c>
      <c r="T1113" s="7" t="s">
        <v>5712</v>
      </c>
      <c r="U1113" s="2" t="s">
        <v>5712</v>
      </c>
    </row>
    <row r="1114" spans="1:21" ht="12.75" x14ac:dyDescent="0.2">
      <c r="A1114" s="1"/>
      <c r="B1114" s="2"/>
      <c r="C1114" s="2"/>
      <c r="D1114" s="2"/>
      <c r="E1114" s="3"/>
      <c r="F1114" s="4"/>
      <c r="G1114" s="2"/>
      <c r="H1114" s="2"/>
      <c r="K1114" s="2"/>
      <c r="L1114" s="2"/>
      <c r="M1114" s="2"/>
      <c r="N1114" s="2"/>
      <c r="O1114" s="2"/>
      <c r="Q1114" s="2"/>
      <c r="S1114" s="7" t="s">
        <v>5712</v>
      </c>
      <c r="T1114" s="7" t="s">
        <v>5712</v>
      </c>
      <c r="U1114" s="2" t="s">
        <v>5712</v>
      </c>
    </row>
    <row r="1115" spans="1:21" ht="12.75" x14ac:dyDescent="0.2">
      <c r="A1115" s="1"/>
      <c r="B1115" s="2"/>
      <c r="C1115" s="2"/>
      <c r="D1115" s="2"/>
      <c r="E1115" s="3"/>
      <c r="F1115" s="4"/>
      <c r="G1115" s="2"/>
      <c r="H1115" s="2"/>
      <c r="K1115" s="2"/>
      <c r="L1115" s="2"/>
      <c r="M1115" s="2"/>
      <c r="N1115" s="2"/>
      <c r="O1115" s="2"/>
      <c r="Q1115" s="2"/>
      <c r="S1115" s="7" t="s">
        <v>5712</v>
      </c>
      <c r="T1115" s="7" t="s">
        <v>5712</v>
      </c>
      <c r="U1115" s="2" t="s">
        <v>5712</v>
      </c>
    </row>
    <row r="1116" spans="1:21" ht="12.75" x14ac:dyDescent="0.2">
      <c r="A1116" s="1"/>
      <c r="B1116" s="2"/>
      <c r="C1116" s="2"/>
      <c r="D1116" s="2"/>
      <c r="E1116" s="3"/>
      <c r="F1116" s="4"/>
      <c r="G1116" s="2"/>
      <c r="H1116" s="2"/>
      <c r="K1116" s="2"/>
      <c r="L1116" s="2"/>
      <c r="M1116" s="2"/>
      <c r="N1116" s="2"/>
      <c r="O1116" s="2"/>
      <c r="Q1116" s="2"/>
      <c r="S1116" s="7" t="s">
        <v>5712</v>
      </c>
      <c r="T1116" s="7" t="s">
        <v>5712</v>
      </c>
      <c r="U1116" s="2" t="s">
        <v>5712</v>
      </c>
    </row>
    <row r="1117" spans="1:21" ht="12.75" x14ac:dyDescent="0.2">
      <c r="A1117" s="1"/>
      <c r="B1117" s="2"/>
      <c r="C1117" s="2"/>
      <c r="D1117" s="2"/>
      <c r="E1117" s="3"/>
      <c r="F1117" s="4"/>
      <c r="G1117" s="2"/>
      <c r="H1117" s="2"/>
      <c r="K1117" s="2"/>
      <c r="L1117" s="2"/>
      <c r="M1117" s="2"/>
      <c r="N1117" s="2"/>
      <c r="O1117" s="2"/>
      <c r="Q1117" s="2"/>
      <c r="S1117" s="7" t="s">
        <v>5712</v>
      </c>
      <c r="T1117" s="7" t="s">
        <v>5712</v>
      </c>
      <c r="U1117" s="2" t="s">
        <v>5712</v>
      </c>
    </row>
    <row r="1118" spans="1:21" ht="12.75" x14ac:dyDescent="0.2">
      <c r="A1118" s="1"/>
      <c r="B1118" s="2"/>
      <c r="C1118" s="2"/>
      <c r="D1118" s="2"/>
      <c r="E1118" s="3"/>
      <c r="F1118" s="4"/>
      <c r="G1118" s="2"/>
      <c r="H1118" s="2"/>
      <c r="K1118" s="2"/>
      <c r="L1118" s="2"/>
      <c r="M1118" s="2"/>
      <c r="N1118" s="2"/>
      <c r="O1118" s="2"/>
      <c r="Q1118" s="2"/>
      <c r="S1118" s="7" t="s">
        <v>5712</v>
      </c>
      <c r="T1118" s="7" t="s">
        <v>5712</v>
      </c>
      <c r="U1118" s="2" t="s">
        <v>5712</v>
      </c>
    </row>
    <row r="1119" spans="1:21" ht="12.75" x14ac:dyDescent="0.2">
      <c r="A1119" s="1"/>
      <c r="B1119" s="2"/>
      <c r="C1119" s="2"/>
      <c r="D1119" s="2"/>
      <c r="E1119" s="3"/>
      <c r="F1119" s="4"/>
      <c r="G1119" s="2"/>
      <c r="H1119" s="2"/>
      <c r="K1119" s="2"/>
      <c r="L1119" s="2"/>
      <c r="M1119" s="2"/>
      <c r="N1119" s="2"/>
      <c r="O1119" s="2"/>
      <c r="Q1119" s="2"/>
      <c r="S1119" s="7" t="s">
        <v>5712</v>
      </c>
      <c r="T1119" s="7" t="s">
        <v>5712</v>
      </c>
      <c r="U1119" s="2" t="s">
        <v>5712</v>
      </c>
    </row>
    <row r="1120" spans="1:21" ht="12.75" x14ac:dyDescent="0.2">
      <c r="A1120" s="1"/>
      <c r="B1120" s="2"/>
      <c r="C1120" s="2"/>
      <c r="D1120" s="2"/>
      <c r="E1120" s="3"/>
      <c r="F1120" s="4"/>
      <c r="G1120" s="2"/>
      <c r="H1120" s="2"/>
      <c r="K1120" s="2"/>
      <c r="L1120" s="2"/>
      <c r="M1120" s="2"/>
      <c r="N1120" s="2"/>
      <c r="O1120" s="2"/>
      <c r="Q1120" s="2"/>
      <c r="S1120" s="7" t="s">
        <v>5712</v>
      </c>
      <c r="T1120" s="7" t="s">
        <v>5712</v>
      </c>
      <c r="U1120" s="2" t="s">
        <v>5712</v>
      </c>
    </row>
    <row r="1121" spans="1:21" ht="12.75" x14ac:dyDescent="0.2">
      <c r="A1121" s="1"/>
      <c r="B1121" s="2"/>
      <c r="C1121" s="2"/>
      <c r="D1121" s="2"/>
      <c r="E1121" s="3"/>
      <c r="F1121" s="4"/>
      <c r="G1121" s="2"/>
      <c r="H1121" s="2"/>
      <c r="K1121" s="2"/>
      <c r="L1121" s="2"/>
      <c r="M1121" s="2"/>
      <c r="N1121" s="2"/>
      <c r="O1121" s="2"/>
      <c r="Q1121" s="2"/>
      <c r="S1121" s="7" t="s">
        <v>5712</v>
      </c>
      <c r="T1121" s="7" t="s">
        <v>5712</v>
      </c>
      <c r="U1121" s="2" t="s">
        <v>5712</v>
      </c>
    </row>
    <row r="1122" spans="1:21" ht="12.75" x14ac:dyDescent="0.2">
      <c r="A1122" s="1"/>
      <c r="B1122" s="2"/>
      <c r="C1122" s="2"/>
      <c r="D1122" s="2"/>
      <c r="E1122" s="3"/>
      <c r="F1122" s="4"/>
      <c r="G1122" s="2"/>
      <c r="H1122" s="2"/>
      <c r="K1122" s="2"/>
      <c r="L1122" s="2"/>
      <c r="M1122" s="2"/>
      <c r="N1122" s="2"/>
      <c r="O1122" s="2"/>
      <c r="Q1122" s="2"/>
      <c r="S1122" s="7" t="s">
        <v>5712</v>
      </c>
      <c r="T1122" s="7" t="s">
        <v>5712</v>
      </c>
      <c r="U1122" s="2" t="s">
        <v>5712</v>
      </c>
    </row>
    <row r="1123" spans="1:21" ht="12.75" x14ac:dyDescent="0.2">
      <c r="A1123" s="1"/>
      <c r="B1123" s="2"/>
      <c r="C1123" s="2"/>
      <c r="D1123" s="2"/>
      <c r="E1123" s="3"/>
      <c r="F1123" s="4"/>
      <c r="G1123" s="2"/>
      <c r="H1123" s="2"/>
      <c r="K1123" s="2"/>
      <c r="L1123" s="2"/>
      <c r="M1123" s="2"/>
      <c r="N1123" s="2"/>
      <c r="O1123" s="2"/>
      <c r="Q1123" s="2"/>
      <c r="S1123" s="7" t="s">
        <v>5712</v>
      </c>
      <c r="T1123" s="7" t="s">
        <v>5712</v>
      </c>
      <c r="U1123" s="2" t="s">
        <v>5712</v>
      </c>
    </row>
    <row r="1124" spans="1:21" ht="12.75" x14ac:dyDescent="0.2">
      <c r="A1124" s="1"/>
      <c r="B1124" s="2"/>
      <c r="C1124" s="2"/>
      <c r="D1124" s="2"/>
      <c r="E1124" s="3"/>
      <c r="F1124" s="4"/>
      <c r="G1124" s="2"/>
      <c r="H1124" s="2"/>
      <c r="K1124" s="2"/>
      <c r="L1124" s="2"/>
      <c r="M1124" s="2"/>
      <c r="N1124" s="2"/>
      <c r="O1124" s="2"/>
      <c r="Q1124" s="2"/>
      <c r="S1124" s="7" t="s">
        <v>5712</v>
      </c>
      <c r="T1124" s="7" t="s">
        <v>5712</v>
      </c>
      <c r="U1124" s="2" t="s">
        <v>5712</v>
      </c>
    </row>
    <row r="1125" spans="1:21" ht="12.75" x14ac:dyDescent="0.2">
      <c r="A1125" s="1"/>
      <c r="B1125" s="2"/>
      <c r="C1125" s="2"/>
      <c r="D1125" s="2"/>
      <c r="E1125" s="3"/>
      <c r="F1125" s="4"/>
      <c r="G1125" s="2"/>
      <c r="H1125" s="2"/>
      <c r="K1125" s="2"/>
      <c r="L1125" s="2"/>
      <c r="M1125" s="2"/>
      <c r="N1125" s="2"/>
      <c r="O1125" s="2"/>
      <c r="Q1125" s="2"/>
      <c r="S1125" s="7" t="s">
        <v>5712</v>
      </c>
      <c r="T1125" s="7" t="s">
        <v>5712</v>
      </c>
      <c r="U1125" s="2" t="s">
        <v>5712</v>
      </c>
    </row>
    <row r="1126" spans="1:21" ht="12.75" x14ac:dyDescent="0.2">
      <c r="A1126" s="1"/>
      <c r="B1126" s="2"/>
      <c r="C1126" s="2"/>
      <c r="D1126" s="2"/>
      <c r="E1126" s="3"/>
      <c r="F1126" s="4"/>
      <c r="G1126" s="2"/>
      <c r="H1126" s="2"/>
      <c r="K1126" s="2"/>
      <c r="L1126" s="2"/>
      <c r="M1126" s="2"/>
      <c r="N1126" s="2"/>
      <c r="O1126" s="2"/>
      <c r="Q1126" s="2"/>
      <c r="S1126" s="7" t="s">
        <v>5712</v>
      </c>
      <c r="T1126" s="7" t="s">
        <v>5712</v>
      </c>
      <c r="U1126" s="2" t="s">
        <v>5712</v>
      </c>
    </row>
    <row r="1127" spans="1:21" ht="12.75" x14ac:dyDescent="0.2">
      <c r="A1127" s="1"/>
      <c r="B1127" s="2"/>
      <c r="C1127" s="2"/>
      <c r="D1127" s="2"/>
      <c r="E1127" s="3"/>
      <c r="F1127" s="4"/>
      <c r="G1127" s="2"/>
      <c r="H1127" s="2"/>
      <c r="K1127" s="2"/>
      <c r="L1127" s="2"/>
      <c r="M1127" s="2"/>
      <c r="N1127" s="2"/>
      <c r="O1127" s="2"/>
      <c r="Q1127" s="2"/>
      <c r="S1127" s="7" t="s">
        <v>5712</v>
      </c>
      <c r="T1127" s="7" t="s">
        <v>5712</v>
      </c>
      <c r="U1127" s="2" t="s">
        <v>5712</v>
      </c>
    </row>
    <row r="1128" spans="1:21" ht="12.75" x14ac:dyDescent="0.2">
      <c r="A1128" s="1"/>
      <c r="B1128" s="2"/>
      <c r="C1128" s="2"/>
      <c r="D1128" s="2"/>
      <c r="E1128" s="3"/>
      <c r="F1128" s="4"/>
      <c r="G1128" s="2"/>
      <c r="H1128" s="2"/>
      <c r="K1128" s="2"/>
      <c r="L1128" s="2"/>
      <c r="M1128" s="2"/>
      <c r="N1128" s="2"/>
      <c r="O1128" s="2"/>
      <c r="Q1128" s="2"/>
      <c r="S1128" s="7" t="s">
        <v>5712</v>
      </c>
      <c r="T1128" s="7" t="s">
        <v>5712</v>
      </c>
      <c r="U1128" s="2" t="s">
        <v>5712</v>
      </c>
    </row>
    <row r="1129" spans="1:21" ht="12.75" x14ac:dyDescent="0.2">
      <c r="A1129" s="1"/>
      <c r="B1129" s="2"/>
      <c r="C1129" s="2"/>
      <c r="D1129" s="2"/>
      <c r="E1129" s="3"/>
      <c r="F1129" s="4"/>
      <c r="G1129" s="2"/>
      <c r="H1129" s="2"/>
      <c r="K1129" s="2"/>
      <c r="L1129" s="2"/>
      <c r="M1129" s="2"/>
      <c r="N1129" s="2"/>
      <c r="O1129" s="2"/>
      <c r="Q1129" s="2"/>
      <c r="S1129" s="7" t="s">
        <v>5712</v>
      </c>
      <c r="T1129" s="7" t="s">
        <v>5712</v>
      </c>
      <c r="U1129" s="2" t="s">
        <v>5712</v>
      </c>
    </row>
    <row r="1130" spans="1:21" ht="12.75" x14ac:dyDescent="0.2">
      <c r="A1130" s="1"/>
      <c r="B1130" s="2"/>
      <c r="C1130" s="2"/>
      <c r="D1130" s="2"/>
      <c r="E1130" s="3"/>
      <c r="F1130" s="4"/>
      <c r="G1130" s="2"/>
      <c r="H1130" s="2"/>
      <c r="K1130" s="2"/>
      <c r="L1130" s="2"/>
      <c r="M1130" s="2"/>
      <c r="N1130" s="2"/>
      <c r="O1130" s="2"/>
      <c r="Q1130" s="2"/>
      <c r="S1130" s="7" t="s">
        <v>5712</v>
      </c>
      <c r="T1130" s="7" t="s">
        <v>5712</v>
      </c>
      <c r="U1130" s="2" t="s">
        <v>5712</v>
      </c>
    </row>
    <row r="1131" spans="1:21" ht="12.75" x14ac:dyDescent="0.2">
      <c r="A1131" s="1"/>
      <c r="B1131" s="2"/>
      <c r="C1131" s="2"/>
      <c r="D1131" s="2"/>
      <c r="E1131" s="3"/>
      <c r="F1131" s="4"/>
      <c r="G1131" s="2"/>
      <c r="H1131" s="2"/>
      <c r="K1131" s="2"/>
      <c r="L1131" s="2"/>
      <c r="M1131" s="2"/>
      <c r="N1131" s="2"/>
      <c r="O1131" s="2"/>
      <c r="Q1131" s="2"/>
      <c r="S1131" s="7" t="s">
        <v>5712</v>
      </c>
      <c r="T1131" s="7" t="s">
        <v>5712</v>
      </c>
      <c r="U1131" s="2" t="s">
        <v>5712</v>
      </c>
    </row>
    <row r="1132" spans="1:21" ht="12.75" x14ac:dyDescent="0.2">
      <c r="A1132" s="1"/>
      <c r="B1132" s="2"/>
      <c r="C1132" s="2"/>
      <c r="D1132" s="2"/>
      <c r="E1132" s="3"/>
      <c r="F1132" s="4"/>
      <c r="G1132" s="2"/>
      <c r="H1132" s="2"/>
      <c r="K1132" s="2"/>
      <c r="L1132" s="2"/>
      <c r="M1132" s="2"/>
      <c r="N1132" s="2"/>
      <c r="O1132" s="2"/>
      <c r="Q1132" s="2"/>
      <c r="S1132" s="7" t="s">
        <v>5712</v>
      </c>
      <c r="T1132" s="7" t="s">
        <v>5712</v>
      </c>
      <c r="U1132" s="2" t="s">
        <v>5712</v>
      </c>
    </row>
    <row r="1133" spans="1:21" ht="12.75" x14ac:dyDescent="0.2">
      <c r="A1133" s="1"/>
      <c r="B1133" s="2"/>
      <c r="C1133" s="2"/>
      <c r="D1133" s="2"/>
      <c r="E1133" s="3"/>
      <c r="F1133" s="4"/>
      <c r="G1133" s="2"/>
      <c r="H1133" s="2"/>
      <c r="K1133" s="2"/>
      <c r="L1133" s="2"/>
      <c r="M1133" s="2"/>
      <c r="N1133" s="2"/>
      <c r="O1133" s="2"/>
      <c r="Q1133" s="2"/>
      <c r="S1133" s="7" t="s">
        <v>5712</v>
      </c>
      <c r="T1133" s="7" t="s">
        <v>5712</v>
      </c>
      <c r="U1133" s="2" t="s">
        <v>5712</v>
      </c>
    </row>
    <row r="1134" spans="1:21" ht="12.75" x14ac:dyDescent="0.2">
      <c r="A1134" s="1"/>
      <c r="B1134" s="2"/>
      <c r="C1134" s="2"/>
      <c r="D1134" s="2"/>
      <c r="E1134" s="3"/>
      <c r="F1134" s="4"/>
      <c r="G1134" s="2"/>
      <c r="H1134" s="2"/>
      <c r="K1134" s="2"/>
      <c r="L1134" s="2"/>
      <c r="M1134" s="2"/>
      <c r="N1134" s="2"/>
      <c r="O1134" s="2"/>
      <c r="Q1134" s="2"/>
      <c r="S1134" s="7" t="s">
        <v>5712</v>
      </c>
      <c r="T1134" s="7" t="s">
        <v>5712</v>
      </c>
      <c r="U1134" s="2" t="s">
        <v>5712</v>
      </c>
    </row>
    <row r="1135" spans="1:21" ht="12.75" x14ac:dyDescent="0.2">
      <c r="A1135" s="1"/>
      <c r="B1135" s="2"/>
      <c r="C1135" s="2"/>
      <c r="D1135" s="2"/>
      <c r="E1135" s="3"/>
      <c r="F1135" s="4"/>
      <c r="G1135" s="2"/>
      <c r="H1135" s="2"/>
      <c r="K1135" s="2"/>
      <c r="L1135" s="2"/>
      <c r="M1135" s="2"/>
      <c r="N1135" s="2"/>
      <c r="O1135" s="2"/>
      <c r="Q1135" s="2"/>
      <c r="S1135" s="7" t="s">
        <v>5712</v>
      </c>
      <c r="T1135" s="7" t="s">
        <v>5712</v>
      </c>
      <c r="U1135" s="2" t="s">
        <v>5712</v>
      </c>
    </row>
    <row r="1136" spans="1:21" ht="12.75" x14ac:dyDescent="0.2">
      <c r="A1136" s="1"/>
      <c r="B1136" s="2"/>
      <c r="C1136" s="2"/>
      <c r="D1136" s="2"/>
      <c r="E1136" s="3"/>
      <c r="F1136" s="4"/>
      <c r="G1136" s="2"/>
      <c r="H1136" s="2"/>
      <c r="K1136" s="2"/>
      <c r="L1136" s="2"/>
      <c r="M1136" s="2"/>
      <c r="N1136" s="2"/>
      <c r="O1136" s="2"/>
      <c r="Q1136" s="2"/>
      <c r="S1136" s="7" t="s">
        <v>5712</v>
      </c>
      <c r="T1136" s="7" t="s">
        <v>5712</v>
      </c>
      <c r="U1136" s="2" t="s">
        <v>5712</v>
      </c>
    </row>
    <row r="1137" spans="1:21" ht="12.75" x14ac:dyDescent="0.2">
      <c r="A1137" s="1"/>
      <c r="B1137" s="2"/>
      <c r="C1137" s="2"/>
      <c r="D1137" s="2"/>
      <c r="E1137" s="3"/>
      <c r="F1137" s="4"/>
      <c r="G1137" s="2"/>
      <c r="H1137" s="2"/>
      <c r="K1137" s="2"/>
      <c r="L1137" s="2"/>
      <c r="M1137" s="2"/>
      <c r="N1137" s="2"/>
      <c r="O1137" s="2"/>
      <c r="Q1137" s="2"/>
      <c r="S1137" s="7" t="s">
        <v>5712</v>
      </c>
      <c r="T1137" s="7" t="s">
        <v>5712</v>
      </c>
      <c r="U1137" s="2" t="s">
        <v>5712</v>
      </c>
    </row>
    <row r="1138" spans="1:21" ht="12.75" x14ac:dyDescent="0.2">
      <c r="A1138" s="1"/>
      <c r="B1138" s="2"/>
      <c r="C1138" s="2"/>
      <c r="D1138" s="2"/>
      <c r="E1138" s="3"/>
      <c r="F1138" s="4"/>
      <c r="G1138" s="2"/>
      <c r="H1138" s="2"/>
      <c r="K1138" s="2"/>
      <c r="L1138" s="2"/>
      <c r="M1138" s="2"/>
      <c r="N1138" s="2"/>
      <c r="O1138" s="2"/>
      <c r="Q1138" s="2"/>
      <c r="S1138" s="7" t="s">
        <v>5712</v>
      </c>
      <c r="T1138" s="7" t="s">
        <v>5712</v>
      </c>
      <c r="U1138" s="2" t="s">
        <v>5712</v>
      </c>
    </row>
    <row r="1139" spans="1:21" ht="12.75" x14ac:dyDescent="0.2">
      <c r="A1139" s="1"/>
      <c r="B1139" s="2"/>
      <c r="C1139" s="2"/>
      <c r="D1139" s="2"/>
      <c r="E1139" s="3"/>
      <c r="F1139" s="4"/>
      <c r="G1139" s="2"/>
      <c r="H1139" s="2"/>
      <c r="K1139" s="2"/>
      <c r="L1139" s="2"/>
      <c r="M1139" s="2"/>
      <c r="N1139" s="2"/>
      <c r="O1139" s="2"/>
      <c r="Q1139" s="2"/>
      <c r="S1139" s="7" t="s">
        <v>5712</v>
      </c>
      <c r="T1139" s="7" t="s">
        <v>5712</v>
      </c>
      <c r="U1139" s="2" t="s">
        <v>5712</v>
      </c>
    </row>
    <row r="1140" spans="1:21" ht="12.75" x14ac:dyDescent="0.2">
      <c r="A1140" s="1"/>
      <c r="B1140" s="2"/>
      <c r="C1140" s="2"/>
      <c r="D1140" s="2"/>
      <c r="E1140" s="3"/>
      <c r="F1140" s="4"/>
      <c r="G1140" s="2"/>
      <c r="H1140" s="2"/>
      <c r="K1140" s="2"/>
      <c r="L1140" s="2"/>
      <c r="M1140" s="2"/>
      <c r="N1140" s="2"/>
      <c r="O1140" s="2"/>
      <c r="Q1140" s="2"/>
      <c r="S1140" s="7" t="s">
        <v>5712</v>
      </c>
      <c r="T1140" s="7" t="s">
        <v>5712</v>
      </c>
      <c r="U1140" s="2" t="s">
        <v>5712</v>
      </c>
    </row>
    <row r="1141" spans="1:21" ht="12.75" x14ac:dyDescent="0.2">
      <c r="A1141" s="1"/>
      <c r="B1141" s="2"/>
      <c r="C1141" s="2"/>
      <c r="D1141" s="2"/>
      <c r="E1141" s="3"/>
      <c r="F1141" s="4"/>
      <c r="G1141" s="2"/>
      <c r="H1141" s="2"/>
      <c r="K1141" s="2"/>
      <c r="L1141" s="2"/>
      <c r="M1141" s="2"/>
      <c r="N1141" s="2"/>
      <c r="O1141" s="2"/>
      <c r="Q1141" s="2"/>
      <c r="S1141" s="7" t="s">
        <v>5712</v>
      </c>
      <c r="T1141" s="7" t="s">
        <v>5712</v>
      </c>
      <c r="U1141" s="2" t="s">
        <v>5712</v>
      </c>
    </row>
    <row r="1142" spans="1:21" ht="12.75" x14ac:dyDescent="0.2">
      <c r="A1142" s="1"/>
      <c r="B1142" s="2"/>
      <c r="C1142" s="2"/>
      <c r="D1142" s="2"/>
      <c r="E1142" s="3"/>
      <c r="F1142" s="4"/>
      <c r="G1142" s="2"/>
      <c r="H1142" s="2"/>
      <c r="K1142" s="2"/>
      <c r="L1142" s="2"/>
      <c r="M1142" s="2"/>
      <c r="N1142" s="2"/>
      <c r="O1142" s="2"/>
      <c r="Q1142" s="2"/>
      <c r="S1142" s="7" t="s">
        <v>5712</v>
      </c>
      <c r="T1142" s="7" t="s">
        <v>5712</v>
      </c>
      <c r="U1142" s="2" t="s">
        <v>5712</v>
      </c>
    </row>
    <row r="1143" spans="1:21" ht="12.75" x14ac:dyDescent="0.2">
      <c r="A1143" s="1"/>
      <c r="B1143" s="2"/>
      <c r="C1143" s="2"/>
      <c r="D1143" s="2"/>
      <c r="E1143" s="3"/>
      <c r="F1143" s="4"/>
      <c r="G1143" s="2"/>
      <c r="H1143" s="2"/>
      <c r="K1143" s="2"/>
      <c r="L1143" s="2"/>
      <c r="M1143" s="2"/>
      <c r="N1143" s="2"/>
      <c r="O1143" s="2"/>
      <c r="Q1143" s="2"/>
      <c r="S1143" s="7" t="s">
        <v>5712</v>
      </c>
      <c r="T1143" s="7" t="s">
        <v>5712</v>
      </c>
      <c r="U1143" s="2" t="s">
        <v>5712</v>
      </c>
    </row>
    <row r="1144" spans="1:21" ht="12.75" x14ac:dyDescent="0.2">
      <c r="A1144" s="1"/>
      <c r="B1144" s="2"/>
      <c r="C1144" s="2"/>
      <c r="D1144" s="2"/>
      <c r="E1144" s="3"/>
      <c r="F1144" s="4"/>
      <c r="G1144" s="2"/>
      <c r="H1144" s="2"/>
      <c r="K1144" s="2"/>
      <c r="L1144" s="2"/>
      <c r="M1144" s="2"/>
      <c r="N1144" s="2"/>
      <c r="O1144" s="2"/>
      <c r="Q1144" s="2"/>
      <c r="S1144" s="7" t="s">
        <v>5712</v>
      </c>
      <c r="T1144" s="7" t="s">
        <v>5712</v>
      </c>
      <c r="U1144" s="2" t="s">
        <v>5712</v>
      </c>
    </row>
    <row r="1145" spans="1:21" ht="12.75" x14ac:dyDescent="0.2">
      <c r="A1145" s="1"/>
      <c r="B1145" s="2"/>
      <c r="C1145" s="2"/>
      <c r="D1145" s="2"/>
      <c r="E1145" s="3"/>
      <c r="F1145" s="4"/>
      <c r="G1145" s="2"/>
      <c r="H1145" s="2"/>
      <c r="K1145" s="2"/>
      <c r="L1145" s="2"/>
      <c r="M1145" s="2"/>
      <c r="N1145" s="2"/>
      <c r="O1145" s="2"/>
      <c r="Q1145" s="2"/>
      <c r="S1145" s="7" t="s">
        <v>5712</v>
      </c>
      <c r="T1145" s="7" t="s">
        <v>5712</v>
      </c>
      <c r="U1145" s="2" t="s">
        <v>5712</v>
      </c>
    </row>
    <row r="1146" spans="1:21" ht="12.75" x14ac:dyDescent="0.2">
      <c r="A1146" s="1"/>
      <c r="B1146" s="2"/>
      <c r="C1146" s="2"/>
      <c r="D1146" s="2"/>
      <c r="E1146" s="3"/>
      <c r="F1146" s="4"/>
      <c r="G1146" s="2"/>
      <c r="H1146" s="2"/>
      <c r="K1146" s="2"/>
      <c r="L1146" s="2"/>
      <c r="M1146" s="2"/>
      <c r="N1146" s="2"/>
      <c r="O1146" s="2"/>
      <c r="Q1146" s="2"/>
      <c r="S1146" s="7" t="s">
        <v>5712</v>
      </c>
      <c r="T1146" s="7" t="s">
        <v>5712</v>
      </c>
      <c r="U1146" s="2" t="s">
        <v>5712</v>
      </c>
    </row>
    <row r="1147" spans="1:21" ht="12.75" x14ac:dyDescent="0.2">
      <c r="A1147" s="1"/>
      <c r="B1147" s="2"/>
      <c r="C1147" s="2"/>
      <c r="D1147" s="2"/>
      <c r="E1147" s="3"/>
      <c r="F1147" s="4"/>
      <c r="G1147" s="2"/>
      <c r="H1147" s="2"/>
      <c r="K1147" s="2"/>
      <c r="L1147" s="2"/>
      <c r="M1147" s="2"/>
      <c r="N1147" s="2"/>
      <c r="O1147" s="2"/>
      <c r="Q1147" s="2"/>
      <c r="S1147" s="7" t="s">
        <v>5712</v>
      </c>
      <c r="T1147" s="7" t="s">
        <v>5712</v>
      </c>
      <c r="U1147" s="2" t="s">
        <v>5712</v>
      </c>
    </row>
    <row r="1148" spans="1:21" ht="12.75" x14ac:dyDescent="0.2">
      <c r="A1148" s="1"/>
      <c r="B1148" s="2"/>
      <c r="C1148" s="2"/>
      <c r="D1148" s="2"/>
      <c r="E1148" s="3"/>
      <c r="F1148" s="4"/>
      <c r="G1148" s="2"/>
      <c r="H1148" s="2"/>
      <c r="K1148" s="2"/>
      <c r="L1148" s="2"/>
      <c r="M1148" s="2"/>
      <c r="N1148" s="2"/>
      <c r="O1148" s="2"/>
      <c r="Q1148" s="2"/>
      <c r="S1148" s="7" t="s">
        <v>5712</v>
      </c>
      <c r="T1148" s="7" t="s">
        <v>5712</v>
      </c>
      <c r="U1148" s="2" t="s">
        <v>5712</v>
      </c>
    </row>
    <row r="1149" spans="1:21" ht="12.75" x14ac:dyDescent="0.2">
      <c r="A1149" s="1"/>
      <c r="B1149" s="2"/>
      <c r="C1149" s="2"/>
      <c r="D1149" s="2"/>
      <c r="E1149" s="3"/>
      <c r="F1149" s="4"/>
      <c r="G1149" s="2"/>
      <c r="H1149" s="2"/>
      <c r="K1149" s="2"/>
      <c r="L1149" s="2"/>
      <c r="M1149" s="2"/>
      <c r="N1149" s="2"/>
      <c r="O1149" s="2"/>
      <c r="Q1149" s="2"/>
      <c r="S1149" s="7" t="s">
        <v>5712</v>
      </c>
      <c r="T1149" s="7" t="s">
        <v>5712</v>
      </c>
      <c r="U1149" s="2" t="s">
        <v>5712</v>
      </c>
    </row>
    <row r="1150" spans="1:21" ht="12.75" x14ac:dyDescent="0.2">
      <c r="A1150" s="1"/>
      <c r="B1150" s="2"/>
      <c r="C1150" s="2"/>
      <c r="D1150" s="2"/>
      <c r="E1150" s="3"/>
      <c r="F1150" s="4"/>
      <c r="G1150" s="2"/>
      <c r="H1150" s="2"/>
      <c r="K1150" s="2"/>
      <c r="L1150" s="2"/>
      <c r="M1150" s="2"/>
      <c r="N1150" s="2"/>
      <c r="O1150" s="2"/>
      <c r="Q1150" s="2"/>
      <c r="S1150" s="7" t="s">
        <v>5712</v>
      </c>
      <c r="T1150" s="7" t="s">
        <v>5712</v>
      </c>
      <c r="U1150" s="2" t="s">
        <v>5712</v>
      </c>
    </row>
    <row r="1151" spans="1:21" ht="12.75" x14ac:dyDescent="0.2">
      <c r="A1151" s="1"/>
      <c r="B1151" s="2"/>
      <c r="C1151" s="2"/>
      <c r="D1151" s="2"/>
      <c r="E1151" s="3"/>
      <c r="F1151" s="4"/>
      <c r="G1151" s="2"/>
      <c r="H1151" s="2"/>
      <c r="K1151" s="2"/>
      <c r="L1151" s="2"/>
      <c r="M1151" s="2"/>
      <c r="N1151" s="2"/>
      <c r="O1151" s="2"/>
      <c r="Q1151" s="2"/>
      <c r="S1151" s="7" t="s">
        <v>5712</v>
      </c>
      <c r="T1151" s="7" t="s">
        <v>5712</v>
      </c>
      <c r="U1151" s="2" t="s">
        <v>5712</v>
      </c>
    </row>
    <row r="1152" spans="1:21" ht="12.75" x14ac:dyDescent="0.2">
      <c r="A1152" s="1"/>
      <c r="B1152" s="2"/>
      <c r="C1152" s="2"/>
      <c r="D1152" s="2"/>
      <c r="E1152" s="3"/>
      <c r="F1152" s="4"/>
      <c r="G1152" s="2"/>
      <c r="H1152" s="2"/>
      <c r="K1152" s="2"/>
      <c r="L1152" s="2"/>
      <c r="M1152" s="2"/>
      <c r="N1152" s="2"/>
      <c r="O1152" s="2"/>
      <c r="Q1152" s="2"/>
      <c r="S1152" s="7" t="s">
        <v>5712</v>
      </c>
      <c r="T1152" s="7" t="s">
        <v>5712</v>
      </c>
      <c r="U1152" s="2" t="s">
        <v>5712</v>
      </c>
    </row>
    <row r="1153" spans="1:21" ht="12.75" x14ac:dyDescent="0.2">
      <c r="A1153" s="1"/>
      <c r="B1153" s="2"/>
      <c r="C1153" s="2"/>
      <c r="D1153" s="2"/>
      <c r="E1153" s="3"/>
      <c r="F1153" s="4"/>
      <c r="G1153" s="2"/>
      <c r="H1153" s="2"/>
      <c r="K1153" s="2"/>
      <c r="L1153" s="2"/>
      <c r="M1153" s="2"/>
      <c r="N1153" s="2"/>
      <c r="O1153" s="2"/>
      <c r="Q1153" s="2"/>
      <c r="S1153" s="7" t="s">
        <v>5712</v>
      </c>
      <c r="T1153" s="7" t="s">
        <v>5712</v>
      </c>
      <c r="U1153" s="2" t="s">
        <v>5712</v>
      </c>
    </row>
    <row r="1154" spans="1:21" ht="12.75" x14ac:dyDescent="0.2">
      <c r="A1154" s="1"/>
      <c r="B1154" s="2"/>
      <c r="C1154" s="2"/>
      <c r="D1154" s="2"/>
      <c r="E1154" s="3"/>
      <c r="F1154" s="4"/>
      <c r="G1154" s="2"/>
      <c r="H1154" s="2"/>
      <c r="K1154" s="2"/>
      <c r="L1154" s="2"/>
      <c r="M1154" s="2"/>
      <c r="N1154" s="2"/>
      <c r="O1154" s="2"/>
      <c r="Q1154" s="2"/>
      <c r="S1154" s="7" t="s">
        <v>5712</v>
      </c>
      <c r="T1154" s="7" t="s">
        <v>5712</v>
      </c>
      <c r="U1154" s="2" t="s">
        <v>5712</v>
      </c>
    </row>
    <row r="1155" spans="1:21" ht="12.75" x14ac:dyDescent="0.2">
      <c r="A1155" s="1"/>
      <c r="B1155" s="2"/>
      <c r="C1155" s="2"/>
      <c r="D1155" s="2"/>
      <c r="E1155" s="3"/>
      <c r="F1155" s="4"/>
      <c r="G1155" s="2"/>
      <c r="H1155" s="2"/>
      <c r="K1155" s="2"/>
      <c r="L1155" s="2"/>
      <c r="M1155" s="2"/>
      <c r="N1155" s="2"/>
      <c r="O1155" s="2"/>
      <c r="Q1155" s="2"/>
      <c r="S1155" s="7" t="s">
        <v>5712</v>
      </c>
      <c r="T1155" s="7" t="s">
        <v>5712</v>
      </c>
      <c r="U1155" s="2" t="s">
        <v>5712</v>
      </c>
    </row>
    <row r="1156" spans="1:21" ht="12.75" x14ac:dyDescent="0.2">
      <c r="A1156" s="1"/>
      <c r="B1156" s="2"/>
      <c r="C1156" s="2"/>
      <c r="D1156" s="2"/>
      <c r="E1156" s="3"/>
      <c r="F1156" s="4"/>
      <c r="G1156" s="2"/>
      <c r="H1156" s="2"/>
      <c r="K1156" s="2"/>
      <c r="L1156" s="2"/>
      <c r="M1156" s="2"/>
      <c r="N1156" s="2"/>
      <c r="O1156" s="2"/>
      <c r="Q1156" s="2"/>
      <c r="S1156" s="7" t="s">
        <v>5712</v>
      </c>
      <c r="T1156" s="7" t="s">
        <v>5712</v>
      </c>
      <c r="U1156" s="2" t="s">
        <v>5712</v>
      </c>
    </row>
    <row r="1157" spans="1:21" ht="12.75" x14ac:dyDescent="0.2">
      <c r="A1157" s="1"/>
      <c r="B1157" s="2"/>
      <c r="C1157" s="2"/>
      <c r="D1157" s="2"/>
      <c r="E1157" s="3"/>
      <c r="F1157" s="4"/>
      <c r="G1157" s="2"/>
      <c r="H1157" s="2"/>
      <c r="K1157" s="2"/>
      <c r="L1157" s="2"/>
      <c r="M1157" s="2"/>
      <c r="N1157" s="2"/>
      <c r="O1157" s="2"/>
      <c r="Q1157" s="2"/>
      <c r="S1157" s="7" t="s">
        <v>5712</v>
      </c>
      <c r="T1157" s="7" t="s">
        <v>5712</v>
      </c>
      <c r="U1157" s="2" t="s">
        <v>5712</v>
      </c>
    </row>
    <row r="1158" spans="1:21" ht="12.75" x14ac:dyDescent="0.2">
      <c r="A1158" s="1"/>
      <c r="B1158" s="2"/>
      <c r="C1158" s="2"/>
      <c r="D1158" s="2"/>
      <c r="E1158" s="3"/>
      <c r="F1158" s="4"/>
      <c r="G1158" s="2"/>
      <c r="H1158" s="2"/>
      <c r="K1158" s="2"/>
      <c r="L1158" s="2"/>
      <c r="M1158" s="2"/>
      <c r="N1158" s="2"/>
      <c r="O1158" s="2"/>
      <c r="Q1158" s="2"/>
      <c r="S1158" s="7" t="s">
        <v>5712</v>
      </c>
      <c r="T1158" s="7" t="s">
        <v>5712</v>
      </c>
      <c r="U1158" s="2" t="s">
        <v>5712</v>
      </c>
    </row>
    <row r="1159" spans="1:21" ht="12.75" x14ac:dyDescent="0.2">
      <c r="A1159" s="1"/>
      <c r="B1159" s="2"/>
      <c r="C1159" s="2"/>
      <c r="D1159" s="2"/>
      <c r="E1159" s="3"/>
      <c r="F1159" s="4"/>
      <c r="G1159" s="2"/>
      <c r="H1159" s="2"/>
      <c r="K1159" s="2"/>
      <c r="L1159" s="2"/>
      <c r="M1159" s="2"/>
      <c r="N1159" s="2"/>
      <c r="O1159" s="2"/>
      <c r="Q1159" s="2"/>
      <c r="S1159" s="7" t="s">
        <v>5712</v>
      </c>
      <c r="T1159" s="7" t="s">
        <v>5712</v>
      </c>
      <c r="U1159" s="2" t="s">
        <v>5712</v>
      </c>
    </row>
    <row r="1160" spans="1:21" ht="12.75" x14ac:dyDescent="0.2">
      <c r="A1160" s="1"/>
      <c r="B1160" s="2"/>
      <c r="C1160" s="2"/>
      <c r="D1160" s="2"/>
      <c r="E1160" s="3"/>
      <c r="F1160" s="4"/>
      <c r="G1160" s="2"/>
      <c r="H1160" s="2"/>
      <c r="K1160" s="2"/>
      <c r="L1160" s="2"/>
      <c r="M1160" s="2"/>
      <c r="N1160" s="2"/>
      <c r="O1160" s="2"/>
      <c r="Q1160" s="2"/>
      <c r="S1160" s="7" t="s">
        <v>5712</v>
      </c>
      <c r="T1160" s="7" t="s">
        <v>5712</v>
      </c>
      <c r="U1160" s="2" t="s">
        <v>5712</v>
      </c>
    </row>
    <row r="1161" spans="1:21" ht="12.75" x14ac:dyDescent="0.2">
      <c r="A1161" s="1"/>
      <c r="B1161" s="2"/>
      <c r="C1161" s="2"/>
      <c r="D1161" s="2"/>
      <c r="E1161" s="3"/>
      <c r="F1161" s="4"/>
      <c r="G1161" s="2"/>
      <c r="H1161" s="2"/>
      <c r="K1161" s="2"/>
      <c r="L1161" s="2"/>
      <c r="M1161" s="2"/>
      <c r="N1161" s="2"/>
      <c r="O1161" s="2"/>
      <c r="Q1161" s="2"/>
      <c r="S1161" s="7" t="s">
        <v>5712</v>
      </c>
      <c r="T1161" s="7" t="s">
        <v>5712</v>
      </c>
      <c r="U1161" s="2" t="s">
        <v>5712</v>
      </c>
    </row>
    <row r="1162" spans="1:21" ht="12.75" x14ac:dyDescent="0.2">
      <c r="A1162" s="1"/>
      <c r="B1162" s="2"/>
      <c r="C1162" s="2"/>
      <c r="D1162" s="2"/>
      <c r="E1162" s="3"/>
      <c r="F1162" s="4"/>
      <c r="G1162" s="2"/>
      <c r="H1162" s="2"/>
      <c r="K1162" s="2"/>
      <c r="L1162" s="2"/>
      <c r="M1162" s="2"/>
      <c r="N1162" s="2"/>
      <c r="O1162" s="2"/>
      <c r="Q1162" s="2"/>
      <c r="S1162" s="7" t="s">
        <v>5712</v>
      </c>
      <c r="T1162" s="7" t="s">
        <v>5712</v>
      </c>
      <c r="U1162" s="2" t="s">
        <v>5712</v>
      </c>
    </row>
    <row r="1163" spans="1:21" ht="12.75" x14ac:dyDescent="0.2">
      <c r="A1163" s="1"/>
      <c r="B1163" s="2"/>
      <c r="C1163" s="2"/>
      <c r="D1163" s="2"/>
      <c r="E1163" s="3"/>
      <c r="F1163" s="4"/>
      <c r="G1163" s="2"/>
      <c r="H1163" s="2"/>
      <c r="K1163" s="2"/>
      <c r="L1163" s="2"/>
      <c r="M1163" s="2"/>
      <c r="N1163" s="2"/>
      <c r="O1163" s="2"/>
      <c r="Q1163" s="2"/>
      <c r="S1163" s="7" t="s">
        <v>5712</v>
      </c>
      <c r="T1163" s="7" t="s">
        <v>5712</v>
      </c>
      <c r="U1163" s="2" t="s">
        <v>5712</v>
      </c>
    </row>
    <row r="1164" spans="1:21" ht="12.75" x14ac:dyDescent="0.2">
      <c r="A1164" s="1"/>
      <c r="B1164" s="2"/>
      <c r="C1164" s="2"/>
      <c r="D1164" s="2"/>
      <c r="E1164" s="3"/>
      <c r="F1164" s="4"/>
      <c r="G1164" s="2"/>
      <c r="H1164" s="2"/>
      <c r="K1164" s="2"/>
      <c r="L1164" s="2"/>
      <c r="M1164" s="2"/>
      <c r="N1164" s="2"/>
      <c r="O1164" s="2"/>
      <c r="Q1164" s="2"/>
      <c r="S1164" s="7" t="s">
        <v>5712</v>
      </c>
      <c r="T1164" s="7" t="s">
        <v>5712</v>
      </c>
      <c r="U1164" s="2" t="s">
        <v>5712</v>
      </c>
    </row>
    <row r="1165" spans="1:21" ht="12.75" x14ac:dyDescent="0.2">
      <c r="A1165" s="1"/>
      <c r="B1165" s="2"/>
      <c r="C1165" s="2"/>
      <c r="D1165" s="2"/>
      <c r="E1165" s="3"/>
      <c r="F1165" s="4"/>
      <c r="G1165" s="2"/>
      <c r="H1165" s="2"/>
      <c r="K1165" s="2"/>
      <c r="L1165" s="2"/>
      <c r="M1165" s="2"/>
      <c r="N1165" s="2"/>
      <c r="O1165" s="2"/>
      <c r="Q1165" s="2"/>
      <c r="S1165" s="7" t="s">
        <v>5712</v>
      </c>
      <c r="T1165" s="7" t="s">
        <v>5712</v>
      </c>
      <c r="U1165" s="2" t="s">
        <v>5712</v>
      </c>
    </row>
    <row r="1166" spans="1:21" ht="12.75" x14ac:dyDescent="0.2">
      <c r="A1166" s="1"/>
      <c r="B1166" s="2"/>
      <c r="C1166" s="2"/>
      <c r="D1166" s="2"/>
      <c r="E1166" s="3"/>
      <c r="F1166" s="4"/>
      <c r="G1166" s="2"/>
      <c r="H1166" s="2"/>
      <c r="K1166" s="2"/>
      <c r="L1166" s="2"/>
      <c r="M1166" s="2"/>
      <c r="N1166" s="2"/>
      <c r="O1166" s="2"/>
      <c r="Q1166" s="2"/>
      <c r="S1166" s="7" t="s">
        <v>5712</v>
      </c>
      <c r="T1166" s="7" t="s">
        <v>5712</v>
      </c>
      <c r="U1166" s="2" t="s">
        <v>5712</v>
      </c>
    </row>
    <row r="1167" spans="1:21" ht="12.75" x14ac:dyDescent="0.2">
      <c r="A1167" s="1"/>
      <c r="B1167" s="2"/>
      <c r="C1167" s="2"/>
      <c r="D1167" s="2"/>
      <c r="E1167" s="3"/>
      <c r="F1167" s="4"/>
      <c r="G1167" s="2"/>
      <c r="H1167" s="2"/>
      <c r="K1167" s="2"/>
      <c r="L1167" s="2"/>
      <c r="M1167" s="2"/>
      <c r="N1167" s="2"/>
      <c r="O1167" s="2"/>
      <c r="Q1167" s="2"/>
      <c r="S1167" s="7" t="s">
        <v>5712</v>
      </c>
      <c r="T1167" s="7" t="s">
        <v>5712</v>
      </c>
      <c r="U1167" s="2" t="s">
        <v>5712</v>
      </c>
    </row>
    <row r="1168" spans="1:21" ht="12.75" x14ac:dyDescent="0.2">
      <c r="A1168" s="1"/>
      <c r="B1168" s="2"/>
      <c r="C1168" s="2"/>
      <c r="D1168" s="2"/>
      <c r="E1168" s="3"/>
      <c r="F1168" s="4"/>
      <c r="G1168" s="2"/>
      <c r="H1168" s="2"/>
      <c r="K1168" s="2"/>
      <c r="L1168" s="2"/>
      <c r="M1168" s="2"/>
      <c r="N1168" s="2"/>
      <c r="O1168" s="2"/>
      <c r="Q1168" s="2"/>
      <c r="S1168" s="7" t="s">
        <v>5712</v>
      </c>
      <c r="T1168" s="7" t="s">
        <v>5712</v>
      </c>
      <c r="U1168" s="2" t="s">
        <v>5712</v>
      </c>
    </row>
    <row r="1169" spans="1:21" ht="12.75" x14ac:dyDescent="0.2">
      <c r="A1169" s="1"/>
      <c r="B1169" s="2"/>
      <c r="C1169" s="2"/>
      <c r="D1169" s="2"/>
      <c r="E1169" s="3"/>
      <c r="F1169" s="4"/>
      <c r="G1169" s="2"/>
      <c r="H1169" s="2"/>
      <c r="K1169" s="2"/>
      <c r="L1169" s="2"/>
      <c r="M1169" s="2"/>
      <c r="N1169" s="2"/>
      <c r="O1169" s="2"/>
      <c r="Q1169" s="2"/>
      <c r="S1169" s="7" t="s">
        <v>5712</v>
      </c>
      <c r="T1169" s="7" t="s">
        <v>5712</v>
      </c>
      <c r="U1169" s="2" t="s">
        <v>5712</v>
      </c>
    </row>
    <row r="1170" spans="1:21" ht="12.75" x14ac:dyDescent="0.2">
      <c r="A1170" s="1"/>
      <c r="B1170" s="2"/>
      <c r="C1170" s="2"/>
      <c r="D1170" s="2"/>
      <c r="E1170" s="3"/>
      <c r="F1170" s="4"/>
      <c r="G1170" s="2"/>
      <c r="H1170" s="2"/>
      <c r="K1170" s="2"/>
      <c r="L1170" s="2"/>
      <c r="M1170" s="2"/>
      <c r="N1170" s="2"/>
      <c r="O1170" s="2"/>
      <c r="Q1170" s="2"/>
      <c r="S1170" s="7" t="s">
        <v>5712</v>
      </c>
      <c r="T1170" s="7" t="s">
        <v>5712</v>
      </c>
      <c r="U1170" s="2" t="s">
        <v>5712</v>
      </c>
    </row>
    <row r="1171" spans="1:21" ht="12.75" x14ac:dyDescent="0.2">
      <c r="A1171" s="1"/>
      <c r="B1171" s="2"/>
      <c r="C1171" s="2"/>
      <c r="D1171" s="2"/>
      <c r="E1171" s="3"/>
      <c r="F1171" s="4"/>
      <c r="G1171" s="2"/>
      <c r="H1171" s="2"/>
      <c r="K1171" s="2"/>
      <c r="L1171" s="2"/>
      <c r="M1171" s="2"/>
      <c r="N1171" s="2"/>
      <c r="O1171" s="2"/>
      <c r="Q1171" s="2"/>
      <c r="S1171" s="7" t="s">
        <v>5712</v>
      </c>
      <c r="T1171" s="7" t="s">
        <v>5712</v>
      </c>
      <c r="U1171" s="2" t="s">
        <v>5712</v>
      </c>
    </row>
    <row r="1172" spans="1:21" ht="12.75" x14ac:dyDescent="0.2">
      <c r="A1172" s="1"/>
      <c r="B1172" s="2"/>
      <c r="C1172" s="2"/>
      <c r="D1172" s="2"/>
      <c r="E1172" s="3"/>
      <c r="F1172" s="4"/>
      <c r="G1172" s="2"/>
      <c r="H1172" s="2"/>
      <c r="K1172" s="2"/>
      <c r="L1172" s="2"/>
      <c r="M1172" s="2"/>
      <c r="N1172" s="2"/>
      <c r="O1172" s="2"/>
      <c r="Q1172" s="2"/>
      <c r="S1172" s="7" t="s">
        <v>5712</v>
      </c>
      <c r="T1172" s="7" t="s">
        <v>5712</v>
      </c>
      <c r="U1172" s="2" t="s">
        <v>5712</v>
      </c>
    </row>
    <row r="1173" spans="1:21" ht="12.75" x14ac:dyDescent="0.2">
      <c r="A1173" s="1"/>
      <c r="B1173" s="2"/>
      <c r="C1173" s="2"/>
      <c r="D1173" s="2"/>
      <c r="E1173" s="3"/>
      <c r="F1173" s="4"/>
      <c r="G1173" s="2"/>
      <c r="H1173" s="2"/>
      <c r="K1173" s="2"/>
      <c r="L1173" s="2"/>
      <c r="M1173" s="2"/>
      <c r="N1173" s="2"/>
      <c r="O1173" s="2"/>
      <c r="Q1173" s="2"/>
      <c r="S1173" s="7" t="s">
        <v>5712</v>
      </c>
      <c r="T1173" s="7" t="s">
        <v>5712</v>
      </c>
      <c r="U1173" s="2" t="s">
        <v>5712</v>
      </c>
    </row>
    <row r="1174" spans="1:21" ht="12.75" x14ac:dyDescent="0.2">
      <c r="A1174" s="1"/>
      <c r="B1174" s="2"/>
      <c r="C1174" s="2"/>
      <c r="D1174" s="2"/>
      <c r="E1174" s="3"/>
      <c r="F1174" s="4"/>
      <c r="G1174" s="2"/>
      <c r="H1174" s="2"/>
      <c r="K1174" s="2"/>
      <c r="L1174" s="2"/>
      <c r="M1174" s="2"/>
      <c r="N1174" s="2"/>
      <c r="O1174" s="2"/>
      <c r="Q1174" s="2"/>
      <c r="S1174" s="7" t="s">
        <v>5712</v>
      </c>
      <c r="T1174" s="7" t="s">
        <v>5712</v>
      </c>
      <c r="U1174" s="2" t="s">
        <v>5712</v>
      </c>
    </row>
    <row r="1175" spans="1:21" ht="12.75" x14ac:dyDescent="0.2">
      <c r="A1175" s="1"/>
      <c r="B1175" s="2"/>
      <c r="C1175" s="2"/>
      <c r="D1175" s="2"/>
      <c r="E1175" s="3"/>
      <c r="F1175" s="4"/>
      <c r="G1175" s="2"/>
      <c r="H1175" s="2"/>
      <c r="K1175" s="2"/>
      <c r="L1175" s="2"/>
      <c r="M1175" s="2"/>
      <c r="N1175" s="2"/>
      <c r="O1175" s="2"/>
      <c r="Q1175" s="2"/>
      <c r="S1175" s="7" t="s">
        <v>5712</v>
      </c>
      <c r="T1175" s="7" t="s">
        <v>5712</v>
      </c>
      <c r="U1175" s="2" t="s">
        <v>5712</v>
      </c>
    </row>
    <row r="1176" spans="1:21" ht="12.75" x14ac:dyDescent="0.2">
      <c r="A1176" s="1"/>
      <c r="B1176" s="2"/>
      <c r="C1176" s="2"/>
      <c r="D1176" s="2"/>
      <c r="E1176" s="3"/>
      <c r="F1176" s="4"/>
      <c r="G1176" s="2"/>
      <c r="H1176" s="2"/>
      <c r="K1176" s="2"/>
      <c r="L1176" s="2"/>
      <c r="M1176" s="2"/>
      <c r="N1176" s="2"/>
      <c r="O1176" s="2"/>
      <c r="Q1176" s="2"/>
      <c r="S1176" s="7" t="s">
        <v>5712</v>
      </c>
      <c r="T1176" s="7" t="s">
        <v>5712</v>
      </c>
      <c r="U1176" s="2" t="s">
        <v>5712</v>
      </c>
    </row>
    <row r="1177" spans="1:21" ht="12.75" x14ac:dyDescent="0.2">
      <c r="A1177" s="1"/>
      <c r="B1177" s="2"/>
      <c r="C1177" s="2"/>
      <c r="D1177" s="2"/>
      <c r="E1177" s="3"/>
      <c r="F1177" s="4"/>
      <c r="G1177" s="2"/>
      <c r="H1177" s="2"/>
      <c r="K1177" s="2"/>
      <c r="L1177" s="2"/>
      <c r="M1177" s="2"/>
      <c r="N1177" s="2"/>
      <c r="O1177" s="2"/>
      <c r="Q1177" s="2"/>
      <c r="S1177" s="7" t="s">
        <v>5712</v>
      </c>
      <c r="T1177" s="7" t="s">
        <v>5712</v>
      </c>
      <c r="U1177" s="2" t="s">
        <v>5712</v>
      </c>
    </row>
    <row r="1178" spans="1:21" ht="12.75" x14ac:dyDescent="0.2">
      <c r="A1178" s="1"/>
      <c r="B1178" s="2"/>
      <c r="C1178" s="2"/>
      <c r="D1178" s="2"/>
      <c r="E1178" s="3"/>
      <c r="F1178" s="4"/>
      <c r="G1178" s="2"/>
      <c r="H1178" s="2"/>
      <c r="K1178" s="2"/>
      <c r="L1178" s="2"/>
      <c r="M1178" s="2"/>
      <c r="N1178" s="2"/>
      <c r="O1178" s="2"/>
      <c r="Q1178" s="2"/>
      <c r="S1178" s="7" t="s">
        <v>5712</v>
      </c>
      <c r="T1178" s="7" t="s">
        <v>5712</v>
      </c>
      <c r="U1178" s="2" t="s">
        <v>5712</v>
      </c>
    </row>
    <row r="1179" spans="1:21" ht="12.75" x14ac:dyDescent="0.2">
      <c r="A1179" s="1"/>
      <c r="B1179" s="2"/>
      <c r="C1179" s="2"/>
      <c r="D1179" s="2"/>
      <c r="E1179" s="3"/>
      <c r="F1179" s="4"/>
      <c r="G1179" s="2"/>
      <c r="H1179" s="2"/>
      <c r="K1179" s="2"/>
      <c r="L1179" s="2"/>
      <c r="M1179" s="2"/>
      <c r="N1179" s="2"/>
      <c r="O1179" s="2"/>
      <c r="Q1179" s="2"/>
      <c r="S1179" s="7" t="s">
        <v>5712</v>
      </c>
      <c r="T1179" s="7" t="s">
        <v>5712</v>
      </c>
      <c r="U1179" s="2" t="s">
        <v>5712</v>
      </c>
    </row>
    <row r="1180" spans="1:21" ht="12.75" x14ac:dyDescent="0.2">
      <c r="A1180" s="1"/>
      <c r="B1180" s="2"/>
      <c r="C1180" s="2"/>
      <c r="D1180" s="2"/>
      <c r="E1180" s="3"/>
      <c r="F1180" s="4"/>
      <c r="G1180" s="2"/>
      <c r="H1180" s="2"/>
      <c r="K1180" s="2"/>
      <c r="L1180" s="2"/>
      <c r="M1180" s="2"/>
      <c r="N1180" s="2"/>
      <c r="O1180" s="2"/>
      <c r="Q1180" s="2"/>
      <c r="S1180" s="7" t="s">
        <v>5712</v>
      </c>
      <c r="T1180" s="7" t="s">
        <v>5712</v>
      </c>
      <c r="U1180" s="2" t="s">
        <v>5712</v>
      </c>
    </row>
    <row r="1181" spans="1:21" ht="12.75" x14ac:dyDescent="0.2">
      <c r="A1181" s="1"/>
      <c r="B1181" s="2"/>
      <c r="C1181" s="2"/>
      <c r="D1181" s="2"/>
      <c r="E1181" s="3"/>
      <c r="F1181" s="4"/>
      <c r="G1181" s="2"/>
      <c r="H1181" s="2"/>
      <c r="K1181" s="2"/>
      <c r="L1181" s="2"/>
      <c r="M1181" s="2"/>
      <c r="N1181" s="2"/>
      <c r="O1181" s="2"/>
      <c r="Q1181" s="2"/>
      <c r="S1181" s="7" t="s">
        <v>5712</v>
      </c>
      <c r="T1181" s="7" t="s">
        <v>5712</v>
      </c>
      <c r="U1181" s="2" t="s">
        <v>5712</v>
      </c>
    </row>
    <row r="1182" spans="1:21" ht="12.75" x14ac:dyDescent="0.2">
      <c r="A1182" s="1"/>
      <c r="B1182" s="2"/>
      <c r="C1182" s="2"/>
      <c r="D1182" s="2"/>
      <c r="E1182" s="3"/>
      <c r="F1182" s="4"/>
      <c r="G1182" s="2"/>
      <c r="H1182" s="2"/>
      <c r="K1182" s="2"/>
      <c r="L1182" s="2"/>
      <c r="M1182" s="2"/>
      <c r="N1182" s="2"/>
      <c r="O1182" s="2"/>
      <c r="Q1182" s="2"/>
      <c r="S1182" s="7" t="s">
        <v>5712</v>
      </c>
      <c r="T1182" s="7" t="s">
        <v>5712</v>
      </c>
      <c r="U1182" s="2" t="s">
        <v>5712</v>
      </c>
    </row>
    <row r="1183" spans="1:21" ht="12.75" x14ac:dyDescent="0.2">
      <c r="A1183" s="1"/>
      <c r="B1183" s="2"/>
      <c r="C1183" s="2"/>
      <c r="D1183" s="2"/>
      <c r="E1183" s="3"/>
      <c r="F1183" s="4"/>
      <c r="G1183" s="2"/>
      <c r="H1183" s="2"/>
      <c r="K1183" s="2"/>
      <c r="L1183" s="2"/>
      <c r="M1183" s="2"/>
      <c r="N1183" s="2"/>
      <c r="O1183" s="2"/>
      <c r="Q1183" s="2"/>
      <c r="S1183" s="7" t="s">
        <v>5712</v>
      </c>
      <c r="T1183" s="7" t="s">
        <v>5712</v>
      </c>
      <c r="U1183" s="2" t="s">
        <v>5712</v>
      </c>
    </row>
    <row r="1184" spans="1:21" ht="12.75" x14ac:dyDescent="0.2">
      <c r="A1184" s="1"/>
      <c r="B1184" s="2"/>
      <c r="C1184" s="2"/>
      <c r="D1184" s="2"/>
      <c r="E1184" s="3"/>
      <c r="F1184" s="4"/>
      <c r="G1184" s="2"/>
      <c r="H1184" s="2"/>
      <c r="K1184" s="2"/>
      <c r="L1184" s="2"/>
      <c r="M1184" s="2"/>
      <c r="N1184" s="2"/>
      <c r="O1184" s="2"/>
      <c r="Q1184" s="2"/>
      <c r="S1184" s="7" t="s">
        <v>5712</v>
      </c>
      <c r="T1184" s="7" t="s">
        <v>5712</v>
      </c>
      <c r="U1184" s="2" t="s">
        <v>5712</v>
      </c>
    </row>
    <row r="1185" spans="1:21" ht="12.75" x14ac:dyDescent="0.2">
      <c r="A1185" s="1"/>
      <c r="B1185" s="2"/>
      <c r="C1185" s="2"/>
      <c r="D1185" s="2"/>
      <c r="E1185" s="3"/>
      <c r="F1185" s="4"/>
      <c r="G1185" s="2"/>
      <c r="H1185" s="2"/>
      <c r="K1185" s="2"/>
      <c r="L1185" s="2"/>
      <c r="M1185" s="2"/>
      <c r="N1185" s="2"/>
      <c r="O1185" s="2"/>
      <c r="Q1185" s="2"/>
      <c r="S1185" s="7" t="s">
        <v>5712</v>
      </c>
      <c r="T1185" s="7" t="s">
        <v>5712</v>
      </c>
      <c r="U1185" s="2" t="s">
        <v>5712</v>
      </c>
    </row>
    <row r="1186" spans="1:21" ht="12.75" x14ac:dyDescent="0.2">
      <c r="A1186" s="1"/>
      <c r="B1186" s="2"/>
      <c r="C1186" s="2"/>
      <c r="D1186" s="2"/>
      <c r="E1186" s="3"/>
      <c r="F1186" s="4"/>
      <c r="G1186" s="2"/>
      <c r="H1186" s="2"/>
      <c r="K1186" s="2"/>
      <c r="L1186" s="2"/>
      <c r="M1186" s="2"/>
      <c r="N1186" s="2"/>
      <c r="O1186" s="2"/>
      <c r="Q1186" s="2"/>
      <c r="S1186" s="7" t="s">
        <v>5712</v>
      </c>
      <c r="T1186" s="7" t="s">
        <v>5712</v>
      </c>
      <c r="U1186" s="2" t="s">
        <v>5712</v>
      </c>
    </row>
    <row r="1187" spans="1:21" ht="12.75" x14ac:dyDescent="0.2">
      <c r="A1187" s="1"/>
      <c r="B1187" s="2"/>
      <c r="C1187" s="2"/>
      <c r="D1187" s="2"/>
      <c r="E1187" s="3"/>
      <c r="F1187" s="4"/>
      <c r="G1187" s="2"/>
      <c r="H1187" s="2"/>
      <c r="K1187" s="2"/>
      <c r="L1187" s="2"/>
      <c r="M1187" s="2"/>
      <c r="N1187" s="2"/>
      <c r="O1187" s="2"/>
      <c r="Q1187" s="2"/>
      <c r="S1187" s="7" t="s">
        <v>5712</v>
      </c>
      <c r="T1187" s="7" t="s">
        <v>5712</v>
      </c>
      <c r="U1187" s="2" t="s">
        <v>5712</v>
      </c>
    </row>
    <row r="1188" spans="1:21" ht="12.75" x14ac:dyDescent="0.2">
      <c r="A1188" s="1"/>
      <c r="B1188" s="2"/>
      <c r="C1188" s="2"/>
      <c r="D1188" s="2"/>
      <c r="E1188" s="3"/>
      <c r="F1188" s="4"/>
      <c r="G1188" s="2"/>
      <c r="H1188" s="2"/>
      <c r="K1188" s="2"/>
      <c r="L1188" s="2"/>
      <c r="M1188" s="2"/>
      <c r="N1188" s="2"/>
      <c r="O1188" s="2"/>
      <c r="Q1188" s="2"/>
      <c r="S1188" s="7" t="s">
        <v>5712</v>
      </c>
      <c r="T1188" s="7" t="s">
        <v>5712</v>
      </c>
      <c r="U1188" s="2" t="s">
        <v>5712</v>
      </c>
    </row>
    <row r="1189" spans="1:21" ht="12.75" x14ac:dyDescent="0.2">
      <c r="A1189" s="1"/>
      <c r="B1189" s="2"/>
      <c r="C1189" s="2"/>
      <c r="D1189" s="2"/>
      <c r="E1189" s="3"/>
      <c r="F1189" s="4"/>
      <c r="G1189" s="2"/>
      <c r="H1189" s="2"/>
      <c r="K1189" s="2"/>
      <c r="L1189" s="2"/>
      <c r="M1189" s="2"/>
      <c r="N1189" s="2"/>
      <c r="O1189" s="2"/>
      <c r="Q1189" s="2"/>
      <c r="S1189" s="7" t="s">
        <v>5712</v>
      </c>
      <c r="T1189" s="7" t="s">
        <v>5712</v>
      </c>
      <c r="U1189" s="2" t="s">
        <v>5712</v>
      </c>
    </row>
    <row r="1190" spans="1:21" ht="12.75" x14ac:dyDescent="0.2">
      <c r="A1190" s="1"/>
      <c r="B1190" s="2"/>
      <c r="C1190" s="2"/>
      <c r="D1190" s="2"/>
      <c r="E1190" s="3"/>
      <c r="F1190" s="4"/>
      <c r="G1190" s="2"/>
      <c r="H1190" s="2"/>
      <c r="K1190" s="2"/>
      <c r="L1190" s="2"/>
      <c r="M1190" s="2"/>
      <c r="N1190" s="2"/>
      <c r="O1190" s="2"/>
      <c r="Q1190" s="2"/>
      <c r="S1190" s="7" t="s">
        <v>5712</v>
      </c>
      <c r="T1190" s="7" t="s">
        <v>5712</v>
      </c>
      <c r="U1190" s="2" t="s">
        <v>5712</v>
      </c>
    </row>
    <row r="1191" spans="1:21" ht="12.75" x14ac:dyDescent="0.2">
      <c r="A1191" s="1"/>
      <c r="B1191" s="2"/>
      <c r="C1191" s="2"/>
      <c r="D1191" s="2"/>
      <c r="E1191" s="3"/>
      <c r="F1191" s="4"/>
      <c r="G1191" s="2"/>
      <c r="H1191" s="2"/>
      <c r="K1191" s="2"/>
      <c r="L1191" s="2"/>
      <c r="M1191" s="2"/>
      <c r="N1191" s="2"/>
      <c r="O1191" s="2"/>
      <c r="Q1191" s="2"/>
      <c r="S1191" s="7" t="s">
        <v>5712</v>
      </c>
      <c r="T1191" s="7" t="s">
        <v>5712</v>
      </c>
      <c r="U1191" s="2" t="s">
        <v>5712</v>
      </c>
    </row>
    <row r="1192" spans="1:21" ht="12.75" x14ac:dyDescent="0.2">
      <c r="A1192" s="1"/>
      <c r="B1192" s="2"/>
      <c r="C1192" s="2"/>
      <c r="D1192" s="2"/>
      <c r="E1192" s="3"/>
      <c r="F1192" s="4"/>
      <c r="G1192" s="2"/>
      <c r="H1192" s="2"/>
      <c r="K1192" s="2"/>
      <c r="L1192" s="2"/>
      <c r="M1192" s="2"/>
      <c r="N1192" s="2"/>
      <c r="O1192" s="2"/>
      <c r="Q1192" s="2"/>
      <c r="S1192" s="7" t="s">
        <v>5712</v>
      </c>
      <c r="T1192" s="7" t="s">
        <v>5712</v>
      </c>
      <c r="U1192" s="2" t="s">
        <v>5712</v>
      </c>
    </row>
    <row r="1193" spans="1:21" ht="12.75" x14ac:dyDescent="0.2">
      <c r="A1193" s="1"/>
      <c r="B1193" s="2"/>
      <c r="C1193" s="2"/>
      <c r="D1193" s="2"/>
      <c r="E1193" s="3"/>
      <c r="F1193" s="4"/>
      <c r="G1193" s="2"/>
      <c r="H1193" s="2"/>
      <c r="K1193" s="2"/>
      <c r="L1193" s="2"/>
      <c r="M1193" s="2"/>
      <c r="N1193" s="2"/>
      <c r="O1193" s="2"/>
      <c r="Q1193" s="2"/>
      <c r="S1193" s="7" t="s">
        <v>5712</v>
      </c>
      <c r="T1193" s="7" t="s">
        <v>5712</v>
      </c>
      <c r="U1193" s="2" t="s">
        <v>5712</v>
      </c>
    </row>
    <row r="1194" spans="1:21" ht="12.75" x14ac:dyDescent="0.2">
      <c r="A1194" s="1"/>
      <c r="B1194" s="2"/>
      <c r="C1194" s="2"/>
      <c r="D1194" s="2"/>
      <c r="E1194" s="3"/>
      <c r="F1194" s="4"/>
      <c r="G1194" s="2"/>
      <c r="H1194" s="2"/>
      <c r="K1194" s="2"/>
      <c r="L1194" s="2"/>
      <c r="M1194" s="2"/>
      <c r="N1194" s="2"/>
      <c r="O1194" s="2"/>
      <c r="Q1194" s="2"/>
      <c r="S1194" s="7" t="s">
        <v>5712</v>
      </c>
      <c r="T1194" s="7" t="s">
        <v>5712</v>
      </c>
      <c r="U1194" s="2" t="s">
        <v>5712</v>
      </c>
    </row>
    <row r="1195" spans="1:21" ht="12.75" x14ac:dyDescent="0.2">
      <c r="A1195" s="1"/>
      <c r="B1195" s="2"/>
      <c r="C1195" s="2"/>
      <c r="D1195" s="2"/>
      <c r="E1195" s="3"/>
      <c r="F1195" s="4"/>
      <c r="G1195" s="2"/>
      <c r="H1195" s="2"/>
      <c r="K1195" s="2"/>
      <c r="L1195" s="2"/>
      <c r="M1195" s="2"/>
      <c r="N1195" s="2"/>
      <c r="O1195" s="2"/>
      <c r="Q1195" s="2"/>
      <c r="S1195" s="7" t="s">
        <v>5712</v>
      </c>
      <c r="T1195" s="7" t="s">
        <v>5712</v>
      </c>
      <c r="U1195" s="2" t="s">
        <v>5712</v>
      </c>
    </row>
    <row r="1196" spans="1:21" ht="12.75" x14ac:dyDescent="0.2">
      <c r="A1196" s="1"/>
      <c r="B1196" s="2"/>
      <c r="C1196" s="2"/>
      <c r="D1196" s="2"/>
      <c r="E1196" s="3"/>
      <c r="F1196" s="4"/>
      <c r="G1196" s="2"/>
      <c r="H1196" s="2"/>
      <c r="K1196" s="2"/>
      <c r="L1196" s="2"/>
      <c r="M1196" s="2"/>
      <c r="N1196" s="2"/>
      <c r="O1196" s="2"/>
      <c r="Q1196" s="2"/>
      <c r="S1196" s="7" t="s">
        <v>5712</v>
      </c>
      <c r="T1196" s="7" t="s">
        <v>5712</v>
      </c>
      <c r="U1196" s="2" t="s">
        <v>5712</v>
      </c>
    </row>
    <row r="1197" spans="1:21" ht="12.75" x14ac:dyDescent="0.2">
      <c r="A1197" s="1"/>
      <c r="B1197" s="2"/>
      <c r="C1197" s="2"/>
      <c r="D1197" s="2"/>
      <c r="E1197" s="3"/>
      <c r="F1197" s="4"/>
      <c r="G1197" s="2"/>
      <c r="H1197" s="2"/>
      <c r="K1197" s="2"/>
      <c r="L1197" s="2"/>
      <c r="M1197" s="2"/>
      <c r="N1197" s="2"/>
      <c r="O1197" s="2"/>
      <c r="Q1197" s="2"/>
      <c r="S1197" s="7" t="s">
        <v>5712</v>
      </c>
      <c r="T1197" s="7" t="s">
        <v>5712</v>
      </c>
      <c r="U1197" s="2" t="s">
        <v>5712</v>
      </c>
    </row>
    <row r="1198" spans="1:21" ht="12.75" x14ac:dyDescent="0.2">
      <c r="A1198" s="1"/>
      <c r="B1198" s="2"/>
      <c r="C1198" s="2"/>
      <c r="D1198" s="2"/>
      <c r="E1198" s="3"/>
      <c r="F1198" s="4"/>
      <c r="G1198" s="2"/>
      <c r="H1198" s="2"/>
      <c r="K1198" s="2"/>
      <c r="L1198" s="2"/>
      <c r="M1198" s="2"/>
      <c r="N1198" s="2"/>
      <c r="O1198" s="2"/>
      <c r="Q1198" s="2"/>
      <c r="S1198" s="7" t="s">
        <v>5712</v>
      </c>
      <c r="T1198" s="7" t="s">
        <v>5712</v>
      </c>
      <c r="U1198" s="2" t="s">
        <v>5712</v>
      </c>
    </row>
    <row r="1199" spans="1:21" ht="12.75" x14ac:dyDescent="0.2">
      <c r="A1199" s="1"/>
      <c r="B1199" s="2"/>
      <c r="C1199" s="2"/>
      <c r="D1199" s="2"/>
      <c r="E1199" s="3"/>
      <c r="F1199" s="4"/>
      <c r="G1199" s="2"/>
      <c r="H1199" s="2"/>
      <c r="K1199" s="2"/>
      <c r="L1199" s="2"/>
      <c r="M1199" s="2"/>
      <c r="N1199" s="2"/>
      <c r="O1199" s="2"/>
      <c r="Q1199" s="2"/>
      <c r="S1199" s="7" t="s">
        <v>5712</v>
      </c>
      <c r="T1199" s="7" t="s">
        <v>5712</v>
      </c>
      <c r="U1199" s="2" t="s">
        <v>5712</v>
      </c>
    </row>
    <row r="1200" spans="1:21" ht="12.75" x14ac:dyDescent="0.2">
      <c r="A1200" s="1"/>
      <c r="B1200" s="2"/>
      <c r="C1200" s="2"/>
      <c r="D1200" s="2"/>
      <c r="E1200" s="3"/>
      <c r="F1200" s="4"/>
      <c r="G1200" s="2"/>
      <c r="H1200" s="2"/>
      <c r="K1200" s="2"/>
      <c r="L1200" s="2"/>
      <c r="M1200" s="2"/>
      <c r="N1200" s="2"/>
      <c r="O1200" s="2"/>
      <c r="Q1200" s="2"/>
      <c r="S1200" s="7" t="s">
        <v>5712</v>
      </c>
      <c r="T1200" s="7" t="s">
        <v>5712</v>
      </c>
      <c r="U1200" s="2" t="s">
        <v>5712</v>
      </c>
    </row>
    <row r="1201" spans="1:21" ht="12.75" x14ac:dyDescent="0.2">
      <c r="A1201" s="1"/>
      <c r="B1201" s="2"/>
      <c r="C1201" s="2"/>
      <c r="D1201" s="2"/>
      <c r="E1201" s="3"/>
      <c r="F1201" s="4"/>
      <c r="G1201" s="2"/>
      <c r="H1201" s="2"/>
      <c r="K1201" s="2"/>
      <c r="L1201" s="2"/>
      <c r="M1201" s="2"/>
      <c r="N1201" s="2"/>
      <c r="O1201" s="2"/>
      <c r="Q1201" s="2"/>
      <c r="S1201" s="7" t="s">
        <v>5712</v>
      </c>
      <c r="T1201" s="7" t="s">
        <v>5712</v>
      </c>
      <c r="U1201" s="2" t="s">
        <v>5712</v>
      </c>
    </row>
    <row r="1202" spans="1:21" ht="12.75" x14ac:dyDescent="0.2">
      <c r="A1202" s="1"/>
      <c r="B1202" s="2"/>
      <c r="C1202" s="2"/>
      <c r="D1202" s="2"/>
      <c r="E1202" s="3"/>
      <c r="F1202" s="4"/>
      <c r="G1202" s="2"/>
      <c r="H1202" s="2"/>
      <c r="K1202" s="2"/>
      <c r="L1202" s="2"/>
      <c r="M1202" s="2"/>
      <c r="N1202" s="2"/>
      <c r="O1202" s="2"/>
      <c r="Q1202" s="2"/>
      <c r="S1202" s="7" t="s">
        <v>5712</v>
      </c>
      <c r="T1202" s="7" t="s">
        <v>5712</v>
      </c>
      <c r="U1202" s="2" t="s">
        <v>5712</v>
      </c>
    </row>
    <row r="1203" spans="1:21" ht="12.75" x14ac:dyDescent="0.2">
      <c r="A1203" s="1"/>
      <c r="B1203" s="2"/>
      <c r="C1203" s="2"/>
      <c r="D1203" s="2"/>
      <c r="E1203" s="3"/>
      <c r="F1203" s="4"/>
      <c r="G1203" s="2"/>
      <c r="H1203" s="2"/>
      <c r="K1203" s="2"/>
      <c r="L1203" s="2"/>
      <c r="M1203" s="2"/>
      <c r="N1203" s="2"/>
      <c r="O1203" s="2"/>
      <c r="Q1203" s="2"/>
      <c r="S1203" s="7" t="s">
        <v>5712</v>
      </c>
      <c r="T1203" s="7" t="s">
        <v>5712</v>
      </c>
      <c r="U1203" s="2" t="s">
        <v>5712</v>
      </c>
    </row>
    <row r="1204" spans="1:21" ht="12.75" x14ac:dyDescent="0.2">
      <c r="A1204" s="1"/>
      <c r="B1204" s="2"/>
      <c r="C1204" s="2"/>
      <c r="D1204" s="2"/>
      <c r="E1204" s="3"/>
      <c r="F1204" s="4"/>
      <c r="G1204" s="2"/>
      <c r="H1204" s="2"/>
      <c r="K1204" s="2"/>
      <c r="L1204" s="2"/>
      <c r="M1204" s="2"/>
      <c r="N1204" s="2"/>
      <c r="O1204" s="2"/>
      <c r="Q1204" s="2"/>
      <c r="S1204" s="7" t="s">
        <v>5712</v>
      </c>
      <c r="T1204" s="7" t="s">
        <v>5712</v>
      </c>
      <c r="U1204" s="2" t="s">
        <v>5712</v>
      </c>
    </row>
    <row r="1205" spans="1:21" ht="12.75" x14ac:dyDescent="0.2">
      <c r="A1205" s="1"/>
      <c r="B1205" s="2"/>
      <c r="C1205" s="2"/>
      <c r="D1205" s="2"/>
      <c r="E1205" s="3"/>
      <c r="F1205" s="4"/>
      <c r="G1205" s="2"/>
      <c r="H1205" s="2"/>
      <c r="K1205" s="2"/>
      <c r="L1205" s="2"/>
      <c r="M1205" s="2"/>
      <c r="N1205" s="2"/>
      <c r="O1205" s="2"/>
      <c r="Q1205" s="2"/>
      <c r="S1205" s="7" t="s">
        <v>5712</v>
      </c>
      <c r="T1205" s="7" t="s">
        <v>5712</v>
      </c>
      <c r="U1205" s="2" t="s">
        <v>5712</v>
      </c>
    </row>
    <row r="1206" spans="1:21" ht="12.75" x14ac:dyDescent="0.2">
      <c r="A1206" s="1"/>
      <c r="B1206" s="2"/>
      <c r="C1206" s="2"/>
      <c r="D1206" s="2"/>
      <c r="E1206" s="3"/>
      <c r="F1206" s="4"/>
      <c r="G1206" s="2"/>
      <c r="H1206" s="2"/>
      <c r="K1206" s="2"/>
      <c r="L1206" s="2"/>
      <c r="M1206" s="2"/>
      <c r="N1206" s="2"/>
      <c r="O1206" s="2"/>
      <c r="Q1206" s="2"/>
      <c r="S1206" s="7" t="s">
        <v>5712</v>
      </c>
      <c r="T1206" s="7" t="s">
        <v>5712</v>
      </c>
      <c r="U1206" s="2" t="s">
        <v>5712</v>
      </c>
    </row>
    <row r="1207" spans="1:21" ht="12.75" x14ac:dyDescent="0.2">
      <c r="A1207" s="1"/>
      <c r="B1207" s="2"/>
      <c r="C1207" s="2"/>
      <c r="D1207" s="2"/>
      <c r="E1207" s="3"/>
      <c r="F1207" s="4"/>
      <c r="G1207" s="2"/>
      <c r="H1207" s="2"/>
      <c r="K1207" s="2"/>
      <c r="L1207" s="2"/>
      <c r="M1207" s="2"/>
      <c r="N1207" s="2"/>
      <c r="O1207" s="2"/>
      <c r="Q1207" s="2"/>
      <c r="S1207" s="7" t="s">
        <v>5712</v>
      </c>
      <c r="T1207" s="7" t="s">
        <v>5712</v>
      </c>
      <c r="U1207" s="2" t="s">
        <v>5712</v>
      </c>
    </row>
    <row r="1208" spans="1:21" ht="12.75" x14ac:dyDescent="0.2">
      <c r="A1208" s="1"/>
      <c r="B1208" s="2"/>
      <c r="C1208" s="2"/>
      <c r="D1208" s="2"/>
      <c r="E1208" s="3"/>
      <c r="F1208" s="4"/>
      <c r="G1208" s="2"/>
      <c r="H1208" s="2"/>
      <c r="K1208" s="2"/>
      <c r="L1208" s="2"/>
      <c r="M1208" s="2"/>
      <c r="N1208" s="2"/>
      <c r="O1208" s="2"/>
      <c r="Q1208" s="2"/>
      <c r="S1208" s="7" t="s">
        <v>5712</v>
      </c>
      <c r="T1208" s="7" t="s">
        <v>5712</v>
      </c>
      <c r="U1208" s="2" t="s">
        <v>5712</v>
      </c>
    </row>
    <row r="1209" spans="1:21" ht="12.75" x14ac:dyDescent="0.2">
      <c r="A1209" s="1"/>
      <c r="B1209" s="2"/>
      <c r="C1209" s="2"/>
      <c r="D1209" s="2"/>
      <c r="E1209" s="3"/>
      <c r="F1209" s="4"/>
      <c r="G1209" s="2"/>
      <c r="H1209" s="2"/>
      <c r="K1209" s="2"/>
      <c r="L1209" s="2"/>
      <c r="M1209" s="2"/>
      <c r="N1209" s="2"/>
      <c r="O1209" s="2"/>
      <c r="Q1209" s="2"/>
      <c r="S1209" s="7" t="s">
        <v>5712</v>
      </c>
      <c r="T1209" s="7" t="s">
        <v>5712</v>
      </c>
      <c r="U1209" s="2" t="s">
        <v>5712</v>
      </c>
    </row>
    <row r="1210" spans="1:21" ht="12.75" x14ac:dyDescent="0.2">
      <c r="A1210" s="1"/>
      <c r="B1210" s="2"/>
      <c r="C1210" s="2"/>
      <c r="D1210" s="2"/>
      <c r="E1210" s="3"/>
      <c r="F1210" s="4"/>
      <c r="G1210" s="2"/>
      <c r="H1210" s="2"/>
      <c r="K1210" s="2"/>
      <c r="L1210" s="2"/>
      <c r="M1210" s="2"/>
      <c r="N1210" s="2"/>
      <c r="O1210" s="2"/>
      <c r="Q1210" s="2"/>
      <c r="S1210" s="7" t="s">
        <v>5712</v>
      </c>
      <c r="T1210" s="7" t="s">
        <v>5712</v>
      </c>
      <c r="U1210" s="2" t="s">
        <v>5712</v>
      </c>
    </row>
    <row r="1211" spans="1:21" ht="12.75" x14ac:dyDescent="0.2">
      <c r="A1211" s="1"/>
      <c r="B1211" s="2"/>
      <c r="C1211" s="2"/>
      <c r="D1211" s="2"/>
      <c r="E1211" s="3"/>
      <c r="F1211" s="4"/>
      <c r="G1211" s="2"/>
      <c r="H1211" s="2"/>
      <c r="K1211" s="2"/>
      <c r="L1211" s="2"/>
      <c r="M1211" s="2"/>
      <c r="N1211" s="2"/>
      <c r="O1211" s="2"/>
      <c r="Q1211" s="2"/>
      <c r="S1211" s="7" t="s">
        <v>5712</v>
      </c>
      <c r="T1211" s="7" t="s">
        <v>5712</v>
      </c>
      <c r="U1211" s="2" t="s">
        <v>5712</v>
      </c>
    </row>
    <row r="1212" spans="1:21" ht="12.75" x14ac:dyDescent="0.2">
      <c r="A1212" s="1"/>
      <c r="B1212" s="2"/>
      <c r="C1212" s="2"/>
      <c r="D1212" s="2"/>
      <c r="E1212" s="3"/>
      <c r="F1212" s="4"/>
      <c r="G1212" s="2"/>
      <c r="H1212" s="2"/>
      <c r="K1212" s="2"/>
      <c r="L1212" s="2"/>
      <c r="M1212" s="2"/>
      <c r="N1212" s="2"/>
      <c r="O1212" s="2"/>
      <c r="Q1212" s="2"/>
      <c r="S1212" s="7" t="s">
        <v>5712</v>
      </c>
      <c r="T1212" s="7" t="s">
        <v>5712</v>
      </c>
      <c r="U1212" s="2" t="s">
        <v>5712</v>
      </c>
    </row>
    <row r="1213" spans="1:21" ht="12.75" x14ac:dyDescent="0.2">
      <c r="A1213" s="1"/>
      <c r="B1213" s="2"/>
      <c r="C1213" s="2"/>
      <c r="D1213" s="2"/>
      <c r="E1213" s="3"/>
      <c r="F1213" s="4"/>
      <c r="G1213" s="2"/>
      <c r="H1213" s="2"/>
      <c r="K1213" s="2"/>
      <c r="L1213" s="2"/>
      <c r="M1213" s="2"/>
      <c r="N1213" s="2"/>
      <c r="O1213" s="2"/>
      <c r="Q1213" s="2"/>
      <c r="S1213" s="7" t="s">
        <v>5712</v>
      </c>
      <c r="T1213" s="7" t="s">
        <v>5712</v>
      </c>
      <c r="U1213" s="2" t="s">
        <v>5712</v>
      </c>
    </row>
    <row r="1214" spans="1:21" ht="12.75" x14ac:dyDescent="0.2">
      <c r="A1214" s="1"/>
      <c r="B1214" s="2"/>
      <c r="C1214" s="2"/>
      <c r="D1214" s="2"/>
      <c r="E1214" s="3"/>
      <c r="F1214" s="4"/>
      <c r="G1214" s="2"/>
      <c r="H1214" s="2"/>
      <c r="K1214" s="2"/>
      <c r="L1214" s="2"/>
      <c r="M1214" s="2"/>
      <c r="N1214" s="2"/>
      <c r="O1214" s="2"/>
      <c r="Q1214" s="2"/>
      <c r="S1214" s="7" t="s">
        <v>5712</v>
      </c>
      <c r="T1214" s="7" t="s">
        <v>5712</v>
      </c>
      <c r="U1214" s="2" t="s">
        <v>5712</v>
      </c>
    </row>
    <row r="1215" spans="1:21" ht="12.75" x14ac:dyDescent="0.2">
      <c r="A1215" s="1"/>
      <c r="B1215" s="2"/>
      <c r="C1215" s="2"/>
      <c r="D1215" s="2"/>
      <c r="E1215" s="3"/>
      <c r="F1215" s="4"/>
      <c r="G1215" s="2"/>
      <c r="H1215" s="2"/>
      <c r="K1215" s="2"/>
      <c r="L1215" s="2"/>
      <c r="M1215" s="2"/>
      <c r="N1215" s="2"/>
      <c r="O1215" s="2"/>
      <c r="Q1215" s="2"/>
      <c r="S1215" s="7" t="s">
        <v>5712</v>
      </c>
      <c r="T1215" s="7" t="s">
        <v>5712</v>
      </c>
      <c r="U1215" s="2" t="s">
        <v>5712</v>
      </c>
    </row>
    <row r="1216" spans="1:21" ht="12.75" x14ac:dyDescent="0.2">
      <c r="A1216" s="1"/>
      <c r="B1216" s="2"/>
      <c r="C1216" s="2"/>
      <c r="D1216" s="2"/>
      <c r="E1216" s="3"/>
      <c r="F1216" s="4"/>
      <c r="G1216" s="2"/>
      <c r="H1216" s="2"/>
      <c r="K1216" s="2"/>
      <c r="L1216" s="2"/>
      <c r="M1216" s="2"/>
      <c r="N1216" s="2"/>
      <c r="O1216" s="2"/>
      <c r="Q1216" s="2"/>
      <c r="S1216" s="7" t="s">
        <v>5712</v>
      </c>
      <c r="T1216" s="7" t="s">
        <v>5712</v>
      </c>
      <c r="U1216" s="2" t="s">
        <v>5712</v>
      </c>
    </row>
    <row r="1217" spans="1:21" ht="12.75" x14ac:dyDescent="0.2">
      <c r="A1217" s="1"/>
      <c r="B1217" s="2"/>
      <c r="C1217" s="2"/>
      <c r="D1217" s="2"/>
      <c r="E1217" s="3"/>
      <c r="F1217" s="4"/>
      <c r="G1217" s="2"/>
      <c r="H1217" s="2"/>
      <c r="K1217" s="2"/>
      <c r="L1217" s="2"/>
      <c r="M1217" s="2"/>
      <c r="N1217" s="2"/>
      <c r="O1217" s="2"/>
      <c r="Q1217" s="2"/>
      <c r="S1217" s="7" t="s">
        <v>5712</v>
      </c>
      <c r="T1217" s="7" t="s">
        <v>5712</v>
      </c>
      <c r="U1217" s="2" t="s">
        <v>5712</v>
      </c>
    </row>
    <row r="1218" spans="1:21" ht="12.75" x14ac:dyDescent="0.2">
      <c r="A1218" s="1"/>
      <c r="B1218" s="2"/>
      <c r="C1218" s="2"/>
      <c r="D1218" s="2"/>
      <c r="E1218" s="3"/>
      <c r="F1218" s="4"/>
      <c r="G1218" s="2"/>
      <c r="H1218" s="2"/>
      <c r="K1218" s="2"/>
      <c r="L1218" s="2"/>
      <c r="M1218" s="2"/>
      <c r="N1218" s="2"/>
      <c r="O1218" s="2"/>
      <c r="Q1218" s="2"/>
      <c r="S1218" s="7" t="s">
        <v>5712</v>
      </c>
      <c r="T1218" s="7" t="s">
        <v>5712</v>
      </c>
      <c r="U1218" s="2" t="s">
        <v>5712</v>
      </c>
    </row>
    <row r="1219" spans="1:21" ht="12.75" x14ac:dyDescent="0.2">
      <c r="A1219" s="1"/>
      <c r="B1219" s="2"/>
      <c r="C1219" s="2"/>
      <c r="D1219" s="2"/>
      <c r="E1219" s="3"/>
      <c r="F1219" s="4"/>
      <c r="G1219" s="2"/>
      <c r="H1219" s="2"/>
      <c r="K1219" s="2"/>
      <c r="L1219" s="2"/>
      <c r="M1219" s="2"/>
      <c r="N1219" s="2"/>
      <c r="O1219" s="2"/>
      <c r="Q1219" s="2"/>
      <c r="S1219" s="7" t="s">
        <v>5712</v>
      </c>
      <c r="T1219" s="7" t="s">
        <v>5712</v>
      </c>
      <c r="U1219" s="2" t="s">
        <v>5712</v>
      </c>
    </row>
    <row r="1220" spans="1:21" ht="12.75" x14ac:dyDescent="0.2">
      <c r="A1220" s="1"/>
      <c r="B1220" s="2"/>
      <c r="C1220" s="2"/>
      <c r="D1220" s="2"/>
      <c r="E1220" s="3"/>
      <c r="F1220" s="4"/>
      <c r="G1220" s="2"/>
      <c r="H1220" s="2"/>
      <c r="K1220" s="2"/>
      <c r="L1220" s="2"/>
      <c r="M1220" s="2"/>
      <c r="N1220" s="2"/>
      <c r="O1220" s="2"/>
      <c r="Q1220" s="2"/>
      <c r="S1220" s="7" t="s">
        <v>5712</v>
      </c>
      <c r="T1220" s="7" t="s">
        <v>5712</v>
      </c>
      <c r="U1220" s="2" t="s">
        <v>5712</v>
      </c>
    </row>
    <row r="1221" spans="1:21" ht="12.75" x14ac:dyDescent="0.2">
      <c r="A1221" s="1"/>
      <c r="B1221" s="2"/>
      <c r="C1221" s="2"/>
      <c r="D1221" s="2"/>
      <c r="E1221" s="3"/>
      <c r="F1221" s="4"/>
      <c r="G1221" s="2"/>
      <c r="H1221" s="2"/>
      <c r="K1221" s="2"/>
      <c r="L1221" s="2"/>
      <c r="M1221" s="2"/>
      <c r="N1221" s="2"/>
      <c r="O1221" s="2"/>
      <c r="Q1221" s="2"/>
      <c r="S1221" s="7" t="s">
        <v>5712</v>
      </c>
      <c r="T1221" s="7" t="s">
        <v>5712</v>
      </c>
      <c r="U1221" s="2" t="s">
        <v>5712</v>
      </c>
    </row>
    <row r="1222" spans="1:21" ht="12.75" x14ac:dyDescent="0.2">
      <c r="A1222" s="1"/>
      <c r="B1222" s="2"/>
      <c r="C1222" s="2"/>
      <c r="D1222" s="2"/>
      <c r="E1222" s="3"/>
      <c r="F1222" s="4"/>
      <c r="G1222" s="2"/>
      <c r="H1222" s="2"/>
      <c r="K1222" s="2"/>
      <c r="L1222" s="2"/>
      <c r="M1222" s="2"/>
      <c r="N1222" s="2"/>
      <c r="O1222" s="2"/>
      <c r="Q1222" s="2"/>
      <c r="S1222" s="7" t="s">
        <v>5712</v>
      </c>
      <c r="T1222" s="7" t="s">
        <v>5712</v>
      </c>
      <c r="U1222" s="2" t="s">
        <v>5712</v>
      </c>
    </row>
    <row r="1223" spans="1:21" ht="12.75" x14ac:dyDescent="0.2">
      <c r="A1223" s="1"/>
      <c r="B1223" s="2"/>
      <c r="C1223" s="2"/>
      <c r="D1223" s="2"/>
      <c r="E1223" s="3"/>
      <c r="F1223" s="4"/>
      <c r="G1223" s="2"/>
      <c r="H1223" s="2"/>
      <c r="K1223" s="2"/>
      <c r="L1223" s="2"/>
      <c r="M1223" s="2"/>
      <c r="N1223" s="2"/>
      <c r="O1223" s="2"/>
      <c r="Q1223" s="2"/>
      <c r="S1223" s="7" t="s">
        <v>5712</v>
      </c>
      <c r="T1223" s="7" t="s">
        <v>5712</v>
      </c>
      <c r="U1223" s="2" t="s">
        <v>5712</v>
      </c>
    </row>
    <row r="1224" spans="1:21" ht="12.75" x14ac:dyDescent="0.2">
      <c r="A1224" s="1"/>
      <c r="B1224" s="2"/>
      <c r="C1224" s="2"/>
      <c r="D1224" s="2"/>
      <c r="E1224" s="3"/>
      <c r="F1224" s="4"/>
      <c r="G1224" s="2"/>
      <c r="H1224" s="2"/>
      <c r="K1224" s="2"/>
      <c r="L1224" s="2"/>
      <c r="M1224" s="2"/>
      <c r="N1224" s="2"/>
      <c r="O1224" s="2"/>
      <c r="Q1224" s="2"/>
      <c r="S1224" s="7" t="s">
        <v>5712</v>
      </c>
      <c r="T1224" s="7" t="s">
        <v>5712</v>
      </c>
      <c r="U1224" s="2" t="s">
        <v>5712</v>
      </c>
    </row>
    <row r="1225" spans="1:21" ht="12.75" x14ac:dyDescent="0.2">
      <c r="A1225" s="1"/>
      <c r="B1225" s="2"/>
      <c r="C1225" s="2"/>
      <c r="D1225" s="2"/>
      <c r="E1225" s="3"/>
      <c r="F1225" s="4"/>
      <c r="G1225" s="2"/>
      <c r="H1225" s="2"/>
      <c r="K1225" s="2"/>
      <c r="L1225" s="2"/>
      <c r="M1225" s="2"/>
      <c r="N1225" s="2"/>
      <c r="O1225" s="2"/>
      <c r="Q1225" s="2"/>
      <c r="S1225" s="7" t="s">
        <v>5712</v>
      </c>
      <c r="T1225" s="7" t="s">
        <v>5712</v>
      </c>
      <c r="U1225" s="2" t="s">
        <v>5712</v>
      </c>
    </row>
    <row r="1226" spans="1:21" ht="12.75" x14ac:dyDescent="0.2">
      <c r="A1226" s="1"/>
      <c r="B1226" s="2"/>
      <c r="C1226" s="2"/>
      <c r="D1226" s="2"/>
      <c r="E1226" s="3"/>
      <c r="F1226" s="4"/>
      <c r="G1226" s="2"/>
      <c r="H1226" s="2"/>
      <c r="K1226" s="2"/>
      <c r="L1226" s="2"/>
      <c r="M1226" s="2"/>
      <c r="N1226" s="2"/>
      <c r="O1226" s="2"/>
      <c r="Q1226" s="2"/>
      <c r="S1226" s="7" t="s">
        <v>5712</v>
      </c>
      <c r="T1226" s="7" t="s">
        <v>5712</v>
      </c>
      <c r="U1226" s="2" t="s">
        <v>5712</v>
      </c>
    </row>
    <row r="1227" spans="1:21" ht="12.75" x14ac:dyDescent="0.2">
      <c r="A1227" s="1"/>
      <c r="B1227" s="2"/>
      <c r="C1227" s="2"/>
      <c r="D1227" s="2"/>
      <c r="E1227" s="3"/>
      <c r="F1227" s="4"/>
      <c r="G1227" s="2"/>
      <c r="H1227" s="2"/>
      <c r="K1227" s="2"/>
      <c r="L1227" s="2"/>
      <c r="M1227" s="2"/>
      <c r="N1227" s="2"/>
      <c r="O1227" s="2"/>
      <c r="Q1227" s="2"/>
      <c r="S1227" s="7" t="s">
        <v>5712</v>
      </c>
      <c r="T1227" s="7" t="s">
        <v>5712</v>
      </c>
      <c r="U1227" s="2" t="s">
        <v>5712</v>
      </c>
    </row>
    <row r="1228" spans="1:21" ht="12.75" x14ac:dyDescent="0.2">
      <c r="A1228" s="1"/>
      <c r="B1228" s="2"/>
      <c r="C1228" s="2"/>
      <c r="D1228" s="2"/>
      <c r="E1228" s="3"/>
      <c r="F1228" s="4"/>
      <c r="G1228" s="2"/>
      <c r="H1228" s="2"/>
      <c r="K1228" s="2"/>
      <c r="L1228" s="2"/>
      <c r="M1228" s="2"/>
      <c r="N1228" s="2"/>
      <c r="O1228" s="2"/>
      <c r="Q1228" s="2"/>
      <c r="S1228" s="7" t="s">
        <v>5712</v>
      </c>
      <c r="T1228" s="7" t="s">
        <v>5712</v>
      </c>
      <c r="U1228" s="2" t="s">
        <v>5712</v>
      </c>
    </row>
    <row r="1229" spans="1:21" ht="12.75" x14ac:dyDescent="0.2">
      <c r="A1229" s="1"/>
      <c r="B1229" s="2"/>
      <c r="C1229" s="2"/>
      <c r="D1229" s="2"/>
      <c r="E1229" s="3"/>
      <c r="F1229" s="4"/>
      <c r="G1229" s="2"/>
      <c r="H1229" s="2"/>
      <c r="K1229" s="2"/>
      <c r="L1229" s="2"/>
      <c r="M1229" s="2"/>
      <c r="N1229" s="2"/>
      <c r="O1229" s="2"/>
      <c r="Q1229" s="2"/>
      <c r="S1229" s="7" t="s">
        <v>5712</v>
      </c>
      <c r="T1229" s="7" t="s">
        <v>5712</v>
      </c>
      <c r="U1229" s="2" t="s">
        <v>5712</v>
      </c>
    </row>
    <row r="1230" spans="1:21" ht="12.75" x14ac:dyDescent="0.2">
      <c r="A1230" s="1"/>
      <c r="B1230" s="2"/>
      <c r="C1230" s="2"/>
      <c r="D1230" s="2"/>
      <c r="E1230" s="3"/>
      <c r="F1230" s="4"/>
      <c r="G1230" s="2"/>
      <c r="H1230" s="2"/>
      <c r="K1230" s="2"/>
      <c r="L1230" s="2"/>
      <c r="M1230" s="2"/>
      <c r="N1230" s="2"/>
      <c r="O1230" s="2"/>
      <c r="Q1230" s="2"/>
      <c r="S1230" s="7" t="s">
        <v>5712</v>
      </c>
      <c r="T1230" s="7" t="s">
        <v>5712</v>
      </c>
      <c r="U1230" s="2" t="s">
        <v>5712</v>
      </c>
    </row>
    <row r="1231" spans="1:21" ht="12.75" x14ac:dyDescent="0.2">
      <c r="A1231" s="1"/>
      <c r="B1231" s="2"/>
      <c r="C1231" s="2"/>
      <c r="D1231" s="2"/>
      <c r="E1231" s="3"/>
      <c r="F1231" s="4"/>
      <c r="G1231" s="2"/>
      <c r="H1231" s="2"/>
      <c r="K1231" s="2"/>
      <c r="L1231" s="2"/>
      <c r="M1231" s="2"/>
      <c r="N1231" s="2"/>
      <c r="O1231" s="2"/>
      <c r="Q1231" s="2"/>
      <c r="S1231" s="7" t="s">
        <v>5712</v>
      </c>
      <c r="T1231" s="7" t="s">
        <v>5712</v>
      </c>
      <c r="U1231" s="2" t="s">
        <v>5712</v>
      </c>
    </row>
    <row r="1232" spans="1:21" ht="12.75" x14ac:dyDescent="0.2">
      <c r="A1232" s="1"/>
      <c r="B1232" s="2"/>
      <c r="C1232" s="2"/>
      <c r="D1232" s="2"/>
      <c r="E1232" s="3"/>
      <c r="F1232" s="4"/>
      <c r="G1232" s="2"/>
      <c r="H1232" s="2"/>
      <c r="K1232" s="2"/>
      <c r="L1232" s="2"/>
      <c r="M1232" s="2"/>
      <c r="N1232" s="2"/>
      <c r="O1232" s="2"/>
      <c r="Q1232" s="2"/>
      <c r="S1232" s="7" t="s">
        <v>5712</v>
      </c>
      <c r="T1232" s="7" t="s">
        <v>5712</v>
      </c>
      <c r="U1232" s="2" t="s">
        <v>5712</v>
      </c>
    </row>
    <row r="1233" spans="1:21" ht="12.75" x14ac:dyDescent="0.2">
      <c r="A1233" s="1"/>
      <c r="B1233" s="2"/>
      <c r="C1233" s="2"/>
      <c r="D1233" s="2"/>
      <c r="E1233" s="3"/>
      <c r="F1233" s="4"/>
      <c r="G1233" s="2"/>
      <c r="H1233" s="2"/>
      <c r="K1233" s="2"/>
      <c r="L1233" s="2"/>
      <c r="M1233" s="2"/>
      <c r="N1233" s="2"/>
      <c r="O1233" s="2"/>
      <c r="Q1233" s="2"/>
      <c r="S1233" s="7" t="s">
        <v>5712</v>
      </c>
      <c r="T1233" s="7" t="s">
        <v>5712</v>
      </c>
      <c r="U1233" s="2" t="s">
        <v>5712</v>
      </c>
    </row>
    <row r="1234" spans="1:21" ht="12.75" x14ac:dyDescent="0.2">
      <c r="A1234" s="1"/>
      <c r="B1234" s="2"/>
      <c r="C1234" s="2"/>
      <c r="D1234" s="2"/>
      <c r="E1234" s="3"/>
      <c r="F1234" s="4"/>
      <c r="G1234" s="2"/>
      <c r="H1234" s="2"/>
      <c r="K1234" s="2"/>
      <c r="L1234" s="2"/>
      <c r="M1234" s="2"/>
      <c r="N1234" s="2"/>
      <c r="O1234" s="2"/>
      <c r="Q1234" s="2"/>
      <c r="S1234" s="7" t="s">
        <v>5712</v>
      </c>
      <c r="T1234" s="7" t="s">
        <v>5712</v>
      </c>
      <c r="U1234" s="2" t="s">
        <v>5712</v>
      </c>
    </row>
    <row r="1235" spans="1:21" ht="12.75" x14ac:dyDescent="0.2">
      <c r="A1235" s="1"/>
      <c r="B1235" s="2"/>
      <c r="C1235" s="2"/>
      <c r="D1235" s="2"/>
      <c r="E1235" s="3"/>
      <c r="F1235" s="4"/>
      <c r="G1235" s="2"/>
      <c r="H1235" s="2"/>
      <c r="K1235" s="2"/>
      <c r="L1235" s="2"/>
      <c r="M1235" s="2"/>
      <c r="N1235" s="2"/>
      <c r="O1235" s="2"/>
      <c r="Q1235" s="2"/>
      <c r="S1235" s="7" t="s">
        <v>5712</v>
      </c>
      <c r="T1235" s="7" t="s">
        <v>5712</v>
      </c>
      <c r="U1235" s="2" t="s">
        <v>5712</v>
      </c>
    </row>
    <row r="1236" spans="1:21" ht="12.75" x14ac:dyDescent="0.2">
      <c r="A1236" s="1"/>
      <c r="B1236" s="2"/>
      <c r="C1236" s="2"/>
      <c r="D1236" s="2"/>
      <c r="E1236" s="3"/>
      <c r="F1236" s="4"/>
      <c r="G1236" s="2"/>
      <c r="H1236" s="2"/>
      <c r="K1236" s="2"/>
      <c r="L1236" s="2"/>
      <c r="M1236" s="2"/>
      <c r="N1236" s="2"/>
      <c r="O1236" s="2"/>
      <c r="Q1236" s="2"/>
      <c r="S1236" s="7" t="s">
        <v>5712</v>
      </c>
      <c r="T1236" s="7" t="s">
        <v>5712</v>
      </c>
      <c r="U1236" s="2" t="s">
        <v>5712</v>
      </c>
    </row>
    <row r="1237" spans="1:21" ht="12.75" x14ac:dyDescent="0.2">
      <c r="A1237" s="1"/>
      <c r="B1237" s="2"/>
      <c r="C1237" s="2"/>
      <c r="D1237" s="2"/>
      <c r="E1237" s="3"/>
      <c r="F1237" s="4"/>
      <c r="G1237" s="2"/>
      <c r="H1237" s="2"/>
      <c r="K1237" s="2"/>
      <c r="L1237" s="2"/>
      <c r="M1237" s="2"/>
      <c r="N1237" s="2"/>
      <c r="O1237" s="2"/>
      <c r="Q1237" s="2"/>
      <c r="S1237" s="7" t="s">
        <v>5712</v>
      </c>
      <c r="T1237" s="7" t="s">
        <v>5712</v>
      </c>
      <c r="U1237" s="2" t="s">
        <v>5712</v>
      </c>
    </row>
    <row r="1238" spans="1:21" ht="12.75" x14ac:dyDescent="0.2">
      <c r="A1238" s="1"/>
      <c r="B1238" s="2"/>
      <c r="C1238" s="2"/>
      <c r="D1238" s="2"/>
      <c r="E1238" s="3"/>
      <c r="F1238" s="4"/>
      <c r="G1238" s="2"/>
      <c r="H1238" s="2"/>
      <c r="K1238" s="2"/>
      <c r="L1238" s="2"/>
      <c r="M1238" s="2"/>
      <c r="N1238" s="2"/>
      <c r="O1238" s="2"/>
      <c r="Q1238" s="2"/>
      <c r="S1238" s="7" t="s">
        <v>5712</v>
      </c>
      <c r="T1238" s="7" t="s">
        <v>5712</v>
      </c>
      <c r="U1238" s="2" t="s">
        <v>5712</v>
      </c>
    </row>
    <row r="1239" spans="1:21" ht="12.75" x14ac:dyDescent="0.2">
      <c r="A1239" s="1"/>
      <c r="B1239" s="2"/>
      <c r="C1239" s="2"/>
      <c r="D1239" s="2"/>
      <c r="E1239" s="3"/>
      <c r="F1239" s="4"/>
      <c r="G1239" s="2"/>
      <c r="H1239" s="2"/>
      <c r="K1239" s="2"/>
      <c r="L1239" s="2"/>
      <c r="M1239" s="2"/>
      <c r="N1239" s="2"/>
      <c r="O1239" s="2"/>
      <c r="Q1239" s="2"/>
      <c r="S1239" s="7" t="s">
        <v>5712</v>
      </c>
      <c r="T1239" s="7" t="s">
        <v>5712</v>
      </c>
      <c r="U1239" s="2" t="s">
        <v>5712</v>
      </c>
    </row>
    <row r="1240" spans="1:21" ht="12.75" x14ac:dyDescent="0.2">
      <c r="A1240" s="1"/>
      <c r="B1240" s="2"/>
      <c r="C1240" s="2"/>
      <c r="D1240" s="2"/>
      <c r="E1240" s="3"/>
      <c r="F1240" s="4"/>
      <c r="G1240" s="2"/>
      <c r="H1240" s="2"/>
      <c r="K1240" s="2"/>
      <c r="L1240" s="2"/>
      <c r="M1240" s="2"/>
      <c r="N1240" s="2"/>
      <c r="O1240" s="2"/>
      <c r="Q1240" s="2"/>
      <c r="S1240" s="7" t="s">
        <v>5712</v>
      </c>
      <c r="T1240" s="7" t="s">
        <v>5712</v>
      </c>
      <c r="U1240" s="2" t="s">
        <v>5712</v>
      </c>
    </row>
    <row r="1241" spans="1:21" ht="12.75" x14ac:dyDescent="0.2">
      <c r="A1241" s="1"/>
      <c r="B1241" s="2"/>
      <c r="C1241" s="2"/>
      <c r="D1241" s="2"/>
      <c r="E1241" s="3"/>
      <c r="F1241" s="4"/>
      <c r="G1241" s="2"/>
      <c r="H1241" s="2"/>
      <c r="K1241" s="2"/>
      <c r="L1241" s="2"/>
      <c r="M1241" s="2"/>
      <c r="N1241" s="2"/>
      <c r="O1241" s="2"/>
      <c r="Q1241" s="2"/>
      <c r="S1241" s="7" t="s">
        <v>5712</v>
      </c>
      <c r="T1241" s="7" t="s">
        <v>5712</v>
      </c>
      <c r="U1241" s="2" t="s">
        <v>5712</v>
      </c>
    </row>
    <row r="1242" spans="1:21" ht="12.75" x14ac:dyDescent="0.2">
      <c r="A1242" s="1"/>
      <c r="B1242" s="2"/>
      <c r="C1242" s="2"/>
      <c r="D1242" s="2"/>
      <c r="E1242" s="3"/>
      <c r="F1242" s="4"/>
      <c r="G1242" s="2"/>
      <c r="H1242" s="2"/>
      <c r="K1242" s="2"/>
      <c r="L1242" s="2"/>
      <c r="M1242" s="2"/>
      <c r="N1242" s="2"/>
      <c r="O1242" s="2"/>
      <c r="Q1242" s="2"/>
      <c r="S1242" s="7" t="s">
        <v>5712</v>
      </c>
      <c r="T1242" s="7" t="s">
        <v>5712</v>
      </c>
      <c r="U1242" s="2" t="s">
        <v>5712</v>
      </c>
    </row>
    <row r="1243" spans="1:21" ht="12.75" x14ac:dyDescent="0.2">
      <c r="A1243" s="1"/>
      <c r="B1243" s="2"/>
      <c r="C1243" s="2"/>
      <c r="D1243" s="2"/>
      <c r="E1243" s="3"/>
      <c r="F1243" s="4"/>
      <c r="G1243" s="2"/>
      <c r="H1243" s="2"/>
      <c r="K1243" s="2"/>
      <c r="L1243" s="2"/>
      <c r="M1243" s="2"/>
      <c r="N1243" s="2"/>
      <c r="O1243" s="2"/>
      <c r="Q1243" s="2"/>
      <c r="S1243" s="7" t="s">
        <v>5712</v>
      </c>
      <c r="T1243" s="7" t="s">
        <v>5712</v>
      </c>
      <c r="U1243" s="2" t="s">
        <v>5712</v>
      </c>
    </row>
    <row r="1244" spans="1:21" ht="12.75" x14ac:dyDescent="0.2">
      <c r="A1244" s="1"/>
      <c r="B1244" s="2"/>
      <c r="C1244" s="2"/>
      <c r="D1244" s="2"/>
      <c r="E1244" s="3"/>
      <c r="F1244" s="4"/>
      <c r="G1244" s="2"/>
      <c r="H1244" s="2"/>
      <c r="K1244" s="2"/>
      <c r="L1244" s="2"/>
      <c r="M1244" s="2"/>
      <c r="N1244" s="2"/>
      <c r="O1244" s="2"/>
      <c r="Q1244" s="2"/>
      <c r="S1244" s="7" t="s">
        <v>5712</v>
      </c>
      <c r="T1244" s="7" t="s">
        <v>5712</v>
      </c>
      <c r="U1244" s="2" t="s">
        <v>5712</v>
      </c>
    </row>
    <row r="1245" spans="1:21" ht="12.75" x14ac:dyDescent="0.2">
      <c r="A1245" s="1"/>
      <c r="B1245" s="2"/>
      <c r="C1245" s="2"/>
      <c r="D1245" s="2"/>
      <c r="E1245" s="3"/>
      <c r="F1245" s="4"/>
      <c r="G1245" s="2"/>
      <c r="H1245" s="2"/>
      <c r="K1245" s="2"/>
      <c r="L1245" s="2"/>
      <c r="M1245" s="2"/>
      <c r="N1245" s="2"/>
      <c r="O1245" s="2"/>
      <c r="Q1245" s="2"/>
      <c r="S1245" s="7" t="s">
        <v>5712</v>
      </c>
      <c r="T1245" s="7" t="s">
        <v>5712</v>
      </c>
      <c r="U1245" s="2" t="s">
        <v>5712</v>
      </c>
    </row>
    <row r="1246" spans="1:21" ht="12.75" x14ac:dyDescent="0.2">
      <c r="A1246" s="1"/>
      <c r="B1246" s="2"/>
      <c r="C1246" s="2"/>
      <c r="D1246" s="2"/>
      <c r="E1246" s="3"/>
      <c r="F1246" s="4"/>
      <c r="G1246" s="2"/>
      <c r="H1246" s="2"/>
      <c r="K1246" s="2"/>
      <c r="L1246" s="2"/>
      <c r="M1246" s="2"/>
      <c r="N1246" s="2"/>
      <c r="O1246" s="2"/>
      <c r="Q1246" s="2"/>
      <c r="S1246" s="7" t="s">
        <v>5712</v>
      </c>
      <c r="T1246" s="7" t="s">
        <v>5712</v>
      </c>
      <c r="U1246" s="2" t="s">
        <v>5712</v>
      </c>
    </row>
    <row r="1247" spans="1:21" ht="12.75" x14ac:dyDescent="0.2">
      <c r="A1247" s="1"/>
      <c r="B1247" s="2"/>
      <c r="C1247" s="2"/>
      <c r="D1247" s="2"/>
      <c r="E1247" s="3"/>
      <c r="F1247" s="4"/>
      <c r="G1247" s="2"/>
      <c r="H1247" s="2"/>
      <c r="K1247" s="2"/>
      <c r="L1247" s="2"/>
      <c r="M1247" s="2"/>
      <c r="N1247" s="2"/>
      <c r="O1247" s="2"/>
      <c r="Q1247" s="2"/>
      <c r="S1247" s="7" t="s">
        <v>5712</v>
      </c>
      <c r="T1247" s="7" t="s">
        <v>5712</v>
      </c>
      <c r="U1247" s="2" t="s">
        <v>5712</v>
      </c>
    </row>
    <row r="1248" spans="1:21" ht="12.75" x14ac:dyDescent="0.2">
      <c r="A1248" s="1"/>
      <c r="B1248" s="2"/>
      <c r="C1248" s="2"/>
      <c r="D1248" s="2"/>
      <c r="E1248" s="3"/>
      <c r="F1248" s="4"/>
      <c r="G1248" s="2"/>
      <c r="H1248" s="2"/>
      <c r="K1248" s="2"/>
      <c r="L1248" s="2"/>
      <c r="M1248" s="2"/>
      <c r="N1248" s="2"/>
      <c r="O1248" s="2"/>
      <c r="Q1248" s="2"/>
      <c r="S1248" s="7" t="s">
        <v>5712</v>
      </c>
      <c r="T1248" s="7" t="s">
        <v>5712</v>
      </c>
      <c r="U1248" s="2" t="s">
        <v>5712</v>
      </c>
    </row>
    <row r="1249" spans="1:21" ht="12.75" x14ac:dyDescent="0.2">
      <c r="A1249" s="1"/>
      <c r="B1249" s="2"/>
      <c r="C1249" s="2"/>
      <c r="D1249" s="2"/>
      <c r="E1249" s="3"/>
      <c r="F1249" s="4"/>
      <c r="G1249" s="2"/>
      <c r="H1249" s="2"/>
      <c r="K1249" s="2"/>
      <c r="L1249" s="2"/>
      <c r="M1249" s="2"/>
      <c r="N1249" s="2"/>
      <c r="O1249" s="2"/>
      <c r="Q1249" s="2"/>
      <c r="S1249" s="7" t="s">
        <v>5712</v>
      </c>
      <c r="T1249" s="7" t="s">
        <v>5712</v>
      </c>
      <c r="U1249" s="2" t="s">
        <v>5712</v>
      </c>
    </row>
    <row r="1250" spans="1:21" ht="12.75" x14ac:dyDescent="0.2">
      <c r="A1250" s="1"/>
      <c r="B1250" s="2"/>
      <c r="C1250" s="2"/>
      <c r="D1250" s="2"/>
      <c r="E1250" s="3"/>
      <c r="F1250" s="4"/>
      <c r="G1250" s="2"/>
      <c r="H1250" s="2"/>
      <c r="K1250" s="2"/>
      <c r="L1250" s="2"/>
      <c r="M1250" s="2"/>
      <c r="N1250" s="2"/>
      <c r="O1250" s="2"/>
      <c r="Q1250" s="2"/>
      <c r="S1250" s="7" t="s">
        <v>5712</v>
      </c>
      <c r="T1250" s="7" t="s">
        <v>5712</v>
      </c>
      <c r="U1250" s="2" t="s">
        <v>5712</v>
      </c>
    </row>
    <row r="1251" spans="1:21" ht="12.75" x14ac:dyDescent="0.2">
      <c r="A1251" s="1"/>
      <c r="B1251" s="2"/>
      <c r="C1251" s="2"/>
      <c r="D1251" s="2"/>
      <c r="E1251" s="3"/>
      <c r="F1251" s="4"/>
      <c r="G1251" s="2"/>
      <c r="H1251" s="2"/>
      <c r="K1251" s="2"/>
      <c r="L1251" s="2"/>
      <c r="M1251" s="2"/>
      <c r="N1251" s="2"/>
      <c r="O1251" s="2"/>
      <c r="Q1251" s="2"/>
      <c r="S1251" s="7" t="s">
        <v>5712</v>
      </c>
      <c r="T1251" s="7" t="s">
        <v>5712</v>
      </c>
      <c r="U1251" s="2" t="s">
        <v>5712</v>
      </c>
    </row>
    <row r="1252" spans="1:21" ht="12.75" x14ac:dyDescent="0.2">
      <c r="A1252" s="1"/>
      <c r="B1252" s="2"/>
      <c r="C1252" s="2"/>
      <c r="D1252" s="2"/>
      <c r="E1252" s="3"/>
      <c r="F1252" s="4"/>
      <c r="G1252" s="2"/>
      <c r="H1252" s="2"/>
      <c r="K1252" s="2"/>
      <c r="L1252" s="2"/>
      <c r="M1252" s="2"/>
      <c r="N1252" s="2"/>
      <c r="O1252" s="2"/>
      <c r="Q1252" s="2"/>
      <c r="S1252" s="7" t="s">
        <v>5712</v>
      </c>
      <c r="T1252" s="7" t="s">
        <v>5712</v>
      </c>
      <c r="U1252" s="2" t="s">
        <v>5712</v>
      </c>
    </row>
    <row r="1253" spans="1:21" ht="12.75" x14ac:dyDescent="0.2">
      <c r="A1253" s="1"/>
      <c r="B1253" s="2"/>
      <c r="C1253" s="2"/>
      <c r="D1253" s="2"/>
      <c r="E1253" s="3"/>
      <c r="F1253" s="4"/>
      <c r="G1253" s="2"/>
      <c r="H1253" s="2"/>
      <c r="K1253" s="2"/>
      <c r="L1253" s="2"/>
      <c r="M1253" s="2"/>
      <c r="N1253" s="2"/>
      <c r="O1253" s="2"/>
      <c r="Q1253" s="2"/>
      <c r="S1253" s="7" t="s">
        <v>5712</v>
      </c>
      <c r="T1253" s="7" t="s">
        <v>5712</v>
      </c>
      <c r="U1253" s="2" t="s">
        <v>5712</v>
      </c>
    </row>
    <row r="1254" spans="1:21" ht="12.75" x14ac:dyDescent="0.2">
      <c r="A1254" s="1"/>
      <c r="B1254" s="2"/>
      <c r="C1254" s="2"/>
      <c r="D1254" s="2"/>
      <c r="E1254" s="3"/>
      <c r="F1254" s="4"/>
      <c r="G1254" s="2"/>
      <c r="H1254" s="2"/>
      <c r="K1254" s="2"/>
      <c r="L1254" s="2"/>
      <c r="M1254" s="2"/>
      <c r="N1254" s="2"/>
      <c r="O1254" s="2"/>
      <c r="Q1254" s="2"/>
      <c r="S1254" s="7" t="s">
        <v>5712</v>
      </c>
      <c r="T1254" s="7" t="s">
        <v>5712</v>
      </c>
      <c r="U1254" s="2" t="s">
        <v>5712</v>
      </c>
    </row>
    <row r="1255" spans="1:21" ht="12.75" x14ac:dyDescent="0.2">
      <c r="A1255" s="1"/>
      <c r="B1255" s="2"/>
      <c r="C1255" s="2"/>
      <c r="D1255" s="2"/>
      <c r="E1255" s="3"/>
      <c r="F1255" s="4"/>
      <c r="G1255" s="2"/>
      <c r="H1255" s="2"/>
      <c r="K1255" s="2"/>
      <c r="L1255" s="2"/>
      <c r="M1255" s="2"/>
      <c r="N1255" s="2"/>
      <c r="O1255" s="2"/>
      <c r="Q1255" s="2"/>
      <c r="S1255" s="7" t="s">
        <v>5712</v>
      </c>
      <c r="T1255" s="7" t="s">
        <v>5712</v>
      </c>
      <c r="U1255" s="2" t="s">
        <v>5712</v>
      </c>
    </row>
    <row r="1256" spans="1:21" ht="12.75" x14ac:dyDescent="0.2">
      <c r="A1256" s="1"/>
      <c r="B1256" s="2"/>
      <c r="C1256" s="2"/>
      <c r="D1256" s="2"/>
      <c r="E1256" s="3"/>
      <c r="F1256" s="4"/>
      <c r="G1256" s="2"/>
      <c r="H1256" s="2"/>
      <c r="K1256" s="2"/>
      <c r="L1256" s="2"/>
      <c r="M1256" s="2"/>
      <c r="N1256" s="2"/>
      <c r="O1256" s="2"/>
      <c r="Q1256" s="2"/>
      <c r="S1256" s="7" t="s">
        <v>5712</v>
      </c>
      <c r="T1256" s="7" t="s">
        <v>5712</v>
      </c>
      <c r="U1256" s="2" t="s">
        <v>5712</v>
      </c>
    </row>
    <row r="1257" spans="1:21" ht="12.75" x14ac:dyDescent="0.2">
      <c r="A1257" s="1"/>
      <c r="B1257" s="2"/>
      <c r="C1257" s="2"/>
      <c r="D1257" s="2"/>
      <c r="E1257" s="3"/>
      <c r="F1257" s="4"/>
      <c r="G1257" s="2"/>
      <c r="H1257" s="2"/>
      <c r="K1257" s="2"/>
      <c r="L1257" s="2"/>
      <c r="M1257" s="2"/>
      <c r="N1257" s="2"/>
      <c r="O1257" s="2"/>
      <c r="Q1257" s="2"/>
      <c r="S1257" s="7" t="s">
        <v>5712</v>
      </c>
      <c r="T1257" s="7" t="s">
        <v>5712</v>
      </c>
      <c r="U1257" s="2" t="s">
        <v>5712</v>
      </c>
    </row>
    <row r="1258" spans="1:21" ht="12.75" x14ac:dyDescent="0.2">
      <c r="A1258" s="1"/>
      <c r="B1258" s="2"/>
      <c r="C1258" s="2"/>
      <c r="D1258" s="2"/>
      <c r="E1258" s="3"/>
      <c r="F1258" s="4"/>
      <c r="G1258" s="2"/>
      <c r="H1258" s="2"/>
      <c r="K1258" s="2"/>
      <c r="L1258" s="2"/>
      <c r="M1258" s="2"/>
      <c r="N1258" s="2"/>
      <c r="O1258" s="2"/>
      <c r="Q1258" s="2"/>
      <c r="S1258" s="7" t="s">
        <v>5712</v>
      </c>
      <c r="T1258" s="7" t="s">
        <v>5712</v>
      </c>
      <c r="U1258" s="2" t="s">
        <v>5712</v>
      </c>
    </row>
    <row r="1259" spans="1:21" ht="12.75" x14ac:dyDescent="0.2">
      <c r="A1259" s="1"/>
      <c r="B1259" s="2"/>
      <c r="C1259" s="2"/>
      <c r="D1259" s="2"/>
      <c r="E1259" s="3"/>
      <c r="F1259" s="4"/>
      <c r="G1259" s="2"/>
      <c r="H1259" s="2"/>
      <c r="K1259" s="2"/>
      <c r="L1259" s="2"/>
      <c r="M1259" s="2"/>
      <c r="N1259" s="2"/>
      <c r="O1259" s="2"/>
      <c r="Q1259" s="2"/>
      <c r="S1259" s="7" t="s">
        <v>5712</v>
      </c>
      <c r="T1259" s="7" t="s">
        <v>5712</v>
      </c>
      <c r="U1259" s="2" t="s">
        <v>5712</v>
      </c>
    </row>
    <row r="1260" spans="1:21" ht="12.75" x14ac:dyDescent="0.2">
      <c r="A1260" s="1"/>
      <c r="B1260" s="2"/>
      <c r="C1260" s="2"/>
      <c r="D1260" s="2"/>
      <c r="E1260" s="3"/>
      <c r="F1260" s="4"/>
      <c r="G1260" s="2"/>
      <c r="H1260" s="2"/>
      <c r="K1260" s="2"/>
      <c r="L1260" s="2"/>
      <c r="M1260" s="2"/>
      <c r="N1260" s="2"/>
      <c r="O1260" s="2"/>
      <c r="Q1260" s="2"/>
      <c r="S1260" s="7" t="s">
        <v>5712</v>
      </c>
      <c r="T1260" s="7" t="s">
        <v>5712</v>
      </c>
      <c r="U1260" s="2" t="s">
        <v>5712</v>
      </c>
    </row>
    <row r="1261" spans="1:21" ht="12.75" x14ac:dyDescent="0.2">
      <c r="A1261" s="1"/>
      <c r="B1261" s="2"/>
      <c r="C1261" s="2"/>
      <c r="D1261" s="2"/>
      <c r="E1261" s="3"/>
      <c r="F1261" s="4"/>
      <c r="G1261" s="2"/>
      <c r="H1261" s="2"/>
      <c r="K1261" s="2"/>
      <c r="L1261" s="2"/>
      <c r="M1261" s="2"/>
      <c r="N1261" s="2"/>
      <c r="O1261" s="2"/>
      <c r="Q1261" s="2"/>
      <c r="S1261" s="7" t="s">
        <v>5712</v>
      </c>
      <c r="T1261" s="7" t="s">
        <v>5712</v>
      </c>
      <c r="U1261" s="2" t="s">
        <v>5712</v>
      </c>
    </row>
    <row r="1262" spans="1:21" ht="12.75" x14ac:dyDescent="0.2">
      <c r="A1262" s="1"/>
      <c r="B1262" s="2"/>
      <c r="C1262" s="2"/>
      <c r="D1262" s="2"/>
      <c r="E1262" s="3"/>
      <c r="F1262" s="4"/>
      <c r="G1262" s="2"/>
      <c r="H1262" s="2"/>
      <c r="K1262" s="2"/>
      <c r="L1262" s="2"/>
      <c r="M1262" s="2"/>
      <c r="N1262" s="2"/>
      <c r="O1262" s="2"/>
      <c r="Q1262" s="2"/>
      <c r="S1262" s="7" t="s">
        <v>5712</v>
      </c>
      <c r="T1262" s="7" t="s">
        <v>5712</v>
      </c>
      <c r="U1262" s="2" t="s">
        <v>5712</v>
      </c>
    </row>
    <row r="1263" spans="1:21" ht="12.75" x14ac:dyDescent="0.2">
      <c r="A1263" s="1"/>
      <c r="B1263" s="2"/>
      <c r="C1263" s="2"/>
      <c r="D1263" s="2"/>
      <c r="E1263" s="3"/>
      <c r="F1263" s="4"/>
      <c r="G1263" s="2"/>
      <c r="H1263" s="2"/>
      <c r="K1263" s="2"/>
      <c r="L1263" s="2"/>
      <c r="M1263" s="2"/>
      <c r="N1263" s="2"/>
      <c r="O1263" s="2"/>
      <c r="Q1263" s="2"/>
      <c r="S1263" s="7" t="s">
        <v>5712</v>
      </c>
      <c r="T1263" s="7" t="s">
        <v>5712</v>
      </c>
      <c r="U1263" s="2" t="s">
        <v>5712</v>
      </c>
    </row>
    <row r="1264" spans="1:21" ht="12.75" x14ac:dyDescent="0.2">
      <c r="A1264" s="1"/>
      <c r="B1264" s="2"/>
      <c r="C1264" s="2"/>
      <c r="D1264" s="2"/>
      <c r="E1264" s="3"/>
      <c r="F1264" s="4"/>
      <c r="G1264" s="2"/>
      <c r="H1264" s="2"/>
      <c r="K1264" s="2"/>
      <c r="L1264" s="2"/>
      <c r="M1264" s="2"/>
      <c r="N1264" s="2"/>
      <c r="O1264" s="2"/>
      <c r="Q1264" s="2"/>
      <c r="S1264" s="7" t="s">
        <v>5712</v>
      </c>
      <c r="T1264" s="7" t="s">
        <v>5712</v>
      </c>
      <c r="U1264" s="2" t="s">
        <v>5712</v>
      </c>
    </row>
    <row r="1265" spans="1:21" ht="12.75" x14ac:dyDescent="0.2">
      <c r="A1265" s="1"/>
      <c r="B1265" s="2"/>
      <c r="C1265" s="2"/>
      <c r="D1265" s="2"/>
      <c r="E1265" s="3"/>
      <c r="F1265" s="4"/>
      <c r="G1265" s="2"/>
      <c r="H1265" s="2"/>
      <c r="K1265" s="2"/>
      <c r="L1265" s="2"/>
      <c r="M1265" s="2"/>
      <c r="N1265" s="2"/>
      <c r="O1265" s="2"/>
      <c r="Q1265" s="2"/>
      <c r="S1265" s="7" t="s">
        <v>5712</v>
      </c>
      <c r="T1265" s="7" t="s">
        <v>5712</v>
      </c>
      <c r="U1265" s="2" t="s">
        <v>5712</v>
      </c>
    </row>
    <row r="1266" spans="1:21" ht="12.75" x14ac:dyDescent="0.2">
      <c r="A1266" s="1"/>
      <c r="B1266" s="2"/>
      <c r="C1266" s="2"/>
      <c r="D1266" s="2"/>
      <c r="E1266" s="3"/>
      <c r="F1266" s="4"/>
      <c r="G1266" s="2"/>
      <c r="H1266" s="2"/>
      <c r="K1266" s="2"/>
      <c r="L1266" s="2"/>
      <c r="M1266" s="2"/>
      <c r="N1266" s="2"/>
      <c r="O1266" s="2"/>
      <c r="Q1266" s="2"/>
      <c r="S1266" s="7" t="s">
        <v>5712</v>
      </c>
      <c r="T1266" s="7" t="s">
        <v>5712</v>
      </c>
      <c r="U1266" s="2" t="s">
        <v>5712</v>
      </c>
    </row>
    <row r="1267" spans="1:21" ht="12.75" x14ac:dyDescent="0.2">
      <c r="A1267" s="1"/>
      <c r="B1267" s="2"/>
      <c r="C1267" s="2"/>
      <c r="D1267" s="2"/>
      <c r="E1267" s="3"/>
      <c r="F1267" s="4"/>
      <c r="G1267" s="2"/>
      <c r="H1267" s="2"/>
      <c r="K1267" s="2"/>
      <c r="L1267" s="2"/>
      <c r="M1267" s="2"/>
      <c r="N1267" s="2"/>
      <c r="O1267" s="2"/>
      <c r="Q1267" s="2"/>
      <c r="S1267" s="7" t="s">
        <v>5712</v>
      </c>
      <c r="T1267" s="7" t="s">
        <v>5712</v>
      </c>
      <c r="U1267" s="2" t="s">
        <v>5712</v>
      </c>
    </row>
    <row r="1268" spans="1:21" ht="12.75" x14ac:dyDescent="0.2">
      <c r="A1268" s="1"/>
      <c r="B1268" s="2"/>
      <c r="C1268" s="2"/>
      <c r="D1268" s="2"/>
      <c r="E1268" s="3"/>
      <c r="F1268" s="4"/>
      <c r="G1268" s="2"/>
      <c r="H1268" s="2"/>
      <c r="K1268" s="2"/>
      <c r="L1268" s="2"/>
      <c r="M1268" s="2"/>
      <c r="N1268" s="2"/>
      <c r="O1268" s="2"/>
      <c r="Q1268" s="2"/>
      <c r="S1268" s="7" t="s">
        <v>5712</v>
      </c>
      <c r="T1268" s="7" t="s">
        <v>5712</v>
      </c>
      <c r="U1268" s="2" t="s">
        <v>5712</v>
      </c>
    </row>
    <row r="1269" spans="1:21" ht="12.75" x14ac:dyDescent="0.2">
      <c r="A1269" s="1"/>
      <c r="B1269" s="2"/>
      <c r="C1269" s="2"/>
      <c r="D1269" s="2"/>
      <c r="E1269" s="3"/>
      <c r="F1269" s="4"/>
      <c r="G1269" s="2"/>
      <c r="H1269" s="2"/>
      <c r="K1269" s="2"/>
      <c r="L1269" s="2"/>
      <c r="M1269" s="2"/>
      <c r="N1269" s="2"/>
      <c r="O1269" s="2"/>
      <c r="Q1269" s="2"/>
      <c r="S1269" s="7" t="s">
        <v>5712</v>
      </c>
      <c r="T1269" s="7" t="s">
        <v>5712</v>
      </c>
      <c r="U1269" s="2" t="s">
        <v>5712</v>
      </c>
    </row>
    <row r="1270" spans="1:21" ht="12.75" x14ac:dyDescent="0.2">
      <c r="A1270" s="1"/>
      <c r="B1270" s="2"/>
      <c r="C1270" s="2"/>
      <c r="D1270" s="2"/>
      <c r="E1270" s="3"/>
      <c r="F1270" s="4"/>
      <c r="G1270" s="2"/>
      <c r="H1270" s="2"/>
      <c r="K1270" s="2"/>
      <c r="L1270" s="2"/>
      <c r="M1270" s="2"/>
      <c r="N1270" s="2"/>
      <c r="O1270" s="2"/>
      <c r="Q1270" s="2"/>
      <c r="S1270" s="7" t="s">
        <v>5712</v>
      </c>
      <c r="T1270" s="7" t="s">
        <v>5712</v>
      </c>
      <c r="U1270" s="2" t="s">
        <v>5712</v>
      </c>
    </row>
    <row r="1271" spans="1:21" ht="12.75" x14ac:dyDescent="0.2">
      <c r="A1271" s="1"/>
      <c r="B1271" s="2"/>
      <c r="C1271" s="2"/>
      <c r="D1271" s="2"/>
      <c r="E1271" s="3"/>
      <c r="F1271" s="4"/>
      <c r="G1271" s="2"/>
      <c r="H1271" s="2"/>
      <c r="K1271" s="2"/>
      <c r="L1271" s="2"/>
      <c r="M1271" s="2"/>
      <c r="N1271" s="2"/>
      <c r="O1271" s="2"/>
      <c r="Q1271" s="2"/>
      <c r="S1271" s="7" t="s">
        <v>5712</v>
      </c>
      <c r="T1271" s="7" t="s">
        <v>5712</v>
      </c>
      <c r="U1271" s="2" t="s">
        <v>5712</v>
      </c>
    </row>
    <row r="1272" spans="1:21" ht="12.75" x14ac:dyDescent="0.2">
      <c r="A1272" s="1"/>
      <c r="B1272" s="2"/>
      <c r="C1272" s="2"/>
      <c r="D1272" s="2"/>
      <c r="E1272" s="3"/>
      <c r="F1272" s="4"/>
      <c r="G1272" s="2"/>
      <c r="H1272" s="2"/>
      <c r="K1272" s="2"/>
      <c r="L1272" s="2"/>
      <c r="M1272" s="2"/>
      <c r="N1272" s="2"/>
      <c r="O1272" s="2"/>
      <c r="Q1272" s="2"/>
      <c r="S1272" s="7" t="s">
        <v>5712</v>
      </c>
      <c r="T1272" s="7" t="s">
        <v>5712</v>
      </c>
      <c r="U1272" s="2" t="s">
        <v>5712</v>
      </c>
    </row>
    <row r="1273" spans="1:21" ht="12.75" x14ac:dyDescent="0.2">
      <c r="A1273" s="1"/>
      <c r="B1273" s="2"/>
      <c r="C1273" s="2"/>
      <c r="D1273" s="2"/>
      <c r="E1273" s="3"/>
      <c r="F1273" s="4"/>
      <c r="G1273" s="2"/>
      <c r="H1273" s="2"/>
      <c r="K1273" s="2"/>
      <c r="L1273" s="2"/>
      <c r="M1273" s="2"/>
      <c r="N1273" s="2"/>
      <c r="O1273" s="2"/>
      <c r="Q1273" s="2"/>
      <c r="S1273" s="7" t="s">
        <v>5712</v>
      </c>
      <c r="T1273" s="7" t="s">
        <v>5712</v>
      </c>
      <c r="U1273" s="2" t="s">
        <v>5712</v>
      </c>
    </row>
    <row r="1274" spans="1:21" ht="12.75" x14ac:dyDescent="0.2">
      <c r="A1274" s="1"/>
      <c r="B1274" s="2"/>
      <c r="C1274" s="2"/>
      <c r="D1274" s="2"/>
      <c r="E1274" s="3"/>
      <c r="F1274" s="4"/>
      <c r="G1274" s="2"/>
      <c r="H1274" s="2"/>
      <c r="K1274" s="2"/>
      <c r="L1274" s="2"/>
      <c r="M1274" s="2"/>
      <c r="N1274" s="2"/>
      <c r="O1274" s="2"/>
      <c r="Q1274" s="2"/>
      <c r="S1274" s="7" t="s">
        <v>5712</v>
      </c>
      <c r="T1274" s="7" t="s">
        <v>5712</v>
      </c>
      <c r="U1274" s="2" t="s">
        <v>5712</v>
      </c>
    </row>
    <row r="1275" spans="1:21" ht="12.75" x14ac:dyDescent="0.2">
      <c r="A1275" s="1"/>
      <c r="B1275" s="2"/>
      <c r="C1275" s="2"/>
      <c r="D1275" s="2"/>
      <c r="E1275" s="3"/>
      <c r="F1275" s="4"/>
      <c r="G1275" s="2"/>
      <c r="H1275" s="2"/>
      <c r="K1275" s="2"/>
      <c r="L1275" s="2"/>
      <c r="M1275" s="2"/>
      <c r="N1275" s="2"/>
      <c r="O1275" s="2"/>
      <c r="Q1275" s="2"/>
      <c r="S1275" s="7" t="s">
        <v>5712</v>
      </c>
      <c r="T1275" s="7" t="s">
        <v>5712</v>
      </c>
      <c r="U1275" s="2" t="s">
        <v>5712</v>
      </c>
    </row>
    <row r="1276" spans="1:21" ht="12.75" x14ac:dyDescent="0.2">
      <c r="A1276" s="1"/>
      <c r="B1276" s="2"/>
      <c r="C1276" s="2"/>
      <c r="D1276" s="2"/>
      <c r="E1276" s="3"/>
      <c r="F1276" s="4"/>
      <c r="G1276" s="2"/>
      <c r="H1276" s="2"/>
      <c r="K1276" s="2"/>
      <c r="L1276" s="2"/>
      <c r="M1276" s="2"/>
      <c r="N1276" s="2"/>
      <c r="O1276" s="2"/>
      <c r="Q1276" s="2"/>
      <c r="S1276" s="7" t="s">
        <v>5712</v>
      </c>
      <c r="T1276" s="7" t="s">
        <v>5712</v>
      </c>
      <c r="U1276" s="2" t="s">
        <v>5712</v>
      </c>
    </row>
    <row r="1277" spans="1:21" ht="12.75" x14ac:dyDescent="0.2">
      <c r="A1277" s="1"/>
      <c r="B1277" s="2"/>
      <c r="C1277" s="2"/>
      <c r="D1277" s="2"/>
      <c r="E1277" s="3"/>
      <c r="F1277" s="4"/>
      <c r="G1277" s="2"/>
      <c r="H1277" s="2"/>
      <c r="K1277" s="2"/>
      <c r="L1277" s="2"/>
      <c r="M1277" s="2"/>
      <c r="N1277" s="2"/>
      <c r="O1277" s="2"/>
      <c r="Q1277" s="2"/>
      <c r="S1277" s="7" t="s">
        <v>5712</v>
      </c>
      <c r="T1277" s="7" t="s">
        <v>5712</v>
      </c>
      <c r="U1277" s="2" t="s">
        <v>5712</v>
      </c>
    </row>
    <row r="1278" spans="1:21" ht="12.75" x14ac:dyDescent="0.2">
      <c r="A1278" s="1"/>
      <c r="B1278" s="2"/>
      <c r="C1278" s="2"/>
      <c r="D1278" s="2"/>
      <c r="E1278" s="3"/>
      <c r="F1278" s="4"/>
      <c r="G1278" s="2"/>
      <c r="H1278" s="2"/>
      <c r="K1278" s="2"/>
      <c r="L1278" s="2"/>
      <c r="M1278" s="2"/>
      <c r="N1278" s="2"/>
      <c r="O1278" s="2"/>
      <c r="Q1278" s="2"/>
      <c r="S1278" s="7" t="s">
        <v>5712</v>
      </c>
      <c r="T1278" s="7" t="s">
        <v>5712</v>
      </c>
      <c r="U1278" s="2" t="s">
        <v>5712</v>
      </c>
    </row>
    <row r="1279" spans="1:21" ht="12.75" x14ac:dyDescent="0.2">
      <c r="A1279" s="1"/>
      <c r="B1279" s="2"/>
      <c r="C1279" s="2"/>
      <c r="D1279" s="2"/>
      <c r="E1279" s="3"/>
      <c r="F1279" s="4"/>
      <c r="G1279" s="2"/>
      <c r="H1279" s="2"/>
      <c r="K1279" s="2"/>
      <c r="L1279" s="2"/>
      <c r="M1279" s="2"/>
      <c r="N1279" s="2"/>
      <c r="O1279" s="2"/>
      <c r="Q1279" s="2"/>
      <c r="S1279" s="7" t="s">
        <v>5712</v>
      </c>
      <c r="T1279" s="7" t="s">
        <v>5712</v>
      </c>
      <c r="U1279" s="2" t="s">
        <v>5712</v>
      </c>
    </row>
    <row r="1280" spans="1:21" ht="12.75" x14ac:dyDescent="0.2">
      <c r="A1280" s="1"/>
      <c r="B1280" s="2"/>
      <c r="C1280" s="2"/>
      <c r="D1280" s="2"/>
      <c r="E1280" s="3"/>
      <c r="F1280" s="4"/>
      <c r="G1280" s="2"/>
      <c r="H1280" s="2"/>
      <c r="K1280" s="2"/>
      <c r="L1280" s="2"/>
      <c r="M1280" s="2"/>
      <c r="N1280" s="2"/>
      <c r="O1280" s="2"/>
      <c r="Q1280" s="2"/>
      <c r="S1280" s="7" t="s">
        <v>5712</v>
      </c>
      <c r="T1280" s="7" t="s">
        <v>5712</v>
      </c>
      <c r="U1280" s="2" t="s">
        <v>5712</v>
      </c>
    </row>
    <row r="1281" spans="1:21" ht="12.75" x14ac:dyDescent="0.2">
      <c r="A1281" s="1"/>
      <c r="B1281" s="2"/>
      <c r="C1281" s="2"/>
      <c r="D1281" s="2"/>
      <c r="E1281" s="3"/>
      <c r="F1281" s="4"/>
      <c r="G1281" s="2"/>
      <c r="H1281" s="2"/>
      <c r="K1281" s="2"/>
      <c r="L1281" s="2"/>
      <c r="M1281" s="2"/>
      <c r="N1281" s="2"/>
      <c r="O1281" s="2"/>
      <c r="Q1281" s="2"/>
      <c r="S1281" s="7" t="s">
        <v>5712</v>
      </c>
      <c r="T1281" s="7" t="s">
        <v>5712</v>
      </c>
      <c r="U1281" s="2" t="s">
        <v>5712</v>
      </c>
    </row>
    <row r="1282" spans="1:21" ht="12.75" x14ac:dyDescent="0.2">
      <c r="A1282" s="1"/>
      <c r="B1282" s="2"/>
      <c r="C1282" s="2"/>
      <c r="D1282" s="2"/>
      <c r="E1282" s="3"/>
      <c r="F1282" s="4"/>
      <c r="G1282" s="2"/>
      <c r="H1282" s="2"/>
      <c r="K1282" s="2"/>
      <c r="L1282" s="2"/>
      <c r="M1282" s="2"/>
      <c r="N1282" s="2"/>
      <c r="O1282" s="2"/>
      <c r="Q1282" s="2"/>
      <c r="S1282" s="7" t="s">
        <v>5712</v>
      </c>
      <c r="T1282" s="7" t="s">
        <v>5712</v>
      </c>
      <c r="U1282" s="2" t="s">
        <v>5712</v>
      </c>
    </row>
    <row r="1283" spans="1:21" ht="12.75" x14ac:dyDescent="0.2">
      <c r="A1283" s="1"/>
      <c r="B1283" s="2"/>
      <c r="C1283" s="2"/>
      <c r="D1283" s="2"/>
      <c r="E1283" s="3"/>
      <c r="F1283" s="4"/>
      <c r="G1283" s="2"/>
      <c r="H1283" s="2"/>
      <c r="K1283" s="2"/>
      <c r="L1283" s="2"/>
      <c r="M1283" s="2"/>
      <c r="N1283" s="2"/>
      <c r="O1283" s="2"/>
      <c r="Q1283" s="2"/>
      <c r="S1283" s="7" t="s">
        <v>5712</v>
      </c>
      <c r="T1283" s="7" t="s">
        <v>5712</v>
      </c>
      <c r="U1283" s="2" t="s">
        <v>5712</v>
      </c>
    </row>
    <row r="1284" spans="1:21" ht="12.75" x14ac:dyDescent="0.2">
      <c r="A1284" s="1"/>
      <c r="B1284" s="2"/>
      <c r="C1284" s="2"/>
      <c r="D1284" s="2"/>
      <c r="E1284" s="3"/>
      <c r="F1284" s="4"/>
      <c r="G1284" s="2"/>
      <c r="H1284" s="2"/>
      <c r="K1284" s="2"/>
      <c r="L1284" s="2"/>
      <c r="M1284" s="2"/>
      <c r="N1284" s="2"/>
      <c r="O1284" s="2"/>
      <c r="Q1284" s="2"/>
      <c r="S1284" s="7" t="s">
        <v>5712</v>
      </c>
      <c r="T1284" s="7" t="s">
        <v>5712</v>
      </c>
      <c r="U1284" s="2" t="s">
        <v>5712</v>
      </c>
    </row>
    <row r="1285" spans="1:21" ht="12.75" x14ac:dyDescent="0.2">
      <c r="A1285" s="1"/>
      <c r="B1285" s="2"/>
      <c r="C1285" s="2"/>
      <c r="D1285" s="2"/>
      <c r="E1285" s="3"/>
      <c r="F1285" s="4"/>
      <c r="G1285" s="2"/>
      <c r="H1285" s="2"/>
      <c r="K1285" s="2"/>
      <c r="L1285" s="2"/>
      <c r="M1285" s="2"/>
      <c r="N1285" s="2"/>
      <c r="O1285" s="2"/>
      <c r="Q1285" s="2"/>
      <c r="S1285" s="7" t="s">
        <v>5712</v>
      </c>
      <c r="T1285" s="7" t="s">
        <v>5712</v>
      </c>
      <c r="U1285" s="2" t="s">
        <v>5712</v>
      </c>
    </row>
    <row r="1286" spans="1:21" ht="12.75" x14ac:dyDescent="0.2">
      <c r="A1286" s="1"/>
      <c r="B1286" s="2"/>
      <c r="C1286" s="2"/>
      <c r="D1286" s="2"/>
      <c r="E1286" s="3"/>
      <c r="F1286" s="4"/>
      <c r="G1286" s="2"/>
      <c r="H1286" s="2"/>
      <c r="K1286" s="2"/>
      <c r="L1286" s="2"/>
      <c r="M1286" s="2"/>
      <c r="N1286" s="2"/>
      <c r="O1286" s="2"/>
      <c r="Q1286" s="2"/>
      <c r="S1286" s="7" t="s">
        <v>5712</v>
      </c>
      <c r="T1286" s="7" t="s">
        <v>5712</v>
      </c>
      <c r="U1286" s="2" t="s">
        <v>5712</v>
      </c>
    </row>
    <row r="1287" spans="1:21" ht="12.75" x14ac:dyDescent="0.2">
      <c r="A1287" s="1"/>
      <c r="B1287" s="2"/>
      <c r="C1287" s="2"/>
      <c r="D1287" s="2"/>
      <c r="E1287" s="3"/>
      <c r="F1287" s="4"/>
      <c r="G1287" s="2"/>
      <c r="H1287" s="2"/>
      <c r="K1287" s="2"/>
      <c r="L1287" s="2"/>
      <c r="M1287" s="2"/>
      <c r="N1287" s="2"/>
      <c r="O1287" s="2"/>
      <c r="Q1287" s="2"/>
      <c r="S1287" s="7" t="s">
        <v>5712</v>
      </c>
      <c r="T1287" s="7" t="s">
        <v>5712</v>
      </c>
      <c r="U1287" s="2" t="s">
        <v>5712</v>
      </c>
    </row>
    <row r="1288" spans="1:21" ht="12.75" x14ac:dyDescent="0.2">
      <c r="A1288" s="1"/>
      <c r="B1288" s="2"/>
      <c r="C1288" s="2"/>
      <c r="D1288" s="2"/>
      <c r="E1288" s="3"/>
      <c r="F1288" s="4"/>
      <c r="G1288" s="2"/>
      <c r="H1288" s="2"/>
      <c r="K1288" s="2"/>
      <c r="L1288" s="2"/>
      <c r="M1288" s="2"/>
      <c r="N1288" s="2"/>
      <c r="O1288" s="2"/>
      <c r="Q1288" s="2"/>
      <c r="S1288" s="7" t="s">
        <v>5712</v>
      </c>
      <c r="T1288" s="7" t="s">
        <v>5712</v>
      </c>
      <c r="U1288" s="2" t="s">
        <v>5712</v>
      </c>
    </row>
    <row r="1289" spans="1:21" ht="12.75" x14ac:dyDescent="0.2">
      <c r="A1289" s="1"/>
      <c r="B1289" s="2"/>
      <c r="C1289" s="2"/>
      <c r="D1289" s="2"/>
      <c r="E1289" s="3"/>
      <c r="F1289" s="4"/>
      <c r="G1289" s="2"/>
      <c r="H1289" s="2"/>
      <c r="K1289" s="2"/>
      <c r="L1289" s="2"/>
      <c r="M1289" s="2"/>
      <c r="N1289" s="2"/>
      <c r="O1289" s="2"/>
      <c r="Q1289" s="2"/>
      <c r="S1289" s="7" t="s">
        <v>5712</v>
      </c>
      <c r="T1289" s="7" t="s">
        <v>5712</v>
      </c>
      <c r="U1289" s="2" t="s">
        <v>5712</v>
      </c>
    </row>
    <row r="1290" spans="1:21" ht="12.75" x14ac:dyDescent="0.2">
      <c r="A1290" s="1"/>
      <c r="B1290" s="2"/>
      <c r="C1290" s="2"/>
      <c r="D1290" s="2"/>
      <c r="E1290" s="3"/>
      <c r="F1290" s="4"/>
      <c r="G1290" s="2"/>
      <c r="H1290" s="2"/>
      <c r="K1290" s="2"/>
      <c r="L1290" s="2"/>
      <c r="M1290" s="2"/>
      <c r="N1290" s="2"/>
      <c r="O1290" s="2"/>
      <c r="Q1290" s="2"/>
      <c r="S1290" s="7" t="s">
        <v>5712</v>
      </c>
      <c r="T1290" s="7" t="s">
        <v>5712</v>
      </c>
      <c r="U1290" s="2" t="s">
        <v>5712</v>
      </c>
    </row>
    <row r="1291" spans="1:21" ht="12.75" x14ac:dyDescent="0.2">
      <c r="A1291" s="1"/>
      <c r="B1291" s="2"/>
      <c r="C1291" s="2"/>
      <c r="D1291" s="2"/>
      <c r="E1291" s="3"/>
      <c r="F1291" s="4"/>
      <c r="G1291" s="2"/>
      <c r="H1291" s="2"/>
      <c r="K1291" s="2"/>
      <c r="L1291" s="2"/>
      <c r="M1291" s="2"/>
      <c r="N1291" s="2"/>
      <c r="O1291" s="2"/>
      <c r="Q1291" s="2"/>
      <c r="S1291" s="7" t="s">
        <v>5712</v>
      </c>
      <c r="T1291" s="7" t="s">
        <v>5712</v>
      </c>
      <c r="U1291" s="2" t="s">
        <v>5712</v>
      </c>
    </row>
    <row r="1292" spans="1:21" ht="12.75" x14ac:dyDescent="0.2">
      <c r="A1292" s="1"/>
      <c r="B1292" s="2"/>
      <c r="C1292" s="2"/>
      <c r="D1292" s="2"/>
      <c r="E1292" s="3"/>
      <c r="F1292" s="4"/>
      <c r="G1292" s="2"/>
      <c r="H1292" s="2"/>
      <c r="K1292" s="2"/>
      <c r="L1292" s="2"/>
      <c r="M1292" s="2"/>
      <c r="N1292" s="2"/>
      <c r="O1292" s="2"/>
      <c r="Q1292" s="2"/>
      <c r="S1292" s="7" t="s">
        <v>5712</v>
      </c>
      <c r="T1292" s="7" t="s">
        <v>5712</v>
      </c>
      <c r="U1292" s="2" t="s">
        <v>5712</v>
      </c>
    </row>
    <row r="1293" spans="1:21" ht="12.75" x14ac:dyDescent="0.2">
      <c r="A1293" s="1"/>
      <c r="B1293" s="2"/>
      <c r="C1293" s="2"/>
      <c r="D1293" s="2"/>
      <c r="E1293" s="3"/>
      <c r="F1293" s="4"/>
      <c r="G1293" s="2"/>
      <c r="H1293" s="2"/>
      <c r="K1293" s="2"/>
      <c r="L1293" s="2"/>
      <c r="M1293" s="2"/>
      <c r="N1293" s="2"/>
      <c r="O1293" s="2"/>
      <c r="Q1293" s="2"/>
      <c r="S1293" s="7" t="s">
        <v>5712</v>
      </c>
      <c r="T1293" s="7" t="s">
        <v>5712</v>
      </c>
      <c r="U1293" s="2" t="s">
        <v>5712</v>
      </c>
    </row>
    <row r="1294" spans="1:21" ht="12.75" x14ac:dyDescent="0.2">
      <c r="A1294" s="1"/>
      <c r="B1294" s="2"/>
      <c r="C1294" s="2"/>
      <c r="D1294" s="2"/>
      <c r="E1294" s="3"/>
      <c r="F1294" s="4"/>
      <c r="G1294" s="2"/>
      <c r="H1294" s="2"/>
      <c r="K1294" s="2"/>
      <c r="L1294" s="2"/>
      <c r="M1294" s="2"/>
      <c r="N1294" s="2"/>
      <c r="O1294" s="2"/>
      <c r="Q1294" s="2"/>
      <c r="S1294" s="7" t="s">
        <v>5712</v>
      </c>
      <c r="T1294" s="7" t="s">
        <v>5712</v>
      </c>
      <c r="U1294" s="2" t="s">
        <v>5712</v>
      </c>
    </row>
    <row r="1295" spans="1:21" ht="12.75" x14ac:dyDescent="0.2">
      <c r="A1295" s="1"/>
      <c r="B1295" s="2"/>
      <c r="C1295" s="2"/>
      <c r="D1295" s="2"/>
      <c r="E1295" s="3"/>
      <c r="F1295" s="4"/>
      <c r="G1295" s="2"/>
      <c r="H1295" s="2"/>
      <c r="K1295" s="2"/>
      <c r="L1295" s="2"/>
      <c r="M1295" s="2"/>
      <c r="N1295" s="2"/>
      <c r="O1295" s="2"/>
      <c r="Q1295" s="2"/>
      <c r="S1295" s="7" t="s">
        <v>5712</v>
      </c>
      <c r="T1295" s="7" t="s">
        <v>5712</v>
      </c>
      <c r="U1295" s="2" t="s">
        <v>5712</v>
      </c>
    </row>
    <row r="1296" spans="1:21" ht="12.75" x14ac:dyDescent="0.2">
      <c r="A1296" s="1"/>
      <c r="B1296" s="2"/>
      <c r="C1296" s="2"/>
      <c r="D1296" s="2"/>
      <c r="E1296" s="3"/>
      <c r="F1296" s="4"/>
      <c r="G1296" s="2"/>
      <c r="H1296" s="2"/>
      <c r="K1296" s="2"/>
      <c r="L1296" s="2"/>
      <c r="M1296" s="2"/>
      <c r="N1296" s="2"/>
      <c r="O1296" s="2"/>
      <c r="Q1296" s="2"/>
      <c r="S1296" s="7" t="s">
        <v>5712</v>
      </c>
      <c r="T1296" s="7" t="s">
        <v>5712</v>
      </c>
      <c r="U1296" s="2" t="s">
        <v>5712</v>
      </c>
    </row>
    <row r="1297" spans="1:21" ht="12.75" x14ac:dyDescent="0.2">
      <c r="A1297" s="1"/>
      <c r="B1297" s="2"/>
      <c r="C1297" s="2"/>
      <c r="D1297" s="2"/>
      <c r="E1297" s="3"/>
      <c r="F1297" s="4"/>
      <c r="G1297" s="2"/>
      <c r="H1297" s="2"/>
      <c r="K1297" s="2"/>
      <c r="L1297" s="2"/>
      <c r="M1297" s="2"/>
      <c r="N1297" s="2"/>
      <c r="O1297" s="2"/>
      <c r="Q1297" s="2"/>
      <c r="S1297" s="7" t="s">
        <v>5712</v>
      </c>
      <c r="T1297" s="7" t="s">
        <v>5712</v>
      </c>
      <c r="U1297" s="2" t="s">
        <v>5712</v>
      </c>
    </row>
    <row r="1298" spans="1:21" ht="12.75" x14ac:dyDescent="0.2">
      <c r="A1298" s="1"/>
      <c r="B1298" s="2"/>
      <c r="C1298" s="2"/>
      <c r="D1298" s="2"/>
      <c r="E1298" s="3"/>
      <c r="F1298" s="4"/>
      <c r="G1298" s="2"/>
      <c r="H1298" s="2"/>
      <c r="K1298" s="2"/>
      <c r="L1298" s="2"/>
      <c r="M1298" s="2"/>
      <c r="N1298" s="2"/>
      <c r="O1298" s="2"/>
      <c r="Q1298" s="2"/>
      <c r="S1298" s="7" t="s">
        <v>5712</v>
      </c>
      <c r="T1298" s="7" t="s">
        <v>5712</v>
      </c>
      <c r="U1298" s="2" t="s">
        <v>5712</v>
      </c>
    </row>
    <row r="1299" spans="1:21" ht="12.75" x14ac:dyDescent="0.2">
      <c r="A1299" s="1"/>
      <c r="B1299" s="2"/>
      <c r="C1299" s="2"/>
      <c r="D1299" s="2"/>
      <c r="E1299" s="3"/>
      <c r="F1299" s="4"/>
      <c r="G1299" s="2"/>
      <c r="H1299" s="2"/>
      <c r="K1299" s="2"/>
      <c r="L1299" s="2"/>
      <c r="M1299" s="2"/>
      <c r="N1299" s="2"/>
      <c r="O1299" s="2"/>
      <c r="Q1299" s="2"/>
      <c r="S1299" s="7" t="s">
        <v>5712</v>
      </c>
      <c r="T1299" s="7" t="s">
        <v>5712</v>
      </c>
      <c r="U1299" s="2" t="s">
        <v>5712</v>
      </c>
    </row>
    <row r="1300" spans="1:21" ht="12.75" x14ac:dyDescent="0.2">
      <c r="A1300" s="1"/>
      <c r="B1300" s="2"/>
      <c r="C1300" s="2"/>
      <c r="D1300" s="2"/>
      <c r="E1300" s="3"/>
      <c r="F1300" s="4"/>
      <c r="G1300" s="2"/>
      <c r="H1300" s="2"/>
      <c r="K1300" s="2"/>
      <c r="L1300" s="2"/>
      <c r="M1300" s="2"/>
      <c r="N1300" s="2"/>
      <c r="O1300" s="2"/>
      <c r="Q1300" s="2"/>
      <c r="S1300" s="7" t="s">
        <v>5712</v>
      </c>
      <c r="T1300" s="7" t="s">
        <v>5712</v>
      </c>
      <c r="U1300" s="2" t="s">
        <v>5712</v>
      </c>
    </row>
    <row r="1301" spans="1:21" ht="12.75" x14ac:dyDescent="0.2">
      <c r="A1301" s="1"/>
      <c r="B1301" s="2"/>
      <c r="C1301" s="2"/>
      <c r="D1301" s="2"/>
      <c r="E1301" s="3"/>
      <c r="F1301" s="4"/>
      <c r="G1301" s="2"/>
      <c r="H1301" s="2"/>
      <c r="K1301" s="2"/>
      <c r="L1301" s="2"/>
      <c r="M1301" s="2"/>
      <c r="N1301" s="2"/>
      <c r="O1301" s="2"/>
      <c r="Q1301" s="2"/>
      <c r="S1301" s="7" t="s">
        <v>5712</v>
      </c>
      <c r="T1301" s="7" t="s">
        <v>5712</v>
      </c>
      <c r="U1301" s="2" t="s">
        <v>5712</v>
      </c>
    </row>
    <row r="1302" spans="1:21" ht="12.75" x14ac:dyDescent="0.2">
      <c r="A1302" s="1"/>
      <c r="B1302" s="2"/>
      <c r="C1302" s="2"/>
      <c r="D1302" s="2"/>
      <c r="E1302" s="3"/>
      <c r="F1302" s="4"/>
      <c r="G1302" s="2"/>
      <c r="H1302" s="2"/>
      <c r="K1302" s="2"/>
      <c r="L1302" s="2"/>
      <c r="M1302" s="2"/>
      <c r="N1302" s="2"/>
      <c r="O1302" s="2"/>
      <c r="Q1302" s="2"/>
      <c r="S1302" s="7" t="s">
        <v>5712</v>
      </c>
      <c r="T1302" s="7" t="s">
        <v>5712</v>
      </c>
      <c r="U1302" s="2" t="s">
        <v>5712</v>
      </c>
    </row>
    <row r="1303" spans="1:21" ht="12.75" x14ac:dyDescent="0.2">
      <c r="A1303" s="1"/>
      <c r="B1303" s="2"/>
      <c r="C1303" s="2"/>
      <c r="D1303" s="2"/>
      <c r="E1303" s="3"/>
      <c r="F1303" s="4"/>
      <c r="G1303" s="2"/>
      <c r="H1303" s="2"/>
      <c r="K1303" s="2"/>
      <c r="L1303" s="2"/>
      <c r="M1303" s="2"/>
      <c r="N1303" s="2"/>
      <c r="O1303" s="2"/>
      <c r="Q1303" s="2"/>
      <c r="S1303" s="7" t="s">
        <v>5712</v>
      </c>
      <c r="T1303" s="7" t="s">
        <v>5712</v>
      </c>
      <c r="U1303" s="2" t="s">
        <v>5712</v>
      </c>
    </row>
    <row r="1304" spans="1:21" ht="12.75" x14ac:dyDescent="0.2">
      <c r="A1304" s="1"/>
      <c r="B1304" s="2"/>
      <c r="C1304" s="2"/>
      <c r="D1304" s="2"/>
      <c r="E1304" s="3"/>
      <c r="F1304" s="4"/>
      <c r="G1304" s="2"/>
      <c r="H1304" s="2"/>
      <c r="K1304" s="2"/>
      <c r="L1304" s="2"/>
      <c r="M1304" s="2"/>
      <c r="N1304" s="2"/>
      <c r="O1304" s="2"/>
      <c r="Q1304" s="2"/>
      <c r="S1304" s="7" t="s">
        <v>5712</v>
      </c>
      <c r="T1304" s="7" t="s">
        <v>5712</v>
      </c>
      <c r="U1304" s="2" t="s">
        <v>5712</v>
      </c>
    </row>
    <row r="1305" spans="1:21" ht="12.75" x14ac:dyDescent="0.2">
      <c r="A1305" s="1"/>
      <c r="B1305" s="2"/>
      <c r="C1305" s="2"/>
      <c r="D1305" s="2"/>
      <c r="E1305" s="3"/>
      <c r="F1305" s="4"/>
      <c r="G1305" s="2"/>
      <c r="H1305" s="2"/>
      <c r="K1305" s="2"/>
      <c r="L1305" s="2"/>
      <c r="M1305" s="2"/>
      <c r="N1305" s="2"/>
      <c r="O1305" s="2"/>
      <c r="Q1305" s="2"/>
      <c r="S1305" s="7" t="s">
        <v>5712</v>
      </c>
      <c r="T1305" s="7" t="s">
        <v>5712</v>
      </c>
      <c r="U1305" s="2" t="s">
        <v>5712</v>
      </c>
    </row>
    <row r="1306" spans="1:21" ht="12.75" x14ac:dyDescent="0.2">
      <c r="A1306" s="1"/>
      <c r="B1306" s="2"/>
      <c r="C1306" s="2"/>
      <c r="D1306" s="2"/>
      <c r="E1306" s="3"/>
      <c r="F1306" s="4"/>
      <c r="G1306" s="2"/>
      <c r="H1306" s="2"/>
      <c r="K1306" s="2"/>
      <c r="L1306" s="2"/>
      <c r="M1306" s="2"/>
      <c r="N1306" s="2"/>
      <c r="O1306" s="2"/>
      <c r="Q1306" s="2"/>
      <c r="S1306" s="7" t="s">
        <v>5712</v>
      </c>
      <c r="T1306" s="7" t="s">
        <v>5712</v>
      </c>
      <c r="U1306" s="2" t="s">
        <v>5712</v>
      </c>
    </row>
    <row r="1307" spans="1:21" ht="12.75" x14ac:dyDescent="0.2">
      <c r="A1307" s="1"/>
      <c r="B1307" s="2"/>
      <c r="C1307" s="2"/>
      <c r="D1307" s="2"/>
      <c r="E1307" s="3"/>
      <c r="F1307" s="4"/>
      <c r="G1307" s="2"/>
      <c r="H1307" s="2"/>
      <c r="K1307" s="2"/>
      <c r="L1307" s="2"/>
      <c r="M1307" s="2"/>
      <c r="N1307" s="2"/>
      <c r="O1307" s="2"/>
      <c r="Q1307" s="2"/>
      <c r="S1307" s="7" t="s">
        <v>5712</v>
      </c>
      <c r="T1307" s="7" t="s">
        <v>5712</v>
      </c>
      <c r="U1307" s="2" t="s">
        <v>5712</v>
      </c>
    </row>
    <row r="1308" spans="1:21" ht="12.75" x14ac:dyDescent="0.2">
      <c r="A1308" s="1"/>
      <c r="B1308" s="2"/>
      <c r="C1308" s="2"/>
      <c r="D1308" s="2"/>
      <c r="E1308" s="3"/>
      <c r="F1308" s="4"/>
      <c r="G1308" s="2"/>
      <c r="H1308" s="2"/>
      <c r="K1308" s="2"/>
      <c r="L1308" s="2"/>
      <c r="M1308" s="2"/>
      <c r="N1308" s="2"/>
      <c r="O1308" s="2"/>
      <c r="Q1308" s="2"/>
      <c r="S1308" s="7" t="s">
        <v>5712</v>
      </c>
      <c r="T1308" s="7" t="s">
        <v>5712</v>
      </c>
      <c r="U1308" s="2" t="s">
        <v>5712</v>
      </c>
    </row>
    <row r="1309" spans="1:21" ht="12.75" x14ac:dyDescent="0.2">
      <c r="A1309" s="1"/>
      <c r="B1309" s="2"/>
      <c r="C1309" s="2"/>
      <c r="D1309" s="2"/>
      <c r="E1309" s="3"/>
      <c r="F1309" s="4"/>
      <c r="G1309" s="2"/>
      <c r="H1309" s="2"/>
      <c r="K1309" s="2"/>
      <c r="L1309" s="2"/>
      <c r="M1309" s="2"/>
      <c r="N1309" s="2"/>
      <c r="O1309" s="2"/>
      <c r="Q1309" s="2"/>
      <c r="S1309" s="7" t="s">
        <v>5712</v>
      </c>
      <c r="T1309" s="7" t="s">
        <v>5712</v>
      </c>
      <c r="U1309" s="2" t="s">
        <v>5712</v>
      </c>
    </row>
    <row r="1310" spans="1:21" ht="12.75" x14ac:dyDescent="0.2">
      <c r="A1310" s="1"/>
      <c r="B1310" s="2"/>
      <c r="C1310" s="2"/>
      <c r="D1310" s="2"/>
      <c r="E1310" s="3"/>
      <c r="F1310" s="4"/>
      <c r="G1310" s="2"/>
      <c r="H1310" s="2"/>
      <c r="K1310" s="2"/>
      <c r="L1310" s="2"/>
      <c r="M1310" s="2"/>
      <c r="N1310" s="2"/>
      <c r="O1310" s="2"/>
      <c r="Q1310" s="2"/>
      <c r="S1310" s="7" t="s">
        <v>5712</v>
      </c>
      <c r="T1310" s="7" t="s">
        <v>5712</v>
      </c>
      <c r="U1310" s="2" t="s">
        <v>5712</v>
      </c>
    </row>
    <row r="1311" spans="1:21" ht="12.75" x14ac:dyDescent="0.2">
      <c r="A1311" s="1"/>
      <c r="B1311" s="2"/>
      <c r="C1311" s="2"/>
      <c r="D1311" s="2"/>
      <c r="E1311" s="3"/>
      <c r="F1311" s="4"/>
      <c r="G1311" s="2"/>
      <c r="H1311" s="2"/>
      <c r="K1311" s="2"/>
      <c r="L1311" s="2"/>
      <c r="M1311" s="2"/>
      <c r="N1311" s="2"/>
      <c r="O1311" s="2"/>
      <c r="Q1311" s="2"/>
      <c r="S1311" s="7" t="s">
        <v>5712</v>
      </c>
      <c r="T1311" s="7" t="s">
        <v>5712</v>
      </c>
      <c r="U1311" s="2" t="s">
        <v>5712</v>
      </c>
    </row>
    <row r="1312" spans="1:21" ht="12.75" x14ac:dyDescent="0.2">
      <c r="A1312" s="1"/>
      <c r="B1312" s="2"/>
      <c r="C1312" s="2"/>
      <c r="D1312" s="2"/>
      <c r="E1312" s="3"/>
      <c r="F1312" s="4"/>
      <c r="G1312" s="2"/>
      <c r="H1312" s="2"/>
      <c r="K1312" s="2"/>
      <c r="L1312" s="2"/>
      <c r="M1312" s="2"/>
      <c r="N1312" s="2"/>
      <c r="O1312" s="2"/>
      <c r="Q1312" s="2"/>
      <c r="S1312" s="7" t="s">
        <v>5712</v>
      </c>
      <c r="T1312" s="7" t="s">
        <v>5712</v>
      </c>
      <c r="U1312" s="2" t="s">
        <v>5712</v>
      </c>
    </row>
    <row r="1313" spans="1:21" ht="12.75" x14ac:dyDescent="0.2">
      <c r="A1313" s="1"/>
      <c r="B1313" s="2"/>
      <c r="C1313" s="2"/>
      <c r="D1313" s="2"/>
      <c r="E1313" s="3"/>
      <c r="F1313" s="4"/>
      <c r="G1313" s="2"/>
      <c r="H1313" s="2"/>
      <c r="K1313" s="2"/>
      <c r="L1313" s="2"/>
      <c r="M1313" s="2"/>
      <c r="N1313" s="2"/>
      <c r="O1313" s="2"/>
      <c r="Q1313" s="2"/>
      <c r="S1313" s="7" t="s">
        <v>5712</v>
      </c>
      <c r="T1313" s="7" t="s">
        <v>5712</v>
      </c>
      <c r="U1313" s="2" t="s">
        <v>5712</v>
      </c>
    </row>
    <row r="1314" spans="1:21" ht="12.75" x14ac:dyDescent="0.2">
      <c r="A1314" s="1"/>
      <c r="B1314" s="2"/>
      <c r="C1314" s="2"/>
      <c r="D1314" s="2"/>
      <c r="E1314" s="3"/>
      <c r="F1314" s="4"/>
      <c r="G1314" s="2"/>
      <c r="H1314" s="2"/>
      <c r="K1314" s="2"/>
      <c r="L1314" s="2"/>
      <c r="M1314" s="2"/>
      <c r="N1314" s="2"/>
      <c r="O1314" s="2"/>
      <c r="Q1314" s="2"/>
      <c r="S1314" s="7" t="s">
        <v>5712</v>
      </c>
      <c r="T1314" s="7" t="s">
        <v>5712</v>
      </c>
      <c r="U1314" s="2" t="s">
        <v>5712</v>
      </c>
    </row>
    <row r="1315" spans="1:21" ht="12.75" x14ac:dyDescent="0.2">
      <c r="A1315" s="1"/>
      <c r="B1315" s="2"/>
      <c r="C1315" s="2"/>
      <c r="D1315" s="2"/>
      <c r="E1315" s="3"/>
      <c r="F1315" s="4"/>
      <c r="G1315" s="2"/>
      <c r="H1315" s="2"/>
      <c r="K1315" s="2"/>
      <c r="L1315" s="2"/>
      <c r="M1315" s="2"/>
      <c r="N1315" s="2"/>
      <c r="O1315" s="2"/>
      <c r="Q1315" s="2"/>
      <c r="S1315" s="7" t="s">
        <v>5712</v>
      </c>
      <c r="T1315" s="7" t="s">
        <v>5712</v>
      </c>
      <c r="U1315" s="2" t="s">
        <v>5712</v>
      </c>
    </row>
    <row r="1316" spans="1:21" ht="12.75" x14ac:dyDescent="0.2">
      <c r="A1316" s="1"/>
      <c r="B1316" s="2"/>
      <c r="C1316" s="2"/>
      <c r="D1316" s="2"/>
      <c r="E1316" s="3"/>
      <c r="F1316" s="4"/>
      <c r="G1316" s="2"/>
      <c r="H1316" s="2"/>
      <c r="K1316" s="2"/>
      <c r="L1316" s="2"/>
      <c r="M1316" s="2"/>
      <c r="N1316" s="2"/>
      <c r="O1316" s="2"/>
      <c r="Q1316" s="2"/>
      <c r="S1316" s="7" t="s">
        <v>5712</v>
      </c>
      <c r="T1316" s="7" t="s">
        <v>5712</v>
      </c>
      <c r="U1316" s="2" t="s">
        <v>5712</v>
      </c>
    </row>
    <row r="1317" spans="1:21" ht="12.75" x14ac:dyDescent="0.2">
      <c r="A1317" s="1"/>
      <c r="B1317" s="2"/>
      <c r="C1317" s="2"/>
      <c r="D1317" s="2"/>
      <c r="E1317" s="3"/>
      <c r="F1317" s="4"/>
      <c r="G1317" s="2"/>
      <c r="H1317" s="2"/>
      <c r="K1317" s="2"/>
      <c r="L1317" s="2"/>
      <c r="M1317" s="2"/>
      <c r="N1317" s="2"/>
      <c r="O1317" s="2"/>
      <c r="Q1317" s="2"/>
      <c r="S1317" s="7" t="s">
        <v>5712</v>
      </c>
      <c r="T1317" s="7" t="s">
        <v>5712</v>
      </c>
      <c r="U1317" s="2" t="s">
        <v>5712</v>
      </c>
    </row>
    <row r="1318" spans="1:21" ht="12.75" x14ac:dyDescent="0.2">
      <c r="A1318" s="1"/>
      <c r="B1318" s="2"/>
      <c r="C1318" s="2"/>
      <c r="D1318" s="2"/>
      <c r="E1318" s="3"/>
      <c r="F1318" s="4"/>
      <c r="G1318" s="2"/>
      <c r="H1318" s="2"/>
      <c r="K1318" s="2"/>
      <c r="L1318" s="2"/>
      <c r="M1318" s="2"/>
      <c r="N1318" s="2"/>
      <c r="O1318" s="2"/>
      <c r="Q1318" s="2"/>
      <c r="S1318" s="7" t="s">
        <v>5712</v>
      </c>
      <c r="T1318" s="7" t="s">
        <v>5712</v>
      </c>
      <c r="U1318" s="2" t="s">
        <v>5712</v>
      </c>
    </row>
    <row r="1319" spans="1:21" ht="12.75" x14ac:dyDescent="0.2">
      <c r="A1319" s="1"/>
      <c r="B1319" s="2"/>
      <c r="C1319" s="2"/>
      <c r="D1319" s="2"/>
      <c r="E1319" s="3"/>
      <c r="F1319" s="4"/>
      <c r="G1319" s="2"/>
      <c r="H1319" s="2"/>
      <c r="K1319" s="2"/>
      <c r="L1319" s="2"/>
      <c r="M1319" s="2"/>
      <c r="N1319" s="2"/>
      <c r="O1319" s="2"/>
      <c r="Q1319" s="2"/>
      <c r="S1319" s="7" t="s">
        <v>5712</v>
      </c>
      <c r="T1319" s="7" t="s">
        <v>5712</v>
      </c>
      <c r="U1319" s="2" t="s">
        <v>5712</v>
      </c>
    </row>
    <row r="1320" spans="1:21" ht="12.75" x14ac:dyDescent="0.2">
      <c r="A1320" s="1"/>
      <c r="B1320" s="2"/>
      <c r="C1320" s="2"/>
      <c r="D1320" s="2"/>
      <c r="E1320" s="3"/>
      <c r="F1320" s="4"/>
      <c r="G1320" s="2"/>
      <c r="H1320" s="2"/>
      <c r="K1320" s="2"/>
      <c r="L1320" s="2"/>
      <c r="M1320" s="2"/>
      <c r="N1320" s="2"/>
      <c r="O1320" s="2"/>
      <c r="Q1320" s="2"/>
      <c r="S1320" s="7" t="s">
        <v>5712</v>
      </c>
      <c r="T1320" s="7" t="s">
        <v>5712</v>
      </c>
      <c r="U1320" s="2" t="s">
        <v>5712</v>
      </c>
    </row>
    <row r="1321" spans="1:21" ht="12.75" x14ac:dyDescent="0.2">
      <c r="A1321" s="1"/>
      <c r="B1321" s="2"/>
      <c r="C1321" s="2"/>
      <c r="D1321" s="2"/>
      <c r="E1321" s="3"/>
      <c r="F1321" s="4"/>
      <c r="G1321" s="2"/>
      <c r="H1321" s="2"/>
      <c r="K1321" s="2"/>
      <c r="L1321" s="2"/>
      <c r="M1321" s="2"/>
      <c r="N1321" s="2"/>
      <c r="O1321" s="2"/>
      <c r="Q1321" s="2"/>
      <c r="S1321" s="7" t="s">
        <v>5712</v>
      </c>
      <c r="T1321" s="7" t="s">
        <v>5712</v>
      </c>
      <c r="U1321" s="2" t="s">
        <v>5712</v>
      </c>
    </row>
    <row r="1322" spans="1:21" ht="12.75" x14ac:dyDescent="0.2">
      <c r="A1322" s="1"/>
      <c r="B1322" s="2"/>
      <c r="C1322" s="2"/>
      <c r="D1322" s="2"/>
      <c r="E1322" s="3"/>
      <c r="F1322" s="4"/>
      <c r="G1322" s="2"/>
      <c r="H1322" s="2"/>
      <c r="K1322" s="2"/>
      <c r="L1322" s="2"/>
      <c r="M1322" s="2"/>
      <c r="N1322" s="2"/>
      <c r="O1322" s="2"/>
      <c r="Q1322" s="2"/>
      <c r="S1322" s="7" t="s">
        <v>5712</v>
      </c>
      <c r="T1322" s="7" t="s">
        <v>5712</v>
      </c>
      <c r="U1322" s="2" t="s">
        <v>5712</v>
      </c>
    </row>
    <row r="1323" spans="1:21" ht="12.75" x14ac:dyDescent="0.2">
      <c r="A1323" s="1"/>
      <c r="B1323" s="2"/>
      <c r="C1323" s="2"/>
      <c r="D1323" s="2"/>
      <c r="E1323" s="3"/>
      <c r="F1323" s="4"/>
      <c r="G1323" s="2"/>
      <c r="H1323" s="2"/>
      <c r="K1323" s="2"/>
      <c r="L1323" s="2"/>
      <c r="M1323" s="2"/>
      <c r="N1323" s="2"/>
      <c r="O1323" s="2"/>
      <c r="Q1323" s="2"/>
      <c r="S1323" s="7" t="s">
        <v>5712</v>
      </c>
      <c r="T1323" s="7" t="s">
        <v>5712</v>
      </c>
      <c r="U1323" s="2" t="s">
        <v>5712</v>
      </c>
    </row>
    <row r="1324" spans="1:21" ht="12.75" x14ac:dyDescent="0.2">
      <c r="A1324" s="1"/>
      <c r="B1324" s="2"/>
      <c r="C1324" s="2"/>
      <c r="D1324" s="2"/>
      <c r="E1324" s="3"/>
      <c r="F1324" s="4"/>
      <c r="G1324" s="2"/>
      <c r="H1324" s="2"/>
      <c r="K1324" s="2"/>
      <c r="L1324" s="2"/>
      <c r="M1324" s="2"/>
      <c r="N1324" s="2"/>
      <c r="O1324" s="2"/>
      <c r="Q1324" s="2"/>
      <c r="S1324" s="7" t="s">
        <v>5712</v>
      </c>
      <c r="T1324" s="7" t="s">
        <v>5712</v>
      </c>
      <c r="U1324" s="2" t="s">
        <v>5712</v>
      </c>
    </row>
    <row r="1325" spans="1:21" ht="12.75" x14ac:dyDescent="0.2">
      <c r="A1325" s="1"/>
      <c r="B1325" s="2"/>
      <c r="C1325" s="2"/>
      <c r="D1325" s="2"/>
      <c r="E1325" s="3"/>
      <c r="F1325" s="4"/>
      <c r="G1325" s="2"/>
      <c r="H1325" s="2"/>
      <c r="K1325" s="2"/>
      <c r="L1325" s="2"/>
      <c r="M1325" s="2"/>
      <c r="N1325" s="2"/>
      <c r="O1325" s="2"/>
      <c r="Q1325" s="2"/>
      <c r="S1325" s="7" t="s">
        <v>5712</v>
      </c>
      <c r="T1325" s="7" t="s">
        <v>5712</v>
      </c>
      <c r="U1325" s="2" t="s">
        <v>5712</v>
      </c>
    </row>
    <row r="1326" spans="1:21" ht="12.75" x14ac:dyDescent="0.2">
      <c r="A1326" s="1"/>
      <c r="B1326" s="2"/>
      <c r="C1326" s="2"/>
      <c r="D1326" s="2"/>
      <c r="E1326" s="3"/>
      <c r="F1326" s="4"/>
      <c r="G1326" s="2"/>
      <c r="H1326" s="2"/>
      <c r="K1326" s="2"/>
      <c r="L1326" s="2"/>
      <c r="M1326" s="2"/>
      <c r="N1326" s="2"/>
      <c r="O1326" s="2"/>
      <c r="Q1326" s="2"/>
      <c r="S1326" s="7" t="s">
        <v>5712</v>
      </c>
      <c r="T1326" s="7" t="s">
        <v>5712</v>
      </c>
      <c r="U1326" s="2" t="s">
        <v>5712</v>
      </c>
    </row>
    <row r="1327" spans="1:21" ht="12.75" x14ac:dyDescent="0.2">
      <c r="A1327" s="1"/>
      <c r="B1327" s="2"/>
      <c r="C1327" s="2"/>
      <c r="D1327" s="2"/>
      <c r="E1327" s="3"/>
      <c r="F1327" s="4"/>
      <c r="G1327" s="2"/>
      <c r="H1327" s="2"/>
      <c r="K1327" s="2"/>
      <c r="L1327" s="2"/>
      <c r="M1327" s="2"/>
      <c r="N1327" s="2"/>
      <c r="O1327" s="2"/>
      <c r="Q1327" s="2"/>
      <c r="S1327" s="7" t="s">
        <v>5712</v>
      </c>
      <c r="T1327" s="7" t="s">
        <v>5712</v>
      </c>
      <c r="U1327" s="2" t="s">
        <v>5712</v>
      </c>
    </row>
    <row r="1328" spans="1:21" ht="12.75" x14ac:dyDescent="0.2">
      <c r="A1328" s="1"/>
      <c r="B1328" s="2"/>
      <c r="C1328" s="2"/>
      <c r="D1328" s="2"/>
      <c r="E1328" s="3"/>
      <c r="F1328" s="4"/>
      <c r="G1328" s="2"/>
      <c r="H1328" s="2"/>
      <c r="K1328" s="2"/>
      <c r="L1328" s="2"/>
      <c r="M1328" s="2"/>
      <c r="N1328" s="2"/>
      <c r="O1328" s="2"/>
      <c r="Q1328" s="2"/>
      <c r="S1328" s="7" t="s">
        <v>5712</v>
      </c>
      <c r="T1328" s="7" t="s">
        <v>5712</v>
      </c>
      <c r="U1328" s="2" t="s">
        <v>5712</v>
      </c>
    </row>
    <row r="1329" spans="1:21" ht="12.75" x14ac:dyDescent="0.2">
      <c r="A1329" s="1"/>
      <c r="B1329" s="2"/>
      <c r="C1329" s="2"/>
      <c r="D1329" s="2"/>
      <c r="E1329" s="3"/>
      <c r="F1329" s="4"/>
      <c r="G1329" s="2"/>
      <c r="H1329" s="2"/>
      <c r="K1329" s="2"/>
      <c r="L1329" s="2"/>
      <c r="M1329" s="2"/>
      <c r="N1329" s="2"/>
      <c r="O1329" s="2"/>
      <c r="Q1329" s="2"/>
      <c r="S1329" s="7" t="s">
        <v>5712</v>
      </c>
      <c r="T1329" s="7" t="s">
        <v>5712</v>
      </c>
      <c r="U1329" s="2" t="s">
        <v>5712</v>
      </c>
    </row>
    <row r="1330" spans="1:21" ht="12.75" x14ac:dyDescent="0.2">
      <c r="A1330" s="1"/>
      <c r="B1330" s="2"/>
      <c r="C1330" s="2"/>
      <c r="D1330" s="2"/>
      <c r="E1330" s="3"/>
      <c r="F1330" s="4"/>
      <c r="G1330" s="2"/>
      <c r="H1330" s="2"/>
      <c r="K1330" s="2"/>
      <c r="L1330" s="2"/>
      <c r="M1330" s="2"/>
      <c r="N1330" s="2"/>
      <c r="O1330" s="2"/>
      <c r="Q1330" s="2"/>
      <c r="S1330" s="7" t="s">
        <v>5712</v>
      </c>
      <c r="T1330" s="7" t="s">
        <v>5712</v>
      </c>
      <c r="U1330" s="2" t="s">
        <v>5712</v>
      </c>
    </row>
    <row r="1331" spans="1:21" ht="12.75" x14ac:dyDescent="0.2">
      <c r="A1331" s="1"/>
      <c r="B1331" s="2"/>
      <c r="C1331" s="2"/>
      <c r="D1331" s="2"/>
      <c r="E1331" s="3"/>
      <c r="F1331" s="4"/>
      <c r="G1331" s="2"/>
      <c r="H1331" s="2"/>
      <c r="K1331" s="2"/>
      <c r="L1331" s="2"/>
      <c r="M1331" s="2"/>
      <c r="N1331" s="2"/>
      <c r="O1331" s="2"/>
      <c r="Q1331" s="2"/>
      <c r="S1331" s="7" t="s">
        <v>5712</v>
      </c>
      <c r="T1331" s="7" t="s">
        <v>5712</v>
      </c>
      <c r="U1331" s="2" t="s">
        <v>5712</v>
      </c>
    </row>
    <row r="1332" spans="1:21" ht="12.75" x14ac:dyDescent="0.2">
      <c r="A1332" s="1"/>
      <c r="B1332" s="2"/>
      <c r="C1332" s="2"/>
      <c r="D1332" s="2"/>
      <c r="E1332" s="3"/>
      <c r="F1332" s="4"/>
      <c r="G1332" s="2"/>
      <c r="H1332" s="2"/>
      <c r="K1332" s="2"/>
      <c r="L1332" s="2"/>
      <c r="M1332" s="2"/>
      <c r="N1332" s="2"/>
      <c r="O1332" s="2"/>
      <c r="Q1332" s="2"/>
      <c r="S1332" s="7" t="s">
        <v>5712</v>
      </c>
      <c r="T1332" s="7" t="s">
        <v>5712</v>
      </c>
      <c r="U1332" s="2" t="s">
        <v>5712</v>
      </c>
    </row>
    <row r="1333" spans="1:21" ht="12.75" x14ac:dyDescent="0.2">
      <c r="A1333" s="1"/>
      <c r="B1333" s="2"/>
      <c r="C1333" s="2"/>
      <c r="D1333" s="2"/>
      <c r="E1333" s="3"/>
      <c r="F1333" s="4"/>
      <c r="G1333" s="2"/>
      <c r="H1333" s="2"/>
      <c r="K1333" s="2"/>
      <c r="L1333" s="2"/>
      <c r="M1333" s="2"/>
      <c r="N1333" s="2"/>
      <c r="O1333" s="2"/>
      <c r="Q1333" s="2"/>
      <c r="S1333" s="7" t="s">
        <v>5712</v>
      </c>
      <c r="T1333" s="7" t="s">
        <v>5712</v>
      </c>
      <c r="U1333" s="2" t="s">
        <v>5712</v>
      </c>
    </row>
    <row r="1334" spans="1:21" ht="12.75" x14ac:dyDescent="0.2">
      <c r="A1334" s="1"/>
      <c r="B1334" s="2"/>
      <c r="C1334" s="2"/>
      <c r="D1334" s="2"/>
      <c r="E1334" s="3"/>
      <c r="F1334" s="4"/>
      <c r="G1334" s="2"/>
      <c r="H1334" s="2"/>
      <c r="K1334" s="2"/>
      <c r="L1334" s="2"/>
      <c r="M1334" s="2"/>
      <c r="N1334" s="2"/>
      <c r="O1334" s="2"/>
      <c r="Q1334" s="2"/>
      <c r="S1334" s="7" t="s">
        <v>5712</v>
      </c>
      <c r="T1334" s="7" t="s">
        <v>5712</v>
      </c>
      <c r="U1334" s="2" t="s">
        <v>5712</v>
      </c>
    </row>
    <row r="1335" spans="1:21" ht="12.75" x14ac:dyDescent="0.2">
      <c r="A1335" s="1"/>
      <c r="B1335" s="2"/>
      <c r="C1335" s="2"/>
      <c r="D1335" s="2"/>
      <c r="E1335" s="3"/>
      <c r="F1335" s="4"/>
      <c r="G1335" s="2"/>
      <c r="H1335" s="2"/>
      <c r="K1335" s="2"/>
      <c r="L1335" s="2"/>
      <c r="M1335" s="2"/>
      <c r="N1335" s="2"/>
      <c r="O1335" s="2"/>
      <c r="Q1335" s="2"/>
      <c r="S1335" s="7" t="s">
        <v>5712</v>
      </c>
      <c r="T1335" s="7" t="s">
        <v>5712</v>
      </c>
      <c r="U1335" s="2" t="s">
        <v>5712</v>
      </c>
    </row>
    <row r="1336" spans="1:21" ht="12.75" x14ac:dyDescent="0.2">
      <c r="A1336" s="1"/>
      <c r="B1336" s="2"/>
      <c r="C1336" s="2"/>
      <c r="D1336" s="2"/>
      <c r="E1336" s="3"/>
      <c r="F1336" s="4"/>
      <c r="G1336" s="2"/>
      <c r="H1336" s="2"/>
      <c r="K1336" s="2"/>
      <c r="L1336" s="2"/>
      <c r="M1336" s="2"/>
      <c r="N1336" s="2"/>
      <c r="O1336" s="2"/>
      <c r="Q1336" s="2"/>
      <c r="S1336" s="7" t="s">
        <v>5712</v>
      </c>
      <c r="T1336" s="7" t="s">
        <v>5712</v>
      </c>
      <c r="U1336" s="2" t="s">
        <v>5712</v>
      </c>
    </row>
    <row r="1337" spans="1:21" ht="12.75" x14ac:dyDescent="0.2">
      <c r="A1337" s="1"/>
      <c r="B1337" s="2"/>
      <c r="C1337" s="2"/>
      <c r="D1337" s="2"/>
      <c r="E1337" s="3"/>
      <c r="F1337" s="4"/>
      <c r="G1337" s="2"/>
      <c r="H1337" s="2"/>
      <c r="K1337" s="2"/>
      <c r="L1337" s="2"/>
      <c r="M1337" s="2"/>
      <c r="N1337" s="2"/>
      <c r="O1337" s="2"/>
      <c r="Q1337" s="2"/>
      <c r="S1337" s="7" t="s">
        <v>5712</v>
      </c>
      <c r="T1337" s="7" t="s">
        <v>5712</v>
      </c>
      <c r="U1337" s="2" t="s">
        <v>5712</v>
      </c>
    </row>
    <row r="1338" spans="1:21" ht="12.75" x14ac:dyDescent="0.2">
      <c r="A1338" s="1"/>
      <c r="B1338" s="2"/>
      <c r="C1338" s="2"/>
      <c r="D1338" s="2"/>
      <c r="E1338" s="3"/>
      <c r="F1338" s="4"/>
      <c r="G1338" s="2"/>
      <c r="H1338" s="2"/>
      <c r="K1338" s="2"/>
      <c r="L1338" s="2"/>
      <c r="M1338" s="2"/>
      <c r="N1338" s="2"/>
      <c r="O1338" s="2"/>
      <c r="Q1338" s="2"/>
      <c r="S1338" s="7" t="s">
        <v>5712</v>
      </c>
      <c r="T1338" s="7" t="s">
        <v>5712</v>
      </c>
      <c r="U1338" s="2" t="s">
        <v>5712</v>
      </c>
    </row>
    <row r="1339" spans="1:21" ht="12.75" x14ac:dyDescent="0.2">
      <c r="A1339" s="1"/>
      <c r="B1339" s="2"/>
      <c r="C1339" s="2"/>
      <c r="D1339" s="2"/>
      <c r="E1339" s="3"/>
      <c r="F1339" s="4"/>
      <c r="G1339" s="2"/>
      <c r="H1339" s="2"/>
      <c r="K1339" s="2"/>
      <c r="L1339" s="2"/>
      <c r="M1339" s="2"/>
      <c r="N1339" s="2"/>
      <c r="O1339" s="2"/>
      <c r="Q1339" s="2"/>
      <c r="S1339" s="7" t="s">
        <v>5712</v>
      </c>
      <c r="T1339" s="7" t="s">
        <v>5712</v>
      </c>
      <c r="U1339" s="2" t="s">
        <v>5712</v>
      </c>
    </row>
    <row r="1340" spans="1:21" ht="12.75" x14ac:dyDescent="0.2">
      <c r="A1340" s="1"/>
      <c r="B1340" s="2"/>
      <c r="C1340" s="2"/>
      <c r="D1340" s="2"/>
      <c r="E1340" s="3"/>
      <c r="F1340" s="4"/>
      <c r="G1340" s="2"/>
      <c r="H1340" s="2"/>
      <c r="K1340" s="2"/>
      <c r="L1340" s="2"/>
      <c r="M1340" s="2"/>
      <c r="N1340" s="2"/>
      <c r="O1340" s="2"/>
      <c r="Q1340" s="2"/>
      <c r="S1340" s="7" t="s">
        <v>5712</v>
      </c>
      <c r="T1340" s="7" t="s">
        <v>5712</v>
      </c>
      <c r="U1340" s="2" t="s">
        <v>5712</v>
      </c>
    </row>
    <row r="1341" spans="1:21" ht="12.75" x14ac:dyDescent="0.2">
      <c r="A1341" s="1"/>
      <c r="B1341" s="2"/>
      <c r="C1341" s="2"/>
      <c r="D1341" s="2"/>
      <c r="E1341" s="3"/>
      <c r="F1341" s="4"/>
      <c r="G1341" s="2"/>
      <c r="H1341" s="2"/>
      <c r="K1341" s="2"/>
      <c r="L1341" s="2"/>
      <c r="M1341" s="2"/>
      <c r="N1341" s="2"/>
      <c r="O1341" s="2"/>
      <c r="Q1341" s="2"/>
      <c r="S1341" s="7" t="s">
        <v>5712</v>
      </c>
      <c r="T1341" s="7" t="s">
        <v>5712</v>
      </c>
      <c r="U1341" s="2" t="s">
        <v>5712</v>
      </c>
    </row>
    <row r="1342" spans="1:21" ht="12.75" x14ac:dyDescent="0.2">
      <c r="A1342" s="1"/>
      <c r="B1342" s="2"/>
      <c r="C1342" s="2"/>
      <c r="D1342" s="2"/>
      <c r="E1342" s="3"/>
      <c r="F1342" s="4"/>
      <c r="G1342" s="2"/>
      <c r="H1342" s="2"/>
      <c r="K1342" s="2"/>
      <c r="L1342" s="2"/>
      <c r="M1342" s="2"/>
      <c r="N1342" s="2"/>
      <c r="O1342" s="2"/>
      <c r="Q1342" s="2"/>
      <c r="S1342" s="7" t="s">
        <v>5712</v>
      </c>
      <c r="T1342" s="7" t="s">
        <v>5712</v>
      </c>
      <c r="U1342" s="2" t="s">
        <v>5712</v>
      </c>
    </row>
    <row r="1343" spans="1:21" ht="12.75" x14ac:dyDescent="0.2">
      <c r="A1343" s="1"/>
      <c r="B1343" s="2"/>
      <c r="C1343" s="2"/>
      <c r="D1343" s="2"/>
      <c r="E1343" s="3"/>
      <c r="F1343" s="4"/>
      <c r="G1343" s="2"/>
      <c r="H1343" s="2"/>
      <c r="K1343" s="2"/>
      <c r="L1343" s="2"/>
      <c r="M1343" s="2"/>
      <c r="N1343" s="2"/>
      <c r="O1343" s="2"/>
      <c r="Q1343" s="2"/>
      <c r="S1343" s="7" t="s">
        <v>5712</v>
      </c>
      <c r="T1343" s="7" t="s">
        <v>5712</v>
      </c>
      <c r="U1343" s="2" t="s">
        <v>5712</v>
      </c>
    </row>
    <row r="1344" spans="1:21" ht="12.75" x14ac:dyDescent="0.2">
      <c r="A1344" s="1"/>
      <c r="B1344" s="2"/>
      <c r="C1344" s="2"/>
      <c r="D1344" s="2"/>
      <c r="E1344" s="3"/>
      <c r="F1344" s="4"/>
      <c r="G1344" s="2"/>
      <c r="H1344" s="2"/>
      <c r="K1344" s="2"/>
      <c r="L1344" s="2"/>
      <c r="M1344" s="2"/>
      <c r="N1344" s="2"/>
      <c r="O1344" s="2"/>
      <c r="Q1344" s="2"/>
      <c r="S1344" s="7" t="s">
        <v>5712</v>
      </c>
      <c r="T1344" s="7" t="s">
        <v>5712</v>
      </c>
      <c r="U1344" s="2" t="s">
        <v>5712</v>
      </c>
    </row>
    <row r="1345" spans="1:21" ht="12.75" x14ac:dyDescent="0.2">
      <c r="A1345" s="1"/>
      <c r="B1345" s="2"/>
      <c r="C1345" s="2"/>
      <c r="D1345" s="2"/>
      <c r="E1345" s="3"/>
      <c r="F1345" s="4"/>
      <c r="G1345" s="2"/>
      <c r="H1345" s="2"/>
      <c r="K1345" s="2"/>
      <c r="L1345" s="2"/>
      <c r="M1345" s="2"/>
      <c r="N1345" s="2"/>
      <c r="O1345" s="2"/>
      <c r="Q1345" s="2"/>
      <c r="S1345" s="7" t="s">
        <v>5712</v>
      </c>
      <c r="T1345" s="7" t="s">
        <v>5712</v>
      </c>
      <c r="U1345" s="2" t="s">
        <v>5712</v>
      </c>
    </row>
    <row r="1346" spans="1:21" ht="12.75" x14ac:dyDescent="0.2">
      <c r="A1346" s="1"/>
      <c r="B1346" s="2"/>
      <c r="C1346" s="2"/>
      <c r="D1346" s="2"/>
      <c r="E1346" s="3"/>
      <c r="F1346" s="4"/>
      <c r="G1346" s="2"/>
      <c r="H1346" s="2"/>
      <c r="K1346" s="2"/>
      <c r="L1346" s="2"/>
      <c r="M1346" s="2"/>
      <c r="N1346" s="2"/>
      <c r="O1346" s="2"/>
      <c r="Q1346" s="2"/>
      <c r="S1346" s="7" t="s">
        <v>5712</v>
      </c>
      <c r="T1346" s="7" t="s">
        <v>5712</v>
      </c>
      <c r="U1346" s="2" t="s">
        <v>5712</v>
      </c>
    </row>
    <row r="1347" spans="1:21" ht="12.75" x14ac:dyDescent="0.2">
      <c r="A1347" s="1"/>
      <c r="B1347" s="2"/>
      <c r="C1347" s="2"/>
      <c r="D1347" s="2"/>
      <c r="E1347" s="3"/>
      <c r="F1347" s="4"/>
      <c r="G1347" s="2"/>
      <c r="H1347" s="2"/>
      <c r="K1347" s="2"/>
      <c r="L1347" s="2"/>
      <c r="M1347" s="2"/>
      <c r="N1347" s="2"/>
      <c r="O1347" s="2"/>
      <c r="Q1347" s="2"/>
      <c r="S1347" s="7" t="s">
        <v>5712</v>
      </c>
      <c r="T1347" s="7" t="s">
        <v>5712</v>
      </c>
      <c r="U1347" s="2" t="s">
        <v>5712</v>
      </c>
    </row>
    <row r="1348" spans="1:21" ht="12.75" x14ac:dyDescent="0.2">
      <c r="A1348" s="1"/>
      <c r="B1348" s="2"/>
      <c r="C1348" s="2"/>
      <c r="D1348" s="2"/>
      <c r="E1348" s="3"/>
      <c r="F1348" s="4"/>
      <c r="G1348" s="2"/>
      <c r="H1348" s="2"/>
      <c r="K1348" s="2"/>
      <c r="L1348" s="2"/>
      <c r="M1348" s="2"/>
      <c r="N1348" s="2"/>
      <c r="O1348" s="2"/>
      <c r="Q1348" s="2"/>
      <c r="S1348" s="7" t="s">
        <v>5712</v>
      </c>
      <c r="T1348" s="7" t="s">
        <v>5712</v>
      </c>
      <c r="U1348" s="2" t="s">
        <v>5712</v>
      </c>
    </row>
    <row r="1349" spans="1:21" ht="12.75" x14ac:dyDescent="0.2">
      <c r="A1349" s="1"/>
      <c r="B1349" s="2"/>
      <c r="C1349" s="2"/>
      <c r="D1349" s="2"/>
      <c r="E1349" s="3"/>
      <c r="F1349" s="4"/>
      <c r="G1349" s="2"/>
      <c r="H1349" s="2"/>
      <c r="K1349" s="2"/>
      <c r="L1349" s="2"/>
      <c r="M1349" s="2"/>
      <c r="N1349" s="2"/>
      <c r="O1349" s="2"/>
      <c r="Q1349" s="2"/>
      <c r="S1349" s="7" t="s">
        <v>5712</v>
      </c>
      <c r="T1349" s="7" t="s">
        <v>5712</v>
      </c>
      <c r="U1349" s="2" t="s">
        <v>5712</v>
      </c>
    </row>
    <row r="1350" spans="1:21" ht="12.75" x14ac:dyDescent="0.2">
      <c r="A1350" s="1"/>
      <c r="B1350" s="2"/>
      <c r="C1350" s="2"/>
      <c r="D1350" s="2"/>
      <c r="E1350" s="3"/>
      <c r="F1350" s="4"/>
      <c r="G1350" s="2"/>
      <c r="H1350" s="2"/>
      <c r="K1350" s="2"/>
      <c r="L1350" s="2"/>
      <c r="M1350" s="2"/>
      <c r="N1350" s="2"/>
      <c r="O1350" s="2"/>
      <c r="Q1350" s="2"/>
      <c r="S1350" s="7" t="s">
        <v>5712</v>
      </c>
      <c r="T1350" s="7" t="s">
        <v>5712</v>
      </c>
      <c r="U1350" s="2" t="s">
        <v>5712</v>
      </c>
    </row>
    <row r="1351" spans="1:21" ht="12.75" x14ac:dyDescent="0.2">
      <c r="A1351" s="1"/>
      <c r="B1351" s="2"/>
      <c r="C1351" s="2"/>
      <c r="D1351" s="2"/>
      <c r="E1351" s="3"/>
      <c r="F1351" s="4"/>
      <c r="G1351" s="2"/>
      <c r="H1351" s="2"/>
      <c r="K1351" s="2"/>
      <c r="L1351" s="2"/>
      <c r="M1351" s="2"/>
      <c r="N1351" s="2"/>
      <c r="O1351" s="2"/>
      <c r="Q1351" s="2"/>
      <c r="S1351" s="7" t="s">
        <v>5712</v>
      </c>
      <c r="T1351" s="7" t="s">
        <v>5712</v>
      </c>
      <c r="U1351" s="2" t="s">
        <v>5712</v>
      </c>
    </row>
    <row r="1352" spans="1:21" ht="12.75" x14ac:dyDescent="0.2">
      <c r="A1352" s="1"/>
      <c r="B1352" s="2"/>
      <c r="C1352" s="2"/>
      <c r="D1352" s="2"/>
      <c r="E1352" s="3"/>
      <c r="F1352" s="4"/>
      <c r="G1352" s="2"/>
      <c r="H1352" s="2"/>
      <c r="K1352" s="2"/>
      <c r="L1352" s="2"/>
      <c r="M1352" s="2"/>
      <c r="N1352" s="2"/>
      <c r="O1352" s="2"/>
      <c r="Q1352" s="2"/>
      <c r="S1352" s="7" t="s">
        <v>5712</v>
      </c>
      <c r="T1352" s="7" t="s">
        <v>5712</v>
      </c>
      <c r="U1352" s="2" t="s">
        <v>5712</v>
      </c>
    </row>
    <row r="1353" spans="1:21" ht="12.75" x14ac:dyDescent="0.2">
      <c r="A1353" s="1"/>
      <c r="B1353" s="2"/>
      <c r="C1353" s="2"/>
      <c r="D1353" s="2"/>
      <c r="E1353" s="3"/>
      <c r="F1353" s="4"/>
      <c r="G1353" s="2"/>
      <c r="H1353" s="2"/>
      <c r="K1353" s="2"/>
      <c r="L1353" s="2"/>
      <c r="M1353" s="2"/>
      <c r="N1353" s="2"/>
      <c r="O1353" s="2"/>
      <c r="Q1353" s="2"/>
      <c r="S1353" s="7" t="s">
        <v>5712</v>
      </c>
      <c r="T1353" s="7" t="s">
        <v>5712</v>
      </c>
      <c r="U1353" s="2" t="s">
        <v>5712</v>
      </c>
    </row>
    <row r="1354" spans="1:21" ht="12.75" x14ac:dyDescent="0.2">
      <c r="A1354" s="1"/>
      <c r="B1354" s="2"/>
      <c r="C1354" s="2"/>
      <c r="D1354" s="2"/>
      <c r="E1354" s="3"/>
      <c r="F1354" s="4"/>
      <c r="G1354" s="2"/>
      <c r="H1354" s="2"/>
      <c r="K1354" s="2"/>
      <c r="L1354" s="2"/>
      <c r="M1354" s="2"/>
      <c r="N1354" s="2"/>
      <c r="O1354" s="2"/>
      <c r="Q1354" s="2"/>
      <c r="S1354" s="7" t="s">
        <v>5712</v>
      </c>
      <c r="T1354" s="7" t="s">
        <v>5712</v>
      </c>
      <c r="U1354" s="2" t="s">
        <v>5712</v>
      </c>
    </row>
    <row r="1355" spans="1:21" ht="12.75" x14ac:dyDescent="0.2">
      <c r="A1355" s="1"/>
      <c r="B1355" s="2"/>
      <c r="C1355" s="2"/>
      <c r="D1355" s="2"/>
      <c r="E1355" s="3"/>
      <c r="F1355" s="4"/>
      <c r="G1355" s="2"/>
      <c r="H1355" s="2"/>
      <c r="K1355" s="2"/>
      <c r="L1355" s="2"/>
      <c r="M1355" s="2"/>
      <c r="N1355" s="2"/>
      <c r="O1355" s="2"/>
      <c r="Q1355" s="2"/>
      <c r="S1355" s="7" t="s">
        <v>5712</v>
      </c>
      <c r="T1355" s="7" t="s">
        <v>5712</v>
      </c>
      <c r="U1355" s="2" t="s">
        <v>5712</v>
      </c>
    </row>
    <row r="1356" spans="1:21" ht="12.75" x14ac:dyDescent="0.2">
      <c r="A1356" s="1"/>
      <c r="B1356" s="2"/>
      <c r="C1356" s="2"/>
      <c r="D1356" s="2"/>
      <c r="E1356" s="3"/>
      <c r="F1356" s="4"/>
      <c r="G1356" s="2"/>
      <c r="H1356" s="2"/>
      <c r="K1356" s="2"/>
      <c r="L1356" s="2"/>
      <c r="M1356" s="2"/>
      <c r="N1356" s="2"/>
      <c r="O1356" s="2"/>
      <c r="Q1356" s="2"/>
      <c r="S1356" s="7" t="s">
        <v>5712</v>
      </c>
      <c r="T1356" s="7" t="s">
        <v>5712</v>
      </c>
      <c r="U1356" s="2" t="s">
        <v>5712</v>
      </c>
    </row>
    <row r="1357" spans="1:21" ht="12.75" x14ac:dyDescent="0.2">
      <c r="A1357" s="1"/>
      <c r="B1357" s="2"/>
      <c r="C1357" s="2"/>
      <c r="D1357" s="2"/>
      <c r="E1357" s="3"/>
      <c r="F1357" s="4"/>
      <c r="G1357" s="2"/>
      <c r="H1357" s="2"/>
      <c r="K1357" s="2"/>
      <c r="L1357" s="2"/>
      <c r="M1357" s="2"/>
      <c r="N1357" s="2"/>
      <c r="O1357" s="2"/>
      <c r="Q1357" s="2"/>
      <c r="S1357" s="7" t="s">
        <v>5712</v>
      </c>
      <c r="T1357" s="7" t="s">
        <v>5712</v>
      </c>
      <c r="U1357" s="2" t="s">
        <v>5712</v>
      </c>
    </row>
    <row r="1358" spans="1:21" ht="12.75" x14ac:dyDescent="0.2">
      <c r="A1358" s="1"/>
      <c r="B1358" s="2"/>
      <c r="C1358" s="2"/>
      <c r="D1358" s="2"/>
      <c r="E1358" s="3"/>
      <c r="F1358" s="4"/>
      <c r="G1358" s="2"/>
      <c r="H1358" s="2"/>
      <c r="K1358" s="2"/>
      <c r="L1358" s="2"/>
      <c r="M1358" s="2"/>
      <c r="N1358" s="2"/>
      <c r="O1358" s="2"/>
      <c r="Q1358" s="2"/>
      <c r="S1358" s="7" t="s">
        <v>5712</v>
      </c>
      <c r="T1358" s="7" t="s">
        <v>5712</v>
      </c>
      <c r="U1358" s="2" t="s">
        <v>5712</v>
      </c>
    </row>
    <row r="1359" spans="1:21" ht="12.75" x14ac:dyDescent="0.2">
      <c r="A1359" s="1"/>
      <c r="B1359" s="2"/>
      <c r="C1359" s="2"/>
      <c r="D1359" s="2"/>
      <c r="E1359" s="3"/>
      <c r="F1359" s="4"/>
      <c r="G1359" s="2"/>
      <c r="H1359" s="2"/>
      <c r="K1359" s="2"/>
      <c r="L1359" s="2"/>
      <c r="M1359" s="2"/>
      <c r="N1359" s="2"/>
      <c r="O1359" s="2"/>
      <c r="Q1359" s="2"/>
      <c r="S1359" s="7" t="s">
        <v>5712</v>
      </c>
      <c r="T1359" s="7" t="s">
        <v>5712</v>
      </c>
      <c r="U1359" s="2" t="s">
        <v>5712</v>
      </c>
    </row>
    <row r="1360" spans="1:21" ht="12.75" x14ac:dyDescent="0.2">
      <c r="A1360" s="1"/>
      <c r="B1360" s="2"/>
      <c r="C1360" s="2"/>
      <c r="D1360" s="2"/>
      <c r="E1360" s="3"/>
      <c r="F1360" s="4"/>
      <c r="G1360" s="2"/>
      <c r="H1360" s="2"/>
      <c r="K1360" s="2"/>
      <c r="L1360" s="2"/>
      <c r="M1360" s="2"/>
      <c r="N1360" s="2"/>
      <c r="O1360" s="2"/>
      <c r="Q1360" s="2"/>
      <c r="S1360" s="7" t="s">
        <v>5712</v>
      </c>
      <c r="T1360" s="7" t="s">
        <v>5712</v>
      </c>
      <c r="U1360" s="2" t="s">
        <v>5712</v>
      </c>
    </row>
    <row r="1361" spans="1:21" ht="12.75" x14ac:dyDescent="0.2">
      <c r="A1361" s="1"/>
      <c r="B1361" s="2"/>
      <c r="C1361" s="2"/>
      <c r="D1361" s="2"/>
      <c r="E1361" s="3"/>
      <c r="F1361" s="4"/>
      <c r="G1361" s="2"/>
      <c r="H1361" s="2"/>
      <c r="K1361" s="2"/>
      <c r="L1361" s="2"/>
      <c r="M1361" s="2"/>
      <c r="N1361" s="2"/>
      <c r="O1361" s="2"/>
      <c r="Q1361" s="2"/>
      <c r="S1361" s="7" t="s">
        <v>5712</v>
      </c>
      <c r="T1361" s="7" t="s">
        <v>5712</v>
      </c>
      <c r="U1361" s="2" t="s">
        <v>5712</v>
      </c>
    </row>
    <row r="1362" spans="1:21" ht="12.75" x14ac:dyDescent="0.2">
      <c r="A1362" s="1"/>
      <c r="B1362" s="2"/>
      <c r="C1362" s="2"/>
      <c r="D1362" s="2"/>
      <c r="E1362" s="3"/>
      <c r="F1362" s="4"/>
      <c r="G1362" s="2"/>
      <c r="H1362" s="2"/>
      <c r="K1362" s="2"/>
      <c r="L1362" s="2"/>
      <c r="M1362" s="2"/>
      <c r="N1362" s="2"/>
      <c r="O1362" s="2"/>
      <c r="Q1362" s="2"/>
      <c r="S1362" s="7" t="s">
        <v>5712</v>
      </c>
      <c r="T1362" s="7" t="s">
        <v>5712</v>
      </c>
      <c r="U1362" s="2" t="s">
        <v>5712</v>
      </c>
    </row>
    <row r="1363" spans="1:21" ht="12.75" x14ac:dyDescent="0.2">
      <c r="A1363" s="1"/>
      <c r="B1363" s="2"/>
      <c r="C1363" s="2"/>
      <c r="D1363" s="2"/>
      <c r="E1363" s="3"/>
      <c r="F1363" s="4"/>
      <c r="G1363" s="2"/>
      <c r="H1363" s="2"/>
      <c r="K1363" s="2"/>
      <c r="L1363" s="2"/>
      <c r="M1363" s="2"/>
      <c r="N1363" s="2"/>
      <c r="O1363" s="2"/>
      <c r="Q1363" s="2"/>
      <c r="S1363" s="7" t="s">
        <v>5712</v>
      </c>
      <c r="T1363" s="7" t="s">
        <v>5712</v>
      </c>
      <c r="U1363" s="2" t="s">
        <v>5712</v>
      </c>
    </row>
    <row r="1364" spans="1:21" ht="12.75" x14ac:dyDescent="0.2">
      <c r="A1364" s="1"/>
      <c r="B1364" s="2"/>
      <c r="C1364" s="2"/>
      <c r="D1364" s="2"/>
      <c r="E1364" s="3"/>
      <c r="F1364" s="4"/>
      <c r="G1364" s="2"/>
      <c r="H1364" s="2"/>
      <c r="K1364" s="2"/>
      <c r="L1364" s="2"/>
      <c r="M1364" s="2"/>
      <c r="N1364" s="2"/>
      <c r="O1364" s="2"/>
      <c r="Q1364" s="2"/>
      <c r="S1364" s="7" t="s">
        <v>5712</v>
      </c>
      <c r="T1364" s="7" t="s">
        <v>5712</v>
      </c>
      <c r="U1364" s="2" t="s">
        <v>5712</v>
      </c>
    </row>
    <row r="1365" spans="1:21" ht="12.75" x14ac:dyDescent="0.2">
      <c r="A1365" s="1"/>
      <c r="B1365" s="2"/>
      <c r="C1365" s="2"/>
      <c r="D1365" s="2"/>
      <c r="E1365" s="3"/>
      <c r="F1365" s="4"/>
      <c r="G1365" s="2"/>
      <c r="H1365" s="2"/>
      <c r="K1365" s="2"/>
      <c r="L1365" s="2"/>
      <c r="M1365" s="2"/>
      <c r="N1365" s="2"/>
      <c r="O1365" s="2"/>
      <c r="Q1365" s="2"/>
      <c r="S1365" s="7" t="s">
        <v>5712</v>
      </c>
      <c r="T1365" s="7" t="s">
        <v>5712</v>
      </c>
      <c r="U1365" s="2" t="s">
        <v>5712</v>
      </c>
    </row>
    <row r="1366" spans="1:21" ht="12.75" x14ac:dyDescent="0.2">
      <c r="A1366" s="1"/>
      <c r="B1366" s="2"/>
      <c r="C1366" s="2"/>
      <c r="D1366" s="2"/>
      <c r="E1366" s="3"/>
      <c r="F1366" s="4"/>
      <c r="G1366" s="2"/>
      <c r="H1366" s="2"/>
      <c r="K1366" s="2"/>
      <c r="L1366" s="2"/>
      <c r="M1366" s="2"/>
      <c r="N1366" s="2"/>
      <c r="O1366" s="2"/>
      <c r="Q1366" s="2"/>
      <c r="S1366" s="7" t="s">
        <v>5712</v>
      </c>
      <c r="T1366" s="7" t="s">
        <v>5712</v>
      </c>
      <c r="U1366" s="2" t="s">
        <v>5712</v>
      </c>
    </row>
    <row r="1367" spans="1:21" ht="12.75" x14ac:dyDescent="0.2">
      <c r="A1367" s="1"/>
      <c r="B1367" s="2"/>
      <c r="C1367" s="2"/>
      <c r="D1367" s="2"/>
      <c r="E1367" s="3"/>
      <c r="F1367" s="4"/>
      <c r="G1367" s="2"/>
      <c r="H1367" s="2"/>
      <c r="K1367" s="2"/>
      <c r="L1367" s="2"/>
      <c r="M1367" s="2"/>
      <c r="N1367" s="2"/>
      <c r="O1367" s="2"/>
      <c r="Q1367" s="2"/>
      <c r="S1367" s="7" t="s">
        <v>5712</v>
      </c>
      <c r="T1367" s="7" t="s">
        <v>5712</v>
      </c>
      <c r="U1367" s="2" t="s">
        <v>5712</v>
      </c>
    </row>
    <row r="1368" spans="1:21" ht="12.75" x14ac:dyDescent="0.2">
      <c r="A1368" s="1"/>
      <c r="B1368" s="2"/>
      <c r="C1368" s="2"/>
      <c r="D1368" s="2"/>
      <c r="E1368" s="3"/>
      <c r="F1368" s="4"/>
      <c r="G1368" s="2"/>
      <c r="H1368" s="2"/>
      <c r="K1368" s="2"/>
      <c r="L1368" s="2"/>
      <c r="M1368" s="2"/>
      <c r="N1368" s="2"/>
      <c r="O1368" s="2"/>
      <c r="Q1368" s="2"/>
      <c r="S1368" s="7" t="s">
        <v>5712</v>
      </c>
      <c r="T1368" s="7" t="s">
        <v>5712</v>
      </c>
      <c r="U1368" s="2" t="s">
        <v>5712</v>
      </c>
    </row>
    <row r="1369" spans="1:21" ht="12.75" x14ac:dyDescent="0.2">
      <c r="A1369" s="1"/>
      <c r="B1369" s="2"/>
      <c r="C1369" s="2"/>
      <c r="D1369" s="2"/>
      <c r="E1369" s="3"/>
      <c r="F1369" s="4"/>
      <c r="G1369" s="2"/>
      <c r="H1369" s="2"/>
      <c r="K1369" s="2"/>
      <c r="L1369" s="2"/>
      <c r="M1369" s="2"/>
      <c r="N1369" s="2"/>
      <c r="O1369" s="2"/>
      <c r="Q1369" s="2"/>
      <c r="S1369" s="7" t="s">
        <v>5712</v>
      </c>
      <c r="T1369" s="7" t="s">
        <v>5712</v>
      </c>
      <c r="U1369" s="2" t="s">
        <v>5712</v>
      </c>
    </row>
    <row r="1370" spans="1:21" ht="12.75" x14ac:dyDescent="0.2">
      <c r="A1370" s="1"/>
      <c r="B1370" s="2"/>
      <c r="C1370" s="2"/>
      <c r="D1370" s="2"/>
      <c r="E1370" s="3"/>
      <c r="F1370" s="4"/>
      <c r="G1370" s="2"/>
      <c r="H1370" s="2"/>
      <c r="K1370" s="2"/>
      <c r="L1370" s="2"/>
      <c r="M1370" s="2"/>
      <c r="N1370" s="2"/>
      <c r="O1370" s="2"/>
      <c r="Q1370" s="2"/>
      <c r="S1370" s="7" t="s">
        <v>5712</v>
      </c>
      <c r="T1370" s="7" t="s">
        <v>5712</v>
      </c>
      <c r="U1370" s="2" t="s">
        <v>5712</v>
      </c>
    </row>
    <row r="1371" spans="1:21" ht="12.75" x14ac:dyDescent="0.2">
      <c r="A1371" s="1"/>
      <c r="B1371" s="2"/>
      <c r="C1371" s="2"/>
      <c r="D1371" s="2"/>
      <c r="E1371" s="3"/>
      <c r="F1371" s="4"/>
      <c r="G1371" s="2"/>
      <c r="H1371" s="2"/>
      <c r="K1371" s="2"/>
      <c r="L1371" s="2"/>
      <c r="M1371" s="2"/>
      <c r="N1371" s="2"/>
      <c r="O1371" s="2"/>
      <c r="Q1371" s="2"/>
      <c r="S1371" s="7" t="s">
        <v>5712</v>
      </c>
      <c r="T1371" s="7" t="s">
        <v>5712</v>
      </c>
      <c r="U1371" s="2" t="s">
        <v>5712</v>
      </c>
    </row>
    <row r="1372" spans="1:21" ht="12.75" x14ac:dyDescent="0.2">
      <c r="A1372" s="1"/>
      <c r="B1372" s="2"/>
      <c r="C1372" s="2"/>
      <c r="D1372" s="2"/>
      <c r="E1372" s="3"/>
      <c r="F1372" s="4"/>
      <c r="G1372" s="2"/>
      <c r="H1372" s="2"/>
      <c r="K1372" s="2"/>
      <c r="L1372" s="2"/>
      <c r="M1372" s="2"/>
      <c r="N1372" s="2"/>
      <c r="O1372" s="2"/>
      <c r="Q1372" s="2"/>
      <c r="S1372" s="7" t="s">
        <v>5712</v>
      </c>
      <c r="T1372" s="7" t="s">
        <v>5712</v>
      </c>
      <c r="U1372" s="2" t="s">
        <v>5712</v>
      </c>
    </row>
    <row r="1373" spans="1:21" ht="12.75" x14ac:dyDescent="0.2">
      <c r="A1373" s="1"/>
      <c r="B1373" s="2"/>
      <c r="C1373" s="2"/>
      <c r="D1373" s="2"/>
      <c r="E1373" s="3"/>
      <c r="F1373" s="4"/>
      <c r="G1373" s="2"/>
      <c r="H1373" s="2"/>
      <c r="K1373" s="2"/>
      <c r="L1373" s="2"/>
      <c r="M1373" s="2"/>
      <c r="N1373" s="2"/>
      <c r="O1373" s="2"/>
      <c r="Q1373" s="2"/>
      <c r="S1373" s="7" t="s">
        <v>5712</v>
      </c>
      <c r="T1373" s="7" t="s">
        <v>5712</v>
      </c>
      <c r="U1373" s="2" t="s">
        <v>5712</v>
      </c>
    </row>
    <row r="1374" spans="1:21" ht="12.75" x14ac:dyDescent="0.2">
      <c r="A1374" s="1"/>
      <c r="B1374" s="2"/>
      <c r="C1374" s="2"/>
      <c r="D1374" s="2"/>
      <c r="E1374" s="3"/>
      <c r="F1374" s="4"/>
      <c r="G1374" s="2"/>
      <c r="H1374" s="2"/>
      <c r="K1374" s="2"/>
      <c r="L1374" s="2"/>
      <c r="M1374" s="2"/>
      <c r="N1374" s="2"/>
      <c r="O1374" s="2"/>
      <c r="Q1374" s="2"/>
      <c r="S1374" s="7" t="s">
        <v>5712</v>
      </c>
      <c r="T1374" s="7" t="s">
        <v>5712</v>
      </c>
      <c r="U1374" s="2" t="s">
        <v>5712</v>
      </c>
    </row>
    <row r="1375" spans="1:21" ht="12.75" x14ac:dyDescent="0.2">
      <c r="A1375" s="1"/>
      <c r="B1375" s="2"/>
      <c r="C1375" s="2"/>
      <c r="D1375" s="2"/>
      <c r="E1375" s="3"/>
      <c r="F1375" s="4"/>
      <c r="G1375" s="2"/>
      <c r="H1375" s="2"/>
      <c r="K1375" s="2"/>
      <c r="L1375" s="2"/>
      <c r="M1375" s="2"/>
      <c r="N1375" s="2"/>
      <c r="O1375" s="2"/>
      <c r="Q1375" s="2"/>
      <c r="S1375" s="7" t="s">
        <v>5712</v>
      </c>
      <c r="T1375" s="7" t="s">
        <v>5712</v>
      </c>
      <c r="U1375" s="2" t="s">
        <v>5712</v>
      </c>
    </row>
    <row r="1376" spans="1:21" ht="12.75" x14ac:dyDescent="0.2">
      <c r="A1376" s="1"/>
      <c r="B1376" s="2"/>
      <c r="C1376" s="2"/>
      <c r="D1376" s="2"/>
      <c r="E1376" s="3"/>
      <c r="F1376" s="4"/>
      <c r="G1376" s="2"/>
      <c r="H1376" s="2"/>
      <c r="K1376" s="2"/>
      <c r="L1376" s="2"/>
      <c r="M1376" s="2"/>
      <c r="N1376" s="2"/>
      <c r="O1376" s="2"/>
      <c r="Q1376" s="2"/>
      <c r="S1376" s="7" t="s">
        <v>5712</v>
      </c>
      <c r="T1376" s="7" t="s">
        <v>5712</v>
      </c>
      <c r="U1376" s="2" t="s">
        <v>5712</v>
      </c>
    </row>
    <row r="1377" spans="1:21" ht="12.75" x14ac:dyDescent="0.2">
      <c r="A1377" s="1"/>
      <c r="B1377" s="2"/>
      <c r="C1377" s="2"/>
      <c r="D1377" s="2"/>
      <c r="E1377" s="3"/>
      <c r="F1377" s="4"/>
      <c r="G1377" s="2"/>
      <c r="H1377" s="2"/>
      <c r="K1377" s="2"/>
      <c r="L1377" s="2"/>
      <c r="M1377" s="2"/>
      <c r="N1377" s="2"/>
      <c r="O1377" s="2"/>
      <c r="Q1377" s="2"/>
      <c r="S1377" s="7" t="s">
        <v>5712</v>
      </c>
      <c r="T1377" s="7" t="s">
        <v>5712</v>
      </c>
      <c r="U1377" s="2" t="s">
        <v>5712</v>
      </c>
    </row>
    <row r="1378" spans="1:21" ht="12.75" x14ac:dyDescent="0.2">
      <c r="A1378" s="1"/>
      <c r="B1378" s="2"/>
      <c r="C1378" s="2"/>
      <c r="D1378" s="2"/>
      <c r="E1378" s="3"/>
      <c r="F1378" s="4"/>
      <c r="G1378" s="2"/>
      <c r="H1378" s="2"/>
      <c r="K1378" s="2"/>
      <c r="L1378" s="2"/>
      <c r="M1378" s="2"/>
      <c r="N1378" s="2"/>
      <c r="O1378" s="2"/>
      <c r="Q1378" s="2"/>
      <c r="S1378" s="7" t="s">
        <v>5712</v>
      </c>
      <c r="T1378" s="7" t="s">
        <v>5712</v>
      </c>
      <c r="U1378" s="2" t="s">
        <v>5712</v>
      </c>
    </row>
    <row r="1379" spans="1:21" ht="12.75" x14ac:dyDescent="0.2">
      <c r="A1379" s="1"/>
      <c r="B1379" s="2"/>
      <c r="C1379" s="2"/>
      <c r="D1379" s="2"/>
      <c r="E1379" s="3"/>
      <c r="F1379" s="4"/>
      <c r="G1379" s="2"/>
      <c r="H1379" s="2"/>
      <c r="K1379" s="2"/>
      <c r="L1379" s="2"/>
      <c r="M1379" s="2"/>
      <c r="N1379" s="2"/>
      <c r="O1379" s="2"/>
      <c r="Q1379" s="2"/>
      <c r="S1379" s="7" t="s">
        <v>5712</v>
      </c>
      <c r="T1379" s="7" t="s">
        <v>5712</v>
      </c>
      <c r="U1379" s="2" t="s">
        <v>5712</v>
      </c>
    </row>
    <row r="1380" spans="1:21" ht="12.75" x14ac:dyDescent="0.2">
      <c r="A1380" s="1"/>
      <c r="B1380" s="2"/>
      <c r="C1380" s="2"/>
      <c r="D1380" s="2"/>
      <c r="E1380" s="3"/>
      <c r="F1380" s="4"/>
      <c r="G1380" s="2"/>
      <c r="H1380" s="2"/>
      <c r="K1380" s="2"/>
      <c r="L1380" s="2"/>
      <c r="M1380" s="2"/>
      <c r="N1380" s="2"/>
      <c r="O1380" s="2"/>
      <c r="Q1380" s="2"/>
      <c r="S1380" s="7" t="s">
        <v>5712</v>
      </c>
      <c r="T1380" s="7" t="s">
        <v>5712</v>
      </c>
      <c r="U1380" s="2" t="s">
        <v>5712</v>
      </c>
    </row>
    <row r="1381" spans="1:21" ht="12.75" x14ac:dyDescent="0.2">
      <c r="A1381" s="1"/>
      <c r="B1381" s="2"/>
      <c r="C1381" s="2"/>
      <c r="D1381" s="2"/>
      <c r="E1381" s="3"/>
      <c r="F1381" s="4"/>
      <c r="G1381" s="2"/>
      <c r="H1381" s="2"/>
      <c r="K1381" s="2"/>
      <c r="L1381" s="2"/>
      <c r="M1381" s="2"/>
      <c r="N1381" s="2"/>
      <c r="O1381" s="2"/>
      <c r="Q1381" s="2"/>
      <c r="S1381" s="7" t="s">
        <v>5712</v>
      </c>
      <c r="T1381" s="7" t="s">
        <v>5712</v>
      </c>
      <c r="U1381" s="2" t="s">
        <v>5712</v>
      </c>
    </row>
    <row r="1382" spans="1:21" ht="12.75" x14ac:dyDescent="0.2">
      <c r="A1382" s="1"/>
      <c r="B1382" s="2"/>
      <c r="C1382" s="2"/>
      <c r="D1382" s="2"/>
      <c r="E1382" s="3"/>
      <c r="F1382" s="4"/>
      <c r="G1382" s="2"/>
      <c r="H1382" s="2"/>
      <c r="K1382" s="2"/>
      <c r="L1382" s="2"/>
      <c r="M1382" s="2"/>
      <c r="N1382" s="2"/>
      <c r="O1382" s="2"/>
      <c r="Q1382" s="2"/>
      <c r="S1382" s="7" t="s">
        <v>5712</v>
      </c>
      <c r="T1382" s="7" t="s">
        <v>5712</v>
      </c>
      <c r="U1382" s="2" t="s">
        <v>5712</v>
      </c>
    </row>
    <row r="1383" spans="1:21" ht="12.75" x14ac:dyDescent="0.2">
      <c r="A1383" s="1"/>
      <c r="B1383" s="2"/>
      <c r="C1383" s="2"/>
      <c r="D1383" s="2"/>
      <c r="E1383" s="3"/>
      <c r="F1383" s="4"/>
      <c r="G1383" s="2"/>
      <c r="H1383" s="2"/>
      <c r="K1383" s="2"/>
      <c r="L1383" s="2"/>
      <c r="M1383" s="2"/>
      <c r="N1383" s="2"/>
      <c r="O1383" s="2"/>
      <c r="Q1383" s="2"/>
      <c r="S1383" s="7" t="s">
        <v>5712</v>
      </c>
      <c r="T1383" s="7" t="s">
        <v>5712</v>
      </c>
      <c r="U1383" s="2" t="s">
        <v>5712</v>
      </c>
    </row>
    <row r="1384" spans="1:21" ht="12.75" x14ac:dyDescent="0.2">
      <c r="A1384" s="1"/>
      <c r="B1384" s="2"/>
      <c r="C1384" s="2"/>
      <c r="D1384" s="2"/>
      <c r="E1384" s="3"/>
      <c r="F1384" s="4"/>
      <c r="G1384" s="2"/>
      <c r="H1384" s="2"/>
      <c r="K1384" s="2"/>
      <c r="L1384" s="2"/>
      <c r="M1384" s="2"/>
      <c r="N1384" s="2"/>
      <c r="O1384" s="2"/>
      <c r="Q1384" s="2"/>
      <c r="S1384" s="7" t="s">
        <v>5712</v>
      </c>
      <c r="T1384" s="7" t="s">
        <v>5712</v>
      </c>
      <c r="U1384" s="2" t="s">
        <v>5712</v>
      </c>
    </row>
    <row r="1385" spans="1:21" ht="12.75" x14ac:dyDescent="0.2">
      <c r="A1385" s="1"/>
      <c r="B1385" s="2"/>
      <c r="C1385" s="2"/>
      <c r="D1385" s="2"/>
      <c r="E1385" s="3"/>
      <c r="F1385" s="4"/>
      <c r="G1385" s="2"/>
      <c r="H1385" s="2"/>
      <c r="K1385" s="2"/>
      <c r="L1385" s="2"/>
      <c r="M1385" s="2"/>
      <c r="N1385" s="2"/>
      <c r="O1385" s="2"/>
      <c r="Q1385" s="2"/>
      <c r="S1385" s="7" t="s">
        <v>5712</v>
      </c>
      <c r="T1385" s="7" t="s">
        <v>5712</v>
      </c>
      <c r="U1385" s="2" t="s">
        <v>5712</v>
      </c>
    </row>
    <row r="1386" spans="1:21" ht="12.75" x14ac:dyDescent="0.2">
      <c r="A1386" s="1"/>
      <c r="B1386" s="2"/>
      <c r="C1386" s="2"/>
      <c r="D1386" s="2"/>
      <c r="E1386" s="3"/>
      <c r="F1386" s="4"/>
      <c r="G1386" s="2"/>
      <c r="H1386" s="2"/>
      <c r="K1386" s="2"/>
      <c r="L1386" s="2"/>
      <c r="M1386" s="2"/>
      <c r="N1386" s="2"/>
      <c r="O1386" s="2"/>
      <c r="Q1386" s="2"/>
      <c r="S1386" s="7" t="s">
        <v>5712</v>
      </c>
      <c r="T1386" s="7" t="s">
        <v>5712</v>
      </c>
      <c r="U1386" s="2" t="s">
        <v>5712</v>
      </c>
    </row>
    <row r="1387" spans="1:21" ht="12.75" x14ac:dyDescent="0.2">
      <c r="A1387" s="1"/>
      <c r="B1387" s="2"/>
      <c r="C1387" s="2"/>
      <c r="D1387" s="2"/>
      <c r="E1387" s="3"/>
      <c r="F1387" s="4"/>
      <c r="G1387" s="2"/>
      <c r="H1387" s="2"/>
      <c r="K1387" s="2"/>
      <c r="L1387" s="2"/>
      <c r="M1387" s="2"/>
      <c r="N1387" s="2"/>
      <c r="O1387" s="2"/>
      <c r="Q1387" s="2"/>
      <c r="S1387" s="7" t="s">
        <v>5712</v>
      </c>
      <c r="T1387" s="7" t="s">
        <v>5712</v>
      </c>
      <c r="U1387" s="2" t="s">
        <v>5712</v>
      </c>
    </row>
    <row r="1388" spans="1:21" ht="12.75" x14ac:dyDescent="0.2">
      <c r="A1388" s="1"/>
      <c r="B1388" s="2"/>
      <c r="C1388" s="2"/>
      <c r="D1388" s="2"/>
      <c r="E1388" s="3"/>
      <c r="F1388" s="4"/>
      <c r="G1388" s="2"/>
      <c r="H1388" s="2"/>
      <c r="K1388" s="2"/>
      <c r="L1388" s="2"/>
      <c r="M1388" s="2"/>
      <c r="N1388" s="2"/>
      <c r="O1388" s="2"/>
      <c r="Q1388" s="2"/>
      <c r="S1388" s="7" t="s">
        <v>5712</v>
      </c>
      <c r="T1388" s="7" t="s">
        <v>5712</v>
      </c>
      <c r="U1388" s="2" t="s">
        <v>5712</v>
      </c>
    </row>
    <row r="1389" spans="1:21" ht="12.75" x14ac:dyDescent="0.2">
      <c r="A1389" s="1"/>
      <c r="B1389" s="2"/>
      <c r="C1389" s="2"/>
      <c r="D1389" s="2"/>
      <c r="E1389" s="3"/>
      <c r="F1389" s="4"/>
      <c r="G1389" s="2"/>
      <c r="H1389" s="2"/>
      <c r="K1389" s="2"/>
      <c r="L1389" s="2"/>
      <c r="M1389" s="2"/>
      <c r="N1389" s="2"/>
      <c r="O1389" s="2"/>
      <c r="Q1389" s="2"/>
      <c r="S1389" s="7" t="s">
        <v>5712</v>
      </c>
      <c r="T1389" s="7" t="s">
        <v>5712</v>
      </c>
      <c r="U1389" s="2" t="s">
        <v>5712</v>
      </c>
    </row>
    <row r="1390" spans="1:21" ht="12.75" x14ac:dyDescent="0.2">
      <c r="A1390" s="1"/>
      <c r="B1390" s="2"/>
      <c r="C1390" s="2"/>
      <c r="D1390" s="2"/>
      <c r="E1390" s="3"/>
      <c r="F1390" s="4"/>
      <c r="G1390" s="2"/>
      <c r="H1390" s="2"/>
      <c r="K1390" s="2"/>
      <c r="L1390" s="2"/>
      <c r="M1390" s="2"/>
      <c r="N1390" s="2"/>
      <c r="O1390" s="2"/>
      <c r="Q1390" s="2"/>
      <c r="S1390" s="7" t="s">
        <v>5712</v>
      </c>
      <c r="T1390" s="7" t="s">
        <v>5712</v>
      </c>
      <c r="U1390" s="2" t="s">
        <v>5712</v>
      </c>
    </row>
    <row r="1391" spans="1:21" ht="12.75" x14ac:dyDescent="0.2">
      <c r="A1391" s="1"/>
      <c r="B1391" s="2"/>
      <c r="C1391" s="2"/>
      <c r="D1391" s="2"/>
      <c r="E1391" s="3"/>
      <c r="F1391" s="4"/>
      <c r="G1391" s="2"/>
      <c r="H1391" s="2"/>
      <c r="K1391" s="2"/>
      <c r="L1391" s="2"/>
      <c r="M1391" s="2"/>
      <c r="N1391" s="2"/>
      <c r="O1391" s="2"/>
      <c r="Q1391" s="2"/>
      <c r="S1391" s="7" t="s">
        <v>5712</v>
      </c>
      <c r="T1391" s="7" t="s">
        <v>5712</v>
      </c>
      <c r="U1391" s="2" t="s">
        <v>5712</v>
      </c>
    </row>
    <row r="1392" spans="1:21" ht="12.75" x14ac:dyDescent="0.2">
      <c r="A1392" s="1"/>
      <c r="B1392" s="2"/>
      <c r="C1392" s="2"/>
      <c r="D1392" s="2"/>
      <c r="E1392" s="3"/>
      <c r="F1392" s="4"/>
      <c r="G1392" s="2"/>
      <c r="H1392" s="2"/>
      <c r="K1392" s="2"/>
      <c r="L1392" s="2"/>
      <c r="M1392" s="2"/>
      <c r="N1392" s="2"/>
      <c r="O1392" s="2"/>
      <c r="Q1392" s="2"/>
      <c r="S1392" s="7" t="s">
        <v>5712</v>
      </c>
      <c r="T1392" s="7" t="s">
        <v>5712</v>
      </c>
      <c r="U1392" s="2" t="s">
        <v>5712</v>
      </c>
    </row>
    <row r="1393" spans="1:21" ht="12.75" x14ac:dyDescent="0.2">
      <c r="A1393" s="1"/>
      <c r="B1393" s="2"/>
      <c r="C1393" s="2"/>
      <c r="D1393" s="2"/>
      <c r="E1393" s="3"/>
      <c r="F1393" s="4"/>
      <c r="G1393" s="2"/>
      <c r="H1393" s="2"/>
      <c r="K1393" s="2"/>
      <c r="L1393" s="2"/>
      <c r="M1393" s="2"/>
      <c r="N1393" s="2"/>
      <c r="O1393" s="2"/>
      <c r="Q1393" s="2"/>
      <c r="S1393" s="7" t="s">
        <v>5712</v>
      </c>
      <c r="T1393" s="7" t="s">
        <v>5712</v>
      </c>
      <c r="U1393" s="2" t="s">
        <v>5712</v>
      </c>
    </row>
    <row r="1394" spans="1:21" ht="12.75" x14ac:dyDescent="0.2">
      <c r="A1394" s="1"/>
      <c r="B1394" s="2"/>
      <c r="C1394" s="2"/>
      <c r="D1394" s="2"/>
      <c r="E1394" s="3"/>
      <c r="F1394" s="4"/>
      <c r="G1394" s="2"/>
      <c r="H1394" s="2"/>
      <c r="K1394" s="2"/>
      <c r="L1394" s="2"/>
      <c r="M1394" s="2"/>
      <c r="N1394" s="2"/>
      <c r="O1394" s="2"/>
      <c r="Q1394" s="2"/>
      <c r="S1394" s="7" t="s">
        <v>5712</v>
      </c>
      <c r="T1394" s="7" t="s">
        <v>5712</v>
      </c>
      <c r="U1394" s="2" t="s">
        <v>5712</v>
      </c>
    </row>
    <row r="1395" spans="1:21" ht="12.75" x14ac:dyDescent="0.2">
      <c r="A1395" s="1"/>
      <c r="B1395" s="2"/>
      <c r="C1395" s="2"/>
      <c r="D1395" s="2"/>
      <c r="E1395" s="3"/>
      <c r="F1395" s="4"/>
      <c r="G1395" s="2"/>
      <c r="H1395" s="2"/>
      <c r="K1395" s="2"/>
      <c r="L1395" s="2"/>
      <c r="M1395" s="2"/>
      <c r="N1395" s="2"/>
      <c r="O1395" s="2"/>
      <c r="Q1395" s="2"/>
      <c r="S1395" s="7" t="s">
        <v>5712</v>
      </c>
      <c r="T1395" s="7" t="s">
        <v>5712</v>
      </c>
      <c r="U1395" s="2" t="s">
        <v>5712</v>
      </c>
    </row>
    <row r="1396" spans="1:21" ht="12.75" x14ac:dyDescent="0.2">
      <c r="A1396" s="1"/>
      <c r="B1396" s="2"/>
      <c r="C1396" s="2"/>
      <c r="D1396" s="2"/>
      <c r="E1396" s="3"/>
      <c r="F1396" s="4"/>
      <c r="G1396" s="2"/>
      <c r="H1396" s="2"/>
      <c r="K1396" s="2"/>
      <c r="L1396" s="2"/>
      <c r="M1396" s="2"/>
      <c r="N1396" s="2"/>
      <c r="O1396" s="2"/>
      <c r="Q1396" s="2"/>
      <c r="S1396" s="7" t="s">
        <v>5712</v>
      </c>
      <c r="T1396" s="7" t="s">
        <v>5712</v>
      </c>
      <c r="U1396" s="2" t="s">
        <v>5712</v>
      </c>
    </row>
    <row r="1397" spans="1:21" ht="12.75" x14ac:dyDescent="0.2">
      <c r="A1397" s="1"/>
      <c r="B1397" s="2"/>
      <c r="C1397" s="2"/>
      <c r="D1397" s="2"/>
      <c r="E1397" s="3"/>
      <c r="F1397" s="4"/>
      <c r="G1397" s="2"/>
      <c r="H1397" s="2"/>
      <c r="K1397" s="2"/>
      <c r="L1397" s="2"/>
      <c r="M1397" s="2"/>
      <c r="N1397" s="2"/>
      <c r="O1397" s="2"/>
      <c r="Q1397" s="2"/>
      <c r="S1397" s="7" t="s">
        <v>5712</v>
      </c>
      <c r="T1397" s="7" t="s">
        <v>5712</v>
      </c>
      <c r="U1397" s="2" t="s">
        <v>5712</v>
      </c>
    </row>
    <row r="1398" spans="1:21" ht="12.75" x14ac:dyDescent="0.2">
      <c r="A1398" s="1"/>
      <c r="B1398" s="2"/>
      <c r="C1398" s="2"/>
      <c r="D1398" s="2"/>
      <c r="E1398" s="3"/>
      <c r="F1398" s="4"/>
      <c r="G1398" s="2"/>
      <c r="H1398" s="2"/>
      <c r="K1398" s="2"/>
      <c r="L1398" s="2"/>
      <c r="M1398" s="2"/>
      <c r="N1398" s="2"/>
      <c r="O1398" s="2"/>
      <c r="Q1398" s="2"/>
      <c r="S1398" s="7" t="s">
        <v>5712</v>
      </c>
      <c r="T1398" s="7" t="s">
        <v>5712</v>
      </c>
      <c r="U1398" s="2" t="s">
        <v>5712</v>
      </c>
    </row>
    <row r="1399" spans="1:21" ht="12.75" x14ac:dyDescent="0.2">
      <c r="A1399" s="1"/>
      <c r="B1399" s="2"/>
      <c r="C1399" s="2"/>
      <c r="D1399" s="2"/>
      <c r="E1399" s="3"/>
      <c r="F1399" s="4"/>
      <c r="G1399" s="2"/>
      <c r="H1399" s="2"/>
      <c r="K1399" s="2"/>
      <c r="L1399" s="2"/>
      <c r="M1399" s="2"/>
      <c r="N1399" s="2"/>
      <c r="O1399" s="2"/>
      <c r="Q1399" s="2"/>
      <c r="S1399" s="7" t="s">
        <v>5712</v>
      </c>
      <c r="T1399" s="7" t="s">
        <v>5712</v>
      </c>
      <c r="U1399" s="2" t="s">
        <v>5712</v>
      </c>
    </row>
    <row r="1400" spans="1:21" ht="12.75" x14ac:dyDescent="0.2">
      <c r="A1400" s="1"/>
      <c r="B1400" s="2"/>
      <c r="C1400" s="2"/>
      <c r="D1400" s="2"/>
      <c r="E1400" s="3"/>
      <c r="F1400" s="4"/>
      <c r="G1400" s="2"/>
      <c r="H1400" s="2"/>
      <c r="K1400" s="2"/>
      <c r="L1400" s="2"/>
      <c r="M1400" s="2"/>
      <c r="N1400" s="2"/>
      <c r="O1400" s="2"/>
      <c r="Q1400" s="2"/>
      <c r="S1400" s="7" t="s">
        <v>5712</v>
      </c>
      <c r="T1400" s="7" t="s">
        <v>5712</v>
      </c>
      <c r="U1400" s="2" t="s">
        <v>5712</v>
      </c>
    </row>
    <row r="1401" spans="1:21" ht="12.75" x14ac:dyDescent="0.2">
      <c r="A1401" s="1"/>
      <c r="B1401" s="2"/>
      <c r="C1401" s="2"/>
      <c r="D1401" s="2"/>
      <c r="E1401" s="3"/>
      <c r="F1401" s="4"/>
      <c r="G1401" s="2"/>
      <c r="H1401" s="2"/>
      <c r="K1401" s="2"/>
      <c r="L1401" s="2"/>
      <c r="M1401" s="2"/>
      <c r="N1401" s="2"/>
      <c r="O1401" s="2"/>
      <c r="Q1401" s="2"/>
      <c r="S1401" s="7" t="s">
        <v>5712</v>
      </c>
      <c r="T1401" s="7" t="s">
        <v>5712</v>
      </c>
      <c r="U1401" s="2" t="s">
        <v>5712</v>
      </c>
    </row>
    <row r="1402" spans="1:21" ht="12.75" x14ac:dyDescent="0.2">
      <c r="A1402" s="1"/>
      <c r="B1402" s="2"/>
      <c r="C1402" s="2"/>
      <c r="D1402" s="2"/>
      <c r="E1402" s="3"/>
      <c r="F1402" s="4"/>
      <c r="G1402" s="2"/>
      <c r="H1402" s="2"/>
      <c r="K1402" s="2"/>
      <c r="L1402" s="2"/>
      <c r="M1402" s="2"/>
      <c r="N1402" s="2"/>
      <c r="O1402" s="2"/>
      <c r="Q1402" s="2"/>
      <c r="S1402" s="7" t="s">
        <v>5712</v>
      </c>
      <c r="T1402" s="7" t="s">
        <v>5712</v>
      </c>
      <c r="U1402" s="2" t="s">
        <v>5712</v>
      </c>
    </row>
    <row r="1403" spans="1:21" ht="12.75" x14ac:dyDescent="0.2">
      <c r="A1403" s="1"/>
      <c r="B1403" s="2"/>
      <c r="C1403" s="2"/>
      <c r="D1403" s="2"/>
      <c r="E1403" s="3"/>
      <c r="F1403" s="4"/>
      <c r="G1403" s="2"/>
      <c r="H1403" s="2"/>
      <c r="K1403" s="2"/>
      <c r="L1403" s="2"/>
      <c r="M1403" s="2"/>
      <c r="N1403" s="2"/>
      <c r="O1403" s="2"/>
      <c r="Q1403" s="2"/>
      <c r="S1403" s="7" t="s">
        <v>5712</v>
      </c>
      <c r="T1403" s="7" t="s">
        <v>5712</v>
      </c>
      <c r="U1403" s="2" t="s">
        <v>5712</v>
      </c>
    </row>
    <row r="1404" spans="1:21" ht="12.75" x14ac:dyDescent="0.2">
      <c r="A1404" s="1"/>
      <c r="B1404" s="2"/>
      <c r="C1404" s="2"/>
      <c r="D1404" s="2"/>
      <c r="E1404" s="3"/>
      <c r="F1404" s="4"/>
      <c r="G1404" s="2"/>
      <c r="H1404" s="2"/>
      <c r="K1404" s="2"/>
      <c r="L1404" s="2"/>
      <c r="M1404" s="2"/>
      <c r="N1404" s="2"/>
      <c r="O1404" s="2"/>
      <c r="Q1404" s="2"/>
      <c r="S1404" s="7" t="s">
        <v>5712</v>
      </c>
      <c r="T1404" s="7" t="s">
        <v>5712</v>
      </c>
      <c r="U1404" s="2" t="s">
        <v>5712</v>
      </c>
    </row>
    <row r="1405" spans="1:21" ht="12.75" x14ac:dyDescent="0.2">
      <c r="A1405" s="1"/>
      <c r="B1405" s="2"/>
      <c r="C1405" s="2"/>
      <c r="D1405" s="2"/>
      <c r="E1405" s="3"/>
      <c r="F1405" s="4"/>
      <c r="G1405" s="2"/>
      <c r="H1405" s="2"/>
      <c r="K1405" s="2"/>
      <c r="L1405" s="2"/>
      <c r="M1405" s="2"/>
      <c r="N1405" s="2"/>
      <c r="O1405" s="2"/>
      <c r="Q1405" s="2"/>
      <c r="S1405" s="7" t="s">
        <v>5712</v>
      </c>
      <c r="T1405" s="7" t="s">
        <v>5712</v>
      </c>
      <c r="U1405" s="2" t="s">
        <v>5712</v>
      </c>
    </row>
    <row r="1406" spans="1:21" ht="12.75" x14ac:dyDescent="0.2">
      <c r="A1406" s="1"/>
      <c r="B1406" s="2"/>
      <c r="C1406" s="2"/>
      <c r="D1406" s="2"/>
      <c r="E1406" s="3"/>
      <c r="F1406" s="4"/>
      <c r="G1406" s="2"/>
      <c r="H1406" s="2"/>
      <c r="K1406" s="2"/>
      <c r="L1406" s="2"/>
      <c r="M1406" s="2"/>
      <c r="N1406" s="2"/>
      <c r="O1406" s="2"/>
      <c r="Q1406" s="2"/>
      <c r="S1406" s="7" t="s">
        <v>5712</v>
      </c>
      <c r="T1406" s="7" t="s">
        <v>5712</v>
      </c>
      <c r="U1406" s="2" t="s">
        <v>5712</v>
      </c>
    </row>
    <row r="1407" spans="1:21" ht="12.75" x14ac:dyDescent="0.2">
      <c r="A1407" s="1"/>
      <c r="B1407" s="2"/>
      <c r="C1407" s="2"/>
      <c r="D1407" s="2"/>
      <c r="E1407" s="3"/>
      <c r="F1407" s="4"/>
      <c r="G1407" s="2"/>
      <c r="H1407" s="2"/>
      <c r="K1407" s="2"/>
      <c r="L1407" s="2"/>
      <c r="M1407" s="2"/>
      <c r="N1407" s="2"/>
      <c r="O1407" s="2"/>
      <c r="Q1407" s="2"/>
      <c r="S1407" s="7" t="s">
        <v>5712</v>
      </c>
      <c r="T1407" s="7" t="s">
        <v>5712</v>
      </c>
      <c r="U1407" s="2" t="s">
        <v>5712</v>
      </c>
    </row>
    <row r="1408" spans="1:21" ht="12.75" x14ac:dyDescent="0.2">
      <c r="A1408" s="1"/>
      <c r="B1408" s="2"/>
      <c r="C1408" s="2"/>
      <c r="D1408" s="2"/>
      <c r="E1408" s="3"/>
      <c r="F1408" s="4"/>
      <c r="G1408" s="2"/>
      <c r="H1408" s="2"/>
      <c r="K1408" s="2"/>
      <c r="L1408" s="2"/>
      <c r="M1408" s="2"/>
      <c r="N1408" s="2"/>
      <c r="O1408" s="2"/>
      <c r="Q1408" s="2"/>
      <c r="S1408" s="7" t="s">
        <v>5712</v>
      </c>
      <c r="T1408" s="7" t="s">
        <v>5712</v>
      </c>
      <c r="U1408" s="2" t="s">
        <v>5712</v>
      </c>
    </row>
    <row r="1409" spans="1:21" ht="12.75" x14ac:dyDescent="0.2">
      <c r="A1409" s="1"/>
      <c r="B1409" s="2"/>
      <c r="C1409" s="2"/>
      <c r="D1409" s="2"/>
      <c r="E1409" s="3"/>
      <c r="F1409" s="4"/>
      <c r="G1409" s="2"/>
      <c r="H1409" s="2"/>
      <c r="K1409" s="2"/>
      <c r="L1409" s="2"/>
      <c r="M1409" s="2"/>
      <c r="N1409" s="2"/>
      <c r="O1409" s="2"/>
      <c r="Q1409" s="2"/>
      <c r="S1409" s="7" t="s">
        <v>5712</v>
      </c>
      <c r="T1409" s="7" t="s">
        <v>5712</v>
      </c>
      <c r="U1409" s="2" t="s">
        <v>5712</v>
      </c>
    </row>
    <row r="1410" spans="1:21" ht="12.75" x14ac:dyDescent="0.2">
      <c r="A1410" s="1"/>
      <c r="B1410" s="2"/>
      <c r="C1410" s="2"/>
      <c r="D1410" s="2"/>
      <c r="E1410" s="3"/>
      <c r="F1410" s="4"/>
      <c r="G1410" s="2"/>
      <c r="H1410" s="2"/>
      <c r="K1410" s="2"/>
      <c r="L1410" s="2"/>
      <c r="M1410" s="2"/>
      <c r="N1410" s="2"/>
      <c r="O1410" s="2"/>
      <c r="Q1410" s="2"/>
      <c r="S1410" s="7" t="s">
        <v>5712</v>
      </c>
      <c r="T1410" s="7" t="s">
        <v>5712</v>
      </c>
      <c r="U1410" s="2" t="s">
        <v>5712</v>
      </c>
    </row>
    <row r="1411" spans="1:21" ht="12.75" x14ac:dyDescent="0.2">
      <c r="A1411" s="1"/>
      <c r="B1411" s="2"/>
      <c r="C1411" s="2"/>
      <c r="D1411" s="2"/>
      <c r="E1411" s="3"/>
      <c r="F1411" s="4"/>
      <c r="G1411" s="2"/>
      <c r="H1411" s="2"/>
      <c r="K1411" s="2"/>
      <c r="L1411" s="2"/>
      <c r="M1411" s="2"/>
      <c r="N1411" s="2"/>
      <c r="O1411" s="2"/>
      <c r="Q1411" s="2"/>
      <c r="S1411" s="7" t="s">
        <v>5712</v>
      </c>
      <c r="T1411" s="7" t="s">
        <v>5712</v>
      </c>
      <c r="U1411" s="2" t="s">
        <v>5712</v>
      </c>
    </row>
    <row r="1412" spans="1:21" ht="12.75" x14ac:dyDescent="0.2">
      <c r="A1412" s="1"/>
      <c r="B1412" s="2"/>
      <c r="C1412" s="2"/>
      <c r="D1412" s="2"/>
      <c r="E1412" s="3"/>
      <c r="F1412" s="4"/>
      <c r="G1412" s="2"/>
      <c r="H1412" s="2"/>
      <c r="K1412" s="2"/>
      <c r="L1412" s="2"/>
      <c r="M1412" s="2"/>
      <c r="N1412" s="2"/>
      <c r="O1412" s="2"/>
      <c r="Q1412" s="2"/>
      <c r="S1412" s="7" t="s">
        <v>5712</v>
      </c>
      <c r="T1412" s="7" t="s">
        <v>5712</v>
      </c>
      <c r="U1412" s="2" t="s">
        <v>5712</v>
      </c>
    </row>
    <row r="1413" spans="1:21" ht="12.75" x14ac:dyDescent="0.2">
      <c r="A1413" s="1"/>
      <c r="B1413" s="2"/>
      <c r="C1413" s="2"/>
      <c r="D1413" s="2"/>
      <c r="E1413" s="3"/>
      <c r="F1413" s="4"/>
      <c r="G1413" s="2"/>
      <c r="H1413" s="2"/>
      <c r="K1413" s="2"/>
      <c r="L1413" s="2"/>
      <c r="M1413" s="2"/>
      <c r="N1413" s="2"/>
      <c r="O1413" s="2"/>
      <c r="Q1413" s="2"/>
      <c r="S1413" s="7" t="s">
        <v>5712</v>
      </c>
      <c r="T1413" s="7" t="s">
        <v>5712</v>
      </c>
      <c r="U1413" s="2" t="s">
        <v>5712</v>
      </c>
    </row>
    <row r="1414" spans="1:21" ht="12.75" x14ac:dyDescent="0.2">
      <c r="A1414" s="1"/>
      <c r="B1414" s="2"/>
      <c r="C1414" s="2"/>
      <c r="D1414" s="2"/>
      <c r="E1414" s="3"/>
      <c r="F1414" s="4"/>
      <c r="G1414" s="2"/>
      <c r="H1414" s="2"/>
      <c r="K1414" s="2"/>
      <c r="L1414" s="2"/>
      <c r="M1414" s="2"/>
      <c r="N1414" s="2"/>
      <c r="O1414" s="2"/>
      <c r="Q1414" s="2"/>
      <c r="S1414" s="7" t="s">
        <v>5712</v>
      </c>
      <c r="T1414" s="7" t="s">
        <v>5712</v>
      </c>
      <c r="U1414" s="2" t="s">
        <v>5712</v>
      </c>
    </row>
    <row r="1415" spans="1:21" ht="12.75" x14ac:dyDescent="0.2">
      <c r="A1415" s="1"/>
      <c r="B1415" s="2"/>
      <c r="C1415" s="2"/>
      <c r="D1415" s="2"/>
      <c r="E1415" s="3"/>
      <c r="F1415" s="4"/>
      <c r="G1415" s="2"/>
      <c r="H1415" s="2"/>
      <c r="K1415" s="2"/>
      <c r="L1415" s="2"/>
      <c r="M1415" s="2"/>
      <c r="N1415" s="2"/>
      <c r="O1415" s="2"/>
      <c r="Q1415" s="2"/>
      <c r="S1415" s="7" t="s">
        <v>5712</v>
      </c>
      <c r="T1415" s="7" t="s">
        <v>5712</v>
      </c>
      <c r="U1415" s="2" t="s">
        <v>5712</v>
      </c>
    </row>
    <row r="1416" spans="1:21" ht="12.75" x14ac:dyDescent="0.2">
      <c r="A1416" s="1"/>
      <c r="B1416" s="2"/>
      <c r="C1416" s="2"/>
      <c r="D1416" s="2"/>
      <c r="E1416" s="3"/>
      <c r="F1416" s="4"/>
      <c r="G1416" s="2"/>
      <c r="H1416" s="2"/>
      <c r="K1416" s="2"/>
      <c r="L1416" s="2"/>
      <c r="M1416" s="2"/>
      <c r="N1416" s="2"/>
      <c r="O1416" s="2"/>
      <c r="Q1416" s="2"/>
      <c r="S1416" s="7" t="s">
        <v>5712</v>
      </c>
      <c r="T1416" s="7" t="s">
        <v>5712</v>
      </c>
      <c r="U1416" s="2" t="s">
        <v>5712</v>
      </c>
    </row>
    <row r="1417" spans="1:21" ht="12.75" x14ac:dyDescent="0.2">
      <c r="A1417" s="1"/>
      <c r="B1417" s="2"/>
      <c r="C1417" s="2"/>
      <c r="D1417" s="2"/>
      <c r="E1417" s="3"/>
      <c r="F1417" s="4"/>
      <c r="G1417" s="2"/>
      <c r="H1417" s="2"/>
      <c r="K1417" s="2"/>
      <c r="L1417" s="2"/>
      <c r="M1417" s="2"/>
      <c r="N1417" s="2"/>
      <c r="O1417" s="2"/>
      <c r="Q1417" s="2"/>
      <c r="S1417" s="7" t="s">
        <v>5712</v>
      </c>
      <c r="T1417" s="7" t="s">
        <v>5712</v>
      </c>
      <c r="U1417" s="2" t="s">
        <v>5712</v>
      </c>
    </row>
    <row r="1418" spans="1:21" ht="12.75" x14ac:dyDescent="0.2">
      <c r="A1418" s="1"/>
      <c r="B1418" s="2"/>
      <c r="C1418" s="2"/>
      <c r="D1418" s="2"/>
      <c r="E1418" s="3"/>
      <c r="F1418" s="4"/>
      <c r="G1418" s="2"/>
      <c r="H1418" s="2"/>
      <c r="K1418" s="2"/>
      <c r="L1418" s="2"/>
      <c r="M1418" s="2"/>
      <c r="N1418" s="2"/>
      <c r="O1418" s="2"/>
      <c r="Q1418" s="2"/>
      <c r="S1418" s="7" t="s">
        <v>5712</v>
      </c>
      <c r="T1418" s="7" t="s">
        <v>5712</v>
      </c>
      <c r="U1418" s="2" t="s">
        <v>5712</v>
      </c>
    </row>
    <row r="1419" spans="1:21" ht="12.75" x14ac:dyDescent="0.2">
      <c r="A1419" s="1"/>
      <c r="B1419" s="2"/>
      <c r="C1419" s="2"/>
      <c r="D1419" s="2"/>
      <c r="E1419" s="3"/>
      <c r="F1419" s="4"/>
      <c r="G1419" s="2"/>
      <c r="H1419" s="2"/>
      <c r="K1419" s="2"/>
      <c r="L1419" s="2"/>
      <c r="M1419" s="2"/>
      <c r="N1419" s="2"/>
      <c r="O1419" s="2"/>
      <c r="Q1419" s="2"/>
      <c r="S1419" s="7" t="s">
        <v>5712</v>
      </c>
      <c r="T1419" s="7" t="s">
        <v>5712</v>
      </c>
      <c r="U1419" s="2" t="s">
        <v>5712</v>
      </c>
    </row>
    <row r="1420" spans="1:21" ht="12.75" x14ac:dyDescent="0.2">
      <c r="A1420" s="1"/>
      <c r="B1420" s="2"/>
      <c r="C1420" s="2"/>
      <c r="D1420" s="2"/>
      <c r="E1420" s="3"/>
      <c r="F1420" s="4"/>
      <c r="G1420" s="2"/>
      <c r="H1420" s="2"/>
      <c r="K1420" s="2"/>
      <c r="L1420" s="2"/>
      <c r="M1420" s="2"/>
      <c r="N1420" s="2"/>
      <c r="O1420" s="2"/>
      <c r="Q1420" s="2"/>
      <c r="S1420" s="7" t="s">
        <v>5712</v>
      </c>
      <c r="T1420" s="7" t="s">
        <v>5712</v>
      </c>
      <c r="U1420" s="2" t="s">
        <v>5712</v>
      </c>
    </row>
    <row r="1421" spans="1:21" ht="12.75" x14ac:dyDescent="0.2">
      <c r="A1421" s="1"/>
      <c r="B1421" s="2"/>
      <c r="C1421" s="2"/>
      <c r="D1421" s="2"/>
      <c r="E1421" s="3"/>
      <c r="F1421" s="4"/>
      <c r="G1421" s="2"/>
      <c r="H1421" s="2"/>
      <c r="K1421" s="2"/>
      <c r="L1421" s="2"/>
      <c r="M1421" s="2"/>
      <c r="N1421" s="2"/>
      <c r="O1421" s="2"/>
      <c r="Q1421" s="2"/>
      <c r="S1421" s="7" t="s">
        <v>5712</v>
      </c>
      <c r="T1421" s="7" t="s">
        <v>5712</v>
      </c>
      <c r="U1421" s="2" t="s">
        <v>5712</v>
      </c>
    </row>
    <row r="1422" spans="1:21" ht="12.75" x14ac:dyDescent="0.2">
      <c r="A1422" s="1"/>
      <c r="B1422" s="2"/>
      <c r="C1422" s="2"/>
      <c r="D1422" s="2"/>
      <c r="E1422" s="3"/>
      <c r="F1422" s="4"/>
      <c r="G1422" s="2"/>
      <c r="H1422" s="2"/>
      <c r="K1422" s="2"/>
      <c r="L1422" s="2"/>
      <c r="M1422" s="2"/>
      <c r="N1422" s="2"/>
      <c r="O1422" s="2"/>
      <c r="Q1422" s="2"/>
      <c r="S1422" s="7" t="s">
        <v>5712</v>
      </c>
      <c r="T1422" s="7" t="s">
        <v>5712</v>
      </c>
      <c r="U1422" s="2" t="s">
        <v>5712</v>
      </c>
    </row>
    <row r="1423" spans="1:21" ht="12.75" x14ac:dyDescent="0.2">
      <c r="A1423" s="1"/>
      <c r="B1423" s="2"/>
      <c r="C1423" s="2"/>
      <c r="D1423" s="2"/>
      <c r="E1423" s="3"/>
      <c r="F1423" s="4"/>
      <c r="G1423" s="2"/>
      <c r="H1423" s="2"/>
      <c r="K1423" s="2"/>
      <c r="L1423" s="2"/>
      <c r="M1423" s="2"/>
      <c r="N1423" s="2"/>
      <c r="O1423" s="2"/>
      <c r="Q1423" s="2"/>
      <c r="S1423" s="7" t="s">
        <v>5712</v>
      </c>
      <c r="T1423" s="7" t="s">
        <v>5712</v>
      </c>
      <c r="U1423" s="2" t="s">
        <v>5712</v>
      </c>
    </row>
    <row r="1424" spans="1:21" ht="12.75" x14ac:dyDescent="0.2">
      <c r="A1424" s="1"/>
      <c r="B1424" s="2"/>
      <c r="C1424" s="2"/>
      <c r="D1424" s="2"/>
      <c r="E1424" s="3"/>
      <c r="F1424" s="4"/>
      <c r="G1424" s="2"/>
      <c r="H1424" s="2"/>
      <c r="K1424" s="2"/>
      <c r="L1424" s="2"/>
      <c r="M1424" s="2"/>
      <c r="N1424" s="2"/>
      <c r="O1424" s="2"/>
      <c r="Q1424" s="2"/>
      <c r="S1424" s="7" t="s">
        <v>5712</v>
      </c>
      <c r="T1424" s="7" t="s">
        <v>5712</v>
      </c>
      <c r="U1424" s="2" t="s">
        <v>5712</v>
      </c>
    </row>
    <row r="1425" spans="1:21" ht="12.75" x14ac:dyDescent="0.2">
      <c r="A1425" s="1"/>
      <c r="B1425" s="2"/>
      <c r="C1425" s="2"/>
      <c r="D1425" s="2"/>
      <c r="E1425" s="3"/>
      <c r="F1425" s="4"/>
      <c r="G1425" s="2"/>
      <c r="H1425" s="2"/>
      <c r="K1425" s="2"/>
      <c r="L1425" s="2"/>
      <c r="M1425" s="2"/>
      <c r="N1425" s="2"/>
      <c r="O1425" s="2"/>
      <c r="Q1425" s="2"/>
      <c r="S1425" s="7" t="s">
        <v>5712</v>
      </c>
      <c r="T1425" s="7" t="s">
        <v>5712</v>
      </c>
      <c r="U1425" s="2" t="s">
        <v>5712</v>
      </c>
    </row>
    <row r="1426" spans="1:21" ht="12.75" x14ac:dyDescent="0.2">
      <c r="A1426" s="1"/>
      <c r="B1426" s="2"/>
      <c r="C1426" s="2"/>
      <c r="D1426" s="2"/>
      <c r="E1426" s="3"/>
      <c r="F1426" s="4"/>
      <c r="G1426" s="2"/>
      <c r="H1426" s="2"/>
      <c r="K1426" s="2"/>
      <c r="L1426" s="2"/>
      <c r="M1426" s="2"/>
      <c r="N1426" s="2"/>
      <c r="O1426" s="2"/>
      <c r="Q1426" s="2"/>
      <c r="S1426" s="7" t="s">
        <v>5712</v>
      </c>
      <c r="T1426" s="7" t="s">
        <v>5712</v>
      </c>
      <c r="U1426" s="2" t="s">
        <v>5712</v>
      </c>
    </row>
    <row r="1427" spans="1:21" ht="12.75" x14ac:dyDescent="0.2">
      <c r="A1427" s="1"/>
      <c r="B1427" s="2"/>
      <c r="C1427" s="2"/>
      <c r="D1427" s="2"/>
      <c r="E1427" s="3"/>
      <c r="F1427" s="4"/>
      <c r="G1427" s="2"/>
      <c r="H1427" s="2"/>
      <c r="K1427" s="2"/>
      <c r="L1427" s="2"/>
      <c r="M1427" s="2"/>
      <c r="N1427" s="2"/>
      <c r="O1427" s="2"/>
      <c r="Q1427" s="2"/>
      <c r="S1427" s="7" t="s">
        <v>5712</v>
      </c>
      <c r="T1427" s="7" t="s">
        <v>5712</v>
      </c>
      <c r="U1427" s="2" t="s">
        <v>5712</v>
      </c>
    </row>
    <row r="1428" spans="1:21" ht="12.75" x14ac:dyDescent="0.2">
      <c r="A1428" s="1"/>
      <c r="B1428" s="2"/>
      <c r="C1428" s="2"/>
      <c r="D1428" s="2"/>
      <c r="E1428" s="3"/>
      <c r="F1428" s="4"/>
      <c r="G1428" s="2"/>
      <c r="H1428" s="2"/>
      <c r="K1428" s="2"/>
      <c r="L1428" s="2"/>
      <c r="M1428" s="2"/>
      <c r="N1428" s="2"/>
      <c r="O1428" s="2"/>
      <c r="Q1428" s="2"/>
      <c r="S1428" s="7" t="s">
        <v>5712</v>
      </c>
      <c r="T1428" s="7" t="s">
        <v>5712</v>
      </c>
      <c r="U1428" s="2" t="s">
        <v>5712</v>
      </c>
    </row>
    <row r="1429" spans="1:21" ht="12.75" x14ac:dyDescent="0.2">
      <c r="A1429" s="1"/>
      <c r="B1429" s="2"/>
      <c r="C1429" s="2"/>
      <c r="D1429" s="2"/>
      <c r="E1429" s="3"/>
      <c r="F1429" s="4"/>
      <c r="G1429" s="2"/>
      <c r="H1429" s="2"/>
      <c r="K1429" s="2"/>
      <c r="L1429" s="2"/>
      <c r="M1429" s="2"/>
      <c r="N1429" s="2"/>
      <c r="O1429" s="2"/>
      <c r="Q1429" s="2"/>
      <c r="S1429" s="7" t="s">
        <v>5712</v>
      </c>
      <c r="T1429" s="7" t="s">
        <v>5712</v>
      </c>
      <c r="U1429" s="2" t="s">
        <v>5712</v>
      </c>
    </row>
    <row r="1430" spans="1:21" ht="12.75" x14ac:dyDescent="0.2">
      <c r="A1430" s="1"/>
      <c r="B1430" s="2"/>
      <c r="C1430" s="2"/>
      <c r="D1430" s="2"/>
      <c r="E1430" s="3"/>
      <c r="F1430" s="4"/>
      <c r="G1430" s="2"/>
      <c r="H1430" s="2"/>
      <c r="K1430" s="2"/>
      <c r="L1430" s="2"/>
      <c r="M1430" s="2"/>
      <c r="N1430" s="2"/>
      <c r="O1430" s="2"/>
      <c r="Q1430" s="2"/>
      <c r="S1430" s="7" t="s">
        <v>5712</v>
      </c>
      <c r="T1430" s="7" t="s">
        <v>5712</v>
      </c>
      <c r="U1430" s="2" t="s">
        <v>5712</v>
      </c>
    </row>
    <row r="1431" spans="1:21" ht="12.75" x14ac:dyDescent="0.2">
      <c r="A1431" s="1"/>
      <c r="B1431" s="2"/>
      <c r="C1431" s="2"/>
      <c r="D1431" s="2"/>
      <c r="E1431" s="3"/>
      <c r="F1431" s="4"/>
      <c r="G1431" s="2"/>
      <c r="H1431" s="2"/>
      <c r="K1431" s="2"/>
      <c r="L1431" s="2"/>
      <c r="M1431" s="2"/>
      <c r="N1431" s="2"/>
      <c r="O1431" s="2"/>
      <c r="Q1431" s="2"/>
      <c r="S1431" s="7" t="s">
        <v>5712</v>
      </c>
      <c r="T1431" s="7" t="s">
        <v>5712</v>
      </c>
      <c r="U1431" s="2" t="s">
        <v>5712</v>
      </c>
    </row>
    <row r="1432" spans="1:21" ht="12.75" x14ac:dyDescent="0.2">
      <c r="A1432" s="1"/>
      <c r="B1432" s="2"/>
      <c r="C1432" s="2"/>
      <c r="D1432" s="2"/>
      <c r="E1432" s="3"/>
      <c r="F1432" s="4"/>
      <c r="G1432" s="2"/>
      <c r="H1432" s="2"/>
      <c r="K1432" s="2"/>
      <c r="L1432" s="2"/>
      <c r="M1432" s="2"/>
      <c r="N1432" s="2"/>
      <c r="O1432" s="2"/>
      <c r="Q1432" s="2"/>
      <c r="S1432" s="7" t="s">
        <v>5712</v>
      </c>
      <c r="T1432" s="7" t="s">
        <v>5712</v>
      </c>
      <c r="U1432" s="2" t="s">
        <v>5712</v>
      </c>
    </row>
    <row r="1433" spans="1:21" ht="12.75" x14ac:dyDescent="0.2">
      <c r="A1433" s="1"/>
      <c r="B1433" s="2"/>
      <c r="C1433" s="2"/>
      <c r="D1433" s="2"/>
      <c r="E1433" s="3"/>
      <c r="F1433" s="4"/>
      <c r="G1433" s="2"/>
      <c r="H1433" s="2"/>
      <c r="K1433" s="2"/>
      <c r="L1433" s="2"/>
      <c r="M1433" s="2"/>
      <c r="N1433" s="2"/>
      <c r="O1433" s="2"/>
      <c r="Q1433" s="2"/>
      <c r="S1433" s="7" t="s">
        <v>5712</v>
      </c>
      <c r="T1433" s="7" t="s">
        <v>5712</v>
      </c>
      <c r="U1433" s="2" t="s">
        <v>5712</v>
      </c>
    </row>
    <row r="1434" spans="1:21" ht="12.75" x14ac:dyDescent="0.2">
      <c r="A1434" s="1"/>
      <c r="B1434" s="2"/>
      <c r="C1434" s="2"/>
      <c r="D1434" s="2"/>
      <c r="E1434" s="3"/>
      <c r="F1434" s="4"/>
      <c r="G1434" s="2"/>
      <c r="H1434" s="2"/>
      <c r="K1434" s="2"/>
      <c r="L1434" s="2"/>
      <c r="M1434" s="2"/>
      <c r="N1434" s="2"/>
      <c r="O1434" s="2"/>
      <c r="Q1434" s="2"/>
      <c r="S1434" s="7" t="s">
        <v>5712</v>
      </c>
      <c r="T1434" s="7" t="s">
        <v>5712</v>
      </c>
      <c r="U1434" s="2" t="s">
        <v>5712</v>
      </c>
    </row>
    <row r="1435" spans="1:21" ht="12.75" x14ac:dyDescent="0.2">
      <c r="A1435" s="1"/>
      <c r="B1435" s="2"/>
      <c r="C1435" s="2"/>
      <c r="D1435" s="2"/>
      <c r="E1435" s="3"/>
      <c r="F1435" s="4"/>
      <c r="G1435" s="2"/>
      <c r="H1435" s="2"/>
      <c r="K1435" s="2"/>
      <c r="L1435" s="2"/>
      <c r="M1435" s="2"/>
      <c r="N1435" s="2"/>
      <c r="O1435" s="2"/>
      <c r="Q1435" s="2"/>
      <c r="S1435" s="7" t="s">
        <v>5712</v>
      </c>
      <c r="T1435" s="7" t="s">
        <v>5712</v>
      </c>
      <c r="U1435" s="2" t="s">
        <v>5712</v>
      </c>
    </row>
    <row r="1436" spans="1:21" ht="12.75" x14ac:dyDescent="0.2">
      <c r="A1436" s="1"/>
      <c r="B1436" s="2"/>
      <c r="C1436" s="2"/>
      <c r="D1436" s="2"/>
      <c r="E1436" s="3"/>
      <c r="F1436" s="4"/>
      <c r="G1436" s="2"/>
      <c r="H1436" s="2"/>
      <c r="K1436" s="2"/>
      <c r="L1436" s="2"/>
      <c r="M1436" s="2"/>
      <c r="N1436" s="2"/>
      <c r="O1436" s="2"/>
      <c r="Q1436" s="2"/>
      <c r="S1436" s="7" t="s">
        <v>5712</v>
      </c>
      <c r="T1436" s="7" t="s">
        <v>5712</v>
      </c>
      <c r="U1436" s="2" t="s">
        <v>5712</v>
      </c>
    </row>
    <row r="1437" spans="1:21" ht="12.75" x14ac:dyDescent="0.2">
      <c r="A1437" s="1"/>
      <c r="B1437" s="2"/>
      <c r="C1437" s="2"/>
      <c r="D1437" s="2"/>
      <c r="E1437" s="3"/>
      <c r="F1437" s="4"/>
      <c r="G1437" s="2"/>
      <c r="H1437" s="2"/>
      <c r="K1437" s="2"/>
      <c r="L1437" s="2"/>
      <c r="M1437" s="2"/>
      <c r="N1437" s="2"/>
      <c r="O1437" s="2"/>
      <c r="Q1437" s="2"/>
      <c r="S1437" s="7" t="s">
        <v>5712</v>
      </c>
      <c r="T1437" s="7" t="s">
        <v>5712</v>
      </c>
      <c r="U1437" s="2" t="s">
        <v>5712</v>
      </c>
    </row>
    <row r="1438" spans="1:21" ht="12.75" x14ac:dyDescent="0.2">
      <c r="A1438" s="1"/>
      <c r="B1438" s="2"/>
      <c r="C1438" s="2"/>
      <c r="D1438" s="2"/>
      <c r="E1438" s="3"/>
      <c r="F1438" s="4"/>
      <c r="G1438" s="2"/>
      <c r="H1438" s="2"/>
      <c r="K1438" s="2"/>
      <c r="L1438" s="2"/>
      <c r="M1438" s="2"/>
      <c r="N1438" s="2"/>
      <c r="O1438" s="2"/>
      <c r="Q1438" s="2"/>
      <c r="S1438" s="7" t="s">
        <v>5712</v>
      </c>
      <c r="T1438" s="7" t="s">
        <v>5712</v>
      </c>
      <c r="U1438" s="2" t="s">
        <v>5712</v>
      </c>
    </row>
    <row r="1439" spans="1:21" ht="12.75" x14ac:dyDescent="0.2">
      <c r="A1439" s="1"/>
      <c r="B1439" s="2"/>
      <c r="C1439" s="2"/>
      <c r="D1439" s="2"/>
      <c r="E1439" s="3"/>
      <c r="F1439" s="4"/>
      <c r="G1439" s="2"/>
      <c r="H1439" s="2"/>
      <c r="K1439" s="2"/>
      <c r="L1439" s="2"/>
      <c r="M1439" s="2"/>
      <c r="N1439" s="2"/>
      <c r="O1439" s="2"/>
      <c r="Q1439" s="2"/>
      <c r="S1439" s="7" t="s">
        <v>5712</v>
      </c>
      <c r="T1439" s="7" t="s">
        <v>5712</v>
      </c>
      <c r="U1439" s="2" t="s">
        <v>5712</v>
      </c>
    </row>
    <row r="1440" spans="1:21" ht="12.75" x14ac:dyDescent="0.2">
      <c r="A1440" s="1"/>
      <c r="B1440" s="2"/>
      <c r="C1440" s="2"/>
      <c r="D1440" s="2"/>
      <c r="E1440" s="3"/>
      <c r="F1440" s="4"/>
      <c r="G1440" s="2"/>
      <c r="H1440" s="2"/>
      <c r="K1440" s="2"/>
      <c r="L1440" s="2"/>
      <c r="M1440" s="2"/>
      <c r="N1440" s="2"/>
      <c r="O1440" s="2"/>
      <c r="Q1440" s="2"/>
      <c r="S1440" s="7" t="s">
        <v>5712</v>
      </c>
      <c r="T1440" s="7" t="s">
        <v>5712</v>
      </c>
      <c r="U1440" s="2" t="s">
        <v>5712</v>
      </c>
    </row>
    <row r="1441" spans="1:21" ht="12.75" x14ac:dyDescent="0.2">
      <c r="A1441" s="1"/>
      <c r="B1441" s="2"/>
      <c r="C1441" s="2"/>
      <c r="D1441" s="2"/>
      <c r="E1441" s="3"/>
      <c r="F1441" s="4"/>
      <c r="G1441" s="2"/>
      <c r="H1441" s="2"/>
      <c r="K1441" s="2"/>
      <c r="L1441" s="2"/>
      <c r="M1441" s="2"/>
      <c r="N1441" s="2"/>
      <c r="O1441" s="2"/>
      <c r="Q1441" s="2"/>
      <c r="S1441" s="7" t="s">
        <v>5712</v>
      </c>
      <c r="T1441" s="7" t="s">
        <v>5712</v>
      </c>
      <c r="U1441" s="2" t="s">
        <v>5712</v>
      </c>
    </row>
    <row r="1442" spans="1:21" ht="12.75" x14ac:dyDescent="0.2">
      <c r="A1442" s="1"/>
      <c r="B1442" s="2"/>
      <c r="C1442" s="2"/>
      <c r="D1442" s="2"/>
      <c r="E1442" s="3"/>
      <c r="F1442" s="4"/>
      <c r="G1442" s="2"/>
      <c r="H1442" s="2"/>
      <c r="K1442" s="2"/>
      <c r="L1442" s="2"/>
      <c r="M1442" s="2"/>
      <c r="N1442" s="2"/>
      <c r="O1442" s="2"/>
      <c r="Q1442" s="2"/>
      <c r="S1442" s="7" t="s">
        <v>5712</v>
      </c>
      <c r="T1442" s="7" t="s">
        <v>5712</v>
      </c>
      <c r="U1442" s="2" t="s">
        <v>5712</v>
      </c>
    </row>
    <row r="1443" spans="1:21" ht="12.75" x14ac:dyDescent="0.2">
      <c r="A1443" s="1"/>
      <c r="B1443" s="2"/>
      <c r="C1443" s="2"/>
      <c r="D1443" s="2"/>
      <c r="E1443" s="3"/>
      <c r="F1443" s="4"/>
      <c r="G1443" s="2"/>
      <c r="H1443" s="2"/>
      <c r="K1443" s="2"/>
      <c r="L1443" s="2"/>
      <c r="M1443" s="2"/>
      <c r="N1443" s="2"/>
      <c r="O1443" s="2"/>
      <c r="Q1443" s="2"/>
      <c r="S1443" s="7" t="s">
        <v>5712</v>
      </c>
      <c r="T1443" s="7" t="s">
        <v>5712</v>
      </c>
      <c r="U1443" s="2" t="s">
        <v>5712</v>
      </c>
    </row>
    <row r="1444" spans="1:21" ht="12.75" x14ac:dyDescent="0.2">
      <c r="A1444" s="1"/>
      <c r="B1444" s="2"/>
      <c r="C1444" s="2"/>
      <c r="D1444" s="2"/>
      <c r="E1444" s="3"/>
      <c r="F1444" s="4"/>
      <c r="G1444" s="2"/>
      <c r="H1444" s="2"/>
      <c r="K1444" s="2"/>
      <c r="L1444" s="2"/>
      <c r="M1444" s="2"/>
      <c r="N1444" s="2"/>
      <c r="O1444" s="2"/>
      <c r="Q1444" s="2"/>
      <c r="S1444" s="7" t="s">
        <v>5712</v>
      </c>
      <c r="T1444" s="7" t="s">
        <v>5712</v>
      </c>
      <c r="U1444" s="2" t="s">
        <v>5712</v>
      </c>
    </row>
    <row r="1445" spans="1:21" ht="12.75" x14ac:dyDescent="0.2">
      <c r="A1445" s="1"/>
      <c r="B1445" s="2"/>
      <c r="C1445" s="2"/>
      <c r="D1445" s="2"/>
      <c r="E1445" s="3"/>
      <c r="F1445" s="4"/>
      <c r="G1445" s="2"/>
      <c r="H1445" s="2"/>
      <c r="K1445" s="2"/>
      <c r="L1445" s="2"/>
      <c r="M1445" s="2"/>
      <c r="N1445" s="2"/>
      <c r="O1445" s="2"/>
      <c r="Q1445" s="2"/>
      <c r="S1445" s="7" t="s">
        <v>5712</v>
      </c>
      <c r="T1445" s="7" t="s">
        <v>5712</v>
      </c>
      <c r="U1445" s="2" t="s">
        <v>5712</v>
      </c>
    </row>
    <row r="1446" spans="1:21" ht="12.75" x14ac:dyDescent="0.2">
      <c r="A1446" s="1"/>
      <c r="B1446" s="2"/>
      <c r="C1446" s="2"/>
      <c r="D1446" s="2"/>
      <c r="E1446" s="3"/>
      <c r="F1446" s="4"/>
      <c r="G1446" s="2"/>
      <c r="H1446" s="2"/>
      <c r="K1446" s="2"/>
      <c r="L1446" s="2"/>
      <c r="M1446" s="2"/>
      <c r="N1446" s="2"/>
      <c r="O1446" s="2"/>
      <c r="Q1446" s="2"/>
      <c r="S1446" s="7" t="s">
        <v>5712</v>
      </c>
      <c r="T1446" s="7" t="s">
        <v>5712</v>
      </c>
      <c r="U1446" s="2" t="s">
        <v>5712</v>
      </c>
    </row>
    <row r="1447" spans="1:21" ht="12.75" x14ac:dyDescent="0.2">
      <c r="A1447" s="1"/>
      <c r="B1447" s="2"/>
      <c r="C1447" s="2"/>
      <c r="D1447" s="2"/>
      <c r="E1447" s="3"/>
      <c r="F1447" s="4"/>
      <c r="G1447" s="2"/>
      <c r="H1447" s="2"/>
      <c r="K1447" s="2"/>
      <c r="L1447" s="2"/>
      <c r="M1447" s="2"/>
      <c r="N1447" s="2"/>
      <c r="O1447" s="2"/>
      <c r="Q1447" s="2"/>
      <c r="S1447" s="7" t="s">
        <v>5712</v>
      </c>
      <c r="T1447" s="7" t="s">
        <v>5712</v>
      </c>
      <c r="U1447" s="2" t="s">
        <v>5712</v>
      </c>
    </row>
    <row r="1448" spans="1:21" ht="12.75" x14ac:dyDescent="0.2">
      <c r="A1448" s="1"/>
      <c r="B1448" s="2"/>
      <c r="C1448" s="2"/>
      <c r="D1448" s="2"/>
      <c r="E1448" s="3"/>
      <c r="F1448" s="4"/>
      <c r="G1448" s="2"/>
      <c r="H1448" s="2"/>
      <c r="K1448" s="2"/>
      <c r="L1448" s="2"/>
      <c r="M1448" s="2"/>
      <c r="N1448" s="2"/>
      <c r="O1448" s="2"/>
      <c r="Q1448" s="2"/>
      <c r="S1448" s="7" t="s">
        <v>5712</v>
      </c>
      <c r="T1448" s="7" t="s">
        <v>5712</v>
      </c>
      <c r="U1448" s="2" t="s">
        <v>5712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A148F-8989-4AFE-A9CF-C8F42371A9FD}">
  <dimension ref="A1:L2"/>
  <sheetViews>
    <sheetView workbookViewId="0">
      <selection activeCell="E2" sqref="E2"/>
    </sheetView>
  </sheetViews>
  <sheetFormatPr defaultRowHeight="15.75" x14ac:dyDescent="0.25"/>
  <cols>
    <col min="1" max="1" width="18" bestFit="1" customWidth="1"/>
    <col min="2" max="2" width="32" bestFit="1" customWidth="1"/>
    <col min="3" max="3" width="14" bestFit="1" customWidth="1"/>
    <col min="4" max="4" width="32" bestFit="1" customWidth="1"/>
    <col min="5" max="5" width="10.125" bestFit="1" customWidth="1"/>
    <col min="6" max="6" width="8.375" bestFit="1" customWidth="1"/>
    <col min="7" max="8" width="32" bestFit="1" customWidth="1"/>
    <col min="9" max="9" width="9.25" bestFit="1" customWidth="1"/>
    <col min="10" max="10" width="14.75" bestFit="1" customWidth="1"/>
    <col min="11" max="11" width="11.375" bestFit="1" customWidth="1"/>
    <col min="12" max="12" width="32.37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12</v>
      </c>
      <c r="B2" t="s">
        <v>13</v>
      </c>
      <c r="C2" t="s">
        <v>14</v>
      </c>
      <c r="D2" t="s">
        <v>13</v>
      </c>
      <c r="E2" t="s">
        <v>15</v>
      </c>
      <c r="F2" t="s">
        <v>16</v>
      </c>
      <c r="G2" t="s">
        <v>13</v>
      </c>
      <c r="H2" t="s">
        <v>13</v>
      </c>
      <c r="I2" t="s">
        <v>17</v>
      </c>
      <c r="J2" t="s">
        <v>17</v>
      </c>
      <c r="K2" t="s">
        <v>17</v>
      </c>
      <c r="L2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Projects</vt:lpstr>
      <vt:lpstr>Sheet3</vt:lpstr>
      <vt:lpstr>Sheet4</vt:lpstr>
      <vt:lpstr>Projects GS</vt:lpstr>
      <vt:lpstr>Projects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Giorgi Nikabadze</cp:lastModifiedBy>
  <dcterms:modified xsi:type="dcterms:W3CDTF">2025-12-19T07:49:09Z</dcterms:modified>
</cp:coreProperties>
</file>