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dover" sheetId="1" r:id="rId1"/>
    <sheet name="Placeholders" sheetId="2" r:id="rId2"/>
    <sheet name="Jobs" sheetId="3" r:id="rId3"/>
    <sheet name="Income Payments" sheetId="4" r:id="rId4"/>
    <sheet name="Job Distributions" sheetId="5" r:id="rId5"/>
  </sheets>
  <definedNames>
    <definedName name="Contract_Date">Placeholders!$B$18</definedName>
    <definedName name="Handover_Date">Placeholders!$B$2</definedName>
    <definedName name="Nominal_Handover_Price">Handover!$J$17:$J$64</definedName>
    <definedName name="Project_Address">Placeholders!$B$10</definedName>
    <definedName name="Project_Counteragent_Address_Line_1">Placeholders!$B$7</definedName>
    <definedName name="Project_Counteragent_Address_Line_2">Placeholders!$B$8</definedName>
    <definedName name="Project_Counteragent_Director">Placeholders!$B$6</definedName>
    <definedName name="Project_Counteragent_Director_Genitive">Placeholders!$B$5</definedName>
    <definedName name="Project_Counteragent_Entity_Type">Placeholders!$B$3</definedName>
    <definedName name="Project_Counteragent_ID">Placeholders!$B$9</definedName>
    <definedName name="Project_Counteragent_Name">Placeholders!$B$4</definedName>
    <definedName name="Project_Currency">Placeholders!$B$19</definedName>
    <definedName name="Project_Department">Placeholders!$B$1</definedName>
    <definedName name="Project_Insider_Address_Line1">Placeholders!$B$14</definedName>
    <definedName name="Project_Insider_Address_Line2">Placeholders!$B$15</definedName>
    <definedName name="Project_Insider_Director_Genitive">Placeholders!$B$16</definedName>
    <definedName name="Project_Insider_Director_Normative">Placeholders!$B$17</definedName>
    <definedName name="Project_Insider_Entity_Type">Placeholders!$B$11</definedName>
    <definedName name="Project_Insider_ID">Placeholders!$B$13</definedName>
    <definedName name="Project_Insider_Name">Placeholders!$B$12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dd\.mm\.yyyy"/>
    <numFmt numFmtId="165" formatCode="dd\.mm\.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43" fontId="0" fillId="0" borderId="0" xfId="0" applyNumberFormat="1"/>
    <xf numFmtId="165" fontId="0" fillId="0" borderId="0" xfId="0" applyNumberFormat="1"/>
    <xf numFmtId="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W85"/>
  <sheetViews>
    <sheetView workbookViewId="0" rightToLeft="0"/>
  </sheetViews>
  <cols>
    <col min="3" max="3" customWidth="1" width="4.5"/>
    <col min="4" max="4" customWidth="1" width="8.5"/>
    <col min="5" max="5" customWidth="1" width="13.5"/>
    <col min="6" max="6" customWidth="1" width="9.25"/>
    <col min="7" max="7" customWidth="1" width="8"/>
    <col min="8" max="8" customWidth="1" width="6.25"/>
    <col min="9" max="9" customWidth="1" width="15.625"/>
    <col min="10" max="10" customWidth="1" width="11.625"/>
    <col min="11" max="11" customWidth="1" width="13.75"/>
    <col min="16" max="16" customWidth="1" width="7.75"/>
  </cols>
  <sheetData>
    <row r="1">
      <c r="C1" t="str">
        <v>მიღება-ჩაბარების აქტი</v>
      </c>
    </row>
    <row r="2"/>
    <row r="3"/>
    <row r="4">
      <c r="C4" t="str">
        <f>IF(Project_Department="Tbilisi","ქ. თბილისი","ქ. ბათუმი")</f>
        <v>ქ. ბათუმი</v>
      </c>
      <c r="I4" t="str">
        <f>DAY(Handover_Date)&amp;" "&amp;IFERROR(VLOOKUP(MONTH(Handover_Date),{1,"იანვარი";2,"თებერვალი";3,"მარტი";4,"აპრილი";5,"მაისი";6,"ივნისი";7,"ივლისი";8,"აგვისტო";9,"სექტემბერი";10,"ოქტომბერი";11,"ნოემბერი";12,"დეკემბერი"},2,FALSE),"")&amp;" "&amp;YEAR(Handover_Date)</f>
        <v>0 იანვარი 1900</v>
      </c>
    </row>
    <row r="6" ht="28.5" customHeight="1" xml:space="preserve">
      <c r="C6" t="str" xml:space="preserve">
        <f>"ერთი მხრივ "&amp;Project_Counteragent_Entity_Type&amp;" "&amp;Project_Counteragent_Name&amp;" -  წარმოდგენილი დირექტორის"&amp;Project_Counteragent_Director_Genitive&amp;" სახით (შემდგომში დამკვეთი)."&amp;CHAR(10)&amp;"მისამართი :"&amp;Project_Counteragent_Address_Line_1&amp;" "&amp;Project_Counteragent_Address_Line_2&amp;CHAR(10)&amp;"საიდენტიფიკაციო კოდი: "&amp;Project_Counteragent_ID&amp;CHAR(10)&amp;CHAR(10)&amp;"მეორე მხრივ, "&amp;Project_Insider_Entity_Type&amp;" "&amp;Project_Insider_Name &amp; " წარმოდგენილი დირექტორის "&amp; Project_Insider_Director_Genitive&amp;" სახით (შემდგომში შემსრულებელი)." &amp;CHAR(10)&amp;"მისამართი: "&amp;Project_Insider_Address_Line1&amp;" "&amp;Project_Insider_Address_Line2&amp;CHAR(10)&amp;"საიდენტიფიკაციო ნომერი:  "&amp;Project_Insider_ID&amp;Project_Insider_Entity_Type&amp;"."&amp;CHAR(10)&amp;CHAR(10)&amp;" ვადგენთ წინამდებარე აქტს მასზედ, რომ"&amp;IFERROR(YEAR(Contract_Date)&amp;" წლის "&amp;DAY(Contract_Date)&amp;" "&amp;VLOOKUP(MONTH(Contract_Date),{1,"იანვარის";2,"თებერვალის";3,"მარტის";4,"აპრილის";5,"მაისის";6,"ივნისის";7,"ივლისის";8,"აგვისტოს";9,"სექტემბრის";10,"ოქტომბრის";11,"ნოემბრის";12,"დეკემბრის"},2,FALSE),"")&amp;" ხელშეკრულების თანახმად დამკვეთმა მიიღო, ხოლო შემსრულებელმა ჩააბარა ქვემოთ მოცემული ლიფტები მისამართზე - "&amp;Project_Address&amp;" :"</f>
        <v xml:space="preserve">ერთი მხრივ   -  წარმოდგენილი დირექტორის სახით (შემდგომში დამკვეთი)._x000d_
მისამართი : _x000d_
საიდენტიფიკაციო კოდი: _x000d_
_x000d_
მეორე მხრივ,   წარმოდგენილი დირექტორის  სახით (შემდგომში შემსრულებელი)._x000d_
მისამართი:  _x000d_
საიდენტიფიკაციო ნომერი:  ._x000d_
_x000d_
 ვადგენთ წინამდებარე აქტს მასზედ, რომ1900 წლის 0 იანვარის ხელშეკრულების თანახმად დამკვეთმა მიიღო, ხოლო შემსრულებელმა ჩააბარა ქვემოთ მოცემული ლიფტები მისამართზე -  :</v>
      </c>
    </row>
    <row r="7" ht="28.5" customHeight="1"/>
    <row r="8" ht="28.5" customHeight="1"/>
    <row r="9" ht="28.5" customHeight="1"/>
    <row r="10" ht="28.5" customHeight="1"/>
    <row r="11" ht="28.5" customHeight="1"/>
    <row r="12" ht="28.5" customHeight="1"/>
    <row r="13" ht="28.5" customHeight="1"/>
    <row r="14" ht="28.5" customHeight="1"/>
    <row r="16" ht="31.5" customHeight="1" xml:space="preserve">
      <c r="C16" t="str">
        <v>#</v>
      </c>
      <c r="D16" t="str">
        <v>კონტ. #</v>
      </c>
      <c r="E16" t="str">
        <v>მწარმოებელი</v>
      </c>
      <c r="F16" t="str" xml:space="preserve">
        <v xml:space="preserve">საქარხნო _x000d_
ნომერი</v>
      </c>
      <c r="G16" t="str" xml:space="preserve">
        <v xml:space="preserve">ამწეობა_x000d_
 (კგ)</v>
      </c>
      <c r="H16" t="str">
        <v>სართ.</v>
      </c>
      <c r="I16" t="str">
        <v>სერტიფიკატის #</v>
      </c>
      <c r="J16" t="str">
        <f>"თანხა "&amp;IF(Project_Currency="USD"," $", IF(Project_Currency = "EUR", " €"," ₾"))</f>
        <v>თანხა  ₾</v>
      </c>
      <c r="K16" t="str">
        <v>თანხა ₾</v>
      </c>
    </row>
    <row r="17">
      <c r="C17" t="e">
        <f>IF(D17&lt;&gt;"",ROW()-16,"")</f>
        <v>#VALUE!</v>
      </c>
      <c r="D17" t="e" cm="1">
        <f t="array" ref="D17">_xlws.FILTER(Jobs!A:A,Jobs!M:M= Handover_Date)</f>
        <v>#VALUE!</v>
      </c>
      <c r="E17" t="e" cm="1">
        <f t="array" ref="E17">_xlws.FILTER( Jobs!C:C,Jobs!M:M= Handover_Date)</f>
        <v>#VALUE!</v>
      </c>
      <c r="F17" t="e" cm="1">
        <f t="array" ref="F17">_xlws.FILTER(   Jobs!B:B,Jobs!M:M= Handover_Date)</f>
        <v>#VALUE!</v>
      </c>
      <c r="G17" t="e" cm="1">
        <f t="array" ref="G17">_xlws.FILTER(  Jobs!E:E,Jobs!M:M= Handover_Date)&amp;" კგ"</f>
        <v>#VALUE!</v>
      </c>
      <c r="H17" t="e" cm="1">
        <f t="array" ref="H17">_xlws.FILTER(   Jobs!D:D,Jobs!M:M= Handover_Date)</f>
        <v>#VALUE!</v>
      </c>
      <c r="I17" t="e" cm="1">
        <f t="array" ref="I17">_xlws.FILTER(    Jobs!N:N,Jobs!M:M= Handover_Date)</f>
        <v>#VALUE!</v>
      </c>
      <c r="J17" s="1" t="e" cm="1">
        <f t="array" ref="J17">_xlws.FILTER(    Jobs!F:F,Jobs!M:M= Handover_Date)</f>
        <v>#VALUE!</v>
      </c>
      <c r="K17" s="1" t="e" cm="1">
        <f t="array" ref="K17">_xlws.FILTER(     Jobs!K:K,Jobs!M:M= Handover_Date)</f>
        <v>#VALUE!</v>
      </c>
    </row>
    <row r="18">
      <c r="C18" t="str">
        <f>IF(D18&lt;&gt;"",ROW()-16,"")</f>
        <v/>
      </c>
    </row>
    <row r="19">
      <c r="C19" t="str">
        <f>IF(D19&lt;&gt;"",ROW()-16,"")</f>
        <v/>
      </c>
    </row>
    <row r="20">
      <c r="C20" t="str">
        <f>IF(D20&lt;&gt;"",ROW()-16,"")</f>
        <v/>
      </c>
    </row>
    <row r="21">
      <c r="C21" t="str">
        <f>IF(D21&lt;&gt;"",ROW()-16,"")</f>
        <v/>
      </c>
    </row>
    <row r="22">
      <c r="C22" t="str">
        <f>IF(D22&lt;&gt;"",ROW()-16,"")</f>
        <v/>
      </c>
    </row>
    <row r="23">
      <c r="C23" t="str">
        <f>IF(D23&lt;&gt;"",ROW()-16,"")</f>
        <v/>
      </c>
    </row>
    <row r="24">
      <c r="C24" t="str">
        <f>IF(D24&lt;&gt;"",ROW()-16,"")</f>
        <v/>
      </c>
    </row>
    <row r="25">
      <c r="C25" t="str">
        <f>IF(D25&lt;&gt;"",ROW()-16,"")</f>
        <v/>
      </c>
    </row>
    <row r="26">
      <c r="C26" t="str">
        <f>IF(D26&lt;&gt;"",ROW()-16,"")</f>
        <v/>
      </c>
    </row>
    <row r="27">
      <c r="C27" t="str">
        <f>IF(D27&lt;&gt;"",ROW()-16,"")</f>
        <v/>
      </c>
    </row>
    <row r="28">
      <c r="C28" t="str">
        <f>IF(D28&lt;&gt;"",ROW()-16,"")</f>
        <v/>
      </c>
    </row>
    <row r="29">
      <c r="C29" t="str">
        <f>IF(D29&lt;&gt;"",ROW()-16,"")</f>
        <v/>
      </c>
    </row>
    <row r="30">
      <c r="C30" t="str">
        <f>IF(D30&lt;&gt;"",ROW()-16,"")</f>
        <v/>
      </c>
    </row>
    <row r="31">
      <c r="C31" t="str">
        <f>IF(D31&lt;&gt;"",ROW()-16,"")</f>
        <v/>
      </c>
    </row>
    <row r="32">
      <c r="C32" t="str">
        <f>IF(D32&lt;&gt;"",ROW()-16,"")</f>
        <v/>
      </c>
    </row>
    <row r="33">
      <c r="C33" t="str">
        <f>IF(D33&lt;&gt;"",ROW()-16,"")</f>
        <v/>
      </c>
    </row>
    <row r="34">
      <c r="C34" t="str">
        <f>IF(D34&lt;&gt;"",ROW()-16,"")</f>
        <v/>
      </c>
    </row>
    <row r="35">
      <c r="C35" t="str">
        <f>IF(D35&lt;&gt;"",ROW()-16,"")</f>
        <v/>
      </c>
    </row>
    <row r="36">
      <c r="C36" t="str">
        <f>IF(D36&lt;&gt;"",ROW()-16,"")</f>
        <v/>
      </c>
    </row>
    <row r="37">
      <c r="C37" t="str">
        <f>IF(D37&lt;&gt;"",ROW()-16,"")</f>
        <v/>
      </c>
    </row>
    <row r="38">
      <c r="C38" t="str">
        <f>IF(D38&lt;&gt;"",ROW()-16,"")</f>
        <v/>
      </c>
    </row>
    <row r="39">
      <c r="C39" t="str">
        <f>IF(D39&lt;&gt;"",ROW()-16,"")</f>
        <v/>
      </c>
    </row>
    <row r="40">
      <c r="C40" t="str">
        <f>IF(D40&lt;&gt;"",ROW()-16,"")</f>
        <v/>
      </c>
    </row>
    <row r="41">
      <c r="C41" t="str">
        <f>IF(D41&lt;&gt;"",ROW()-16,"")</f>
        <v/>
      </c>
    </row>
    <row r="42">
      <c r="C42" t="str">
        <f>IF(D42&lt;&gt;"",ROW()-16,"")</f>
        <v/>
      </c>
    </row>
    <row r="43">
      <c r="C43" t="str">
        <f>IF(D43&lt;&gt;"",ROW()-16,"")</f>
        <v/>
      </c>
    </row>
    <row r="44">
      <c r="C44" t="str">
        <f>IF(D44&lt;&gt;"",ROW()-16,"")</f>
        <v/>
      </c>
    </row>
    <row r="45">
      <c r="C45" t="str">
        <f>IF(D45&lt;&gt;"",ROW()-16,"")</f>
        <v/>
      </c>
    </row>
    <row r="46">
      <c r="C46" t="str">
        <f>IF(D46&lt;&gt;"",ROW()-16,"")</f>
        <v/>
      </c>
    </row>
    <row r="47">
      <c r="C47" t="str">
        <f>IF(D47&lt;&gt;"",ROW()-16,"")</f>
        <v/>
      </c>
    </row>
    <row r="48">
      <c r="C48" t="str">
        <f>IF(D48&lt;&gt;"",ROW()-16,"")</f>
        <v/>
      </c>
    </row>
    <row r="49">
      <c r="C49" t="str">
        <f>IF(D49&lt;&gt;"",ROW()-16,"")</f>
        <v/>
      </c>
    </row>
    <row r="50">
      <c r="C50" t="str">
        <f>IF(D50&lt;&gt;"",ROW()-16,"")</f>
        <v/>
      </c>
    </row>
    <row r="51">
      <c r="C51" t="str">
        <f>IF(D51&lt;&gt;"",ROW()-16,"")</f>
        <v/>
      </c>
    </row>
    <row r="52">
      <c r="C52" t="str">
        <f>IF(D52&lt;&gt;"",ROW()-16,"")</f>
        <v/>
      </c>
    </row>
    <row r="53">
      <c r="C53" t="str">
        <f>IF(D53&lt;&gt;"",ROW()-16,"")</f>
        <v/>
      </c>
    </row>
    <row r="54">
      <c r="C54" t="str">
        <f>IF(D54&lt;&gt;"",ROW()-16,"")</f>
        <v/>
      </c>
    </row>
    <row r="55">
      <c r="C55" t="str">
        <f>IF(D55&lt;&gt;"",ROW()-16,"")</f>
        <v/>
      </c>
    </row>
    <row r="56">
      <c r="C56" t="str">
        <f>IF(D56&lt;&gt;"",ROW()-16,"")</f>
        <v/>
      </c>
    </row>
    <row r="57">
      <c r="C57" t="str">
        <f>IF(D57&lt;&gt;"",ROW()-16,"")</f>
        <v/>
      </c>
    </row>
    <row r="58">
      <c r="C58" t="str">
        <f>IF(D58&lt;&gt;"",ROW()-16,"")</f>
        <v/>
      </c>
    </row>
    <row r="59">
      <c r="C59" t="str">
        <f>IF(D59&lt;&gt;"",ROW()-16,"")</f>
        <v/>
      </c>
    </row>
    <row r="60">
      <c r="C60" t="str">
        <f>IF(D60&lt;&gt;"",ROW()-16,"")</f>
        <v/>
      </c>
    </row>
    <row r="61">
      <c r="C61" t="str">
        <f>IF(D61&lt;&gt;"",ROW()-16,"")</f>
        <v/>
      </c>
    </row>
    <row r="62">
      <c r="C62" t="str">
        <f>IF(D62&lt;&gt;"",ROW()-16,"")</f>
        <v/>
      </c>
    </row>
    <row r="63">
      <c r="C63" t="str">
        <f>IF(D63&lt;&gt;"",ROW()-16,"")</f>
        <v/>
      </c>
    </row>
    <row r="64">
      <c r="C64" t="str">
        <v>ჯამი</v>
      </c>
      <c r="J64" s="1" t="e">
        <f>SUM(J17:J63)</f>
        <v>#VALUE!</v>
      </c>
      <c r="K64" s="1" t="e">
        <f>SUM(K17:K63)</f>
        <v>#VALUE!</v>
      </c>
    </row>
    <row r="65"/>
    <row r="66" ht="139.5" customHeight="1" xml:space="preserve">
      <c r="C66" t="str" xml:space="preserve">
        <v xml:space="preserve">ცხრილში მოცემული თანხები მოცემულია მონტაჟის ღირებულების და დღგ-ს ჩათვლით._x000d_
1. მხარეები აცხადებენ, რომ ამ თარიღისთვის ხელშეკრულებით ნაკისრი ვალდებულებავ შემსრულებლის მიერ გაწეულია სრულად და ჯეროვნად. _x000d_
2. წინამდებარე აქტზე ხელის მოწერით მხარეები ადასტურებენ, რომ ერთმანეთის მიმართ პრეტენზია არ გააჩნიათ._x000d_
3. წინამდებარე აქტი შედგენილია თანაბარი იურიდიული ძალის მქონე 2 (ორი) ეგზემპლარად, ერთი ეგზემპლარი გადაეცემა დამკვეთს, ხოლო ერთი - შემსრულებელს.</v>
      </c>
    </row>
    <row r="67"/>
    <row r="68"/>
    <row r="69" ht="15.75" customHeight="1" xml:space="preserve">
      <c r="C69" t="str" xml:space="preserve">
        <f>Project_Counteragent_Entity_Type&amp; " "&amp;Project_Counteragent_Name&amp;CHAR(10)&amp;CHAR(10)&amp;"(დამკვეთი)"&amp;CHAR(10)&amp;CHAR(10)&amp;CHAR(10)&amp;CHAR(10)&amp;"----------------------------------"&amp;CHAR(10)&amp;"დირექტორი" &amp;CHAR(10)&amp;Project_Counteragent_Director</f>
        <v xml:space="preserve"> _x000d_
_x000d_
(დამკვეთი)_x000d_
_x000d_
_x000d_
_x000d_
----------------------------------_x000d_
დირექტორი_x000d_
</v>
      </c>
      <c r="H69" t="str" xml:space="preserve">
        <f>Project_Insider_Entity_Type&amp; " "&amp;Project_Insider_Name&amp;CHAR(10)&amp;CHAR(10)&amp;"(შემსრულებელი)"&amp;CHAR(10)&amp;CHAR(10)&amp;CHAR(10)&amp;CHAR(10)&amp;"----------------------------------"&amp;CHAR(10)&amp;"დირექტორი" &amp;CHAR(10)&amp;Project_Insider_Director_Normative</f>
        <v xml:space="preserve"> _x000d_
_x000d_
(შემსრულებელი)_x000d_
_x000d_
_x000d_
_x000d_
----------------------------------_x000d_
დირექტორი_x000d_
</v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mergeCells count="10">
    <mergeCell ref="P3:W3"/>
    <mergeCell ref="C6:K14"/>
    <mergeCell ref="C1:K1"/>
    <mergeCell ref="C66:K66"/>
    <mergeCell ref="C69:G79"/>
    <mergeCell ref="H69:K79"/>
    <mergeCell ref="C64:H64"/>
    <mergeCell ref="G2:H2"/>
    <mergeCell ref="C4:E4"/>
    <mergeCell ref="I4:K4"/>
  </mergeCells>
  <pageMargins left="0.25" right="0.25" top="0.75" bottom="0.75" header="0.3" footer="0.3"/>
  <ignoredErrors>
    <ignoredError numberStoredAsText="1" sqref="C1:W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 rightToLeft="0"/>
  </sheetViews>
  <cols>
    <col min="1" max="1" customWidth="1" width="36.125"/>
    <col min="2" max="2" customWidth="1" width="76.125"/>
  </cols>
  <sheetData>
    <row r="1">
      <c r="A1" t="str">
        <v>Project_Department</v>
      </c>
    </row>
    <row r="2">
      <c r="A2" t="str">
        <v>Handover_Date</v>
      </c>
      <c r="B2" s="2">
        <v>45306</v>
      </c>
    </row>
    <row r="3">
      <c r="A3" t="str">
        <v>Project_Counteragent_Entity_Type</v>
      </c>
    </row>
    <row r="4">
      <c r="A4" t="str">
        <v>Project_Counteragent_Name</v>
      </c>
      <c r="B4" t="str">
        <v>TEST_COUNTERAGENT_123</v>
      </c>
    </row>
    <row r="5">
      <c r="A5" t="str">
        <v>Project_Counteragent_Director_Genitive</v>
      </c>
      <c r="B5" s="2" t="str">
        <f>IFERROR(LEFT(Project_Counteragent_Director,FIND(" ",Project_Counteragent_Director)-1)&amp;" "&amp;IF(RIGHT(TRIM(MID(Project_Counteragent_Director,FIND(" ",Project_Counteragent_Director)+1,LEN(Project_Counteragent_Director))),1)="ე",LEFT(TRIM(MID(Project_Counteragent_Director,FIND(" ",Project_Counteragent_Director)+1,LEN(Project_Counteragent_Director))),LEN(TRIM(MID(Project_Counteragent_Director,FIND(" ",Project_Counteragent_Director)+1,LEN(Project_Counteragent_Director))))-1)&amp;"ის",IF(RIGHT(TRIM(MID(Project_Counteragent_Director,FIND(" ",Project_Counteragent_Director)+1,LEN(Project_Counteragent_Director))),1)="ა",LEFT(TRIM(MID(Project_Counteragent_Director,FIND(" ",Project_Counteragent_Director)+1,LEN(Project_Counteragent_Director))),LEN(TRIM(MID(Project_Counteragent_Director,FIND(" ",Project_Counteragent_Director)+1,LEN(Project_Counteragent_Director))))-1)&amp;"ას",IF(RIGHT(TRIM(MID(Project_Counteragent_Director,FIND(" ",Project_Counteragent_Director)+1,LEN(Project_Counteragent_Director))),1)="ი",LEFT(TRIM(MID(Project_Counteragent_Director,FIND(" ",Project_Counteragent_Director)+1,LEN(Project_Counteragent_Director))),LEN(TRIM(MID(Project_Counteragent_Director,FIND(" ",Project_Counteragent_Director)+1,LEN(Project_Counteragent_Director))))-1)&amp;"ის",IF(RIGHT(TRIM(MID(Project_Counteragent_Director,FIND(" ",Project_Counteragent_Director)+1,LEN(Project_Counteragent_Director))),1)="ო",LEFT(TRIM(MID(Project_Counteragent_Director,FIND(" ",Project_Counteragent_Director)+1,LEN(Project_Counteragent_Director))),LEN(TRIM(MID(Project_Counteragent_Director,FIND(" ",Project_Counteragent_Director)+1,LEN(Project_Counteragent_Director))))-1)&amp;"ოს",TRIM(MID(Project_Counteragent_Director,FIND(" ",Project_Counteragent_Director)+1,LEN(Project_Counteragent_Director))))))),"")</f>
        <v/>
      </c>
    </row>
    <row r="6">
      <c r="A6" t="str">
        <v>Project_Counteragent_Director</v>
      </c>
    </row>
    <row r="7">
      <c r="A7" t="str">
        <v>Project_Counteragent_Address_Line_1</v>
      </c>
    </row>
    <row r="8">
      <c r="A8" t="str">
        <v>Project_Counteragent_Address_Line_2</v>
      </c>
    </row>
    <row r="9">
      <c r="A9" t="str">
        <v>Project_Counteragent_ID</v>
      </c>
    </row>
    <row r="10">
      <c r="A10" t="str">
        <v>Project_Address</v>
      </c>
    </row>
    <row r="11">
      <c r="A11" t="str">
        <v>Project_Insider_Entity_Type</v>
      </c>
    </row>
    <row r="12">
      <c r="A12" t="str">
        <v>Project_Insider_Name</v>
      </c>
      <c r="B12" t="str">
        <v>TEST_COMPANY_456</v>
      </c>
    </row>
    <row r="13">
      <c r="A13" t="str">
        <v>Project_Insider_ID</v>
      </c>
    </row>
    <row r="14">
      <c r="A14" t="str">
        <v>Project_Insider_Address_Line1</v>
      </c>
    </row>
    <row r="15">
      <c r="A15" t="str">
        <v>Project_Insider_Address_Line2</v>
      </c>
    </row>
    <row r="16">
      <c r="A16" t="str">
        <v>Project_Insider_Director_Genitive</v>
      </c>
      <c r="B16" s="2" t="str">
        <f>IFERROR(LEFT(Project_Insider_Director_Normative,FIND(" ",Project_Insider_Director_Normative)-1)&amp;" "&amp;IF(RIGHT(TRIM(MID(Project_Insider_Director_Normative,FIND(" ",Project_Insider_Director_Normative)+1,LEN(Project_Insider_Director_Normative))),1)="ე",LEFT(TRIM(MID(Project_Insider_Director_Normative,FIND(" ",Project_Insider_Director_Normative)+1,LEN(Project_Insider_Director_Normative))),LEN(TRIM(MID(Project_Insider_Director_Normative,FIND(" ",Project_Insider_Director_Normative)+1,LEN(Project_Insider_Director_Normative))))-1)&amp;"ის",IF(RIGHT(TRIM(MID(Project_Insider_Director_Normative,FIND(" ",Project_Insider_Director_Normative)+1,LEN(Project_Insider_Director_Normative))),1)="ა",LEFT(TRIM(MID(Project_Insider_Director_Normative,FIND(" ",Project_Insider_Director_Normative)+1,LEN(Project_Insider_Director_Normative))),LEN(TRIM(MID(Project_Insider_Director_Normative,FIND(" ",Project_Insider_Director_Normative)+1,LEN(Project_Insider_Director_Normative))))-1)&amp;"ას",IF(RIGHT(TRIM(MID(Project_Insider_Director_Normative,FIND(" ",Project_Insider_Director_Normative)+1,LEN(Project_Insider_Director_Normative))),1)="ი",LEFT(TRIM(MID(Project_Insider_Director_Normative,FIND(" ",Project_Insider_Director_Normative)+1,LEN(Project_Insider_Director_Normative))),LEN(TRIM(MID(Project_Insider_Director_Normative,FIND(" ",Project_Insider_Director_Normative)+1,LEN(Project_Insider_Director_Normative))))-1)&amp;"ის",IF(RIGHT(TRIM(MID(Project_Insider_Director_Normative,FIND(" ",Project_Insider_Director_Normative)+1,LEN(Project_Insider_Director_Normative))),1)="ო",LEFT(TRIM(MID(Project_Insider_Director_Normative,FIND(" ",Project_Insider_Director_Normative)+1,LEN(Project_Insider_Director_Normative))),LEN(TRIM(MID(Project_Insider_Director_Normative,FIND(" ",Project_Insider_Director_Normative)+1,LEN(Project_Insider_Director_Normative))))-1)&amp;"ოს",TRIM(MID(Project_Insider_Director_Normative,FIND(" ",Project_Insider_Director_Normative)+1,LEN(Project_Insider_Director_Normative))))))),"")</f>
        <v/>
      </c>
    </row>
    <row r="17">
      <c r="A17" t="str">
        <v>Project_Insider_Director_Normative</v>
      </c>
    </row>
    <row r="18">
      <c r="A18" t="str">
        <v>Contract_Date</v>
      </c>
    </row>
    <row r="19">
      <c r="A19" t="str">
        <v>Project_Currency</v>
      </c>
    </row>
  </sheetData>
  <pageMargins left="0.7" right="0.7" top="0.75" bottom="0.75" header="0.3" footer="0.3"/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 rightToLeft="0"/>
  </sheetViews>
  <cols>
    <col min="1" max="1" customWidth="1" width="8.75"/>
    <col min="2" max="2" customWidth="1" width="9.5"/>
    <col min="3" max="3" customWidth="1" width="10.875"/>
    <col min="4" max="4" customWidth="1" width="5.75"/>
    <col min="5" max="5" customWidth="1" width="10.375"/>
    <col min="6" max="6" customWidth="1" width="10.75"/>
    <col min="7" max="7" customWidth="1" width="11.625"/>
    <col min="8" max="8" customWidth="1" width="9.875"/>
    <col min="9" max="9" customWidth="1" width="12.5"/>
    <col min="10" max="10" customWidth="1" width="8.875"/>
    <col min="11" max="11" customWidth="1" width="9.875"/>
    <col min="12" max="12" customWidth="1" width="6.75"/>
    <col min="13" max="13" customWidth="1" width="11.75"/>
    <col min="14" max="14" customWidth="1" width="13.875"/>
  </cols>
  <sheetData>
    <row r="1">
      <c r="A1" t="str">
        <v>Job Name</v>
      </c>
      <c r="B1" t="str">
        <v>Factory No</v>
      </c>
      <c r="C1" t="str">
        <v>Brand Name</v>
      </c>
      <c r="D1" t="str">
        <v>Floors</v>
      </c>
      <c r="E1" t="str">
        <v>Weight (kg)</v>
      </c>
      <c r="F1" t="str">
        <v>Selling Price</v>
      </c>
      <c r="G1" t="str">
        <v>Paid Nominal</v>
      </c>
      <c r="H1" t="str">
        <v>Paid GEL</v>
      </c>
      <c r="I1" t="str">
        <v>Debit Nominal</v>
      </c>
      <c r="J1" t="str">
        <v>Debit GEL</v>
      </c>
      <c r="K1" t="str">
        <v>Total GEL</v>
      </c>
      <c r="L1" t="str">
        <v>Type</v>
      </c>
      <c r="M1" t="str">
        <v>Lift Cert Date</v>
      </c>
      <c r="N1" t="str">
        <v>Lift Cert Doc No</v>
      </c>
    </row>
    <row r="2">
      <c r="A2" t="str">
        <v>L0001</v>
      </c>
      <c r="B2" t="str">
        <v>K6NC0632</v>
      </c>
      <c r="C2" t="str">
        <v>OTIS</v>
      </c>
      <c r="D2">
        <v>13</v>
      </c>
      <c r="E2">
        <v>1000</v>
      </c>
      <c r="F2" s="3">
        <v>44088</v>
      </c>
      <c r="G2" s="3">
        <v>41872.75</v>
      </c>
      <c r="H2" s="3">
        <v>112346.29000000001</v>
      </c>
      <c r="I2" s="3">
        <v>2215.25</v>
      </c>
      <c r="J2" s="3">
        <v>5921.81</v>
      </c>
      <c r="K2" s="3">
        <v>118268.1</v>
      </c>
      <c r="L2" t="str">
        <v>NOT FF</v>
      </c>
      <c r="M2" s="4">
        <v>46169</v>
      </c>
      <c r="N2" t="str">
        <v>0860-26</v>
      </c>
    </row>
    <row r="3">
      <c r="A3" t="str">
        <v>L0002</v>
      </c>
      <c r="B3" t="str">
        <v>K6NC0633</v>
      </c>
      <c r="C3" t="str">
        <v>OTIS</v>
      </c>
      <c r="D3">
        <v>13</v>
      </c>
      <c r="E3">
        <v>1600</v>
      </c>
      <c r="F3" s="3">
        <v>55044</v>
      </c>
      <c r="G3" s="3">
        <v>52291.8</v>
      </c>
      <c r="H3" s="3">
        <v>140307</v>
      </c>
      <c r="I3" s="3">
        <v>2752.199999999997</v>
      </c>
      <c r="J3" s="3">
        <v>7357.18</v>
      </c>
      <c r="K3" s="3">
        <v>147664.18</v>
      </c>
      <c r="L3" t="str">
        <v>NOT FF</v>
      </c>
      <c r="M3" s="4">
        <v>46169</v>
      </c>
      <c r="N3" t="str">
        <v>0861-26</v>
      </c>
    </row>
    <row r="4">
      <c r="A4" t="str">
        <v>L0003</v>
      </c>
      <c r="B4" t="str">
        <v>K6NC0634</v>
      </c>
      <c r="C4" t="str">
        <v>OTIS</v>
      </c>
      <c r="D4">
        <v>4</v>
      </c>
      <c r="E4">
        <v>1000</v>
      </c>
      <c r="F4" s="3">
        <v>53783</v>
      </c>
      <c r="G4" s="3">
        <v>51093.85</v>
      </c>
      <c r="H4" s="3">
        <v>137682.66</v>
      </c>
      <c r="I4" s="3">
        <v>2689.1500000000015</v>
      </c>
      <c r="J4" s="3">
        <v>0</v>
      </c>
      <c r="K4" s="3">
        <v>0</v>
      </c>
      <c r="L4" t="str">
        <v>NOT FF</v>
      </c>
      <c r="M4" s="4" t="str">
        <v/>
      </c>
      <c r="N4" t="str">
        <v/>
      </c>
    </row>
    <row r="5">
      <c r="A5" t="str">
        <v>L0004</v>
      </c>
      <c r="B5" t="str">
        <v>K6NC0635</v>
      </c>
      <c r="C5" t="str">
        <v>OTIS</v>
      </c>
      <c r="D5">
        <v>4</v>
      </c>
      <c r="E5">
        <v>1000</v>
      </c>
      <c r="F5" s="3">
        <v>53783</v>
      </c>
      <c r="G5" s="3">
        <v>51093.85</v>
      </c>
      <c r="H5" s="3">
        <v>137682.65</v>
      </c>
      <c r="I5" s="3">
        <v>2689.1500000000015</v>
      </c>
      <c r="J5" s="3">
        <v>0</v>
      </c>
      <c r="K5" s="3">
        <v>0</v>
      </c>
      <c r="L5" t="str">
        <v>NOT FF</v>
      </c>
      <c r="M5" s="4" t="str">
        <v/>
      </c>
      <c r="N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s="3">
        <v>206698</v>
      </c>
      <c r="G6" s="3">
        <v>196352.25</v>
      </c>
      <c r="H6" s="3">
        <v>528018.6</v>
      </c>
      <c r="I6" s="3">
        <v>10345.75</v>
      </c>
      <c r="J6" s="3">
        <v>13278.990000000002</v>
      </c>
      <c r="K6" s="3">
        <v>265932.28</v>
      </c>
      <c r="L6" t="str">
        <v/>
      </c>
      <c r="M6" t="str">
        <v/>
      </c>
      <c r="N6" t="str">
        <v/>
      </c>
    </row>
  </sheetData>
  <pageMargins left="0.7" right="0.7" top="0.75" bottom="0.75" header="0.3" footer="0.3"/>
  <ignoredErrors>
    <ignoredError numberStoredAsText="1" sqref="A1:N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cols>
    <col min="1" max="1" customWidth="1" width="10.25"/>
    <col min="2" max="2" customWidth="1" width="17.125"/>
    <col min="3" max="3" customWidth="1" width="62.875"/>
    <col min="4" max="4" customWidth="1" width="8.875"/>
    <col min="5" max="5" customWidth="1" width="8.875"/>
    <col min="6" max="6" customWidth="1" width="8.875"/>
    <col min="7" max="7" customWidth="1" width="7.75"/>
    <col min="8" max="8" customWidth="1" width="8.875"/>
  </cols>
  <sheetData>
    <row r="1">
      <c r="A1" t="str">
        <v>Latest Date</v>
      </c>
      <c r="B1" t="str">
        <v>Payment ID</v>
      </c>
      <c r="C1" t="str">
        <v>Financial Code</v>
      </c>
      <c r="D1" t="str">
        <v>Accrual</v>
      </c>
      <c r="E1" t="str">
        <v>Order</v>
      </c>
      <c r="F1" t="str">
        <v>Payment</v>
      </c>
      <c r="G1" t="str">
        <v>Paid %</v>
      </c>
      <c r="H1" t="str">
        <v>Due</v>
      </c>
    </row>
    <row r="2">
      <c r="A2" s="4">
        <v>45561</v>
      </c>
      <c r="B2" t="str">
        <v>b993e2_ba_b36a2b</v>
      </c>
      <c r="C2" t="str">
        <v>1.1.1.3. (+) ლიფტების საბაჟოზე შემოსვლის ან დასაწყობების ავანსი</v>
      </c>
      <c r="D2" s="3">
        <v>31004.7</v>
      </c>
      <c r="E2" s="3">
        <v>31004.7</v>
      </c>
      <c r="F2" s="3">
        <v>30993.85</v>
      </c>
      <c r="G2" s="5">
        <v>0.9997</v>
      </c>
      <c r="H2" s="3">
        <v>10.85</v>
      </c>
    </row>
    <row r="3">
      <c r="A3" s="4">
        <v>45567</v>
      </c>
      <c r="B3" t="str">
        <v>a009b1_ec_8a072a</v>
      </c>
      <c r="C3" t="str">
        <v>1.1.1.5. (+) ლიფტების ჩაბარება</v>
      </c>
      <c r="D3" s="3">
        <v>10334.9</v>
      </c>
      <c r="E3" s="3">
        <v>10334.9</v>
      </c>
      <c r="F3" s="3">
        <v>0</v>
      </c>
      <c r="G3" s="5">
        <v>0</v>
      </c>
      <c r="H3" s="3">
        <v>10334.9</v>
      </c>
    </row>
    <row r="4">
      <c r="A4" s="4">
        <v>45463</v>
      </c>
      <c r="B4" t="str">
        <v>51a575_51_bcfcf5</v>
      </c>
      <c r="C4" t="str">
        <v>1.1.1.2. (+) ლიფტების საქარხნო მზაობის ავანსი</v>
      </c>
      <c r="D4" s="3">
        <v>82679.2</v>
      </c>
      <c r="E4" s="3">
        <v>82679.2</v>
      </c>
      <c r="F4" s="3">
        <v>82679.2</v>
      </c>
      <c r="G4" s="5">
        <v>1</v>
      </c>
      <c r="H4" s="3">
        <v>0</v>
      </c>
    </row>
    <row r="5">
      <c r="A5" s="4" t="str">
        <v/>
      </c>
      <c r="B5" t="str">
        <v>4ad91b_a1_8cfceb</v>
      </c>
      <c r="C5" t="str">
        <v>1.1.1.4. (+) ლიფტების მონტაჟის პროგრესის ავანსი</v>
      </c>
      <c r="D5" s="3">
        <v>0</v>
      </c>
      <c r="E5" s="3">
        <v>0</v>
      </c>
      <c r="F5" s="3">
        <v>0</v>
      </c>
      <c r="G5" s="5">
        <v>0</v>
      </c>
      <c r="H5" s="3">
        <v>0</v>
      </c>
    </row>
    <row r="6">
      <c r="A6" s="4" t="str">
        <v/>
      </c>
      <c r="B6" t="str">
        <v>4a7383_56_ac88eb</v>
      </c>
      <c r="C6" t="str">
        <v>1.1.1.6. (+) ლიფტების თანხის დაკავების გარანტია</v>
      </c>
      <c r="D6" s="3">
        <v>0</v>
      </c>
      <c r="E6" s="3">
        <v>0</v>
      </c>
      <c r="F6" s="3">
        <v>0</v>
      </c>
      <c r="G6" s="5">
        <v>0</v>
      </c>
      <c r="H6" s="3">
        <v>0</v>
      </c>
    </row>
    <row r="7">
      <c r="A7" s="4">
        <v>45394</v>
      </c>
      <c r="B7" t="str">
        <v>39dbcb_5e_a9dccc</v>
      </c>
      <c r="C7" t="str">
        <v>1.1.1.1. (+) ლიფტების ავანსი</v>
      </c>
      <c r="D7" s="3">
        <v>82679.2</v>
      </c>
      <c r="E7" s="3">
        <v>82679.2</v>
      </c>
      <c r="F7" s="3">
        <v>82679.2</v>
      </c>
      <c r="G7" s="5">
        <v>1</v>
      </c>
      <c r="H7" s="3">
        <v>0</v>
      </c>
    </row>
  </sheetData>
  <pageMargins left="0.7" right="0.7" top="0.75" bottom="0.75" header="0.3" footer="0.3"/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4"/>
  <sheetViews>
    <sheetView workbookViewId="0" rightToLeft="0"/>
  </sheetViews>
  <cols>
    <col min="1" max="1" customWidth="1" width="9.875"/>
    <col min="2" max="2" customWidth="1" width="14.5"/>
    <col min="3" max="3" customWidth="1" width="7.875"/>
    <col min="4" max="4" customWidth="1" width="9.875"/>
    <col min="5" max="5" customWidth="1" width="62.875"/>
    <col min="6" max="6" customWidth="1" width="17.125"/>
    <col min="7" max="7" customWidth="1" width="22.25"/>
    <col min="8" max="8" customWidth="1" width="153.375"/>
    <col min="9" max="9" customWidth="1" width="11.875"/>
    <col min="10" max="10" customWidth="1" width="10.875"/>
    <col min="11" max="11" customWidth="1" width="8.75"/>
    <col min="12" max="12" customWidth="1" width="9.5"/>
    <col min="13" max="13" customWidth="1" width="10.75"/>
    <col min="14" max="14" customWidth="1" width="10.875"/>
    <col min="15" max="15" customWidth="1" width="16.75"/>
    <col min="16" max="16" customWidth="1" width="29.25"/>
  </cols>
  <sheetData>
    <row r="1">
      <c r="A1" t="str">
        <v>Date</v>
      </c>
      <c r="B1" t="str">
        <v>Nominal Amount</v>
      </c>
      <c r="C1" t="str">
        <v>Nom ISO</v>
      </c>
      <c r="D1" t="str">
        <v>Amount</v>
      </c>
      <c r="E1" t="str">
        <v>Financial Code</v>
      </c>
      <c r="F1" t="str">
        <v>Payment ID</v>
      </c>
      <c r="G1" t="str">
        <v>Batch ID</v>
      </c>
      <c r="H1" t="str">
        <v>Description</v>
      </c>
      <c r="I1" t="str">
        <v>ID1</v>
      </c>
      <c r="J1" t="str">
        <v>ID2</v>
      </c>
      <c r="K1" t="str">
        <v>Job Name</v>
      </c>
      <c r="L1" t="str">
        <v>Factory No</v>
      </c>
      <c r="M1" t="str">
        <v>Selling Price</v>
      </c>
      <c r="N1" t="str">
        <v>Allocation %</v>
      </c>
      <c r="O1" t="str">
        <v>Distributed Amount</v>
      </c>
      <c r="P1" t="str">
        <v>Distributed Amount (Account Curr)</v>
      </c>
    </row>
    <row r="2">
      <c r="A2" s="4">
        <v>45561</v>
      </c>
      <c r="B2" s="3">
        <v>14784.45</v>
      </c>
      <c r="C2" t="str">
        <v>USD</v>
      </c>
      <c r="D2" s="3">
        <v>40315.71</v>
      </c>
      <c r="E2" t="str">
        <v>1.1.1.3. (+) ლიფტების საბაჟოზე შემოსვლის ან დასაწყობების ავანსი</v>
      </c>
      <c r="F2" t="str">
        <v>b993e2_ba_b36a2b</v>
      </c>
      <c r="G2" t="str">
        <v/>
      </c>
      <c r="H2" t="str">
        <v>პროდუქციის ღირებულება (ლიფტი) | შპს ლაქი ქონსთრაქშენი, 405370708, TBCBGE22, GE26TB7944936080100008</v>
      </c>
      <c r="I2" t="str">
        <v>13661157049</v>
      </c>
      <c r="J2" t="str">
        <v>1727188775</v>
      </c>
      <c r="K2" t="str">
        <v>L0002</v>
      </c>
      <c r="L2" t="str">
        <v>K6NC0633</v>
      </c>
      <c r="M2" s="3" t="str">
        <v/>
      </c>
      <c r="N2" s="5">
        <v>0.5534</v>
      </c>
      <c r="O2" s="3">
        <v>8181.71463</v>
      </c>
      <c r="P2" s="3">
        <v>22310.713914</v>
      </c>
    </row>
    <row r="3">
      <c r="A3" s="4">
        <v>45561</v>
      </c>
      <c r="B3" s="3">
        <v>14784.45</v>
      </c>
      <c r="C3" t="str">
        <v>USD</v>
      </c>
      <c r="D3" s="3">
        <v>40315.71</v>
      </c>
      <c r="E3" t="str">
        <v>1.1.1.3. (+) ლიფტების საბაჟოზე შემოსვლის ან დასაწყობების ავანსი</v>
      </c>
      <c r="F3" t="str">
        <v>b993e2_ba_b36a2b</v>
      </c>
      <c r="G3" t="str">
        <v/>
      </c>
      <c r="H3" t="str">
        <v>პროდუქციის ღირებულება (ლიფტი) | შპს ლაქი ქონსთრაქშენი, 405370708, TBCBGE22, GE26TB7944936080100008</v>
      </c>
      <c r="I3" t="str">
        <v>13661157049</v>
      </c>
      <c r="J3" t="str">
        <v>1727188775</v>
      </c>
      <c r="K3" t="str">
        <v>L0001</v>
      </c>
      <c r="L3" t="str">
        <v>K6NC0632</v>
      </c>
      <c r="M3" s="3" t="str">
        <v/>
      </c>
      <c r="N3" s="5">
        <v>0.44659999999999994</v>
      </c>
      <c r="O3" s="3">
        <v>6602.735369999999</v>
      </c>
      <c r="P3" s="3">
        <v>18004.996085999996</v>
      </c>
    </row>
    <row r="4">
      <c r="A4" s="4">
        <v>45466</v>
      </c>
      <c r="B4" s="3">
        <v>14869.8</v>
      </c>
      <c r="C4" t="str">
        <v>USD</v>
      </c>
      <c r="D4" s="3">
        <v>41636.93</v>
      </c>
      <c r="E4" t="str">
        <v>1.1.1.3. (+) ლიფტების საბაჟოზე შემოსვლის ან დასაწყობების ავანსი</v>
      </c>
      <c r="F4" t="str">
        <v>b993e2_ba_b36a2b</v>
      </c>
      <c r="G4" t="str">
        <v/>
      </c>
      <c r="H4" t="str">
        <v>ავანსი თანახმად ხელშეკრულებისა 05.02.2024 (14,869.80 აშშ დოლარის ექვივალენტი 2.8001) | შპს ლაქი ქონსთრაქშენი, 405370708, TBCBGE22, GE26TB7944936080100008</v>
      </c>
      <c r="I4" t="str">
        <v>12810368560</v>
      </c>
      <c r="J4" t="str">
        <v>1719168807</v>
      </c>
      <c r="K4" t="str">
        <v>L0002</v>
      </c>
      <c r="L4" t="str">
        <v>K6NC0633</v>
      </c>
      <c r="M4" s="3" t="str">
        <v/>
      </c>
      <c r="N4" s="5">
        <v>0.5</v>
      </c>
      <c r="O4" s="3">
        <v>74.349</v>
      </c>
      <c r="P4" s="3">
        <v>208.18465</v>
      </c>
    </row>
    <row r="5">
      <c r="A5" s="4">
        <v>45466</v>
      </c>
      <c r="B5" s="3">
        <v>14869.8</v>
      </c>
      <c r="C5" t="str">
        <v>USD</v>
      </c>
      <c r="D5" s="3">
        <v>41636.93</v>
      </c>
      <c r="E5" t="str">
        <v>1.1.1.3. (+) ლიფტების საბაჟოზე შემოსვლის ან დასაწყობების ავანსი</v>
      </c>
      <c r="F5" t="str">
        <v>b993e2_ba_b36a2b</v>
      </c>
      <c r="G5" t="str">
        <v/>
      </c>
      <c r="H5" t="str">
        <v>ავანსი თანახმად ხელშეკრულებისა 05.02.2024 (14,869.80 აშშ დოლარის ექვივალენტი 2.8001) | შპს ლაქი ქონსთრაქშენი, 405370708, TBCBGE22, GE26TB7944936080100008</v>
      </c>
      <c r="I5" t="str">
        <v>12810368560</v>
      </c>
      <c r="J5" t="str">
        <v>1719168807</v>
      </c>
      <c r="K5" t="str">
        <v>L0004</v>
      </c>
      <c r="L5" t="str">
        <v>K6NC0635</v>
      </c>
      <c r="M5" s="3" t="str">
        <v/>
      </c>
      <c r="N5" s="5">
        <v>0.4975</v>
      </c>
      <c r="O5" s="3">
        <v>7397.7255</v>
      </c>
      <c r="P5" s="3">
        <v>20714.372675</v>
      </c>
    </row>
    <row r="6">
      <c r="A6" s="4">
        <v>45466</v>
      </c>
      <c r="B6" s="3">
        <v>14869.8</v>
      </c>
      <c r="C6" t="str">
        <v>USD</v>
      </c>
      <c r="D6" s="3">
        <v>41636.93</v>
      </c>
      <c r="E6" t="str">
        <v>1.1.1.3. (+) ლიფტების საბაჟოზე შემოსვლის ან დასაწყობების ავანსი</v>
      </c>
      <c r="F6" t="str">
        <v>b993e2_ba_b36a2b</v>
      </c>
      <c r="G6" t="str">
        <v/>
      </c>
      <c r="H6" t="str">
        <v>ავანსი თანახმად ხელშეკრულებისა 05.02.2024 (14,869.80 აშშ დოლარის ექვივალენტი 2.8001) | შპს ლაქი ქონსთრაქშენი, 405370708, TBCBGE22, GE26TB7944936080100008</v>
      </c>
      <c r="I6" t="str">
        <v>12810368560</v>
      </c>
      <c r="J6" t="str">
        <v>1719168807</v>
      </c>
      <c r="K6" t="str">
        <v>L0003</v>
      </c>
      <c r="L6" t="str">
        <v>K6NC0634</v>
      </c>
      <c r="M6" s="3" t="str">
        <v/>
      </c>
      <c r="N6" s="5">
        <v>0.4975</v>
      </c>
      <c r="O6" s="3">
        <v>7397.7255</v>
      </c>
      <c r="P6" s="3">
        <v>20714.372675</v>
      </c>
    </row>
    <row r="7">
      <c r="A7" s="4">
        <v>45463</v>
      </c>
      <c r="B7" s="3">
        <v>5358.4</v>
      </c>
      <c r="C7" t="str">
        <v>USD</v>
      </c>
      <c r="D7" s="3">
        <v>15041.56</v>
      </c>
      <c r="E7" t="str">
        <v>1.1.1.2. (+) ლიფტების საქარხნო მზაობის ავანსი</v>
      </c>
      <c r="F7" t="str">
        <v>51a575_51_bcfcf5</v>
      </c>
      <c r="G7" t="str">
        <v>BTC_DEC51D_4E_5A5046</v>
      </c>
      <c r="H7" t="str">
        <v>პროდუქციის ღირებულება (ლიფტი) | შპს ლაქი ქონსთრაქშენი, 405370708, TBCBGE22, GE26TB7944936080100008</v>
      </c>
      <c r="I7" t="str">
        <v>12775547609</v>
      </c>
      <c r="J7" t="str">
        <v>1718865385</v>
      </c>
      <c r="K7" t="str">
        <v>L0002</v>
      </c>
      <c r="L7" t="str">
        <v>K6NC0633</v>
      </c>
      <c r="M7" s="3" t="str">
        <v/>
      </c>
      <c r="N7" s="5">
        <v>0.2663</v>
      </c>
      <c r="O7" s="3">
        <v>1426.9419199999998</v>
      </c>
      <c r="P7" s="3">
        <v>4005.5674279999994</v>
      </c>
    </row>
    <row r="8">
      <c r="A8" s="4">
        <v>45463</v>
      </c>
      <c r="B8" s="3">
        <v>5358.4</v>
      </c>
      <c r="C8" t="str">
        <v>USD</v>
      </c>
      <c r="D8" s="3">
        <v>15041.56</v>
      </c>
      <c r="E8" t="str">
        <v>1.1.1.2. (+) ლიფტების საქარხნო მზაობის ავანსი</v>
      </c>
      <c r="F8" t="str">
        <v>51a575_51_bcfcf5</v>
      </c>
      <c r="G8" t="str">
        <v>BTC_DEC51D_4E_5A5046</v>
      </c>
      <c r="H8" t="str">
        <v>პროდუქციის ღირებულება (ლიფტი) | შპს ლაქი ქონსთრაქშენი, 405370708, TBCBGE22, GE26TB7944936080100008</v>
      </c>
      <c r="I8" t="str">
        <v>12775547609</v>
      </c>
      <c r="J8" t="str">
        <v>1718865385</v>
      </c>
      <c r="K8" t="str">
        <v>L0003</v>
      </c>
      <c r="L8" t="str">
        <v>K6NC0634</v>
      </c>
      <c r="M8" s="3" t="str">
        <v/>
      </c>
      <c r="N8" s="5">
        <v>0.2602</v>
      </c>
      <c r="O8" s="3">
        <v>1394.2556799999998</v>
      </c>
      <c r="P8" s="3">
        <v>3913.8139119999996</v>
      </c>
    </row>
    <row r="9">
      <c r="A9" s="4">
        <v>45463</v>
      </c>
      <c r="B9" s="3">
        <v>5358.4</v>
      </c>
      <c r="C9" t="str">
        <v>USD</v>
      </c>
      <c r="D9" s="3">
        <v>15041.56</v>
      </c>
      <c r="E9" t="str">
        <v>1.1.1.2. (+) ლიფტების საქარხნო მზაობის ავანსი</v>
      </c>
      <c r="F9" t="str">
        <v>51a575_51_bcfcf5</v>
      </c>
      <c r="G9" t="str">
        <v>BTC_DEC51D_4E_5A5046</v>
      </c>
      <c r="H9" t="str">
        <v>პროდუქციის ღირებულება (ლიფტი) | შპს ლაქი ქონსთრაქშენი, 405370708, TBCBGE22, GE26TB7944936080100008</v>
      </c>
      <c r="I9" t="str">
        <v>12775547609</v>
      </c>
      <c r="J9" t="str">
        <v>1718865385</v>
      </c>
      <c r="K9" t="str">
        <v>L0004</v>
      </c>
      <c r="L9" t="str">
        <v>K6NC0635</v>
      </c>
      <c r="M9" s="3" t="str">
        <v/>
      </c>
      <c r="N9" s="5">
        <v>0.2602</v>
      </c>
      <c r="O9" s="3">
        <v>1394.2556799999998</v>
      </c>
      <c r="P9" s="3">
        <v>3913.8139119999996</v>
      </c>
    </row>
    <row r="10">
      <c r="A10" s="4">
        <v>45463</v>
      </c>
      <c r="B10" s="3">
        <v>5358.4</v>
      </c>
      <c r="C10" t="str">
        <v>USD</v>
      </c>
      <c r="D10" s="3">
        <v>15041.56</v>
      </c>
      <c r="E10" t="str">
        <v>1.1.1.2. (+) ლიფტების საქარხნო მზაობის ავანსი</v>
      </c>
      <c r="F10" t="str">
        <v>51a575_51_bcfcf5</v>
      </c>
      <c r="G10" t="str">
        <v>BTC_DEC51D_4E_5A5046</v>
      </c>
      <c r="H10" t="str">
        <v>პროდუქციის ღირებულება (ლიფტი) | შპს ლაქი ქონსთრაქშენი, 405370708, TBCBGE22, GE26TB7944936080100008</v>
      </c>
      <c r="I10" t="str">
        <v>12775547609</v>
      </c>
      <c r="J10" t="str">
        <v>1718865385</v>
      </c>
      <c r="K10" t="str">
        <v>L0001</v>
      </c>
      <c r="L10" t="str">
        <v>K6NC0632</v>
      </c>
      <c r="M10" s="3" t="str">
        <v/>
      </c>
      <c r="N10" s="5">
        <v>0.2133</v>
      </c>
      <c r="O10" s="3">
        <v>1142.94672</v>
      </c>
      <c r="P10" s="3">
        <v>3208.3647479999995</v>
      </c>
    </row>
    <row r="11">
      <c r="A11" s="4">
        <v>45463</v>
      </c>
      <c r="B11" s="3">
        <v>1339.6</v>
      </c>
      <c r="C11" t="str">
        <v>USD</v>
      </c>
      <c r="D11" s="3">
        <v>3760.4</v>
      </c>
      <c r="E11" t="str">
        <v>1.1.1.3. (+) ლიფტების საბაჟოზე შემოსვლის ან დასაწყობების ავანსი</v>
      </c>
      <c r="F11" t="str">
        <v>b993e2_ba_b36a2b</v>
      </c>
      <c r="G11" t="str">
        <v>BTC_DEC51D_4E_5A5046</v>
      </c>
      <c r="H11" t="str">
        <v>პროდუქციის ღირებულება (ლიფტი) | შპს ლაქი ქონსთრაქშენი, 405370708, TBCBGE22, GE26TB7944936080100008</v>
      </c>
      <c r="I11" t="str">
        <v>12775547609</v>
      </c>
      <c r="J11" t="str">
        <v>1718865385</v>
      </c>
      <c r="K11" t="str">
        <v>L0004</v>
      </c>
      <c r="L11" t="str">
        <v>K6NC0635</v>
      </c>
      <c r="M11" s="3" t="str">
        <v/>
      </c>
      <c r="N11" s="5">
        <v>0.5</v>
      </c>
      <c r="O11" s="3">
        <v>669.8</v>
      </c>
      <c r="P11" s="3">
        <v>1880.2</v>
      </c>
    </row>
    <row r="12">
      <c r="A12" s="4">
        <v>45463</v>
      </c>
      <c r="B12" s="3">
        <v>1339.6</v>
      </c>
      <c r="C12" t="str">
        <v>USD</v>
      </c>
      <c r="D12" s="3">
        <v>3760.4</v>
      </c>
      <c r="E12" t="str">
        <v>1.1.1.3. (+) ლიფტების საბაჟოზე შემოსვლის ან დასაწყობების ავანსი</v>
      </c>
      <c r="F12" t="str">
        <v>b993e2_ba_b36a2b</v>
      </c>
      <c r="G12" t="str">
        <v>BTC_DEC51D_4E_5A5046</v>
      </c>
      <c r="H12" t="str">
        <v>პროდუქციის ღირებულება (ლიფტი) | შპს ლაქი ქონსთრაქშენი, 405370708, TBCBGE22, GE26TB7944936080100008</v>
      </c>
      <c r="I12" t="str">
        <v>12775547609</v>
      </c>
      <c r="J12" t="str">
        <v>1718865385</v>
      </c>
      <c r="K12" t="str">
        <v>L0003</v>
      </c>
      <c r="L12" t="str">
        <v>K6NC0634</v>
      </c>
      <c r="M12" s="3" t="str">
        <v/>
      </c>
      <c r="N12" s="5">
        <v>0.5</v>
      </c>
      <c r="O12" s="3">
        <v>669.8</v>
      </c>
      <c r="P12" s="3">
        <v>1880.2</v>
      </c>
    </row>
    <row r="13">
      <c r="A13" s="4">
        <v>45394</v>
      </c>
      <c r="B13" s="3">
        <v>77320.8</v>
      </c>
      <c r="C13" t="str">
        <v>USD</v>
      </c>
      <c r="D13" s="3">
        <v>206601.18</v>
      </c>
      <c r="E13" t="str">
        <v>1.1.1.2. (+) ლიფტების საქარხნო მზაობის ავანსი</v>
      </c>
      <c r="F13" t="str">
        <v>51a575_51_bcfcf5</v>
      </c>
      <c r="G13" t="str">
        <v>BTC_B8F991_9A_E5EE4F</v>
      </c>
      <c r="H13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3" t="str">
        <v>12175599131</v>
      </c>
      <c r="J13" t="str">
        <v>1712923332</v>
      </c>
      <c r="K13" t="str">
        <v>L0004</v>
      </c>
      <c r="L13" t="str">
        <v>K6NC0635</v>
      </c>
      <c r="M13" s="3" t="str">
        <v/>
      </c>
      <c r="N13" s="5">
        <v>0.2602</v>
      </c>
      <c r="O13" s="3">
        <v>20118.87216</v>
      </c>
      <c r="P13" s="3">
        <v>53757.627036</v>
      </c>
    </row>
    <row r="14">
      <c r="A14" s="4">
        <v>45394</v>
      </c>
      <c r="B14" s="3">
        <v>77320.8</v>
      </c>
      <c r="C14" t="str">
        <v>USD</v>
      </c>
      <c r="D14" s="3">
        <v>206601.18</v>
      </c>
      <c r="E14" t="str">
        <v>1.1.1.2. (+) ლიფტების საქარხნო მზაობის ავანსი</v>
      </c>
      <c r="F14" t="str">
        <v>51a575_51_bcfcf5</v>
      </c>
      <c r="G14" t="str">
        <v>BTC_B8F991_9A_E5EE4F</v>
      </c>
      <c r="H14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4" t="str">
        <v>12175599131</v>
      </c>
      <c r="J14" t="str">
        <v>1712923332</v>
      </c>
      <c r="K14" t="str">
        <v>L0001</v>
      </c>
      <c r="L14" t="str">
        <v>K6NC0632</v>
      </c>
      <c r="M14" s="3" t="str">
        <v/>
      </c>
      <c r="N14" s="5">
        <v>0.2133</v>
      </c>
      <c r="O14" s="3">
        <v>16492.52664</v>
      </c>
      <c r="P14" s="3">
        <v>44068.031694</v>
      </c>
    </row>
    <row r="15">
      <c r="A15" s="4">
        <v>45394</v>
      </c>
      <c r="B15" s="3">
        <v>77320.8</v>
      </c>
      <c r="C15" t="str">
        <v>USD</v>
      </c>
      <c r="D15" s="3">
        <v>206601.18</v>
      </c>
      <c r="E15" t="str">
        <v>1.1.1.2. (+) ლიფტების საქარხნო მზაობის ავანსი</v>
      </c>
      <c r="F15" t="str">
        <v>51a575_51_bcfcf5</v>
      </c>
      <c r="G15" t="str">
        <v>BTC_B8F991_9A_E5EE4F</v>
      </c>
      <c r="H15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5" t="str">
        <v>12175599131</v>
      </c>
      <c r="J15" t="str">
        <v>1712923332</v>
      </c>
      <c r="K15" t="str">
        <v>L0002</v>
      </c>
      <c r="L15" t="str">
        <v>K6NC0633</v>
      </c>
      <c r="M15" s="3" t="str">
        <v/>
      </c>
      <c r="N15" s="5">
        <v>0.2663</v>
      </c>
      <c r="O15" s="3">
        <v>20590.529039999998</v>
      </c>
      <c r="P15" s="3">
        <v>55017.89423399999</v>
      </c>
    </row>
    <row r="16">
      <c r="A16" s="4">
        <v>45394</v>
      </c>
      <c r="B16" s="3">
        <v>77320.8</v>
      </c>
      <c r="C16" t="str">
        <v>USD</v>
      </c>
      <c r="D16" s="3">
        <v>206601.18</v>
      </c>
      <c r="E16" t="str">
        <v>1.1.1.2. (+) ლიფტების საქარხნო მზაობის ავანსი</v>
      </c>
      <c r="F16" t="str">
        <v>51a575_51_bcfcf5</v>
      </c>
      <c r="G16" t="str">
        <v>BTC_B8F991_9A_E5EE4F</v>
      </c>
      <c r="H16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6" t="str">
        <v>12175599131</v>
      </c>
      <c r="J16" t="str">
        <v>1712923332</v>
      </c>
      <c r="K16" t="str">
        <v>L0003</v>
      </c>
      <c r="L16" t="str">
        <v>K6NC0634</v>
      </c>
      <c r="M16" s="3" t="str">
        <v/>
      </c>
      <c r="N16" s="5">
        <v>0.2602</v>
      </c>
      <c r="O16" s="3">
        <v>20118.87216</v>
      </c>
      <c r="P16" s="3">
        <v>53757.627036</v>
      </c>
    </row>
    <row r="17">
      <c r="A17" s="4">
        <v>45394</v>
      </c>
      <c r="B17" s="3">
        <v>2679.2</v>
      </c>
      <c r="C17" t="str">
        <v>USD</v>
      </c>
      <c r="D17" s="3">
        <v>7158.82</v>
      </c>
      <c r="E17" t="str">
        <v>1.1.1.1. (+) ლიფტების ავანსი</v>
      </c>
      <c r="F17" t="str">
        <v>39dbcb_5e_a9dccc</v>
      </c>
      <c r="G17" t="str">
        <v>BTC_B8F991_9A_E5EE4F</v>
      </c>
      <c r="H17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7" t="str">
        <v>12175599131</v>
      </c>
      <c r="J17" t="str">
        <v>1712923332</v>
      </c>
      <c r="K17" t="str">
        <v>L0004</v>
      </c>
      <c r="L17" t="str">
        <v>K6NC0635</v>
      </c>
      <c r="M17" s="3" t="str">
        <v/>
      </c>
      <c r="N17" s="5">
        <v>0.2602</v>
      </c>
      <c r="O17" s="3">
        <v>697.1278399999999</v>
      </c>
      <c r="P17" s="3">
        <v>1862.7249639999998</v>
      </c>
    </row>
    <row r="18">
      <c r="A18" s="4">
        <v>45394</v>
      </c>
      <c r="B18" s="3">
        <v>2679.2</v>
      </c>
      <c r="C18" t="str">
        <v>USD</v>
      </c>
      <c r="D18" s="3">
        <v>7158.82</v>
      </c>
      <c r="E18" t="str">
        <v>1.1.1.1. (+) ლიფტების ავანსი</v>
      </c>
      <c r="F18" t="str">
        <v>39dbcb_5e_a9dccc</v>
      </c>
      <c r="G18" t="str">
        <v>BTC_B8F991_9A_E5EE4F</v>
      </c>
      <c r="H18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8" t="str">
        <v>12175599131</v>
      </c>
      <c r="J18" t="str">
        <v>1712923332</v>
      </c>
      <c r="K18" t="str">
        <v>L0001</v>
      </c>
      <c r="L18" t="str">
        <v>K6NC0632</v>
      </c>
      <c r="M18" s="3" t="str">
        <v/>
      </c>
      <c r="N18" s="5">
        <v>0.2133</v>
      </c>
      <c r="O18" s="3">
        <v>571.47336</v>
      </c>
      <c r="P18" s="3">
        <v>1526.9763059999998</v>
      </c>
    </row>
    <row r="19">
      <c r="A19" s="4">
        <v>45394</v>
      </c>
      <c r="B19" s="3">
        <v>2679.2</v>
      </c>
      <c r="C19" t="str">
        <v>USD</v>
      </c>
      <c r="D19" s="3">
        <v>7158.82</v>
      </c>
      <c r="E19" t="str">
        <v>1.1.1.1. (+) ლიფტების ავანსი</v>
      </c>
      <c r="F19" t="str">
        <v>39dbcb_5e_a9dccc</v>
      </c>
      <c r="G19" t="str">
        <v>BTC_B8F991_9A_E5EE4F</v>
      </c>
      <c r="H19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19" t="str">
        <v>12175599131</v>
      </c>
      <c r="J19" t="str">
        <v>1712923332</v>
      </c>
      <c r="K19" t="str">
        <v>L0002</v>
      </c>
      <c r="L19" t="str">
        <v>K6NC0633</v>
      </c>
      <c r="M19" s="3" t="str">
        <v/>
      </c>
      <c r="N19" s="5">
        <v>0.2663</v>
      </c>
      <c r="O19" s="3">
        <v>713.4709599999999</v>
      </c>
      <c r="P19" s="3">
        <v>1906.3937659999997</v>
      </c>
    </row>
    <row r="20">
      <c r="A20" s="4">
        <v>45394</v>
      </c>
      <c r="B20" s="3">
        <v>2679.2</v>
      </c>
      <c r="C20" t="str">
        <v>USD</v>
      </c>
      <c r="D20" s="3">
        <v>7158.82</v>
      </c>
      <c r="E20" t="str">
        <v>1.1.1.1. (+) ლიფტების ავანსი</v>
      </c>
      <c r="F20" t="str">
        <v>39dbcb_5e_a9dccc</v>
      </c>
      <c r="G20" t="str">
        <v>BTC_B8F991_9A_E5EE4F</v>
      </c>
      <c r="H20" t="str">
        <v>ავანსი თანახმად ხელშეკრულებისა 05.02.2024 (80,000 აშშ დოლარის ექვივალენტი 2.6720) | შპს ლაქი ქონსთრაქშენი, 405370708, TBCBGE22, GE26TB7944936080100008</v>
      </c>
      <c r="I20" t="str">
        <v>12175599131</v>
      </c>
      <c r="J20" t="str">
        <v>1712923332</v>
      </c>
      <c r="K20" t="str">
        <v>L0003</v>
      </c>
      <c r="L20" t="str">
        <v>K6NC0634</v>
      </c>
      <c r="M20" s="3" t="str">
        <v/>
      </c>
      <c r="N20" s="5">
        <v>0.2602</v>
      </c>
      <c r="O20" s="3">
        <v>697.1278399999999</v>
      </c>
      <c r="P20" s="3">
        <v>1862.7249639999998</v>
      </c>
    </row>
    <row r="21">
      <c r="A21" s="4">
        <v>45327</v>
      </c>
      <c r="B21" s="3">
        <v>80000</v>
      </c>
      <c r="C21" t="str">
        <v>USD</v>
      </c>
      <c r="D21" s="3">
        <v>213504</v>
      </c>
      <c r="E21" t="str">
        <v>1.1.1.1. (+) ლიფტების ავანსი</v>
      </c>
      <c r="F21" t="str">
        <v>39dbcb_5e_a9dccc</v>
      </c>
      <c r="G21" t="str">
        <v/>
      </c>
      <c r="H21" t="str">
        <v>ავანსი თანახმად ხელშეკრულებისა 05.02.2024 (80,000 აშშ დოლარის ექვივალენტი 2.6688) | შპს ლაქი ქონსთრაქშენი, 405370708, TBCBGE22, GE26TB7944936080100008</v>
      </c>
      <c r="I21" t="str">
        <v>11620991216</v>
      </c>
      <c r="J21" t="str">
        <v>1707145575</v>
      </c>
      <c r="K21" t="str">
        <v>L0002</v>
      </c>
      <c r="L21" t="str">
        <v>K6NC0633</v>
      </c>
      <c r="M21" s="3" t="str">
        <v/>
      </c>
      <c r="N21" s="5">
        <v>0.2663</v>
      </c>
      <c r="O21" s="3">
        <v>21304</v>
      </c>
      <c r="P21" s="3">
        <v>56856.11519999999</v>
      </c>
    </row>
    <row r="22">
      <c r="A22" s="4">
        <v>45327</v>
      </c>
      <c r="B22" s="3">
        <v>80000</v>
      </c>
      <c r="C22" t="str">
        <v>USD</v>
      </c>
      <c r="D22" s="3">
        <v>213504</v>
      </c>
      <c r="E22" t="str">
        <v>1.1.1.1. (+) ლიფტების ავანსი</v>
      </c>
      <c r="F22" t="str">
        <v>39dbcb_5e_a9dccc</v>
      </c>
      <c r="G22" t="str">
        <v/>
      </c>
      <c r="H22" t="str">
        <v>ავანსი თანახმად ხელშეკრულებისა 05.02.2024 (80,000 აშშ დოლარის ექვივალენტი 2.6688) | შპს ლაქი ქონსთრაქშენი, 405370708, TBCBGE22, GE26TB7944936080100008</v>
      </c>
      <c r="I22" t="str">
        <v>11620991216</v>
      </c>
      <c r="J22" t="str">
        <v>1707145575</v>
      </c>
      <c r="K22" t="str">
        <v>L0001</v>
      </c>
      <c r="L22" t="str">
        <v>K6NC0632</v>
      </c>
      <c r="M22" s="3" t="str">
        <v/>
      </c>
      <c r="N22" s="5">
        <v>0.2133</v>
      </c>
      <c r="O22" s="3">
        <v>17064</v>
      </c>
      <c r="P22" s="3">
        <v>45540.4032</v>
      </c>
    </row>
    <row r="23">
      <c r="A23" s="4">
        <v>45327</v>
      </c>
      <c r="B23" s="3">
        <v>80000</v>
      </c>
      <c r="C23" t="str">
        <v>USD</v>
      </c>
      <c r="D23" s="3">
        <v>213504</v>
      </c>
      <c r="E23" t="str">
        <v>1.1.1.1. (+) ლიფტების ავანსი</v>
      </c>
      <c r="F23" t="str">
        <v>39dbcb_5e_a9dccc</v>
      </c>
      <c r="G23" t="str">
        <v/>
      </c>
      <c r="H23" t="str">
        <v>ავანსი თანახმად ხელშეკრულებისა 05.02.2024 (80,000 აშშ დოლარის ექვივალენტი 2.6688) | შპს ლაქი ქონსთრაქშენი, 405370708, TBCBGE22, GE26TB7944936080100008</v>
      </c>
      <c r="I23" t="str">
        <v>11620991216</v>
      </c>
      <c r="J23" t="str">
        <v>1707145575</v>
      </c>
      <c r="K23" t="str">
        <v>L0003</v>
      </c>
      <c r="L23" t="str">
        <v>K6NC0634</v>
      </c>
      <c r="M23" s="3" t="str">
        <v/>
      </c>
      <c r="N23" s="5">
        <v>0.2602</v>
      </c>
      <c r="O23" s="3">
        <v>20816</v>
      </c>
      <c r="P23" s="3">
        <v>55553.7408</v>
      </c>
    </row>
    <row r="24">
      <c r="A24" s="4">
        <v>45327</v>
      </c>
      <c r="B24" s="3">
        <v>80000</v>
      </c>
      <c r="C24" t="str">
        <v>USD</v>
      </c>
      <c r="D24" s="3">
        <v>213504</v>
      </c>
      <c r="E24" t="str">
        <v>1.1.1.1. (+) ლიფტების ავანსი</v>
      </c>
      <c r="F24" t="str">
        <v>39dbcb_5e_a9dccc</v>
      </c>
      <c r="G24" t="str">
        <v/>
      </c>
      <c r="H24" t="str">
        <v>ავანსი თანახმად ხელშეკრულებისა 05.02.2024 (80,000 აშშ დოლარის ექვივალენტი 2.6688) | შპს ლაქი ქონსთრაქშენი, 405370708, TBCBGE22, GE26TB7944936080100008</v>
      </c>
      <c r="I24" t="str">
        <v>11620991216</v>
      </c>
      <c r="J24" t="str">
        <v>1707145575</v>
      </c>
      <c r="K24" t="str">
        <v>L0004</v>
      </c>
      <c r="L24" t="str">
        <v>K6NC0635</v>
      </c>
      <c r="M24" s="3" t="str">
        <v/>
      </c>
      <c r="N24" s="5">
        <v>0.2602</v>
      </c>
      <c r="O24" s="3">
        <v>20816</v>
      </c>
      <c r="P24" s="3">
        <v>55553.7408</v>
      </c>
    </row>
  </sheetData>
  <pageMargins left="0.7" right="0.7" top="0.75" bottom="0.75" header="0.3" footer="0.3"/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Handover</vt:lpstr>
      <vt:lpstr>Placeholders</vt:lpstr>
      <vt:lpstr>Jobs</vt:lpstr>
      <vt:lpstr>Income Payments</vt:lpstr>
      <vt:lpstr>Job Distributions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2026-06-08T16:17:06Z</dcterms:created>
  <dcterms:modified xsi:type="dcterms:W3CDTF">2026-06-08T22:08:15Z</dcterms:modified>
  <cp:lastModifiedBy>Giorgi Nikabadze</cp:lastModifiedBy>
  <dc:creator>User</dc:creator>
</cp:coreProperties>
</file>