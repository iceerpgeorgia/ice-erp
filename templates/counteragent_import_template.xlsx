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next-postgres-starter\templates\"/>
    </mc:Choice>
  </mc:AlternateContent>
  <xr:revisionPtr revIDLastSave="0" documentId="13_ncr:1_{26FED92D-32FF-4496-A7B1-95FD850F8A9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3" sheetId="4" r:id="rId1"/>
    <sheet name="Counteragent_new" sheetId="3" r:id="rId2"/>
    <sheet name="Counteragent" sheetId="1" r:id="rId3"/>
    <sheet name="Sheet1" sheetId="2" r:id="rId4"/>
  </sheets>
  <definedNames>
    <definedName name="_xlnm._FilterDatabase" localSheetId="2" hidden="1">Counteragent!$A$1:$AA$277</definedName>
    <definedName name="_xlnm._FilterDatabase" localSheetId="1" hidden="1">Counteragent_new!$A$1:$Z$67</definedName>
    <definedName name="_xlnm._FilterDatabase" localSheetId="3" hidden="1">Sheet1!$A$1:$AC$280</definedName>
    <definedName name="_xlnm._FilterDatabase" localSheetId="0" hidden="1">Sheet3!$A$1:$E$67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3" l="1" a="1"/>
  <c r="K2" i="3" s="1"/>
  <c r="E2" i="3" a="1"/>
  <c r="E2" i="3" s="1"/>
  <c r="B2" i="3" a="1"/>
  <c r="B2" i="3" s="1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3" i="4"/>
  <c r="E52" i="4"/>
  <c r="E50" i="4"/>
  <c r="E49" i="4"/>
  <c r="E48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0" i="4"/>
  <c r="E8" i="4"/>
  <c r="E7" i="4"/>
  <c r="E6" i="4"/>
  <c r="E5" i="4"/>
  <c r="E4" i="4"/>
  <c r="E3" i="4"/>
  <c r="E2" i="4"/>
  <c r="C2" i="3" l="1" a="1"/>
  <c r="C2" i="3" s="1"/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<sst xmlns="http://schemas.openxmlformats.org/spreadsheetml/2006/main" count="5422" uniqueCount="1793">
  <si>
    <t>ts</t>
  </si>
  <si>
    <t>name</t>
  </si>
  <si>
    <t>identification_number</t>
  </si>
  <si>
    <t>birth_or_incorporation_date</t>
  </si>
  <si>
    <t>entity_type</t>
  </si>
  <si>
    <t>sex</t>
  </si>
  <si>
    <t>country</t>
  </si>
  <si>
    <t>address_line_1</t>
  </si>
  <si>
    <t>address_line_2</t>
  </si>
  <si>
    <t>zip_code</t>
  </si>
  <si>
    <t>iban</t>
  </si>
  <si>
    <t>swift</t>
  </si>
  <si>
    <t>director</t>
  </si>
  <si>
    <t>director_id</t>
  </si>
  <si>
    <t>email</t>
  </si>
  <si>
    <t>phone</t>
  </si>
  <si>
    <t>oris_id</t>
  </si>
  <si>
    <t>counteragent</t>
  </si>
  <si>
    <t>country_uuid</t>
  </si>
  <si>
    <t>entity_type_uuid</t>
  </si>
  <si>
    <t>counteragent_uuid</t>
  </si>
  <si>
    <t>internal_number</t>
  </si>
  <si>
    <t>pension_scheme</t>
  </si>
  <si>
    <t>is_emploee</t>
  </si>
  <si>
    <t>is_active</t>
  </si>
  <si>
    <t>was_emploee</t>
  </si>
  <si>
    <t>Timestamp</t>
  </si>
  <si>
    <t>დასახელება/სახელი :</t>
  </si>
  <si>
    <t>სქესი :</t>
  </si>
  <si>
    <t>სამართლებრივი ფორმა :</t>
  </si>
  <si>
    <t>საპენსიო სქემა :</t>
  </si>
  <si>
    <t>საიდენტიფიკაციო კოდი :</t>
  </si>
  <si>
    <t>ქვეყანა :</t>
  </si>
  <si>
    <t>Address Line 1 :</t>
  </si>
  <si>
    <t>Address Line 2 :</t>
  </si>
  <si>
    <t>ZIP Code :</t>
  </si>
  <si>
    <t>დირექტორი :</t>
  </si>
  <si>
    <t>დირექტორის პ.ნ. :</t>
  </si>
  <si>
    <t>SWIFT :</t>
  </si>
  <si>
    <t>IBAN :</t>
  </si>
  <si>
    <t>Tel. No :</t>
  </si>
  <si>
    <t>კონტრაგენტი_GUID/</t>
  </si>
  <si>
    <t>Email :</t>
  </si>
  <si>
    <t>დაბადების/დაარსების თარიღი :</t>
  </si>
  <si>
    <t>ORIS ID :</t>
  </si>
  <si>
    <t xml:space="preserve">შიდა # - </t>
  </si>
  <si>
    <t>კონტრაგენტი//</t>
  </si>
  <si>
    <t>Collateral</t>
  </si>
  <si>
    <t>ქვეყანა_GUID</t>
  </si>
  <si>
    <t>სამართლებრივი ფორმა_GUID</t>
  </si>
  <si>
    <t>Deleted</t>
  </si>
  <si>
    <t>ID</t>
  </si>
  <si>
    <t>საიდენტიფიკაციო</t>
  </si>
  <si>
    <t>დევიდ ბრუს სმიტი</t>
  </si>
  <si>
    <t>Male</t>
  </si>
  <si>
    <t>ფიზ. პირი</t>
  </si>
  <si>
    <t>ქ. თბილისი, ჭავჭავაძის გამზ. N34, მე-8 სართული</t>
  </si>
  <si>
    <t>FE784FDB-D590-43D0-A85D-32931ECCD907</t>
  </si>
  <si>
    <t>ICE000916</t>
  </si>
  <si>
    <t>დევიდ ბრუს სმიტი (ს.კ. 105316925) - ფიზ. პირი</t>
  </si>
  <si>
    <t>gio.nikabadze@gmail.com</t>
  </si>
  <si>
    <t>BF4D83F9-5064-4958-AF6E-E4C21B2E4880</t>
  </si>
  <si>
    <t>ანასტასიოს ანასტასიუ</t>
  </si>
  <si>
    <t>ინდ. მეწარმე</t>
  </si>
  <si>
    <t>ქ. თბილისის დიდუბის რაიონში, წერეთლის გ.N 65</t>
  </si>
  <si>
    <t>0E811201-43BA-4151-A930-042E0A4F4759</t>
  </si>
  <si>
    <t>ICE001052</t>
  </si>
  <si>
    <t>ანასტასიოს ანასტასიუ (ს.კ. AB7401174 / 102464815) - ინდ. მეწარმე</t>
  </si>
  <si>
    <t>BA538574-E93F-4CE8-A780-667B61FC970A</t>
  </si>
  <si>
    <t>შენ ვოლქან</t>
  </si>
  <si>
    <t>ქ. თბილისი, სამგორის რაიონი, აბაშვილის ქუჩა N3, სამხედრო ქალაქის ტერიტორია, 
კორპუსი N4, სართული 7, ბინა N177</t>
  </si>
  <si>
    <t>787A1289-30A0-40F6-A972-DD9CDAD95EE6</t>
  </si>
  <si>
    <t>ICE001095</t>
  </si>
  <si>
    <t>შენ ვოლქან (ს.კ. 306282929) - ინდ. მეწარმე</t>
  </si>
  <si>
    <t>გიორგი მიქაბერიძე</t>
  </si>
  <si>
    <t>male</t>
  </si>
  <si>
    <t>Yes</t>
  </si>
  <si>
    <t>საქართველო - GEO</t>
  </si>
  <si>
    <t>ქ.თბილისი</t>
  </si>
  <si>
    <t>GE42TB7496645066300008</t>
  </si>
  <si>
    <t>E3DA5BD5-DAAD-4C23-8631-FAEF1C6EE29A</t>
  </si>
  <si>
    <t>ICE001146</t>
  </si>
  <si>
    <t>გიორგი მიქაბერიძე (ს.კ. 59002000130) - ფიზ. პირი</t>
  </si>
  <si>
    <t>ქეთევან მენაბდე</t>
  </si>
  <si>
    <t>Female</t>
  </si>
  <si>
    <t>No</t>
  </si>
  <si>
    <t>Georgia</t>
  </si>
  <si>
    <t>ქ. თბილისი, დ/მ 2კვ,14კორპ.ბ.38</t>
  </si>
  <si>
    <t>GE87BG0000000622249200</t>
  </si>
  <si>
    <t>5BEEA027-BF57-4C93-AABC-21FD42F223A5</t>
  </si>
  <si>
    <t>ICE001157</t>
  </si>
  <si>
    <t>ქეთევან მენაბდე (ს.კ. 01027025241) - ფიზ. პირი</t>
  </si>
  <si>
    <t>თეონა რომაშვილი</t>
  </si>
  <si>
    <t>ქ.თბილისი, სეფის ქ. #7</t>
  </si>
  <si>
    <t>GE17BG0000000100740533</t>
  </si>
  <si>
    <t>A4E9EDC7-B81F-4483-9069-A7790AEBE4FA</t>
  </si>
  <si>
    <t>ICE001158</t>
  </si>
  <si>
    <t>თეონა რომაშვილი (ს.კ. 01017023607) - ფიზ. პირი</t>
  </si>
  <si>
    <t>თეა ურიდია</t>
  </si>
  <si>
    <t>ქ.თბილისი ,  ნუცუბიძის პირველი პლატო, მე-17 კორპუსი, ბინა#61</t>
  </si>
  <si>
    <t>GE26TB7457645064300069</t>
  </si>
  <si>
    <t>A26DCE96-C08F-453E-9E26-10AAF72D142A</t>
  </si>
  <si>
    <t>ICE001159</t>
  </si>
  <si>
    <t>თეა ურიდია (ს.კ. 62001030230) - ფიზ. პირი</t>
  </si>
  <si>
    <t>თამარი დვალიშვილი</t>
  </si>
  <si>
    <t>ქ. თბილისი, დელისის ქ. # 3, ბ.40</t>
  </si>
  <si>
    <t>GE62BG0000000889314900</t>
  </si>
  <si>
    <t>B2931E48-3277-49C0-B41B-D5F9C4CA15EE</t>
  </si>
  <si>
    <t>ICE001160</t>
  </si>
  <si>
    <t>თამარი დვალიშვილი (ს.კ. 01019021033) - ფიზ. პირი</t>
  </si>
  <si>
    <t>გიორგი გუნაშვილი</t>
  </si>
  <si>
    <t>ქ. თბილისი,დიღმის მასივი, ლუბლიანას #11</t>
  </si>
  <si>
    <t>GE48TB7273945061600036</t>
  </si>
  <si>
    <t>2FF3A4BD-5868-4142-BDF6-BC3816DFD386</t>
  </si>
  <si>
    <t>ICE001161</t>
  </si>
  <si>
    <t>გიორგი გუნაშვილი (ს.კ. 01005042868) - ფიზ. პირი</t>
  </si>
  <si>
    <t>ნინო ბერიძე</t>
  </si>
  <si>
    <t>ქ. ბათუმი, ნონეშვილის ქ. #16/20 ბინა#38</t>
  </si>
  <si>
    <t>GE07BG0000000121573500</t>
  </si>
  <si>
    <t>AD901E05-ADD9-42DE-89BA-4D9A21C89BCF</t>
  </si>
  <si>
    <t>ICE001178</t>
  </si>
  <si>
    <t>ნინო ბერიძე (ს.კ. 61001080225) - ფიზ. პირი</t>
  </si>
  <si>
    <t>შორენა ჯიჯიაშვილი</t>
  </si>
  <si>
    <t>GE12BG0000000538727536</t>
  </si>
  <si>
    <t>37626C3C-EB8E-4891-BB91-DDFE7F70759F</t>
  </si>
  <si>
    <t>ICE001191</t>
  </si>
  <si>
    <t>შორენა ჯიჯიაშვილი (ს.კ. 01005004678) - ფიზ. პირი</t>
  </si>
  <si>
    <t>ცოტნე ჯმუხაძე</t>
  </si>
  <si>
    <t>ქ. თბილისი, დიღმის  მასივი, მე-2 კვარტ, მე-14 კორპ, ბ 38</t>
  </si>
  <si>
    <t>GE76BG0000000637319900</t>
  </si>
  <si>
    <t>83F0C711-34F6-45B3-A1ED-F85548418822</t>
  </si>
  <si>
    <t>ICE001192</t>
  </si>
  <si>
    <t>ცოტნე ჯმუხაძე (ს.კ. 01027089575) - ფიზ. პირი</t>
  </si>
  <si>
    <t>ჟუჟუნა მიქელაძე</t>
  </si>
  <si>
    <t>ქ.ბათუმი</t>
  </si>
  <si>
    <t>GE25TB7944645061100054</t>
  </si>
  <si>
    <t>CFFB808C-2FD5-4B2F-BD59-04DAA1345B38</t>
  </si>
  <si>
    <t>ICE001195</t>
  </si>
  <si>
    <t>ჟუჟუნა მიქელაძე (ს.კ. 61006053512) - ფიზ. პირი</t>
  </si>
  <si>
    <t>ჩალხია ვერულიძე</t>
  </si>
  <si>
    <t>ქობულეთი, სოფელი კვირიკე</t>
  </si>
  <si>
    <t>GE07TB7910645061100041</t>
  </si>
  <si>
    <t>2792760E-0F83-4E89-AF39-83E472F42919</t>
  </si>
  <si>
    <t>ICE001196</t>
  </si>
  <si>
    <t>ჩალხია ვერულიძე (ს.კ. 61004066717) - ფიზ. პირი</t>
  </si>
  <si>
    <t>გიორგი ლორთქიფანიძე</t>
  </si>
  <si>
    <t>ქ. თბილისი,</t>
  </si>
  <si>
    <t>GE46TB7529345064300004</t>
  </si>
  <si>
    <t>026E84AF-5543-4EA9-80AF-407FC0E41968</t>
  </si>
  <si>
    <t>ICE001197</t>
  </si>
  <si>
    <t>გიორგი ლორთქიფანიძე (ს.კ. 01009002617) - ფიზ. პირი</t>
  </si>
  <si>
    <t>გიორგი წერეთელი</t>
  </si>
  <si>
    <t>ქ. თბილისი, გლდანი, მე-3 მ.რ., I კორპუსი</t>
  </si>
  <si>
    <t>GE98BG0000000365935911</t>
  </si>
  <si>
    <t>12294EB0-E5DA-4B5B-A62C-1704BCA1ED4D</t>
  </si>
  <si>
    <t>ICE001199</t>
  </si>
  <si>
    <t>გიორგი წერეთელი (ს.კ. 01001027557) - ფიზ. პირი</t>
  </si>
  <si>
    <t>თეა ქერაშვილი</t>
  </si>
  <si>
    <t>ქ. თბილისი, ბახტრიონის ქ. N13, ბინა N103</t>
  </si>
  <si>
    <t>GE47TB7806545063600045</t>
  </si>
  <si>
    <t>C1758465-8E7F-4880-AA5D-CF11DD74D8C0</t>
  </si>
  <si>
    <t>ICE001200</t>
  </si>
  <si>
    <t>თეა ქერაშვილი (ს.კ. 01024037161) - ფიზ. პირი</t>
  </si>
  <si>
    <t>გიორგი ხორავა</t>
  </si>
  <si>
    <t>ქ. ზუგდიდი, სოფელი ერგეტა, ნ.ფიროსმანის ქ. N 7</t>
  </si>
  <si>
    <t>GE40TB7812745064300007</t>
  </si>
  <si>
    <t>FFCDE516-300E-4721-BB03-EE5F952EB616</t>
  </si>
  <si>
    <t>ICE001201</t>
  </si>
  <si>
    <t>გიორგი ხორავა (ს.კ. 19001070187) - ფიზ. პირი</t>
  </si>
  <si>
    <t>MITSUBISHI ELECTRIC</t>
  </si>
  <si>
    <t>უცხოური საწარმოს ფილიალი</t>
  </si>
  <si>
    <t>თურქეთი - TUR</t>
  </si>
  <si>
    <t>Şerifali Mah.Kale Sok.No:41 A1 Ümraniye‐İSTANBUL</t>
  </si>
  <si>
    <t>74AF4B20-57A9-4323-82B8-6633573A12C5</t>
  </si>
  <si>
    <t>ICE001245</t>
  </si>
  <si>
    <t>MITSUBISHI ELECTRIC (ს.კ. ICE001701) - უცხოური საწარმოს ფილიალი</t>
  </si>
  <si>
    <t>53CC2AB4-7AF4-40A4-8F56-EF11C416822B</t>
  </si>
  <si>
    <t>23B32846-DA15-4BCE-A8A6-0859041E94BB</t>
  </si>
  <si>
    <t>220ვოლტი</t>
  </si>
  <si>
    <t>შპს</t>
  </si>
  <si>
    <t>ქ. თბილისი, ისნის რაიონი, ი.ქურხულის ქ., №18</t>
  </si>
  <si>
    <t>რევაზ ჩხაიძე</t>
  </si>
  <si>
    <t>F881FD34-E406-49AE-AEC3-33EF63F9F09F</t>
  </si>
  <si>
    <t>iliatavadze@yahoo.com</t>
  </si>
  <si>
    <t>ICE001355</t>
  </si>
  <si>
    <t>220ვოლტი (ს.კ. 422719954) - შპს</t>
  </si>
  <si>
    <t>shorena.jijiashvili1980@gmail.com</t>
  </si>
  <si>
    <t>94279771-0DD8-44B8-955B-275714B1489B</t>
  </si>
  <si>
    <t>0D51A686-652B-478F-9502-50B11ABAFA54</t>
  </si>
  <si>
    <t>ავტოსუპერპლიუსი</t>
  </si>
  <si>
    <t>ზუგდიდის რაიონი, სოფ. ინგირი</t>
  </si>
  <si>
    <t>ქ.ზუგდიდი, აღმაშენებლის ქ., N 14</t>
  </si>
  <si>
    <t>ასმათი ჩხოლარია</t>
  </si>
  <si>
    <t>05E45AB9-FCF8-4A54-A79D-0DED43ED683A</t>
  </si>
  <si>
    <t>asmatchkholaria@rambler.ru</t>
  </si>
  <si>
    <t>ICE001423</t>
  </si>
  <si>
    <t>ავტოსუპერპლიუსი (ს.კ. 437060412) - შპს</t>
  </si>
  <si>
    <t>ვანილა სქაი ჯორჯია (LTD VANILLA SKY GEORGIA)</t>
  </si>
  <si>
    <t>მცხეთის რაიონი, ს.ნატახტარი</t>
  </si>
  <si>
    <t>ნინო ფერაძე</t>
  </si>
  <si>
    <t>7FEDA390-BD16-4C45-AF3E-CE354D390992</t>
  </si>
  <si>
    <t>Info@vanillasky.ge</t>
  </si>
  <si>
    <t>ICE001517</t>
  </si>
  <si>
    <t>ვანილა სქაი ჯორჯია (LTD VANILLA SKY GEORGIA) (ს.კ. 236097772) - შპს</t>
  </si>
  <si>
    <t>რესტორან მუზეუმი გუჯარი</t>
  </si>
  <si>
    <t>მცხეთა, დ. აღმაშენებლის ქ., №156</t>
  </si>
  <si>
    <t>თბილისი, ვაკის რაიონი, ზაქარია ფალიაშვილის ქ., N 62, ბინა 2</t>
  </si>
  <si>
    <t>ელგუჯა ბუბუტეიშვილი</t>
  </si>
  <si>
    <t>C95EDFE3-2C50-4E17-868C-6AB38DF54E6A</t>
  </si>
  <si>
    <t>info@sarajishvili.ge</t>
  </si>
  <si>
    <t>ICE001533</t>
  </si>
  <si>
    <t>რესტორან მუზეუმი გუჯარი (ს.კ. 404432262) - შპს</t>
  </si>
  <si>
    <t>მურად ყაველაშვილი</t>
  </si>
  <si>
    <t>ქ. ჭიათურა, თბილისის ქ., №44</t>
  </si>
  <si>
    <t>9D984E5F-A5D7-4FF7-84FE-41E760D109BB</t>
  </si>
  <si>
    <t>ICE001600</t>
  </si>
  <si>
    <t>მურად ყაველაშვილი (ს.კ. 54001002779) - შპს</t>
  </si>
  <si>
    <t>სიმუზერ ახმადოვა</t>
  </si>
  <si>
    <t>ქ.თბილისი, ისანი-სამგორის რაიონი, ლილოს ბაზრის მიმდებარე ტერიტორია</t>
  </si>
  <si>
    <t>თელავი, ს. ყარაჯალა</t>
  </si>
  <si>
    <t>D803A471-F296-43B7-80DC-5CFFEB69BA0C</t>
  </si>
  <si>
    <t>simuzar.axmadov@rambler.ru</t>
  </si>
  <si>
    <t>ICE001608</t>
  </si>
  <si>
    <t>სიმუზერ ახმადოვა (ს.კ. 331168953) - ინდ. მეწარმე</t>
  </si>
  <si>
    <t>სულხანი შაინიძე</t>
  </si>
  <si>
    <t>მცირე მეწარმე</t>
  </si>
  <si>
    <t>ქობულეთის რაიონი, ს. მუხაესტატე, 23–ე ქ., N 1ა</t>
  </si>
  <si>
    <t>AE9D74CE-1695-435E-970E-8F185B895C36</t>
  </si>
  <si>
    <t>Teagviniashvili31@gmail.com</t>
  </si>
  <si>
    <t>ICE001618</t>
  </si>
  <si>
    <t>სულხანი შაინიძე (ს.კ. 61004064819) - მცირე მეწარმე</t>
  </si>
  <si>
    <t>470412F4-E2C0-4F9D-91F1-1C0630A02364</t>
  </si>
  <si>
    <t>ნათია თაგოშვილი</t>
  </si>
  <si>
    <t>ქ. თბილისის, ისანი-სამგორის რაიონში, ვაზისუბნის III მ/რ., II კვ., კორ. 10, ბ. 126</t>
  </si>
  <si>
    <t>83688BC3-4DBF-45BA-8AF4-5183E0D07ECB</t>
  </si>
  <si>
    <t>tagoshvili.natia@yandx.ru</t>
  </si>
  <si>
    <t>ICE001625</t>
  </si>
  <si>
    <t>ნათია თაგოშვილი (ს.კ. 306130601) - ინდ. მეწარმე</t>
  </si>
  <si>
    <t>ვაჟა ოქროჯანაშვილი</t>
  </si>
  <si>
    <t>ქ. თბილისის, გლდანი-ნაძალადევის რაიონში, მასივი გლდანი, მ/რ I, კორპ. 12, ბ. 87</t>
  </si>
  <si>
    <t>EF5DCF72-9D24-4B3D-9ED2-6BA8DE096C4B</t>
  </si>
  <si>
    <t>vaja.okrojanashvili.1976@mail.ru</t>
  </si>
  <si>
    <t>ICE001627</t>
  </si>
  <si>
    <t>ვაჟა ოქროჯანაშვილი (ს.კ. 300129992) - ინდ. მეწარმე</t>
  </si>
  <si>
    <t>ნაშრევანი გამხარაშვილი</t>
  </si>
  <si>
    <t>ქ.რუსთავი, XVI მ/რ, კორ. 4, ბ. 17</t>
  </si>
  <si>
    <t>AB7F5060-5D8D-4985-8264-4B24D309EBCC</t>
  </si>
  <si>
    <t>levani.babajanashvili@mail.ru</t>
  </si>
  <si>
    <t>ICE001630</t>
  </si>
  <si>
    <t>ნაშრევანი გამხარაშვილი (ს.კ. 316312227) - ინდ. მეწარმე</t>
  </si>
  <si>
    <t>საქართველო, ბათუმი, მაჭახლის ქ., N33ა</t>
  </si>
  <si>
    <t>ლელა ზოიძე</t>
  </si>
  <si>
    <t>GE18BG0000000100963130</t>
  </si>
  <si>
    <t>B00F0915-3C1C-4518-A99B-5441D9EE242A</t>
  </si>
  <si>
    <t>ICE001645</t>
  </si>
  <si>
    <t>ინოქს (ს.კ. 445531309) - შპს</t>
  </si>
  <si>
    <t>მ-ბათუმი</t>
  </si>
  <si>
    <t>ქ. ბათუმი, დემეტრე თავდადებულის ქ., N 15, სართული 2, ბინა N2, (მშენებარე)</t>
  </si>
  <si>
    <t>ქ. ბათუმი, დ. აღმაშენებლის ქ., N 3</t>
  </si>
  <si>
    <t>მირიან გაბაიძე</t>
  </si>
  <si>
    <t>D7FD0E37-6568-45A8-961A-36FA9AE2902B</t>
  </si>
  <si>
    <t>archil.kochadze@mail.ru</t>
  </si>
  <si>
    <t>ICE001646</t>
  </si>
  <si>
    <t>მ-ბათუმი (ს.კ. 445584617) - შპს</t>
  </si>
  <si>
    <t>კრისტალი 2020</t>
  </si>
  <si>
    <t>ხულოს რაიონი, ს. პაქსაძეები, მე–2 III ჩიხი N1</t>
  </si>
  <si>
    <t>ლერი პაქსაძე</t>
  </si>
  <si>
    <t>585DBC97-21C1-4C7F-9483-F547065DEACB</t>
  </si>
  <si>
    <t>paqsadzeleri042@gmail.com</t>
  </si>
  <si>
    <t>ICE001649</t>
  </si>
  <si>
    <t>კრისტალი 2020 (ს.კ. 448055407) - შპს</t>
  </si>
  <si>
    <t>ვლადიმერ ბერიაშვილი</t>
  </si>
  <si>
    <t>საქართველო, ქ. თბილისის დიდუბის რაიონში, გვეტაძის ქ.N_x000D_
8 ბ-40_x000D_</t>
  </si>
  <si>
    <t>ICE001662</t>
  </si>
  <si>
    <t>ვლადიმერ ბერიაშვილი (ს.კ. 01007007062) - ინდ. მეწარმე</t>
  </si>
  <si>
    <t>ზურაბ ტუხაშვილი</t>
  </si>
  <si>
    <t>საქართველო, ქ. თბილისის, დიდუბე-ჩუღურეთის რაიონში,_x000D_
ხოშარაულის ქ., №32</t>
  </si>
  <si>
    <t>ICE001666</t>
  </si>
  <si>
    <t>ზურაბ ტუხაშვილი (ს.კ. 14001019960) - ინდ. მეწარმე</t>
  </si>
  <si>
    <t>ბალტიის ბიზნეს განვითარება</t>
  </si>
  <si>
    <t>ქ. თბილისი, გლდანის რაიონი, თორნიკე ერისთავის ქ.N1</t>
  </si>
  <si>
    <t>ბექა ძაგნიძე</t>
  </si>
  <si>
    <t>683C3DF5-4CB1-4571-B08C-7154A4496822</t>
  </si>
  <si>
    <t>sergej.Babic@gmail.com</t>
  </si>
  <si>
    <t>ICE001668</t>
  </si>
  <si>
    <t>ბალტიის ბიზნეს განვითარება (ს.კ. 400098078) - შპს</t>
  </si>
  <si>
    <t>მშენებელი 2016</t>
  </si>
  <si>
    <t>კასპის რაიონი, ს. ახალქალაქი თეძმის ქ. N 28</t>
  </si>
  <si>
    <t>სანდრო ნამორაძე</t>
  </si>
  <si>
    <t>87811326-2623-4D23-A80F-65F83217F5A8</t>
  </si>
  <si>
    <t>Tb.building.group@gmail.com</t>
  </si>
  <si>
    <t>ICE001682</t>
  </si>
  <si>
    <t>მშენებელი 2016 (ს.კ. 432544767) - შპს</t>
  </si>
  <si>
    <t>ეკატერინა ბერდიშევა</t>
  </si>
  <si>
    <t>რუსეთი - RUS</t>
  </si>
  <si>
    <t>ნაჰოდკა, პერევალნაიას 146ბ</t>
  </si>
  <si>
    <t>4D14C355-EC7F-4B2D-A2C7-CE79B3AEAD88</t>
  </si>
  <si>
    <t>ICE001747</t>
  </si>
  <si>
    <t>ეკატერინა ბერდიშევა (ს.კ. 762917460) - ფიზ. პირი</t>
  </si>
  <si>
    <t>01D497BF-9B8F-486E-BA09-3CC1B7FBB942</t>
  </si>
  <si>
    <t>ანტონ ვორონინი</t>
  </si>
  <si>
    <t>BE85F113-ED2E-49E3-82F1-CFA5A146ACFA</t>
  </si>
  <si>
    <t>ICE001769</t>
  </si>
  <si>
    <t>ანტონ ვორონინი (ს.კ. 03187803411) - ფიზ. პირი</t>
  </si>
  <si>
    <t>ნინო სირბილაძე</t>
  </si>
  <si>
    <t xml:space="preserve">ქ. თბილისი, </t>
  </si>
  <si>
    <t>079E40C8-D88D-476C-BDEF-D2EBF2E4E276</t>
  </si>
  <si>
    <t>ICE001772</t>
  </si>
  <si>
    <t>ნინო სირბილაძე (ს.კ. 01008033246) - ფიზ. პირი</t>
  </si>
  <si>
    <t>ოლეკსანდრ შიპოშა</t>
  </si>
  <si>
    <t>უკრაინა - UKR</t>
  </si>
  <si>
    <t>ქ. ბათუმი, ფიროსმანის 18, ბ. N81</t>
  </si>
  <si>
    <t>6CA0F547-5BC0-4947-824D-B84A8D012EE7</t>
  </si>
  <si>
    <t>ICE001820</t>
  </si>
  <si>
    <t>ოლეკსანდრ შიპოშა (ს.კ. 19891103-00237) - ფიზ. პირი</t>
  </si>
  <si>
    <t>1F83663B-5C7F-4E92-836E-847960C16C1E</t>
  </si>
  <si>
    <t>იევგენ ოვეშნიაქოვ</t>
  </si>
  <si>
    <t>ქ. ბათუმში, რუსთაველის ქუჩა N40</t>
  </si>
  <si>
    <t>2BE0B019-5123-46B7-AD88-7A56ACE72918</t>
  </si>
  <si>
    <t>ICE001843</t>
  </si>
  <si>
    <t>იევგენ ოვეშნიაქოვ (ს.კ. 1982092803392) - ფიზ. პირი</t>
  </si>
  <si>
    <t>ხელვაჩაური, ს. მახინჯაური</t>
  </si>
  <si>
    <t>ზურაბ ხალვაში</t>
  </si>
  <si>
    <t>AB192988-C4E7-4C1D-833E-C5E201C66065</t>
  </si>
  <si>
    <t>ICE001864</t>
  </si>
  <si>
    <t>ბაჩის ნათება (ს.კ. 448388995) - შპს</t>
  </si>
  <si>
    <t>ქ. ბათუმი , ბაგრატიონის ქ., N 112 / მელიქიშვილის ქ., N 98</t>
  </si>
  <si>
    <t>ბადრი ჩხიკვაძე</t>
  </si>
  <si>
    <t>3C7B4214-56A8-4863-B535-0E1EFFD0F4A2</t>
  </si>
  <si>
    <t>ICE001865</t>
  </si>
  <si>
    <t>ლუკა (ს.კ. 445395796) - შპს</t>
  </si>
  <si>
    <t>IKLIMAIR KLIMA SISTEMLERI TICARET</t>
  </si>
  <si>
    <t>N/A</t>
  </si>
  <si>
    <t>უცხოური საწარმო</t>
  </si>
  <si>
    <t>Zumrutevler Mah. Sinem Sok. Tan Apt. No:18/A ,Maltepe, İstanbul – Türkiye</t>
  </si>
  <si>
    <t>fdd85ab4-51e4-437f-9467-fa15ae24da7a</t>
  </si>
  <si>
    <t>ICE001886</t>
  </si>
  <si>
    <t>IKLIMAIR KLIMA SISTEMLERI TICARET (ს.კ. 0) - უცხოური საწარმო</t>
  </si>
  <si>
    <t>7766E9C2-0094-4090-ADF4-EF017062457F</t>
  </si>
  <si>
    <t>AG Transport and Development Limited</t>
  </si>
  <si>
    <t>გაერთიანებული სამეფო - GBR</t>
  </si>
  <si>
    <t>5e546978-a76e-4472-8bb1-a82d80dc1088</t>
  </si>
  <si>
    <t>ICE001895</t>
  </si>
  <si>
    <t>AG Transport and Development Limited (ს.კ. 0) - უცხოური საწარმო</t>
  </si>
  <si>
    <t>E76C75B2-AF68-49F2-BEED-29E42483C818</t>
  </si>
  <si>
    <t>DATAKOM</t>
  </si>
  <si>
    <t>Serifali Mah. Bayraktar Bulvarı, Kutup Sokak No:26 Umraniye-Istanbul-TURKEY</t>
  </si>
  <si>
    <t>28a0c522-7a99-4695-922f-a4d722967554</t>
  </si>
  <si>
    <t>ICE001897</t>
  </si>
  <si>
    <t>DATAKOM (ს.კ. 0) - უცხოური საწარმო</t>
  </si>
  <si>
    <t>POLTIME</t>
  </si>
  <si>
    <t>10726 Sk. No: 29-31 Karatay / KONYA / TURKEY</t>
  </si>
  <si>
    <t>9d415757-fc58-46bc-99c2-6476225d05c9</t>
  </si>
  <si>
    <t>ICE001898</t>
  </si>
  <si>
    <t>POLTIME (ს.კ. 0) - უცხოური საწარმო</t>
  </si>
  <si>
    <t>DT MUHENDISLIK VE TAAHHUT A.S.</t>
  </si>
  <si>
    <t>Şerifali Mah. Başer Sok. No:30-32 Ümraniye / İstanbul / Türkiye</t>
  </si>
  <si>
    <t>e73bbc35-c413-4683-8c6f-c015c511dffa</t>
  </si>
  <si>
    <t>ICE001903</t>
  </si>
  <si>
    <t>DT MUHENDISLIK VE TAAHHUT A.S. (ს.კ. 0) - უცხოური საწარმო</t>
  </si>
  <si>
    <t>OTIS KAZAKHSTAN</t>
  </si>
  <si>
    <t>ყაზახეთი - KAZ</t>
  </si>
  <si>
    <t>ქ. ასტანა, სიგანაკის ქ. N43</t>
  </si>
  <si>
    <t>KZ4983201D0200436001</t>
  </si>
  <si>
    <t>61faf6d0-e1e8-4e74-900b-56f74eed84c1</t>
  </si>
  <si>
    <t>ICE1925</t>
  </si>
  <si>
    <t>OTIS KAZAKHSTAN (ს.კ. 0) - უცხოური საწარმო</t>
  </si>
  <si>
    <t>38DCD6D2-62E3-437B-9BE2-D9CF88C8CB86</t>
  </si>
  <si>
    <t>სახელმწიფო ხაზინა</t>
  </si>
  <si>
    <t>საჯარო სამართლის იურიდიული პირი</t>
  </si>
  <si>
    <t>678033b5-c40b-4b58-83bb-63ecf64bc757</t>
  </si>
  <si>
    <t>ICE002004</t>
  </si>
  <si>
    <t>სახელმწიფო ხაზინა (ს.კ. 0000000000000) - საჯარო სამართლის იურიდიული პირი</t>
  </si>
  <si>
    <t>AF6BAC17-8F0A-46C3-B1F3-4B7332D7AD7D</t>
  </si>
  <si>
    <t>ELL‐GA‐MAN</t>
  </si>
  <si>
    <t>სომხეთი - ARM</t>
  </si>
  <si>
    <t>Region Ararat, v. Kana hut, Ayazovsky House 6.</t>
  </si>
  <si>
    <t>12941286-d054-4c3b-9910-04d6e3a4e33a</t>
  </si>
  <si>
    <t>ICE002032</t>
  </si>
  <si>
    <t>ELL‐GA‐MAN (ს.კ. 0) - უცხოური საწარმო</t>
  </si>
  <si>
    <t>CD1D8F9C-8568-48B4-8D35-CE84E3C04D32</t>
  </si>
  <si>
    <t>გეზი</t>
  </si>
  <si>
    <t>არასამეწარმეო (არაკომერციული) იურიდიული პირი</t>
  </si>
  <si>
    <t>1aad6450-1b90-4db4-9623-4de95c06aba8</t>
  </si>
  <si>
    <t>ICE002052</t>
  </si>
  <si>
    <t>გეზი (ს.კ. ICE002052) - არასამეწარმეო (არაკომერციული) იურიდიული პირი</t>
  </si>
  <si>
    <t>831339AC-64E3-4D4C-9726-074E2D68B19C</t>
  </si>
  <si>
    <t>OTIS ELECTRIC ELEVATOR CO.</t>
  </si>
  <si>
    <t>ჩინეთი - CHN</t>
  </si>
  <si>
    <t>28 JIU HUAN ROAD, JIANGGAN DISTRICT, HANGZHOU, ZHEJIANG, P.R CHINA 310019</t>
  </si>
  <si>
    <t>0d1b5e86-6533-483f-b714-d81ae47f94c3</t>
  </si>
  <si>
    <t>ICE002055</t>
  </si>
  <si>
    <t>OTIS ELECTRIC ELEVATOR CO. (ს.კ. 0) - უცხოური საწარმო</t>
  </si>
  <si>
    <t>A75B26B6-21DA-46EA-8D26-00A7900568A0</t>
  </si>
  <si>
    <t>Budget Dummy</t>
  </si>
  <si>
    <t>DummyIBAN</t>
  </si>
  <si>
    <t>61ff53f7-d5c4-429e-9c3c-1e621fd2f21a</t>
  </si>
  <si>
    <t>ICE002065</t>
  </si>
  <si>
    <t>Budget Dummy (ს.კ. ICE002065) - შპს</t>
  </si>
  <si>
    <t>Mik-el Elektronik San. Tic. Ltd. Sti.</t>
  </si>
  <si>
    <t>Matbaacılar Sitesi Yolu No: 56 Yuzyil Mah. Bagcilar / Istanbul</t>
  </si>
  <si>
    <t>TR090011100000000028434829</t>
  </si>
  <si>
    <t>eb7f9199-1ec7-49e5-9081-bc450ab13373</t>
  </si>
  <si>
    <t>ICE002092</t>
  </si>
  <si>
    <t>Mik-el Elektronik San. Tic. Ltd. Sti. (ს.კ. 0) - უცხოური საწარმო</t>
  </si>
  <si>
    <t>AND HARITA IMAR PLANLAMA VE INSAAT MUHENDISLIK TICARET LTD STI</t>
  </si>
  <si>
    <t>e3cce523-9ed3-402d-934f-724ed963f289</t>
  </si>
  <si>
    <t>ICE002132</t>
  </si>
  <si>
    <t>AND HARITA IMAR PLANLAMA VE INSAAT MUHENDISLIK TICARET LTD STI (ს.კ. 0) - უცხოური საწარმო</t>
  </si>
  <si>
    <t>ნიკოლოზ კობაიძე</t>
  </si>
  <si>
    <t>GE56BG0000000161102931</t>
  </si>
  <si>
    <t>07e80886-92a4-4ce6-b6c5-3b33e0c24bd9</t>
  </si>
  <si>
    <t>ICE2167</t>
  </si>
  <si>
    <t>ნიკოლოზ კობაიძე (ს.კ. 01017028376) - შპს</t>
  </si>
  <si>
    <t>DUYAR</t>
  </si>
  <si>
    <t>Osmangazi Mah. 2653 Sok. No:7/1 Kıraç-Esenyurt-Istanbul-TURKEY</t>
  </si>
  <si>
    <t>YAPITRISXXX</t>
  </si>
  <si>
    <t>TR48 0006 7010 0000 0024 6521 72</t>
  </si>
  <si>
    <t>a6b7cb41-174c-492b-adca-55ce100ff230</t>
  </si>
  <si>
    <t>info@duyarvana.com.tr</t>
  </si>
  <si>
    <t>ICE002180</t>
  </si>
  <si>
    <t>DUYAR (ს.კ. 0) - უცხოური საწარმო</t>
  </si>
  <si>
    <t>ebay</t>
  </si>
  <si>
    <t>აშშ - USA</t>
  </si>
  <si>
    <t>აშშ</t>
  </si>
  <si>
    <t>76091f0b-2636-4c83-b780-a8fcfe6caca9</t>
  </si>
  <si>
    <t>ICE002203</t>
  </si>
  <si>
    <t>ebay (ს.კ. 0) - უცხოური საწარმო</t>
  </si>
  <si>
    <t>E10E3A85-48B9-4F5E-89C0-9B6554D96013</t>
  </si>
  <si>
    <t>გეორგიი ვახრუშევ</t>
  </si>
  <si>
    <t>GE44CD0360000031066638</t>
  </si>
  <si>
    <t>955ae12a-5202-46ae-8d61-db4a23b56f1a</t>
  </si>
  <si>
    <t>ICE002204</t>
  </si>
  <si>
    <t>გეორგიი ვახრუშევ (ს.კ. 345670393) - ინდ. მეწარმე</t>
  </si>
  <si>
    <t>Rapidrop Europe</t>
  </si>
  <si>
    <t>ირლანდია - IRL</t>
  </si>
  <si>
    <t>დუბლინი</t>
  </si>
  <si>
    <t>55c1da98-9670-4217-8f2e-94655d6b0012</t>
  </si>
  <si>
    <t>ICE002205</t>
  </si>
  <si>
    <t>Rapidrop Europe (ს.კ. 0) - უცხოური საწარმო</t>
  </si>
  <si>
    <t>9659541A-589B-4448-83BA-E3F6ABEACA0A</t>
  </si>
  <si>
    <t>UCA TRANS NAKLIYE GUMRUKLEME VE ORMAN URUNLERI TICARETI</t>
  </si>
  <si>
    <t>თურქეთი</t>
  </si>
  <si>
    <t>910809ab-2a7b-4565-bd3d-80a4be6746bb</t>
  </si>
  <si>
    <t>ICE002220</t>
  </si>
  <si>
    <t>UCA TRANS NAKLIYE GUMRUKLEME VE ORMAN URUNLERI TICARETI (ს.კ. 0) - უცხოური საწარმო</t>
  </si>
  <si>
    <t>IEVGEN OVESHNYKOV</t>
  </si>
  <si>
    <t>PU176995</t>
  </si>
  <si>
    <t>75a01d48-099e-4085-8d80-7e0a461fb148</t>
  </si>
  <si>
    <t>ICE2231</t>
  </si>
  <si>
    <t>IEVGEN OVESHNYKOV (ს.კ. PU176995) - ფიზ. პირი</t>
  </si>
  <si>
    <t>წყნეთის გზატკეცილი #51</t>
  </si>
  <si>
    <t>ამხანაგობა</t>
  </si>
  <si>
    <t>ქ. თბილისი, წყნეტის გზატკეცილი N51</t>
  </si>
  <si>
    <t>ეკატერინე ელისაბედაშვილი</t>
  </si>
  <si>
    <t>c0fa632d-5228-49b5-8ccb-114eee8b1ca6</t>
  </si>
  <si>
    <t>ICE002274</t>
  </si>
  <si>
    <t>წყნეთის გზატკეცილი #51 (ს.კ. 0) - ამხანაგობა</t>
  </si>
  <si>
    <t>F5C3C745-EAA4-4E27-A73B-BADC9EBB49C0</t>
  </si>
  <si>
    <t>ნარეკ ჰარუტინიან</t>
  </si>
  <si>
    <t>BA1241322</t>
  </si>
  <si>
    <t>GE25BG0000000580956931</t>
  </si>
  <si>
    <t>9428e554-a1d0-4798-b77b-fffe837365c1</t>
  </si>
  <si>
    <t>ICE002300</t>
  </si>
  <si>
    <t>ნარეკ ჰარუტინიან (ს.კ. BA1241322) - ფიზ. პირი</t>
  </si>
  <si>
    <t>TAYTECH OTOMASYON ve BILISIM TEKNOLOJILERI A.S.</t>
  </si>
  <si>
    <t>Inonu Mahallesi, Ataturk Blv. No:7/2 Post Code: 41400 Gebze Plastikçiler O.S.B Gebze / Kocaeli</t>
  </si>
  <si>
    <t xml:space="preserve"> TR300001200989000058000147</t>
  </si>
  <si>
    <t>TR300001200989000058000147</t>
  </si>
  <si>
    <t>9c3a08be-fda6-44d5-840a-65b7a8838d06</t>
  </si>
  <si>
    <t>ICE002305</t>
  </si>
  <si>
    <t>TAYTECH OTOMASYON ve BILISIM TEKNOLOJILERI A.S. (ს.კ. 0) - უცხოური საწარმო</t>
  </si>
  <si>
    <t>DIAGNOSTICA MEDICAL CORPORATION</t>
  </si>
  <si>
    <t> 01202228</t>
  </si>
  <si>
    <t> ARMENIA, 0078, YEREVAN, MARGARIAN st. 6/1 building</t>
  </si>
  <si>
    <t>aa934aac-5710-48b1-9f92-8758072e74af</t>
  </si>
  <si>
    <t>ICE002327</t>
  </si>
  <si>
    <t>DIAGNOSTICA MEDICAL CORPORATION (ს.კ.  01202228) - უცხოური საწარმო</t>
  </si>
  <si>
    <t>gvantsalebanidze21@gmail.com</t>
  </si>
  <si>
    <t>გრინლაიფ რეზიდენსი</t>
  </si>
  <si>
    <t>ოქროყანა, დადიანის 3</t>
  </si>
  <si>
    <t>2359c3bf-5b5c-47e8-af26-6afb7fcfdcc4</t>
  </si>
  <si>
    <t>ICE2333</t>
  </si>
  <si>
    <t>გრინლაიფ რეზიდენსი (ს.კ. 65002012550) - ამხანაგობა</t>
  </si>
  <si>
    <t>EurAsia Klimat LLC</t>
  </si>
  <si>
    <t>a69d3dd6-7d2b-487f-89bd-41cd390d4f92</t>
  </si>
  <si>
    <t>ICE002361</t>
  </si>
  <si>
    <t>EurAsia Klimat LLC (ს.კ. 230840027493) - უცხოური საწარმო</t>
  </si>
  <si>
    <t>გოჩა ოქროჯანაშვილი</t>
  </si>
  <si>
    <t>97b41c95-2c2e-4710-958e-69d47eb94455</t>
  </si>
  <si>
    <t>ICE2425</t>
  </si>
  <si>
    <t>გოჩა ოქროჯანაშვილი (ს.კ. 316362930) - ინდ. მეწარმე</t>
  </si>
  <si>
    <t>MP YENER OVUNC ASANSOR SAN. VE TIC. LTD. STI.</t>
  </si>
  <si>
    <t>4cfdffb9-d5f0-4569-b092-d15777715e00</t>
  </si>
  <si>
    <t>ICE002438</t>
  </si>
  <si>
    <t>MP YENER OVUNC ASANSOR SAN. VE TIC. LTD. STI. (ს.კ. 6090116453) - უცხოური საწარმო</t>
  </si>
  <si>
    <t>Glenn Arthur Nobes</t>
  </si>
  <si>
    <t>20091673-5ff0-453a-9de9-d6444b6a8585</t>
  </si>
  <si>
    <t>ICE002446</t>
  </si>
  <si>
    <t>Glenn Arthur Nobes (ს.კ. ICE002446) - ფიზ. პირი</t>
  </si>
  <si>
    <t>ტირკეშ ორაზმედოვ</t>
  </si>
  <si>
    <t>AS00084143</t>
  </si>
  <si>
    <t>თურქმენეთი - TKM</t>
  </si>
  <si>
    <t>GE35BG0000000589180605</t>
  </si>
  <si>
    <t>1202a693-b76e-40ae-96a8-f44614218b22</t>
  </si>
  <si>
    <t>ICE002469</t>
  </si>
  <si>
    <t>ტირკეშ ორაზმედოვ (ს.კ. AS00084143) - ფიზ. პირი</t>
  </si>
  <si>
    <t>E5906F73-89D3-490D-982C-4E28EF73748D</t>
  </si>
  <si>
    <t>აზამატ დჟანანოვ</t>
  </si>
  <si>
    <t>A0794794</t>
  </si>
  <si>
    <t>უზბეკეთი - UZB</t>
  </si>
  <si>
    <t>GE63BG0000000595897157</t>
  </si>
  <si>
    <t>264c48e0-e388-4151-b133-52c119f32280</t>
  </si>
  <si>
    <t>ICE002567</t>
  </si>
  <si>
    <t>აზამატ დჟანანოვ (ს.კ. A0794794) - ფიზ. პირი</t>
  </si>
  <si>
    <t>74D9C729-891B-4EC8-B773-ADD5361A378E</t>
  </si>
  <si>
    <t>ვუგარ მამმადოვ</t>
  </si>
  <si>
    <t>4SYA2U6</t>
  </si>
  <si>
    <t>აზერბაიჯანი - AZE</t>
  </si>
  <si>
    <t>GE20BG0000000589208326</t>
  </si>
  <si>
    <t>42aa902a-c09c-47a4-8cfb-1850d0c144e4</t>
  </si>
  <si>
    <t>ICE002572</t>
  </si>
  <si>
    <t>ვუგარ მამმადოვ (ს.კ. 4SYA2U6) - ფიზ. პირი</t>
  </si>
  <si>
    <t>F4309D25-1C52-4242-88FC-DB7A14D604AD</t>
  </si>
  <si>
    <t>დიდარ ოვეზოვ</t>
  </si>
  <si>
    <t>A2109077</t>
  </si>
  <si>
    <t>7e65f577-9410-4b0a-9eef-aac0c6eabff9</t>
  </si>
  <si>
    <t>ICE002607</t>
  </si>
  <si>
    <t>დიდარ ოვეზოვ (ს.კ. A2109077) - ფიზ. პირი</t>
  </si>
  <si>
    <t>დოვრან ანნაგურბანოვ</t>
  </si>
  <si>
    <t>AB00013837</t>
  </si>
  <si>
    <t>GE34BG0000000602545477</t>
  </si>
  <si>
    <t>6d838e54-0a56-4127-8f44-10f2452f7d23</t>
  </si>
  <si>
    <t>ICE002616</t>
  </si>
  <si>
    <t>დოვრან ანნაგურბანოვ (ს.კ. AB00013837) - ფიზ. პირი</t>
  </si>
  <si>
    <t>ვალერი ვაჩაძე</t>
  </si>
  <si>
    <t>GE43BG0000000601296149</t>
  </si>
  <si>
    <t>9d4d39e3-1cf8-4c37-8b69-336e7b004e13</t>
  </si>
  <si>
    <t>ICE002633</t>
  </si>
  <si>
    <t>ვალერი ვაჩაძე (ს.კ. 500563837) - ინდ. მეწარმე</t>
  </si>
  <si>
    <t>პაველ პავლოვ</t>
  </si>
  <si>
    <t>049b7eae-81f7-416a-87b3-675b54c3efe1</t>
  </si>
  <si>
    <t>ICE2691</t>
  </si>
  <si>
    <t>პაველ პავლოვ (ს.კ. 345690754) - ინდ. მეწარმე</t>
  </si>
  <si>
    <t>ვერჰეიჯ ნორა</t>
  </si>
  <si>
    <t>NV0C25JD1</t>
  </si>
  <si>
    <t>19c597da-5f1b-4113-a80c-fdba97435783</t>
  </si>
  <si>
    <t>ICE2754</t>
  </si>
  <si>
    <t>ვერჰეიჯ ნორა (ს.კ. NV0C25JD1) - ფიზ. პირი</t>
  </si>
  <si>
    <t>dito.sichinava@gmail.com</t>
  </si>
  <si>
    <t>დავით პოღოსიან</t>
  </si>
  <si>
    <t>AU0401237</t>
  </si>
  <si>
    <t>GE89BG0000000589069538</t>
  </si>
  <si>
    <t>53a40408-368a-444d-912c-10951f75bfd0</t>
  </si>
  <si>
    <t>ICE002757</t>
  </si>
  <si>
    <t>დავით პოღოსიან (ს.კ. AU0401237) - ფიზ. პირი</t>
  </si>
  <si>
    <t>გურამ ალადაშვილი</t>
  </si>
  <si>
    <t>GE06BG0000000602538415</t>
  </si>
  <si>
    <t>c57b2d59-8334-41eb-ad89-00114fb5f0a3</t>
  </si>
  <si>
    <t>ICE002772</t>
  </si>
  <si>
    <t>გურამ ალადაშვილი (ს.კ. 45001002659) - მცირე მეწარმე</t>
  </si>
  <si>
    <t>ზაური რამაზანოვი</t>
  </si>
  <si>
    <t>269bb4f1-97ac-44d9-bcb8-eb72de8fa919</t>
  </si>
  <si>
    <t>ICE2794</t>
  </si>
  <si>
    <t>ზაური რამაზანოვი (ს.კ. 305300509) - ინდ. მეწარმე</t>
  </si>
  <si>
    <t>Svogan LLC</t>
  </si>
  <si>
    <t>ada4b871-9f07-4e9c-9745-637ba83cab2f</t>
  </si>
  <si>
    <t>ICE002821</t>
  </si>
  <si>
    <t>Svogan LLC (ს.კ. 0) - უცხოური საწარმო</t>
  </si>
  <si>
    <t>Technolux LLC</t>
  </si>
  <si>
    <t>073db7e0-0259-4883-af62-99330f143fdf</t>
  </si>
  <si>
    <t>ICE2822</t>
  </si>
  <si>
    <t>Technolux LLC (ს.კ. 0) - უცხოური საწარმო</t>
  </si>
  <si>
    <t>GISMAP INS.SIHHI TESISAT PAZ.SAN. VE TIC.LTD.STI</t>
  </si>
  <si>
    <t>bb385b2e-7c0b-4ea3-9e1b-ce8ed6b68808</t>
  </si>
  <si>
    <t>ICE002823</t>
  </si>
  <si>
    <t>GISMAP INS.SIHHI TESISAT PAZ.SAN. VE TIC.LTD.STI (ს.კ. 0) - უცხოური საწარმო</t>
  </si>
  <si>
    <t>Solutions Engineering Muh. Hiz. Ltd. Sti.</t>
  </si>
  <si>
    <t>d6d04dd7-2b8c-4619-b58f-665a91cda6ee</t>
  </si>
  <si>
    <t>ICE2824</t>
  </si>
  <si>
    <t>Solutions Engineering Muh. Hiz. Ltd. Sti. (ს.კ. 0) - უცხოური საწარმო</t>
  </si>
  <si>
    <t>DUYAR VANA MAKINA SAN. VE TICARET</t>
  </si>
  <si>
    <t>6540f9ca-a3e7-4b3d-bc6b-7bd7107ae295</t>
  </si>
  <si>
    <t>ICE2825</t>
  </si>
  <si>
    <t>DUYAR VANA MAKINA SAN. VE TICARET (ს.კ. 0) - უცხოური საწარმო</t>
  </si>
  <si>
    <t>FITA TEKNIK IKLIMLENDIRME SANAYI VE TIC. A.S.</t>
  </si>
  <si>
    <t>fcca3895-754e-47b2-9c88-b28e07fda627</t>
  </si>
  <si>
    <t>ICE2826</t>
  </si>
  <si>
    <t>FITA TEKNIK IKLIMLENDIRME SANAYI VE TIC. A.S. (ს.კ. 0) - უცხოური საწარმო</t>
  </si>
  <si>
    <t>DINAMIK ISI MAKINA YALITIM  MALZEMELERI SAN. VE TIC. A.S</t>
  </si>
  <si>
    <t>1bb9e932-e514-4a6c-9347-658a270dbd1a</t>
  </si>
  <si>
    <t>ICE2827</t>
  </si>
  <si>
    <t>DINAMIK ISI MAKINA YALITIM  MALZEMELERI SAN. VE TIC. A.S (ს.კ. 0) - უცხოური საწარმო</t>
  </si>
  <si>
    <t>Airax iklimlendirme ith ihr lts sti</t>
  </si>
  <si>
    <t>66a4f771-da51-458c-a129-10c00b651f2c</t>
  </si>
  <si>
    <t>ICE2828</t>
  </si>
  <si>
    <t>Airax iklimlendirme ith ihr lts sti (ს.კ. 0) - უცხოური საწარმო</t>
  </si>
  <si>
    <t>OSMAN KARAGOZ</t>
  </si>
  <si>
    <t>a7553863-6595-47a1-8243-6a2d516bf0c9</t>
  </si>
  <si>
    <t>ICE2829</t>
  </si>
  <si>
    <t>OSMAN KARAGOZ (ს.კ. 0) - უცხოური საწარმო</t>
  </si>
  <si>
    <t>ONAY ASANSOR ITHALAT IHR.SAN.VE TIC.LTD.STI.</t>
  </si>
  <si>
    <t>c1abcc0b-822d-4713-9145-fb579db534cf</t>
  </si>
  <si>
    <t>ICE2830</t>
  </si>
  <si>
    <t>ONAY ASANSOR ITHALAT IHR.SAN.VE TIC.LTD.STI. (ს.კ. 0) - უცხოური საწარმო</t>
  </si>
  <si>
    <t>SET PLATFORM MAKINA INS.EN.SANTIC.LTD</t>
  </si>
  <si>
    <t>2d128ba6-78b6-41be-8d62-3e8eaafa08c8</t>
  </si>
  <si>
    <t>ICE2831</t>
  </si>
  <si>
    <t>SET PLATFORM MAKINA INS.EN.SANTIC.LTD (ს.კ. 0) - უცხოური საწარმო</t>
  </si>
  <si>
    <t>SCHLIMME AND PARTNER GMBH</t>
  </si>
  <si>
    <t>გერმანია - DEU</t>
  </si>
  <si>
    <t>00d5a461-2142-481a-93db-1cb2571caf31</t>
  </si>
  <si>
    <t>ICE2832</t>
  </si>
  <si>
    <t>SCHLIMME AND PARTNER GMBH (ს.კ. 0) - უცხოური საწარმო</t>
  </si>
  <si>
    <t>C1A8506F-60F2-4674-A865-F1A11F45D5F3</t>
  </si>
  <si>
    <t>Form Endustri Urunleri Ticaret</t>
  </si>
  <si>
    <t>c2c59b62-e0c5-40d5-ad63-1b05739cbdf1</t>
  </si>
  <si>
    <t>ICE002836</t>
  </si>
  <si>
    <t>Form Endustri Urunleri Ticaret (ს.კ. 0) - უცხოური საწარმო</t>
  </si>
  <si>
    <t>AYVAZ GLOBAL DIS.TIC.A.S.</t>
  </si>
  <si>
    <t>4d3c9fc9-8ccc-4a5d-a492-efae6f464cdf</t>
  </si>
  <si>
    <t>ICE2837</t>
  </si>
  <si>
    <t>AYVAZ GLOBAL DIS.TIC.A.S. (ს.კ. 0) - უცხოური საწარმო</t>
  </si>
  <si>
    <t>TYCO YANGINKORUNUM SISTEMLERI ANONIM SIRKETI</t>
  </si>
  <si>
    <t>a271cfce-90ea-490e-a3fe-502cb4ff66a0</t>
  </si>
  <si>
    <t>ICE002838</t>
  </si>
  <si>
    <t>TYCO YANGINKORUNUM SISTEMLERI ANONIM SIRKETI (ს.კ. 0) - უცხოური საწარმო</t>
  </si>
  <si>
    <t>Giacomini Unival Tesisat Asmaturleri sa.ve tic Lts.sti</t>
  </si>
  <si>
    <t>f6d6fc1a-4bcd-4d68-8497-7b668cab9a45</t>
  </si>
  <si>
    <t>ICE2839</t>
  </si>
  <si>
    <t>Giacomini Unival Tesisat Asmaturleri sa.ve tic Lts.sti (ს.კ. 0) - უცხოური საწარმო</t>
  </si>
  <si>
    <t>Aday Insaat Tesisat San Ve TIc LTD</t>
  </si>
  <si>
    <t>48a116bd-6f35-408f-b80e-b958232af4d9</t>
  </si>
  <si>
    <t>ICE2840</t>
  </si>
  <si>
    <t>Aday Insaat Tesisat San Ve TIc LTD (ს.კ. 0) - უცხოური საწარმო</t>
  </si>
  <si>
    <t>ელირან ტრაბელსი</t>
  </si>
  <si>
    <t>abd711b2-e0d1-4567-812b-dc87217e16bb</t>
  </si>
  <si>
    <t>ICE002844</t>
  </si>
  <si>
    <t>ელირან ტრაბელსი (ს.კ. 0) - ფიზ. პირი</t>
  </si>
  <si>
    <t>ლეონოვა ანნა</t>
  </si>
  <si>
    <t>36cbea8f-b205-463a-9100-5417ddc00f52</t>
  </si>
  <si>
    <t>ICE2845</t>
  </si>
  <si>
    <t>ლეონოვა ანნა (ს.კ. 756863414) - ფიზ. პირი</t>
  </si>
  <si>
    <t>მიხაილ უდოვკინ</t>
  </si>
  <si>
    <t>2d5d7056-25da-4145-9708-ca2295b95418</t>
  </si>
  <si>
    <t>ICE2848</t>
  </si>
  <si>
    <t>მიხაილ უდოვკინ (ს.კ. 761253063) - ფიზ. პირი</t>
  </si>
  <si>
    <t>ოლგა ბეზბაბნიჯა</t>
  </si>
  <si>
    <t>LV5293430</t>
  </si>
  <si>
    <t>6da0bfc0-6674-49b5-9286-ed45aea61e75</t>
  </si>
  <si>
    <t>ICE2849</t>
  </si>
  <si>
    <t>ოლგა ბეზბაბნიჯა (ს.კ. LV5293430) - ფიზ. პირი</t>
  </si>
  <si>
    <t>ოლეგ კაპლიევ</t>
  </si>
  <si>
    <t>95d0f9a5-9cfd-4cba-91eb-74381805ea19</t>
  </si>
  <si>
    <t>ICE002861</t>
  </si>
  <si>
    <t>ოლეგ კაპლიევ (ს.კ. 345720703) - ინდ. მეწარმე</t>
  </si>
  <si>
    <t>ფალლაჰა მონა</t>
  </si>
  <si>
    <t>LR1331828</t>
  </si>
  <si>
    <t>f41e2ac5-0e57-41cb-b8b7-2dd8dc1a8bf4</t>
  </si>
  <si>
    <t>ICE2869</t>
  </si>
  <si>
    <t>ფალლაჰა მონა (ს.კ. LR1331828) - ფიზ. პირი</t>
  </si>
  <si>
    <t>იგორ ნიკოლსკიი</t>
  </si>
  <si>
    <t>ჰონდურასი - HND</t>
  </si>
  <si>
    <t>71e5e284-9d89-409f-a6dd-d53d341b3de3</t>
  </si>
  <si>
    <t>ICE002887</t>
  </si>
  <si>
    <t>იგორ ნიკოლსკიი (ს.კ. 0) - ფიზ. პირი</t>
  </si>
  <si>
    <t>AF961DC1-8CC9-44C5-81FF-F29794E61D9D</t>
  </si>
  <si>
    <t>AGUSTINELECTRIC TECHNOLOGY(HANGZHOU)CO,.LTD</t>
  </si>
  <si>
    <t>4e17da40-4bd6-4ed3-b252-9143292487b6</t>
  </si>
  <si>
    <t>ICE002888</t>
  </si>
  <si>
    <t>AGUSTINELECTRIC TECHNOLOGY(HANGZHOU)CO,.LTD (ს.კ. 0) - შპს</t>
  </si>
  <si>
    <t>კავკასიის ტრენინგის ცენტრი</t>
  </si>
  <si>
    <t>f500ff82-832c-4f99-9ee8-3aee2908bc02</t>
  </si>
  <si>
    <t>ICE2900</t>
  </si>
  <si>
    <t>კავკასიის ტრენინგის ცენტრი (ს.კ. 0) - შპს</t>
  </si>
  <si>
    <t>შალვა არსენიშვილი</t>
  </si>
  <si>
    <t>47ae2c8b-7589-4539-b9b3-cd5875f2a3d6</t>
  </si>
  <si>
    <t>ICE2901</t>
  </si>
  <si>
    <t>შალვა არსენიშვილი (ს.კ. 0) - ფიზ. პირი</t>
  </si>
  <si>
    <t>BERKSAN MAKINA SAN.VE DIS.TIC.LTD</t>
  </si>
  <si>
    <t>e9e8e729-f2a2-4fdd-83d7-aee81a297935</t>
  </si>
  <si>
    <t>ICE002904</t>
  </si>
  <si>
    <t>BERKSAN MAKINA SAN.VE DIS.TIC.LTD (ს.კ. 0) - შპს</t>
  </si>
  <si>
    <t>AZKON LIFT COMPANY MMC</t>
  </si>
  <si>
    <t>5adcdbb9-27c0-4c8a-bcd1-fad9f21891cf</t>
  </si>
  <si>
    <t>ICE002905</t>
  </si>
  <si>
    <t>AZKON LIFT COMPANY MMC (ს.კ. 0) - შპს</t>
  </si>
  <si>
    <t>Elektronik Muhendislik Sanayi ve Ticaret Anonim Sirketi</t>
  </si>
  <si>
    <t>cf588969-6ccd-4ace-9bce-a348b6ecd1cc</t>
  </si>
  <si>
    <t>ICE002906</t>
  </si>
  <si>
    <t>Elektronik Muhendislik Sanayi ve Ticaret Anonim Sirketi (ს.კ. 0) - შპს</t>
  </si>
  <si>
    <t xml:space="preserve">BERTAS GROUP YAPI MARKET ASANSOR AKSAMLARI SAN VE DIS TIC LTD </t>
  </si>
  <si>
    <t>1444cff5-ffa8-4044-b4d6-642a3146f890</t>
  </si>
  <si>
    <t>ICE002907</t>
  </si>
  <si>
    <t>BERTAS GROUP YAPI MARKET ASANSOR AKSAMLARI SAN VE DIS TIC LTD  (ს.კ. 0) - შპს</t>
  </si>
  <si>
    <t>DVIN HOTEL COMPLEX CJSC PARONYAN</t>
  </si>
  <si>
    <t>c3e70fea-392a-437d-bbc5-5e720cfe1627</t>
  </si>
  <si>
    <t>ICE2908</t>
  </si>
  <si>
    <t>DVIN HOTEL COMPLEX CJSC PARONYAN (ს.კ. 0) - შპს</t>
  </si>
  <si>
    <t>LIFTINSTITUUT TEKNIK BELGELENDIRME VE GUVENLIK DENETIM</t>
  </si>
  <si>
    <t>d395824c-a9b9-40b4-9691-7c64698e8f55</t>
  </si>
  <si>
    <t>ICE2909</t>
  </si>
  <si>
    <t>LIFTINSTITUUT TEKNIK BELGELENDIRME VE GUVENLIK DENETIM (ს.კ. 0) - შპს</t>
  </si>
  <si>
    <t>VEFA PREFABRIKE YAPILAR SAN. TIC.</t>
  </si>
  <si>
    <t>dd4b1af9-cf87-4658-b475-0c88b8c7ca67</t>
  </si>
  <si>
    <t>ICE2910</t>
  </si>
  <si>
    <t>VEFA PREFABRIKE YAPILAR SAN. TIC. (ს.კ. 0) - შპს</t>
  </si>
  <si>
    <t>COPARTNER YONETIM DANISMANLIGI</t>
  </si>
  <si>
    <t>291fed68-e606-4616-bea7-d9c6d2ec4e78</t>
  </si>
  <si>
    <t>ICE2911</t>
  </si>
  <si>
    <t>COPARTNER YONETIM DANISMANLIGI (ს.კ. 0) - შპს</t>
  </si>
  <si>
    <t>GENERG DIS TICARET LIMITED SIRKET</t>
  </si>
  <si>
    <t>e0d89162-716d-4032-b7ea-66d196bbec48</t>
  </si>
  <si>
    <t>ICE2912</t>
  </si>
  <si>
    <t>GENERG DIS TICARET LIMITED SIRKET (ს.კ. 0) - შპს</t>
  </si>
  <si>
    <t>YUCELBORU IHRACAT ITHALAT VE PAZARLAMA AS</t>
  </si>
  <si>
    <t>41b97235-371d-48c2-ad4a-fd2654d4f8d4</t>
  </si>
  <si>
    <t>ICE2913</t>
  </si>
  <si>
    <t>YUCELBORU IHRACAT ITHALAT VE PAZARLAMA AS (ს.კ. 0) - შპს</t>
  </si>
  <si>
    <t>PHYSICAL MEASUREMENT TECHNOLOGIES I\NC</t>
  </si>
  <si>
    <t>f1820317-c1c3-49c7-8ce9-00ab7b8d7c52</t>
  </si>
  <si>
    <t>ICE2914</t>
  </si>
  <si>
    <t>PHYSICAL MEASUREMENT TECHNOLOGIES I\NC (ს.კ. 0) - შპს</t>
  </si>
  <si>
    <t xml:space="preserve">PRIME SHIPPING AGENCY LLC </t>
  </si>
  <si>
    <t>667c130d-23d3-4f7a-a9a9-46c74e2988ce</t>
  </si>
  <si>
    <t>ICE2915</t>
  </si>
  <si>
    <t>PRIME SHIPPING AGENCY LLC  (ს.კ. 0) - შპს</t>
  </si>
  <si>
    <t>ATLAS ATIKSU VE SU ARITMA TEKNOLOJI</t>
  </si>
  <si>
    <t>a8f9a96f-f928-41fe-9306-f5754d31c4b6</t>
  </si>
  <si>
    <t>ICE2916</t>
  </si>
  <si>
    <t>ATLAS ATIKSU VE SU ARITMA TEKNOLOJI (ს.კ. 0) - შპს</t>
  </si>
  <si>
    <t>ASTOR TRANSFORMATOR ENERJI TURIZM I\NS. VE PETROL SAN TIC</t>
  </si>
  <si>
    <t>72707977-038a-47ac-b2bc-15f01038ca0c</t>
  </si>
  <si>
    <t>ICE2917</t>
  </si>
  <si>
    <t>ASTOR TRANSFORMATOR ENERJI TURIZM I\NS. VE PETROL SAN TIC (ს.კ. 0) - შპს</t>
  </si>
  <si>
    <t>AYDIN AVRAZYA GLOBAL DEMIR CELIK SAN. VE TIC LTD STI</t>
  </si>
  <si>
    <t>eef57498-d58b-4776-a920-20f6dbc4cbee</t>
  </si>
  <si>
    <t>ICE2918</t>
  </si>
  <si>
    <t>AYDIN AVRAZYA GLOBAL DEMIR CELIK SAN. VE TIC LTD STI (ს.კ. 0) - შპს</t>
  </si>
  <si>
    <t>MAKSEL DIS TICARET LTD STI</t>
  </si>
  <si>
    <t>a6841dd0-40f0-4dd3-bd11-ac178741ce5e</t>
  </si>
  <si>
    <t>ICE2919</t>
  </si>
  <si>
    <t>MAKSEL DIS TICARET LTD STI (ს.კ. 0) - შპს</t>
  </si>
  <si>
    <t>GUCEVI JENERATOR SAN. VE TIC. LTD</t>
  </si>
  <si>
    <t>f3e9fd60-8909-42dd-a3b1-40bdc1f5e93b</t>
  </si>
  <si>
    <t>ICE002920</t>
  </si>
  <si>
    <t>GUCEVI JENERATOR SAN. VE TIC. LTD (ს.კ. 0) - შპს</t>
  </si>
  <si>
    <t>ENEKO HAVALANDIRMA VE ISI EKONOMISI\ SISTEM TEKNOLOJILERI MAKI  SAN  VE TIC AS</t>
  </si>
  <si>
    <t>69e45f27-885e-4992-b1f0-c1a23a628358</t>
  </si>
  <si>
    <t>ICE2921</t>
  </si>
  <si>
    <t>ENEKO HAVALANDIRMA VE ISI EKONOMISI\ SISTEM TEKNOLOJILERI MAKI  SAN  VE TIC AS (ს.კ. 0) - შპს</t>
  </si>
  <si>
    <t>ENEKO A.S.</t>
  </si>
  <si>
    <t>1cf17f92-e8f9-4c9e-9697-a191a81d8db8</t>
  </si>
  <si>
    <t>ICE2922</t>
  </si>
  <si>
    <t>ENEKO A.S. (ს.კ. 0) - შპს</t>
  </si>
  <si>
    <t>ANTONIO TRADE OUTN 6. MUUGA KULA VIIMSI</t>
  </si>
  <si>
    <t>3cf852d8-74f9-4d29-a7de-4bebf6098455</t>
  </si>
  <si>
    <t>ICE2923</t>
  </si>
  <si>
    <t>ANTONIO TRADE OUTN 6. MUUGA KULA VIIMSI (ს.კ. 0) - შპს</t>
  </si>
  <si>
    <t>UNTES ISITMA KLIMA SOGUTMA SAN VE\1/ TIC AS\</t>
  </si>
  <si>
    <t>6c6bf4e4-fb40-410a-b3a8-4515d9f9b791</t>
  </si>
  <si>
    <t>ICE2924</t>
  </si>
  <si>
    <t>UNTES ISITMA KLIMA SOGUTMA SAN VE\1/ TIC AS\ (ს.კ. 0) - შპს</t>
  </si>
  <si>
    <t>ATLAS TEKNIK TESISAT MALZ.TAAHHUT S\AN.VE DIS TIC.LTD</t>
  </si>
  <si>
    <t>bbcbad53-366d-4063-8c87-f0de1d71d181</t>
  </si>
  <si>
    <t>ICE002925</t>
  </si>
  <si>
    <t>ATLAS TEKNIK TESISAT MALZ.TAAHHUT S\AN.VE DIS TIC.LTD (ს.კ. 0) - შპს</t>
  </si>
  <si>
    <t>IMCO ENDUSTRIYEL MALZEME  TAAHHUT S\AN.VE TIC. A.S.</t>
  </si>
  <si>
    <t>e12329ef-0fb3-4e61-8db0-4f924b6075fc</t>
  </si>
  <si>
    <t>ICE002926</t>
  </si>
  <si>
    <t>IMCO ENDUSTRIYEL MALZEME  TAAHHUT S\AN.VE TIC. A.S. (ს.კ. 0) - შპს</t>
  </si>
  <si>
    <t>VBW ENGINEERING SP.ZO</t>
  </si>
  <si>
    <t>პოლონეთი - POL</t>
  </si>
  <si>
    <t>5992b532-61bc-4205-9d13-a2acc9df821f</t>
  </si>
  <si>
    <t>ICE002927</t>
  </si>
  <si>
    <t>VBW ENGINEERING SP.ZO (ს.კ. 0) - შპს</t>
  </si>
  <si>
    <t>826F181E-0E46-4D9F-8138-3793F455D139</t>
  </si>
  <si>
    <t>TUNC METAL TICARET ANONIM SIRKETI</t>
  </si>
  <si>
    <t>40d29ffe-a179-491d-a3fb-d40d633aa909</t>
  </si>
  <si>
    <t>ICE002928</t>
  </si>
  <si>
    <t>TUNC METAL TICARET ANONIM SIRKETI (ს.კ. 0) - შპს</t>
  </si>
  <si>
    <t>HARMANLI KIMYA VE MAKINE SAN TIC LT\D STI</t>
  </si>
  <si>
    <t>1fc7a0bd-c40f-4548-a2c8-82dcc2614494</t>
  </si>
  <si>
    <t>ICE2929</t>
  </si>
  <si>
    <t>HARMANLI KIMYA VE MAKINE SAN TIC LT\D STI (ს.კ. 0) - შპს</t>
  </si>
  <si>
    <t>MDT MUHENDISLIK SISTEMLERI LTD</t>
  </si>
  <si>
    <t>adf152cc-93a7-49c5-adb2-e4765ee8b5f4</t>
  </si>
  <si>
    <t>ICE2930</t>
  </si>
  <si>
    <t>MDT MUHENDISLIK SISTEMLERI LTD (ს.კ. 0) - შპს</t>
  </si>
  <si>
    <t>ზურაბ ქარელი</t>
  </si>
  <si>
    <t>a78ffd64-17a0-4200-8cd0-473dd8983716</t>
  </si>
  <si>
    <t>ICE2945</t>
  </si>
  <si>
    <t>ზურაბ ქარელი (ს.კ. ICE2945) - ფიზ. პირი</t>
  </si>
  <si>
    <t>მაიკლი ნაუმოვი</t>
  </si>
  <si>
    <t>2f5f9219-fac1-402c-9141-f6716bf889dc</t>
  </si>
  <si>
    <t>ICE2953</t>
  </si>
  <si>
    <t>მაიკლი ნაუმოვი (ს.კ. ICE2953) - ფიზ. პირი</t>
  </si>
  <si>
    <t>FU ZHOU GUANG YI TONG MECHANICAL</t>
  </si>
  <si>
    <t>e0f447f7-517a-44e7-b54b-108a5e5b0235</t>
  </si>
  <si>
    <t>ICE002958</t>
  </si>
  <si>
    <t>FU ZHOU GUANG YI TONG MECHANICAL (ს.კ. ICE002958) - შპს</t>
  </si>
  <si>
    <t>DECRIPT CJSC</t>
  </si>
  <si>
    <t>e57e51e3-35b5-48de-baf9-c08664162344</t>
  </si>
  <si>
    <t>ICE003038</t>
  </si>
  <si>
    <t>DECRIPT CJSC (ს.კ. 02885818) - უცხოური საწარმო</t>
  </si>
  <si>
    <t>ინტერკონტაქტი</t>
  </si>
  <si>
    <t>GE67TB7359336020100003</t>
  </si>
  <si>
    <t>99dcc7d3-03b5-4547-a27f-7b3e8b6afbd1</t>
  </si>
  <si>
    <t>ICE3059</t>
  </si>
  <si>
    <t>ინტერკონტაქტი (ს.კ. 62004004363) - შპს</t>
  </si>
  <si>
    <t>მაღლაკელიძე ვახტანგი</t>
  </si>
  <si>
    <t>GE04BG0000000161912265GEL</t>
  </si>
  <si>
    <t>6903b18e-e571-44a6-aaf1-487f1d6bf51b</t>
  </si>
  <si>
    <t>ICE3079</t>
  </si>
  <si>
    <t>მაღლაკელიძე ვახტანგი (ს.კ. 018001068242) - ფიზ. პირი</t>
  </si>
  <si>
    <t>ილია გილიგაშვილი</t>
  </si>
  <si>
    <t>GE80TB7355845061100083</t>
  </si>
  <si>
    <t>af314073-41b1-42a7-b00f-6c233b0da002</t>
  </si>
  <si>
    <t>ICE3093</t>
  </si>
  <si>
    <t>ილია გილიგაშვილი (ს.კ. 0) - ფიზ. პირი</t>
  </si>
  <si>
    <t>დავით გიორგაძე</t>
  </si>
  <si>
    <t>GE34TB7575745061100101</t>
  </si>
  <si>
    <t>ef7a52b1-acfc-4dac-8319-34efd1090993</t>
  </si>
  <si>
    <t>ICE3107</t>
  </si>
  <si>
    <t>დავით გიორგაძე (ს.კ. ICE3107) - ფიზ. პირი</t>
  </si>
  <si>
    <t>აბდულ რაჰიმან ხალეშა</t>
  </si>
  <si>
    <t>N5006084</t>
  </si>
  <si>
    <t>GE68BG0000000525707285GEL</t>
  </si>
  <si>
    <t>88cb8eb5-3f96-4bfa-919e-ee744ad08419</t>
  </si>
  <si>
    <t>ICE3108</t>
  </si>
  <si>
    <t>აბდულ რაჰიმან ხალეშა (ს.კ. N5006084) - ფიზ. პირი</t>
  </si>
  <si>
    <t>გეთიაშვილი გივი</t>
  </si>
  <si>
    <t>GE98BG0000000131350141GEL</t>
  </si>
  <si>
    <t>7dc3db08-f260-43c8-8b48-53263c336ee4</t>
  </si>
  <si>
    <t>ICE3121</t>
  </si>
  <si>
    <t>გეთიაშვილი გივი (ს.კ. 013001003771) - ფიზ. პირი</t>
  </si>
  <si>
    <t>აბრამალაძე გელა</t>
  </si>
  <si>
    <t>GE57BG0000000162317353GEL</t>
  </si>
  <si>
    <t>14ec3eda-61d2-4190-869f-fb50e08e18eb</t>
  </si>
  <si>
    <t>ICE3133</t>
  </si>
  <si>
    <t>აბრამალაძე გელა (ს.კ. 017001022397) - ფიზ. პირი</t>
  </si>
  <si>
    <t>მაია ბრეგვაძე</t>
  </si>
  <si>
    <t>GE41TB7011636110100003</t>
  </si>
  <si>
    <t>c05eb555-a477-4fc3-825a-e88504a8cd28</t>
  </si>
  <si>
    <t>ICE3136</t>
  </si>
  <si>
    <t>მაია ბრეგვაძე (ს.კ. ICE3136) - ფიზ. პირი</t>
  </si>
  <si>
    <t>ალექსი ბაბულაშვილი</t>
  </si>
  <si>
    <t>GE37TB7370845064300040</t>
  </si>
  <si>
    <t>912265a7-bd83-41db-b61a-6c4a6454b59d</t>
  </si>
  <si>
    <t>ICE3144</t>
  </si>
  <si>
    <t>ალექსი ბაბულაშვილი (ს.კ. 016001001163) - ფიზ. პირი</t>
  </si>
  <si>
    <t>გოგბერაშვილი გიორგი</t>
  </si>
  <si>
    <t>GE88BG0000000498583397GEL</t>
  </si>
  <si>
    <t>0f64535b-0044-474b-b5a8-a5ce329fd41d</t>
  </si>
  <si>
    <t>ICE3146</t>
  </si>
  <si>
    <t>გოგბერაშვილი გიორგი (ს.კ. 018901073256) - ფიზ. პირი</t>
  </si>
  <si>
    <t>ბაჩუკი აბაშიძე</t>
  </si>
  <si>
    <t>0f328e49-c005-4e40-bfbb-263a612ac5e2</t>
  </si>
  <si>
    <t>ICE3157</t>
  </si>
  <si>
    <t>ბაჩუკი აბაშიძე (ს.კ. ICE3157) - ფიზ. პირი</t>
  </si>
  <si>
    <t>RIGHT SKILLS EDUCATION LLC</t>
  </si>
  <si>
    <t>KZ036018821001000061</t>
  </si>
  <si>
    <t>c0be8bfb-3999-490d-a84a-34f3b87d30db</t>
  </si>
  <si>
    <t>ICE003170</t>
  </si>
  <si>
    <t>RIGHT SKILLS EDUCATION LLC (ს.კ. ICE003170) - შპს</t>
  </si>
  <si>
    <t>გლენ არტურ ნობს</t>
  </si>
  <si>
    <t>GE81TB7463945061200002</t>
  </si>
  <si>
    <t>6fcd4cf9-8573-4496-93fe-ca086ba5ed7b</t>
  </si>
  <si>
    <t>ICE3171</t>
  </si>
  <si>
    <t>გლენ არტურ ნობს (ს.კ. ICE3171) - ფიზ. პირი</t>
  </si>
  <si>
    <t>ალექსანდრე-77</t>
  </si>
  <si>
    <t>58b11099-f982-463f-8dcc-62d13a06a686</t>
  </si>
  <si>
    <t>ICE003208</t>
  </si>
  <si>
    <t>ალექსანდრე-77 (ს.კ. 445686080) - შპს</t>
  </si>
  <si>
    <t>დავით 2014</t>
  </si>
  <si>
    <t>8ea5b582-923b-4b35-90f2-f4e91acd1d76</t>
  </si>
  <si>
    <t>ICE3209</t>
  </si>
  <si>
    <t>დავით 2014 (ს.კ. 447861494) - შპს</t>
  </si>
  <si>
    <t>ამო ჯგუფი</t>
  </si>
  <si>
    <t>GE48BG0000000528111693GEL</t>
  </si>
  <si>
    <t>28c48533-5bc8-4d01-b7f3-04c8b1f5390d</t>
  </si>
  <si>
    <t>ICE3210</t>
  </si>
  <si>
    <t>ამო ჯგუფი (ს.კ. 406349786) - შპს</t>
  </si>
  <si>
    <t>ლონდონი 2</t>
  </si>
  <si>
    <t>dcbf278a-de47-4e2e-9178-fb59e7835dca</t>
  </si>
  <si>
    <t>ICE3211</t>
  </si>
  <si>
    <t>ლონდონი 2 (ს.კ. 448410425) - შპს</t>
  </si>
  <si>
    <t>ვიქტორ ხურცილავა</t>
  </si>
  <si>
    <t>GE89BG0000000526907961GEL</t>
  </si>
  <si>
    <t>282fc0b0-62c4-4f27-92ca-c87ac995cfa5</t>
  </si>
  <si>
    <t>ICE3212</t>
  </si>
  <si>
    <t>ვიქტორ ხურცილავა (ს.კ. 62001010355) - ინდ. მეწარმე</t>
  </si>
  <si>
    <t>დეკა ლისი</t>
  </si>
  <si>
    <t>GE60TB7942336080100011</t>
  </si>
  <si>
    <t>ab81e45d-fc7d-41c1-bb11-61d2345f074a</t>
  </si>
  <si>
    <t>ICE003213</t>
  </si>
  <si>
    <t>დეკა ლისი (ს.კ. 405476872) - შპს</t>
  </si>
  <si>
    <t>თამარ ანდრიაძე</t>
  </si>
  <si>
    <t>GE94BG0000000607062560GEL</t>
  </si>
  <si>
    <t>c927ff43-63ab-4b84-bd2a-6f3603b427b4</t>
  </si>
  <si>
    <t>ICE003214</t>
  </si>
  <si>
    <t>თამარ ანდრიაძე (ს.კ. 1024070871) - ფიზ. პირი</t>
  </si>
  <si>
    <t>გელაძე გიორგი</t>
  </si>
  <si>
    <t>GE73BG0000000570071794GEL</t>
  </si>
  <si>
    <t>46051887-ab3e-4203-a5c1-cd226ed64c6b</t>
  </si>
  <si>
    <t>ICE3215</t>
  </si>
  <si>
    <t>გელაძე გიორგი (ს.კ. 1208065101) - ფიზ. პირი</t>
  </si>
  <si>
    <t>დიმიტრი სიჭინავა</t>
  </si>
  <si>
    <t>213967bc-2278-41b5-b5cb-23abf5a24f61</t>
  </si>
  <si>
    <t>ICE003216</t>
  </si>
  <si>
    <t>დიმიტრი სიჭინავა (ს.კ. 01024032465) - ფიზ. პირი</t>
  </si>
  <si>
    <t>სტარექსი გოლდი</t>
  </si>
  <si>
    <t>GE96TB7511736020100009</t>
  </si>
  <si>
    <t>7c7c49c9-8e68-42c3-aa44-b15e925b6641</t>
  </si>
  <si>
    <t>ICE003217</t>
  </si>
  <si>
    <t>სტარექსი გოლდი (ს.კ. 402337404) - შპს</t>
  </si>
  <si>
    <t>გურამ მღებრიშვილი</t>
  </si>
  <si>
    <t>GE85BG0000000292023600GEL</t>
  </si>
  <si>
    <t>b76e90fc-b320-4ec5-b694-6006941389c6</t>
  </si>
  <si>
    <t>ICE003218</t>
  </si>
  <si>
    <t>გურამ მღებრიშვილი (ს.კ. 1024029046) - ფიზ. პირი</t>
  </si>
  <si>
    <t>ელევატორ ჰაბი</t>
  </si>
  <si>
    <t>GE43BG0000000609414467GEL</t>
  </si>
  <si>
    <t>8ae72edc-a41f-4180-bab7-550e418102da</t>
  </si>
  <si>
    <t>ICE3219</t>
  </si>
  <si>
    <t>ელევატორ ჰაბი (ს.კ. 400436444) - შპს</t>
  </si>
  <si>
    <t>ერეკლე აბრამიძე</t>
  </si>
  <si>
    <t>GE42BG0000000161525424GEL</t>
  </si>
  <si>
    <t>6022a6f8-4fe5-448c-b1a4-2d0f7f2236a5</t>
  </si>
  <si>
    <t>ICE3220</t>
  </si>
  <si>
    <t>ერეკლე აბრამიძე (ს.კ. 1006013944) - ინდ. მეწარმე</t>
  </si>
  <si>
    <t>შალვა გუმბარიძე</t>
  </si>
  <si>
    <t>b8d94bcc-0675-49a8-a19b-145486e1bab4</t>
  </si>
  <si>
    <t>ICE3221</t>
  </si>
  <si>
    <t>შალვა გუმბარიძე (ს.კ. 01001076629) - ინდ. მეწარმე</t>
  </si>
  <si>
    <t>გიორგი მაისურაძე</t>
  </si>
  <si>
    <t>8506b7f8-e225-4698-9539-595f7985b99f</t>
  </si>
  <si>
    <t>ICE3222</t>
  </si>
  <si>
    <t>გიორგი მაისურაძე (ს.კ. 1019016071) - ფიზ. პირი</t>
  </si>
  <si>
    <t>დი ეს</t>
  </si>
  <si>
    <t>GE05BG0000000161102491</t>
  </si>
  <si>
    <t>2e2c6926-47f8-488c-bfbc-df30e4fc2e29</t>
  </si>
  <si>
    <t>ICE003223</t>
  </si>
  <si>
    <t>დი ეს (ს.კ. 400263889) - შპს</t>
  </si>
  <si>
    <t>NJC Elevator Technology  and Monitoring Co, Ltd</t>
  </si>
  <si>
    <t>e429bb21-3c62-4621-8979-cca84c26de73</t>
  </si>
  <si>
    <t>ICE003224</t>
  </si>
  <si>
    <t>NJC Elevator Technology  and Monitoring Co, Ltd (ს.კ. ICE003224) - შპს</t>
  </si>
  <si>
    <t>აიაზ აზიზოვ</t>
  </si>
  <si>
    <t>3LFL9W7</t>
  </si>
  <si>
    <t>GE79BG0000000601705811</t>
  </si>
  <si>
    <t>f37d20a5-d900-4cb3-ab1b-721d85f2af37</t>
  </si>
  <si>
    <t>ICE003225</t>
  </si>
  <si>
    <t>აიაზ აზიზოვ (ს.კ. 3LFL9W7) - ფიზ. პირი</t>
  </si>
  <si>
    <t>უჩა კურტანიძე</t>
  </si>
  <si>
    <t>GE44BG0000000554889100</t>
  </si>
  <si>
    <t>0fa4bc22-b17d-4d60-861f-2f15d95880a3</t>
  </si>
  <si>
    <t>ICE003226</t>
  </si>
  <si>
    <t>უჩა კურტანიძე (ს.კ. 38001013055) - ფიზ. პირი</t>
  </si>
  <si>
    <t>როინ ქოქოლაძე</t>
  </si>
  <si>
    <t>GE48BG0000000533893669</t>
  </si>
  <si>
    <t>bfbbcb04-a60c-4506-ad60-9872b0aed448</t>
  </si>
  <si>
    <t>ICE003227</t>
  </si>
  <si>
    <t>როინ ქოქოლაძე (ს.კ. 61001043662) - ფიზ. პირი</t>
  </si>
  <si>
    <t>მამუკა დარჩია</t>
  </si>
  <si>
    <t>GE97BG0000000158922700</t>
  </si>
  <si>
    <t>8c85de84-afd6-4939-bd25-fb8675335312</t>
  </si>
  <si>
    <t>ICE003228</t>
  </si>
  <si>
    <t>მამუკა დარჩია (ს.კ. 26001002401) - ფიზ. პირი</t>
  </si>
  <si>
    <t>ალექსანდრე იმერლიშვილი</t>
  </si>
  <si>
    <t>GE70BG0000000131178955</t>
  </si>
  <si>
    <t>b9835bb2-3921-445a-a653-c40fe58d628c</t>
  </si>
  <si>
    <t>ICE003229</t>
  </si>
  <si>
    <t>ალექსანდრე იმერლიშვილი (ს.კ. 01002021002) - ფიზ. პირი</t>
  </si>
  <si>
    <t>გიორგი ყულოშვილი</t>
  </si>
  <si>
    <t>GE64BG0000000539627730</t>
  </si>
  <si>
    <t>3d67e166-bcab-404e-af40-baa50d123c31</t>
  </si>
  <si>
    <t>ICE003230</t>
  </si>
  <si>
    <t>გიორგი ყულოშვილი (ს.კ. 35001127620) - ფიზ. პირი</t>
  </si>
  <si>
    <t>ნუცა ლომსაძე</t>
  </si>
  <si>
    <t>GE81BG0000000498831552</t>
  </si>
  <si>
    <t>8fec1a92-20c1-4604-9a9a-37f2c3b79693</t>
  </si>
  <si>
    <t>ICE3231</t>
  </si>
  <si>
    <t>ნუცა ლომსაძე (ს.კ. 01005026741) - ფიზ. პირი</t>
  </si>
  <si>
    <t>ირინე ხახუტაიშვილი</t>
  </si>
  <si>
    <t>0189a475-ca2b-4535-884b-b5d63f2e774a</t>
  </si>
  <si>
    <t>ICE003232</t>
  </si>
  <si>
    <t>ირინე ხახუტაიშვილი (ს.კ. 61004007129) - ფიზ. პირი</t>
  </si>
  <si>
    <t>ტაძრის 22</t>
  </si>
  <si>
    <t>3076eb1a-10b1-4d9d-a037-ea373514cdb5</t>
  </si>
  <si>
    <t>ICE3233</t>
  </si>
  <si>
    <t>ტაძრის 22 (ს.კ. ICE3233) - ამხანაგობა</t>
  </si>
  <si>
    <t>რაჰიბ ისაიევ</t>
  </si>
  <si>
    <t>C01764919</t>
  </si>
  <si>
    <t>GE82BG0000000604737298</t>
  </si>
  <si>
    <t>73e341f9-f9db-4f77-a5af-1ff2fc8a11e8</t>
  </si>
  <si>
    <t>ICE003234</t>
  </si>
  <si>
    <t>რაჰიბ ისაიევ (ს.კ. C01764919) - ფიზ. პირი</t>
  </si>
  <si>
    <t>ამირან ხუციშვილი</t>
  </si>
  <si>
    <t>GE95BG0000000010339300</t>
  </si>
  <si>
    <t>9c8ffbc6-6b04-431b-9b0b-fe8e3481b391</t>
  </si>
  <si>
    <t>ICE003235</t>
  </si>
  <si>
    <t>ამირან ხუციშვილი (ს.კ. 59001059301) - ფიზ. პირი</t>
  </si>
  <si>
    <t>ლიფტ კომპონენტი</t>
  </si>
  <si>
    <t>GE35BG0000000537817359GEL</t>
  </si>
  <si>
    <t>a604e0e4-c90c-42c1-b3d2-7783c696c179</t>
  </si>
  <si>
    <t>ICE003236</t>
  </si>
  <si>
    <t>ლიფტ კომპონენტი (ს.კ. 418479890) - შპს</t>
  </si>
  <si>
    <t>მაისურაძე ნიკოლოზ</t>
  </si>
  <si>
    <t>GE03BG0000000021859900GEL</t>
  </si>
  <si>
    <t>1ba9185a-a281-479d-84c7-e8fac25f0a5f</t>
  </si>
  <si>
    <t>ICE3237</t>
  </si>
  <si>
    <t>მაისურაძე ნიკოლოზ (ს.კ. 1004004039) - ფიზ. პირი</t>
  </si>
  <si>
    <t>ადოლინ ჯორჯია</t>
  </si>
  <si>
    <t>927b50da-f38e-4431-9548-476448d357d4</t>
  </si>
  <si>
    <t>ICE3238</t>
  </si>
  <si>
    <t>ადოლინ ჯორჯია (ს.კ. 448423643) - შპს</t>
  </si>
  <si>
    <t>ალექსანდრე ბიზიკაშვილი</t>
  </si>
  <si>
    <t>GE84BG0000000150753400GEL</t>
  </si>
  <si>
    <t>2374fb59-d857-4478-a0e2-50d6fa634dc9</t>
  </si>
  <si>
    <t>ICE3239</t>
  </si>
  <si>
    <t>ალექსანდრე ბიზიკაშვილი (ს.კ. 16001006251) - ფიზ. პირი</t>
  </si>
  <si>
    <t>რედ მეპ</t>
  </si>
  <si>
    <t>GE71BG0000000603394434GEL</t>
  </si>
  <si>
    <t>57f95507-5c03-4a78-a469-f2a1701c2d00</t>
  </si>
  <si>
    <t>ICE3240</t>
  </si>
  <si>
    <t>რედ მეპ (ს.კ. 405678538) - შპს</t>
  </si>
  <si>
    <t>რუსტამოვი რუსლან</t>
  </si>
  <si>
    <t>GE28BG0000000499295196GEL</t>
  </si>
  <si>
    <t>015ab1d7-7b9a-401d-b0f8-6dcc4bd07c2e</t>
  </si>
  <si>
    <t>ICE3241</t>
  </si>
  <si>
    <t>რუსტამოვი რუსლან (ს.კ. 1024021607) - ფიზ. პირი</t>
  </si>
  <si>
    <t>ბრენდერი</t>
  </si>
  <si>
    <t>GE46TB7970236020100003</t>
  </si>
  <si>
    <t>db06c699-a37f-42a8-b90e-dfe6eb0912d8</t>
  </si>
  <si>
    <t>ICE3242</t>
  </si>
  <si>
    <t>ბრენდერი (ს.კ. 405390964) - შპს</t>
  </si>
  <si>
    <t>ვოლსი ბაკურიანი</t>
  </si>
  <si>
    <t>GE60TB7352536080100013</t>
  </si>
  <si>
    <t>97df064b-ac3c-44dc-b50f-4931d66dcb64</t>
  </si>
  <si>
    <t>ICE003243</t>
  </si>
  <si>
    <t>ვოლსი ბაკურიანი (ს.კ. 405475926) - შპს</t>
  </si>
  <si>
    <t>ფრანკენბერგ დანიელ</t>
  </si>
  <si>
    <t>GE34BG0000000609917962GEL</t>
  </si>
  <si>
    <t>fd00bb08-4275-4112-955d-09e60619f53b</t>
  </si>
  <si>
    <t>ICE3244</t>
  </si>
  <si>
    <t>ფრანკენბერგ დანიელ (ს.კ. 40204766) - ფიზ. პირი</t>
  </si>
  <si>
    <t>ლევანი მახათაძე</t>
  </si>
  <si>
    <t>GE68BG0000000709686700GEL</t>
  </si>
  <si>
    <t>dff24cc5-ba99-47d7-9966-d83804cb055d</t>
  </si>
  <si>
    <t>ICE003245</t>
  </si>
  <si>
    <t>ლევანი მახათაძე (ს.კ. 18001008498) - ფიზ. პირი</t>
  </si>
  <si>
    <t>აისტერრა</t>
  </si>
  <si>
    <t>GE97BG0000000586461937GEL</t>
  </si>
  <si>
    <t>b02b47b8-6f99-4575-89ae-5c9cbd17d17d</t>
  </si>
  <si>
    <t>ICE003246</t>
  </si>
  <si>
    <t>აისტერრა (ს.კ. 445733065) - შპს</t>
  </si>
  <si>
    <t>ჰეიდარ ჰასანოვ</t>
  </si>
  <si>
    <t>GE45BG0000000131138277</t>
  </si>
  <si>
    <t>c94deef2-1cd2-4b3d-aa00-ebe75e0d3a78</t>
  </si>
  <si>
    <t>ICE003247</t>
  </si>
  <si>
    <t>ჰეიდარ ჰასანოვ (ს.კ. 01391050221) - ფიზ. პირი</t>
  </si>
  <si>
    <t>ზვიად იუკურიძე</t>
  </si>
  <si>
    <t>GE60TB7719645068100009</t>
  </si>
  <si>
    <t>dd77c257-72f9-4eee-8b92-9034359df7dd</t>
  </si>
  <si>
    <t>ICE003248</t>
  </si>
  <si>
    <t>ზვიად იუკურიძე (ს.კ. 35001114981) - ფიზ. პირი</t>
  </si>
  <si>
    <t>შალვა ქუცნიაშვილი</t>
  </si>
  <si>
    <t>GE50BG0000000617663900</t>
  </si>
  <si>
    <t>766ab89d-ff2d-4c50-b284-5728b3b9f511</t>
  </si>
  <si>
    <t>ICE003249</t>
  </si>
  <si>
    <t>შალვა ქუცნიაშვილი (ს.კ. 31001008769) - ფიზ. პირი</t>
  </si>
  <si>
    <t>არჩილი ღვინიაშვილი</t>
  </si>
  <si>
    <t>GE96TB7136245064300038</t>
  </si>
  <si>
    <t>7cce6074-4888-4059-bf98-7ee6c93a3422</t>
  </si>
  <si>
    <t>ICE003250</t>
  </si>
  <si>
    <t>არჩილი ღვინიაშვილი (ს.კ. 45001033384) - ფიზ. პირი</t>
  </si>
  <si>
    <t>თამაზი ქშუტაშვილი</t>
  </si>
  <si>
    <t>GE47BG0000000538741747</t>
  </si>
  <si>
    <t>896c807e-c107-41f9-97d4-40a0823f6910</t>
  </si>
  <si>
    <t>ICE003251</t>
  </si>
  <si>
    <t>თამაზი ქშუტაშვილი (ს.კ. 25001026683) - ფიზ. პირი</t>
  </si>
  <si>
    <t>ლისი თაურსი</t>
  </si>
  <si>
    <t>GE25BG0000000537455341</t>
  </si>
  <si>
    <t>01230a64-68df-483f-a665-3da5373ee828</t>
  </si>
  <si>
    <t>ICE003252</t>
  </si>
  <si>
    <t>ლისი თაურსი (ს.კ. 405535915) - შპს</t>
  </si>
  <si>
    <t>მარიამ მურუსიძე</t>
  </si>
  <si>
    <t>GE21BG0000000604758766</t>
  </si>
  <si>
    <t>4e20eb55-c34d-4814-8daf-7159056a10b6</t>
  </si>
  <si>
    <t>ICE003253</t>
  </si>
  <si>
    <t>მარიამ მურუსიძე (ს.კ. 01724094366) - ფიზ. პირი</t>
  </si>
  <si>
    <t>ნიკოლოზი კბილცეცხლაშვილი</t>
  </si>
  <si>
    <t>GE80BG0000000525220226</t>
  </si>
  <si>
    <t>bef9afbc-23af-48c0-affc-b437d1a77300</t>
  </si>
  <si>
    <t>ICE003254</t>
  </si>
  <si>
    <t>ნიკოლოზი კბილცეცხლაშვილი (ს.კ. 01011068661) - ფიზ. პირი</t>
  </si>
  <si>
    <t>ნიკოლოზ ბეგაშვილი</t>
  </si>
  <si>
    <t>GE30TB7118545063300004</t>
  </si>
  <si>
    <t>b905cc41-c84b-443c-b5a6-3fa4e4798f87</t>
  </si>
  <si>
    <t>ICE003255</t>
  </si>
  <si>
    <t>ნიკოლოზ ბეგაშვილი (ს.კ. 01024085074) - ფიზ. პირი</t>
  </si>
  <si>
    <t>ვალერიან ლობჟანიძე</t>
  </si>
  <si>
    <t>GE03BG0000000498937231</t>
  </si>
  <si>
    <t>0c2c2d6a-b87c-4108-b80f-47102d8342b2</t>
  </si>
  <si>
    <t>ICE3256</t>
  </si>
  <si>
    <t>ვალერიან ლობჟანიძე (ს.კ. 01021002449) - ფიზ. პირი</t>
  </si>
  <si>
    <t>ავთანდილ ცარციძე</t>
  </si>
  <si>
    <t>GE74TB7938145061100079</t>
  </si>
  <si>
    <t>2f50e082-4b99-45a9-8ec5-85347ceb63c4</t>
  </si>
  <si>
    <t>ICE3258</t>
  </si>
  <si>
    <t>ავთანდილ ცარციძე (ს.კ. 01011038686) - ფიზ. პირი</t>
  </si>
  <si>
    <t>გიორგი ჯიჯავაძე</t>
  </si>
  <si>
    <t>GE61BG0000000609692048</t>
  </si>
  <si>
    <t>5ba9f649-5e81-4adc-8722-f0f54a2b2f69</t>
  </si>
  <si>
    <t>ICE3259</t>
  </si>
  <si>
    <t>გიორგი ჯიჯავაძე (ს.კ. 61008019270) - ფიზ. პირი</t>
  </si>
  <si>
    <t>SHANDONG SEVEN MACHINERY MANUFACTURING CO.</t>
  </si>
  <si>
    <t>b96f9336-c297-4cde-b7e9-77a1e27dc3bb</t>
  </si>
  <si>
    <t>ICE003259</t>
  </si>
  <si>
    <t>SHANDONG SEVEN MACHINERY MANUFACTURING CO. (ს.კ. ICE003259) - შპს</t>
  </si>
  <si>
    <t>TROX TURKEY TEKNIK KLIMA SAN. VE TIC. LTD. STI</t>
  </si>
  <si>
    <t>TR110006200167600009099958</t>
  </si>
  <si>
    <t>1eee9f93-c194-41a3-8834-60184eb3cf4c</t>
  </si>
  <si>
    <t>ICE003260</t>
  </si>
  <si>
    <t>TROX TURKEY TEKNIK KLIMA SAN. VE TIC. LTD. STI (ს.კ. ICE003260) - შპს</t>
  </si>
  <si>
    <t>მასალშოპ</t>
  </si>
  <si>
    <t>GE49BG0000000586411294GEL</t>
  </si>
  <si>
    <t>6f0f824d-f0e0-43d5-b046-733f75ee8a3d</t>
  </si>
  <si>
    <t>ICE003261</t>
  </si>
  <si>
    <t>მასალშოპ (ს.კ. 401959225) - შპს</t>
  </si>
  <si>
    <t>აკაცია</t>
  </si>
  <si>
    <t>GE42BG0000000103995500GEL</t>
  </si>
  <si>
    <t>91bb7ee7-d0f0-40fd-8c5e-eaabc691d56a</t>
  </si>
  <si>
    <t>ICE3262</t>
  </si>
  <si>
    <t>აკაცია (ს.კ. 444959369) - შპს</t>
  </si>
  <si>
    <t>შიმბო +</t>
  </si>
  <si>
    <t>GE49BG0000000597709854GEL</t>
  </si>
  <si>
    <t>e657a83f-7abc-4aa3-a56c-928389869a4f</t>
  </si>
  <si>
    <t>ICE3263</t>
  </si>
  <si>
    <t>შიმბო + (ს.კ. 402313091) - შპს</t>
  </si>
  <si>
    <t>ფარმა სოლუშენს</t>
  </si>
  <si>
    <t>GE54TB7620036020100006</t>
  </si>
  <si>
    <t>bddaef18-f347-42e3-ab8e-d4eaacb54ce8</t>
  </si>
  <si>
    <t>ICE3264</t>
  </si>
  <si>
    <t>ფარმა სოლუშენს (ს.კ. 405459098) - შპს</t>
  </si>
  <si>
    <t>ელზა საკანდელიძე</t>
  </si>
  <si>
    <t>GE98KS0000001360152065</t>
  </si>
  <si>
    <t>c22e93c0-607e-4d00-b207-2aecede2468d</t>
  </si>
  <si>
    <t>ICE3265</t>
  </si>
  <si>
    <t>ელზა საკანდელიძე (ს.კ. 53001043329) - ფიზ. პირი</t>
  </si>
  <si>
    <t>შპს პროფასადი</t>
  </si>
  <si>
    <t>GE20BG0000000604636564GEL</t>
  </si>
  <si>
    <t>a6b2e70c-a3dc-474a-8f15-f77cae21ebc6</t>
  </si>
  <si>
    <t>ICE3266</t>
  </si>
  <si>
    <t>შპს პროფასადი (ს.კ. 433655546) - შპს</t>
  </si>
  <si>
    <t>შპს დიქეი კაპიტალი</t>
  </si>
  <si>
    <t>GE31TB7162636020100010</t>
  </si>
  <si>
    <t>d857bbe3-9120-4ec5-9943-82a9baac5981</t>
  </si>
  <si>
    <t>ICE3267</t>
  </si>
  <si>
    <t>შპს დიქეი კაპიტალი (ს.კ. 405063942) - შპს</t>
  </si>
  <si>
    <t>Beta Soft</t>
  </si>
  <si>
    <t>GE16TB7435936020100001</t>
  </si>
  <si>
    <t>74da302e-9c10-4380-b8f1-8e0ff2e241c9</t>
  </si>
  <si>
    <t>ICE3268</t>
  </si>
  <si>
    <t>Beta Soft (ს.კ. 445400913) - შპს</t>
  </si>
  <si>
    <t>დაზგა</t>
  </si>
  <si>
    <t>GE16BG0000000266098100GEL</t>
  </si>
  <si>
    <t>658802be-7075-4425-b5dc-e2edb88cf7aa</t>
  </si>
  <si>
    <t>ICE003269</t>
  </si>
  <si>
    <t>დაზგა (ს.კ. 206201929) - შპს</t>
  </si>
  <si>
    <t>ურბანუს მზიური</t>
  </si>
  <si>
    <t>GE70BG0000000581126259GEL</t>
  </si>
  <si>
    <t>8487c8c9-5af1-467a-8a82-3ca25ec4e7c0</t>
  </si>
  <si>
    <t>ICE003270</t>
  </si>
  <si>
    <t>ურბანუს მზიური (ს.კ. 445725831) - შპს</t>
  </si>
  <si>
    <t>ბუზ ტეხ-ის წარმომადგენლობა საქართველოში</t>
  </si>
  <si>
    <t>0a621fbb-00a5-4267-b804-da9c2bd8a32b</t>
  </si>
  <si>
    <t>ICE3271</t>
  </si>
  <si>
    <t>ბუზ ტეხ-ის წარმომადგენლობა საქართველოში (ს.კ. 405291786) - შპს</t>
  </si>
  <si>
    <t>ემ პლიუსი</t>
  </si>
  <si>
    <t>d7283e1d-e32b-48f3-8bd2-9275f33b7d33</t>
  </si>
  <si>
    <t>ICE3272</t>
  </si>
  <si>
    <t>ემ პლიუსი (ს.კ. 429651165) - შპს</t>
  </si>
  <si>
    <t>ბესფოუქ ისქეიფ</t>
  </si>
  <si>
    <t>GE48BG0000000589158449GEL</t>
  </si>
  <si>
    <t>a113534c-54fd-49b7-8098-51bf504e40b2</t>
  </si>
  <si>
    <t>ICE3273</t>
  </si>
  <si>
    <t>ბესფოუქ ისქეიფ (ს.კ. 404715803) - შპს</t>
  </si>
  <si>
    <t>პისიშოპ.ჯი</t>
  </si>
  <si>
    <t>GE27BG0000000184252600GEL</t>
  </si>
  <si>
    <t>d32fc7c0-04d8-4403-8250-0151b14d7a8e</t>
  </si>
  <si>
    <t>ICE3274</t>
  </si>
  <si>
    <t>პისიშოპ.ჯი (ს.კ. 205198481) - შპს</t>
  </si>
  <si>
    <t>ავთანდილი მოლაშვილი</t>
  </si>
  <si>
    <t>GE95BG0000000103078963</t>
  </si>
  <si>
    <t>d2cdd5b7-bd55-4ff4-bb7a-16888a2d0762</t>
  </si>
  <si>
    <t>ICE003275</t>
  </si>
  <si>
    <t>ავთანდილი მოლაშვილი (ს.კ. 45001033331) - ფიზ. პირი</t>
  </si>
  <si>
    <t>მუსაევი მუსლიმ</t>
  </si>
  <si>
    <t>GE90BG0000000499471590GEL</t>
  </si>
  <si>
    <t>8761db03-1903-4855-bd44-40a0dc78c15f</t>
  </si>
  <si>
    <t>ICE003276</t>
  </si>
  <si>
    <t>მუსაევი მუსლიმ (ს.კ. 01008045519) - ფიზ. პირი</t>
  </si>
  <si>
    <t>ფარსერვის</t>
  </si>
  <si>
    <t>GE41BG0000000609702884GEL</t>
  </si>
  <si>
    <t>de35a7f9-c257-4e19-88f3-35f2c1b971f6</t>
  </si>
  <si>
    <t>ICE3277</t>
  </si>
  <si>
    <t>ფარსერვის (ს.კ. 404778870) - შპს</t>
  </si>
  <si>
    <t>დავითი კოხრეიძე</t>
  </si>
  <si>
    <t>GE62BG0000000546384592GEL</t>
  </si>
  <si>
    <t>d3327345-aed1-42c1-bd41-9401a966f032</t>
  </si>
  <si>
    <t>ICE3279</t>
  </si>
  <si>
    <t>დავითი კოხრეიძე (ს.კ. 01018006047) - ინდ. მეწარმე</t>
  </si>
  <si>
    <t>შუშანიკ მახარაძე</t>
  </si>
  <si>
    <t>GE62BG0000000162622425</t>
  </si>
  <si>
    <t>2a047205-cc52-4ea9-8163-e1e66a12c8d7</t>
  </si>
  <si>
    <t>ICE003280</t>
  </si>
  <si>
    <t>შუშანიკ მახარაძე (ს.კ. 61010015059) - ფიზ. პირი</t>
  </si>
  <si>
    <t>ელიზავეტა ჩერნობროვკინა</t>
  </si>
  <si>
    <t>GE20BG0000000541254921USD</t>
  </si>
  <si>
    <t>8e97cf84-5959-4f0d-8040-c1ce6c44fb36</t>
  </si>
  <si>
    <t>ICE003281</t>
  </si>
  <si>
    <t>ელიზავეტა ჩერნობროვკინა (ს.კ. 551432769) - ფიზ. პირი</t>
  </si>
  <si>
    <t>LGLIFT GLOBAL LTD</t>
  </si>
  <si>
    <t>c07fd128-2cac-4bb0-8c2e-94126b8debc5</t>
  </si>
  <si>
    <t>ICE3282</t>
  </si>
  <si>
    <t>LGLIFT GLOBAL LTD (ს.კ. ICE3282) - შპს</t>
  </si>
  <si>
    <t>ანა ებრალიძე</t>
  </si>
  <si>
    <t>GE72BG0000000541699118GEL</t>
  </si>
  <si>
    <t>ecac5bb8-ce34-4e8a-ab66-bc8747d0c720</t>
  </si>
  <si>
    <t>ICE003283</t>
  </si>
  <si>
    <t>ანა ებრალიძე (ს.კ. 18001058845) - ფიზ. პირი</t>
  </si>
  <si>
    <t>ირაკლი მამულაშვილი</t>
  </si>
  <si>
    <t>GE84BG0000000499047905GEL</t>
  </si>
  <si>
    <t>2313415c-5af0-4302-98b6-e47b34a4ebaa</t>
  </si>
  <si>
    <t>ICE3284</t>
  </si>
  <si>
    <t>ირაკლი მამულაშვილი (ს.კ. 10401073712) - ინდ. მეწარმე</t>
  </si>
  <si>
    <t>ნუკრი ბეჟანიშვილი</t>
  </si>
  <si>
    <t>GE03BG0000000537586978GEL</t>
  </si>
  <si>
    <t>a2278e4c-57ec-426c-9f38-f0240df1aa25</t>
  </si>
  <si>
    <t>ICE3285</t>
  </si>
  <si>
    <t>ნუკრი ბეჟანიშვილი (ს.კ. 12001012499) - ინდ. მეწარმე</t>
  </si>
  <si>
    <t>დავით ნასყიდაშვილი</t>
  </si>
  <si>
    <t>GE06TB7099745064300088</t>
  </si>
  <si>
    <t>cbbd726d-e9ec-45e2-9c3f-38938a339a16</t>
  </si>
  <si>
    <t>ICE3286</t>
  </si>
  <si>
    <t>დავით ნასყიდაშვილი (ს.კ. 59501134029) - ფიზ. პირი</t>
  </si>
  <si>
    <t>ნონიაშვილი დავითი</t>
  </si>
  <si>
    <t>GE13BG0000000588991172GEL</t>
  </si>
  <si>
    <t>a8bc67d6-abc8-4700-9e28-2688e7125bb9</t>
  </si>
  <si>
    <t>ICE3287</t>
  </si>
  <si>
    <t>ნონიაშვილი დავითი (ს.კ. 1020002426) - ფიზ. პირი</t>
  </si>
  <si>
    <t>ინვენტერი</t>
  </si>
  <si>
    <t>GE08TB7089936080100014</t>
  </si>
  <si>
    <t>86269f46-53c5-494d-ae84-e08c52aefe77</t>
  </si>
  <si>
    <t>ICE3288</t>
  </si>
  <si>
    <t>ინვენტერი (ს.კ. 404627524) - შპს</t>
  </si>
  <si>
    <t>ეიესჯისოფტ</t>
  </si>
  <si>
    <t>GE60TB7718836020100002</t>
  </si>
  <si>
    <t>fd6894fa-ba52-42f9-9754-5f31e51282aa</t>
  </si>
  <si>
    <t>ICE3289</t>
  </si>
  <si>
    <t>ეიესჯისოფტ (ს.კ. 402128149) - შპს</t>
  </si>
  <si>
    <t>იზოლდა თურმანიძე</t>
  </si>
  <si>
    <t>GE68BG0000000607737275</t>
  </si>
  <si>
    <t>655eba76-3321-4afc-9768-9179a1c3c698</t>
  </si>
  <si>
    <t>ICE003290</t>
  </si>
  <si>
    <t>იზოლდა თურმანიძე (ს.კ. 61006007831) - ფიზ. პირი</t>
  </si>
  <si>
    <t>გულნარა კახაძე</t>
  </si>
  <si>
    <t>GE31BG0000000541363751</t>
  </si>
  <si>
    <t>398c5a27-7fb8-483a-b813-e7904c4de6c5</t>
  </si>
  <si>
    <t>ICE003291</t>
  </si>
  <si>
    <t>გულნარა კახაძე (ს.კ. 61006059686) - ფიზ. პირი</t>
  </si>
  <si>
    <t>ზურა 2013</t>
  </si>
  <si>
    <t>5c682b0c-672b-4ea0-bae7-8f79f37d8180</t>
  </si>
  <si>
    <t>ICE003292</t>
  </si>
  <si>
    <t>ზურა 2013 (ს.კ. 445762835) - შპს</t>
  </si>
  <si>
    <t>ტარიელ ბაგრატიონი</t>
  </si>
  <si>
    <t>GE45TB7328745068100036</t>
  </si>
  <si>
    <t>b55be277-0522-48fc-bd97-20f73ee43b3d</t>
  </si>
  <si>
    <t>ICE3293</t>
  </si>
  <si>
    <t>ტარიელ ბაგრატიონი (ს.კ. 59001085608) - ფიზ. პირი</t>
  </si>
  <si>
    <t>პაატა იაკობაშვილი</t>
  </si>
  <si>
    <t>GE05BG0000000537996088GEL</t>
  </si>
  <si>
    <t>5d866f9d-5a74-4443-866f-2f8dfa3110cf</t>
  </si>
  <si>
    <t>ICE003294</t>
  </si>
  <si>
    <t>პაატა იაკობაშვილი (ს.კ. 38001019720) - ინდ. მეწარმე</t>
  </si>
  <si>
    <t>ბაზალტ ფაიბერს</t>
  </si>
  <si>
    <t>GE20TB0600000028467176</t>
  </si>
  <si>
    <t>c8bcb275-5e14-4f00-8159-47ea9e2c0935</t>
  </si>
  <si>
    <t>ICE3295</t>
  </si>
  <si>
    <t>ბაზალტ ფაიბერს (ს.კ. 211398245) - შპს</t>
  </si>
  <si>
    <t>მარეხი მახარაძე</t>
  </si>
  <si>
    <t>GE73BG0000000537660020</t>
  </si>
  <si>
    <t>738ba18f-56e2-431d-a42e-519a00ec0a64</t>
  </si>
  <si>
    <t>ICE003296</t>
  </si>
  <si>
    <t>მარეხი მახარაძე (ს.კ. 59001116483) - ფიზ. პირი</t>
  </si>
  <si>
    <t>ალასგარ აფანდიევ</t>
  </si>
  <si>
    <t>GE92BG0000000609672187</t>
  </si>
  <si>
    <t>6400a554-ae5c-4070-b034-b9e6a07abc4c</t>
  </si>
  <si>
    <t>ICE003297</t>
  </si>
  <si>
    <t>ალასგარ აფანდიევ (ს.კ. ICE003297) - ფიზ. პირი</t>
  </si>
  <si>
    <t>ბესიკი ჯულაყიძე</t>
  </si>
  <si>
    <t>GE08TB7219645068100046</t>
  </si>
  <si>
    <t>be19bffd-4bd0-406e-a756-0bb3818d151a</t>
  </si>
  <si>
    <t>ICE3298</t>
  </si>
  <si>
    <t>ბესიკი ჯულაყიძე (ს.კ. 35001114922) - ფიზ. პირი</t>
  </si>
  <si>
    <t>გიორგი ჭილაშვილი</t>
  </si>
  <si>
    <t>GE77TB7576845061100048</t>
  </si>
  <si>
    <t>2a0e460d-7e77-4376-b6f4-b449f7f23764</t>
  </si>
  <si>
    <t>ICE003299</t>
  </si>
  <si>
    <t>გიორგი ჭილაშვილი (ს.კ. 12001092820) - ფიზ. პირი</t>
  </si>
  <si>
    <t>ჩენ რენლონგ</t>
  </si>
  <si>
    <t>E65936840</t>
  </si>
  <si>
    <t>GE91BG0000000530430674</t>
  </si>
  <si>
    <t>fcfaf681-6a84-4ae6-b903-001897fd5975</t>
  </si>
  <si>
    <t>ICE003300</t>
  </si>
  <si>
    <t>ჩენ რენლონგ (ს.კ. E65936840) - ფიზ. პირი</t>
  </si>
  <si>
    <t>ირმა ბურდული</t>
  </si>
  <si>
    <t>GE84BG0000000266775100GEL</t>
  </si>
  <si>
    <t>4978e48c-86fc-4909-b480-3e6167675d3e</t>
  </si>
  <si>
    <t>ICE003301</t>
  </si>
  <si>
    <t>ირმა ბურდული (ს.კ. 44001000188) - ფიზ. პირი</t>
  </si>
  <si>
    <t>ეს ენ ეს</t>
  </si>
  <si>
    <t>GE58HB0000000015323602</t>
  </si>
  <si>
    <t>d02eabc6-dac1-4e45-80b4-83beaefd6f92</t>
  </si>
  <si>
    <t>ICE3302</t>
  </si>
  <si>
    <t>ეს ენ ეს (ს.კ. 400259894) - შპს</t>
  </si>
  <si>
    <t>ღლონტი გოგა</t>
  </si>
  <si>
    <t>GE87BG0000000162039878GEL</t>
  </si>
  <si>
    <t>4e8f1832-e355-4457-920c-a17bf5b35cf6</t>
  </si>
  <si>
    <t>ICE3303</t>
  </si>
  <si>
    <t>ღლონტი გოგა (ს.კ. 26001036727) - ფიზ. პირი</t>
  </si>
  <si>
    <t>ნიუ გუდაური ბლოკ 5</t>
  </si>
  <si>
    <t>GE26BG0000000609984648GEL</t>
  </si>
  <si>
    <t>7b4c9594-fc75-4042-af16-03a548b4dc14</t>
  </si>
  <si>
    <t>ICE3304</t>
  </si>
  <si>
    <t>ნიუ გუდაური ბლოკ 5 (ს.კ. ICE3304) - ამხანაგობა</t>
  </si>
  <si>
    <t>მაზა</t>
  </si>
  <si>
    <t>GE77TB7528436020100001</t>
  </si>
  <si>
    <t>973fec8b-65e8-45ad-8f61-8c9dbdd41ed4</t>
  </si>
  <si>
    <t>ICE003305</t>
  </si>
  <si>
    <t>მაზა (ს.კ. 401987374) - შპს</t>
  </si>
  <si>
    <t>გურამ ჩახვაშვილი</t>
  </si>
  <si>
    <t>GE26TB7784945061600005</t>
  </si>
  <si>
    <t>4ebebc08-623c-4d6f-9ca0-941af04d308d</t>
  </si>
  <si>
    <t>ICE003306</t>
  </si>
  <si>
    <t>გურამ ჩახვაშვილი (ს.კ. 35001059957) - ფიზ. პირი</t>
  </si>
  <si>
    <t>გურამ ძირკვაძე</t>
  </si>
  <si>
    <t>GE64BG0000000582429562</t>
  </si>
  <si>
    <t>69ad19f4-4fc9-408d-9d3e-bbd2dbfce8ca</t>
  </si>
  <si>
    <t>ICE3307</t>
  </si>
  <si>
    <t>გურამ ძირკვაძე (ს.კ. 61004067189) - ფიზ. პირი</t>
  </si>
  <si>
    <t>ზურაბ ბერიძე</t>
  </si>
  <si>
    <t>GE53BG0000000346025822</t>
  </si>
  <si>
    <t>c72e058b-66f6-405b-8190-b42cf7b8f157</t>
  </si>
  <si>
    <t>ICE3308</t>
  </si>
  <si>
    <t>ზურაბ ბერიძე (ს.კ. 61006065553) - ფიზ. პირი</t>
  </si>
  <si>
    <t>შალვა ლეჟავა</t>
  </si>
  <si>
    <t>GE74TB7930945063600032</t>
  </si>
  <si>
    <t>55b22874-efdd-4b64-820b-84b65b299a1d</t>
  </si>
  <si>
    <t>ICE3309</t>
  </si>
  <si>
    <t>შალვა ლეჟავა (ს.კ. 01024007906) - ფიზ. პირი</t>
  </si>
  <si>
    <t>ანა ავქოფაშვილი</t>
  </si>
  <si>
    <t>GE82TB7121745061100015</t>
  </si>
  <si>
    <t>500d717f-e9f4-4f90-9c02-fae0e40f456e</t>
  </si>
  <si>
    <t>ICE003310</t>
  </si>
  <si>
    <t>ანა ავქოფაშვილი (ს.კ. 10001058207) - ფიზ. პირი</t>
  </si>
  <si>
    <t>ასანსორ ჯორჯია</t>
  </si>
  <si>
    <t>d748a11a-9d00-4d82-8f14-1d33acca1cb5</t>
  </si>
  <si>
    <t>ICE003311</t>
  </si>
  <si>
    <t>ასანსორ ჯორჯია (ს.კ. 445790047) - შპს</t>
  </si>
  <si>
    <t>გოჩა ვარაზაშვილი</t>
  </si>
  <si>
    <t>1f34ef97-dc76-4e6a-b32d-388fb0bcc6b7</t>
  </si>
  <si>
    <t>ICE3312</t>
  </si>
  <si>
    <t>გოჩა ვარაზაშვილი (ს.კ. 13001002163) - ინდ. მეწარმე</t>
  </si>
  <si>
    <t>სერიოჟა ბერიძე</t>
  </si>
  <si>
    <t>481c9435-41e4-4c6a-acaa-341e92ccf4fa</t>
  </si>
  <si>
    <t>ICE3313</t>
  </si>
  <si>
    <t>სერიოჟა ბერიძე (ს.კ. 61001058764) - ინდ. მეწარმე</t>
  </si>
  <si>
    <t>ელმა 2008</t>
  </si>
  <si>
    <t>57606f42-f31f-4141-add5-c0ae3427b71f</t>
  </si>
  <si>
    <t>ICE3314</t>
  </si>
  <si>
    <t>ელმა 2008 (ს.კ. 206328918) - შპს</t>
  </si>
  <si>
    <t>ზვიადი გოგინავა</t>
  </si>
  <si>
    <t>447e61d1-9e9f-4c1b-a9d1-d39e045f6aff</t>
  </si>
  <si>
    <t>ICE3315</t>
  </si>
  <si>
    <t>ზვიადი გოგინავა (ს.კ. 39001033779) - ინდ. მეწარმე</t>
  </si>
  <si>
    <t>დონე 5</t>
  </si>
  <si>
    <t>8129a0ec-6e84-444a-b02e-696e5497129e</t>
  </si>
  <si>
    <t>ICE3316</t>
  </si>
  <si>
    <t>დონე 5 (ს.კ. 405565446) - შპს</t>
  </si>
  <si>
    <t>ნინინია77</t>
  </si>
  <si>
    <t>afac8fac-b6c7-43e2-8cec-ff1c8fbd5804</t>
  </si>
  <si>
    <t>ICE3317</t>
  </si>
  <si>
    <t>ნინინია77 (ს.კ. 445532228) - შპს</t>
  </si>
  <si>
    <t>მამა</t>
  </si>
  <si>
    <t>0e08fa32-c321-4cd9-a32c-1cc74e203db1</t>
  </si>
  <si>
    <t>ICE3318</t>
  </si>
  <si>
    <t>მამა (ს.კ. 406270823) - შპს</t>
  </si>
  <si>
    <t>გრინ სთორ</t>
  </si>
  <si>
    <t>03fef9d1-a1ae-4c18-965a-2aaef159a66d</t>
  </si>
  <si>
    <t>ICE3321</t>
  </si>
  <si>
    <t>გრინ სთორ (ს.კ. 406492291) - შპს</t>
  </si>
  <si>
    <t>ულტრა</t>
  </si>
  <si>
    <t>69efc629-4a22-41b3-93f5-dcbaa25c1bef</t>
  </si>
  <si>
    <t>ICE3322</t>
  </si>
  <si>
    <t>ულტრა (ს.კ. 206258182) - შპს</t>
  </si>
  <si>
    <t>GNT</t>
  </si>
  <si>
    <t>e67226c7-a9ba-4790-8623-5c73287d4559</t>
  </si>
  <si>
    <t>ICE3323</t>
  </si>
  <si>
    <t>GNT (ს.კ. 401953775) - შპს</t>
  </si>
  <si>
    <t>ბესთ ბეარინგ კომპანი</t>
  </si>
  <si>
    <t>92a59c8a-0824-4933-a36d-9ac8a3c6ff72</t>
  </si>
  <si>
    <t>ICE3324</t>
  </si>
  <si>
    <t>ბესთ ბეარინგ კომპანი (ს.კ. 405659416) - შპს</t>
  </si>
  <si>
    <t>სეიდი</t>
  </si>
  <si>
    <t>cb97b831-bc5f-46f8-a3b8-e9f31e3943c2</t>
  </si>
  <si>
    <t>ICE3325</t>
  </si>
  <si>
    <t>სეიდი (ს.კ. 445547169) - შპს</t>
  </si>
  <si>
    <t>მზია ხვისტანი</t>
  </si>
  <si>
    <t>d9563edf-5401-4b98-ae56-110234c4935a</t>
  </si>
  <si>
    <t>ICE3326</t>
  </si>
  <si>
    <t>მზია ხვისტანი (ს.კ. 35001075653) - ინდ. მეწარმე</t>
  </si>
  <si>
    <t>ალია</t>
  </si>
  <si>
    <t>af06a5d9-a9d5-4a92-8abb-a706a6a671c4</t>
  </si>
  <si>
    <t>ICE3327</t>
  </si>
  <si>
    <t>ალია (ს.კ. 401963915) - შპს</t>
  </si>
  <si>
    <t>ვიქტორ სონიშვილი</t>
  </si>
  <si>
    <t>b1d9bacb-6640-41e6-beb5-85b5b9284c17</t>
  </si>
  <si>
    <t>ICE3328</t>
  </si>
  <si>
    <t>ვიქტორ სონიშვილი (ს.კ. 16001007258) - ინდ. მეწარმე</t>
  </si>
  <si>
    <t>ბათუმი 43</t>
  </si>
  <si>
    <t>c6ebd658-e663-4042-aeb5-bb26d947df60</t>
  </si>
  <si>
    <t>ICE3329</t>
  </si>
  <si>
    <t>ბათუმი 43 (ს.კ. 431184504) - შპს</t>
  </si>
  <si>
    <t>ტაიფუნი</t>
  </si>
  <si>
    <t>0970e0d5-b705-4788-8e82-6d50df0597ac</t>
  </si>
  <si>
    <t>ICE3330</t>
  </si>
  <si>
    <t>ტაიფუნი (ს.კ. 426523979) - შპს</t>
  </si>
  <si>
    <t>მეთა</t>
  </si>
  <si>
    <t>bd001544-b46f-4d0e-b7db-5cb11066612e</t>
  </si>
  <si>
    <t>ICE3331</t>
  </si>
  <si>
    <t>მეთა (ს.კ. 445394920) - შპს</t>
  </si>
  <si>
    <t>ნუგზარ ჩავლეიშვილი</t>
  </si>
  <si>
    <t>ed004a32-e753-4aba-8ce1-a734ff292475</t>
  </si>
  <si>
    <t>ICE3332</t>
  </si>
  <si>
    <t>ნუგზარ ჩავლეიშვილი (ს.კ. 61007005095) - ინდ. მეწარმე</t>
  </si>
  <si>
    <t>ბიზნეს გრუპი</t>
  </si>
  <si>
    <t>b7fd3c77-0ba5-41f8-97d8-1ee46d478a89</t>
  </si>
  <si>
    <t>ICE3333</t>
  </si>
  <si>
    <t>ბიზნეს გრუპი (ს.კ. 402172527) - შპს</t>
  </si>
  <si>
    <t>ფრიდონ დევაძე</t>
  </si>
  <si>
    <t>14c7de97-e217-402d-9af0-53172b9e8b0b</t>
  </si>
  <si>
    <t>ICE3334</t>
  </si>
  <si>
    <t>ფრიდონ დევაძე (ს.კ. 61007008168) - ინდ. მეწარმე</t>
  </si>
  <si>
    <t>ნიუ გუდაური ლოფტები</t>
  </si>
  <si>
    <t>d90e15c0-8301-4823-b20b-0c83789adf4e</t>
  </si>
  <si>
    <t>ICE003335</t>
  </si>
  <si>
    <t>ნიუ გუდაური ლოფტები (ს.კ. ICE003335) - ამხანაგობა</t>
  </si>
  <si>
    <t>105316925</t>
  </si>
  <si>
    <t/>
  </si>
  <si>
    <t>306282929</t>
  </si>
  <si>
    <t>59002000130</t>
  </si>
  <si>
    <t>01027025241</t>
  </si>
  <si>
    <t>01017023607</t>
  </si>
  <si>
    <t>62001030230</t>
  </si>
  <si>
    <t>01019021033</t>
  </si>
  <si>
    <t>01005042868</t>
  </si>
  <si>
    <t>61001080225</t>
  </si>
  <si>
    <t>01005004678</t>
  </si>
  <si>
    <t>01027089575</t>
  </si>
  <si>
    <t>61006053512</t>
  </si>
  <si>
    <t>61004066717</t>
  </si>
  <si>
    <t>01009002617</t>
  </si>
  <si>
    <t>01001027557</t>
  </si>
  <si>
    <t>01024037161</t>
  </si>
  <si>
    <t>19001070187</t>
  </si>
  <si>
    <t>422719954</t>
  </si>
  <si>
    <t>437060412</t>
  </si>
  <si>
    <t>236097772</t>
  </si>
  <si>
    <t>404432262</t>
  </si>
  <si>
    <t>54001002779</t>
  </si>
  <si>
    <t>331168953</t>
  </si>
  <si>
    <t>61004064819</t>
  </si>
  <si>
    <t>306130601</t>
  </si>
  <si>
    <t>300129992</t>
  </si>
  <si>
    <t>316312227</t>
  </si>
  <si>
    <t>445584617</t>
  </si>
  <si>
    <t>448055407</t>
  </si>
  <si>
    <t>01007007062</t>
  </si>
  <si>
    <t>14001019960</t>
  </si>
  <si>
    <t>400098078</t>
  </si>
  <si>
    <t>432544767</t>
  </si>
  <si>
    <t>762917460</t>
  </si>
  <si>
    <t>03187803411</t>
  </si>
  <si>
    <t>01008033246</t>
  </si>
  <si>
    <t>1982092803392</t>
  </si>
  <si>
    <t>01017028376</t>
  </si>
  <si>
    <t>345670393</t>
  </si>
  <si>
    <t>65002012550</t>
  </si>
  <si>
    <t>230840027493</t>
  </si>
  <si>
    <t>316362930</t>
  </si>
  <si>
    <t>06090116453</t>
  </si>
  <si>
    <t>0AS00084143</t>
  </si>
  <si>
    <t>0AB00013837</t>
  </si>
  <si>
    <t>500563837</t>
  </si>
  <si>
    <t>345690754</t>
  </si>
  <si>
    <t>45001002659</t>
  </si>
  <si>
    <t>305300509</t>
  </si>
  <si>
    <t>756863414</t>
  </si>
  <si>
    <t>761253063</t>
  </si>
  <si>
    <t>345720703</t>
  </si>
  <si>
    <t>2885818</t>
  </si>
  <si>
    <t>62004004363</t>
  </si>
  <si>
    <t>18001068242</t>
  </si>
  <si>
    <t>13001003771</t>
  </si>
  <si>
    <t>17001022397</t>
  </si>
  <si>
    <t>16001001163</t>
  </si>
  <si>
    <t>18901073256</t>
  </si>
  <si>
    <t>445686080</t>
  </si>
  <si>
    <t>447861494</t>
  </si>
  <si>
    <t>406349786</t>
  </si>
  <si>
    <t>448410425</t>
  </si>
  <si>
    <t>62001010355</t>
  </si>
  <si>
    <t>405476872</t>
  </si>
  <si>
    <t>01024070871</t>
  </si>
  <si>
    <t>01208065101</t>
  </si>
  <si>
    <t>01024032465</t>
  </si>
  <si>
    <t>402337404</t>
  </si>
  <si>
    <t>01024029046</t>
  </si>
  <si>
    <t>400436444</t>
  </si>
  <si>
    <t>01006013944</t>
  </si>
  <si>
    <t>01001076629</t>
  </si>
  <si>
    <t>01019016071</t>
  </si>
  <si>
    <t>400263889</t>
  </si>
  <si>
    <t>38001013055</t>
  </si>
  <si>
    <t>61001043662</t>
  </si>
  <si>
    <t>26001002401</t>
  </si>
  <si>
    <t>01002021002</t>
  </si>
  <si>
    <t>35001127620</t>
  </si>
  <si>
    <t>01005026741</t>
  </si>
  <si>
    <t>61004007129</t>
  </si>
  <si>
    <t>59001059301</t>
  </si>
  <si>
    <t>418479890</t>
  </si>
  <si>
    <t>01004004039</t>
  </si>
  <si>
    <t>448423643</t>
  </si>
  <si>
    <t>16001006251</t>
  </si>
  <si>
    <t>405678538</t>
  </si>
  <si>
    <t>01024021607</t>
  </si>
  <si>
    <t>405390964</t>
  </si>
  <si>
    <t>405475926</t>
  </si>
  <si>
    <t>40204766</t>
  </si>
  <si>
    <t>18001008498</t>
  </si>
  <si>
    <t>445733065</t>
  </si>
  <si>
    <t>01391050221</t>
  </si>
  <si>
    <t>35001114981</t>
  </si>
  <si>
    <t>31001008769</t>
  </si>
  <si>
    <t>45001033384</t>
  </si>
  <si>
    <t>25001026683</t>
  </si>
  <si>
    <t>405535915</t>
  </si>
  <si>
    <t>01724094366</t>
  </si>
  <si>
    <t>01011068661</t>
  </si>
  <si>
    <t>01024085074</t>
  </si>
  <si>
    <t>01021002449</t>
  </si>
  <si>
    <t>01011038686</t>
  </si>
  <si>
    <t>61008019270</t>
  </si>
  <si>
    <t>401959225</t>
  </si>
  <si>
    <t>444959369</t>
  </si>
  <si>
    <t>402313091</t>
  </si>
  <si>
    <t>405459098</t>
  </si>
  <si>
    <t>53001043329</t>
  </si>
  <si>
    <t>433655546</t>
  </si>
  <si>
    <t>405063942</t>
  </si>
  <si>
    <t>445400913</t>
  </si>
  <si>
    <t>206201929</t>
  </si>
  <si>
    <t>445725831</t>
  </si>
  <si>
    <t>405291786</t>
  </si>
  <si>
    <t>429651165</t>
  </si>
  <si>
    <t>404715803</t>
  </si>
  <si>
    <t>205198481</t>
  </si>
  <si>
    <t>45001033331</t>
  </si>
  <si>
    <t>01008045519</t>
  </si>
  <si>
    <t>404778870</t>
  </si>
  <si>
    <t>01018006047</t>
  </si>
  <si>
    <t>61010015059</t>
  </si>
  <si>
    <t>551432769</t>
  </si>
  <si>
    <t>18001058845</t>
  </si>
  <si>
    <t>10401073712</t>
  </si>
  <si>
    <t>12001012499</t>
  </si>
  <si>
    <t>59501134029</t>
  </si>
  <si>
    <t>01020002426</t>
  </si>
  <si>
    <t>404627524</t>
  </si>
  <si>
    <t>402128149</t>
  </si>
  <si>
    <t>61006007831</t>
  </si>
  <si>
    <t>61006059686</t>
  </si>
  <si>
    <t>445762835</t>
  </si>
  <si>
    <t>59001085608</t>
  </si>
  <si>
    <t>38001019720</t>
  </si>
  <si>
    <t>211398245</t>
  </si>
  <si>
    <t>59001116483</t>
  </si>
  <si>
    <t>35001114922</t>
  </si>
  <si>
    <t>12001092820</t>
  </si>
  <si>
    <t>44001000188</t>
  </si>
  <si>
    <t>400259894</t>
  </si>
  <si>
    <t>26001036727</t>
  </si>
  <si>
    <t>401987374</t>
  </si>
  <si>
    <t>35001059957</t>
  </si>
  <si>
    <t>61004067189</t>
  </si>
  <si>
    <t>61006065553</t>
  </si>
  <si>
    <t>01024007906</t>
  </si>
  <si>
    <t>10001058207</t>
  </si>
  <si>
    <t>445790047</t>
  </si>
  <si>
    <t>13001002163</t>
  </si>
  <si>
    <t>61001058764</t>
  </si>
  <si>
    <t>206328918</t>
  </si>
  <si>
    <t>39001033779</t>
  </si>
  <si>
    <t>405565446</t>
  </si>
  <si>
    <t>445532228</t>
  </si>
  <si>
    <t>406270823</t>
  </si>
  <si>
    <t>406492291</t>
  </si>
  <si>
    <t>206258182</t>
  </si>
  <si>
    <t>401953775</t>
  </si>
  <si>
    <t>405659416</t>
  </si>
  <si>
    <t>445547169</t>
  </si>
  <si>
    <t>35001075653</t>
  </si>
  <si>
    <t>401963915</t>
  </si>
  <si>
    <t>16001007258</t>
  </si>
  <si>
    <t>431184504</t>
  </si>
  <si>
    <t>426523979</t>
  </si>
  <si>
    <t>445394920</t>
  </si>
  <si>
    <t>61007005095</t>
  </si>
  <si>
    <t>402172527</t>
  </si>
  <si>
    <t>61007008168</t>
  </si>
  <si>
    <t>26001004961</t>
  </si>
  <si>
    <t>19001073630</t>
  </si>
  <si>
    <t>01024001265</t>
  </si>
  <si>
    <t>01018000374</t>
  </si>
  <si>
    <t>61006059828</t>
  </si>
  <si>
    <t>61009029241</t>
  </si>
  <si>
    <t>01007015689</t>
  </si>
  <si>
    <t>01024056477</t>
  </si>
  <si>
    <t>01019021472</t>
  </si>
  <si>
    <t>01d497bf-9b8f-486e-ba09-3cc1b7fbb942</t>
  </si>
  <si>
    <t>5747f8e6-a8a6-4a23-91cc-c427c3a22597</t>
  </si>
  <si>
    <t>4d0a69fa-7976-467b-990a-26443dba62a0</t>
  </si>
  <si>
    <t>0ef7c94f-b314-492e-8090-d5a8a9b74681</t>
  </si>
  <si>
    <t>CODE</t>
  </si>
  <si>
    <t>IBAN</t>
  </si>
  <si>
    <t>ENTITY TYPE</t>
  </si>
  <si>
    <t>NAME</t>
  </si>
  <si>
    <t>GE96BG0000000730563700GEL</t>
  </si>
  <si>
    <t xml:space="preserve">შპს </t>
  </si>
  <si>
    <t>გეა ნოვა</t>
  </si>
  <si>
    <t>GE24TB7236936020100010</t>
  </si>
  <si>
    <t>ჯი თი სი რენთ</t>
  </si>
  <si>
    <t>GE84BG0000000100756011GEL</t>
  </si>
  <si>
    <t>ტოროსიანი მარინა</t>
  </si>
  <si>
    <t>GE05BS0000000010936920</t>
  </si>
  <si>
    <t>GE26BG0000000528006165GEL</t>
  </si>
  <si>
    <t>C01492631</t>
  </si>
  <si>
    <t>GE92BG0000000609672187GEL</t>
  </si>
  <si>
    <t>აანდიყევ ალასგარ</t>
  </si>
  <si>
    <t>GE07BG0000000523441105GEL</t>
  </si>
  <si>
    <t>ნიკოლას</t>
  </si>
  <si>
    <t>ES7500815094800001135224</t>
  </si>
  <si>
    <t>Hidral</t>
  </si>
  <si>
    <t>GE84BG0000000161360738GEL</t>
  </si>
  <si>
    <t>ტეკი</t>
  </si>
  <si>
    <t>აი ეს ბი ეიჩ</t>
  </si>
  <si>
    <t>445612864</t>
  </si>
  <si>
    <t>GE80BG0000000498659686GEL</t>
  </si>
  <si>
    <t>მორჩილაძე მარიანა</t>
  </si>
  <si>
    <t>GE52BG0000000606293330GEL</t>
  </si>
  <si>
    <t>რობირენტ.ჯი</t>
  </si>
  <si>
    <t>GE82BG0000000541362251GEL</t>
  </si>
  <si>
    <t>იზორია გიორგი</t>
  </si>
  <si>
    <t>GE54BG0000000162677471GEL</t>
  </si>
  <si>
    <t>ტარიელაძე თეიმურაზ</t>
  </si>
  <si>
    <t>GE13BG0000000534065989GEL</t>
  </si>
  <si>
    <t>ამირან წაქაძე</t>
  </si>
  <si>
    <t>GE83BG0000000548350598GEL</t>
  </si>
  <si>
    <t>სტატუსი</t>
  </si>
  <si>
    <t>GE93BG0000000538027969GEL</t>
  </si>
  <si>
    <t>უნივერსალური ნათება</t>
  </si>
  <si>
    <t>GE02BG0000000622833700GEL</t>
  </si>
  <si>
    <t>ლაცა 2009</t>
  </si>
  <si>
    <t>GE63BG0000000606154034GEL</t>
  </si>
  <si>
    <t>ჩექ ქარ ჯეორჯია</t>
  </si>
  <si>
    <t>GE52BG0000000594459718GEL</t>
  </si>
  <si>
    <t>GE38BG0000000101462223GEL</t>
  </si>
  <si>
    <t>ირემაშვილი აკაკი</t>
  </si>
  <si>
    <t>GE26TB7212436050100001</t>
  </si>
  <si>
    <t>თრეიდერი</t>
  </si>
  <si>
    <t>GE31BG0000000162627833GEL</t>
  </si>
  <si>
    <t>მჟავია დარეჯან</t>
  </si>
  <si>
    <t>GE41BG0000000346051064GEL</t>
  </si>
  <si>
    <t>ქებურია ნიკა</t>
  </si>
  <si>
    <t>GE52BG0000000808306500GEL</t>
  </si>
  <si>
    <t>კორთხონჯია დავით</t>
  </si>
  <si>
    <t>GE37BG0000000131254142GEL</t>
  </si>
  <si>
    <t>კორთხონჯია ზურაბ</t>
  </si>
  <si>
    <t>GE56BG0000000366036092GEL</t>
  </si>
  <si>
    <t>მამულაშვილი შალვა</t>
  </si>
  <si>
    <t>GE52BG0000000101309875GEL</t>
  </si>
  <si>
    <t>ფუტკარაძე გივი</t>
  </si>
  <si>
    <t>GE36BG0000000584703164GEL</t>
  </si>
  <si>
    <t>შერვაშიძე ერეკლე</t>
  </si>
  <si>
    <t>GE29TB7598345064300061</t>
  </si>
  <si>
    <t>მარინა ტოროსიანი</t>
  </si>
  <si>
    <t>GE97TB7713036060100001</t>
  </si>
  <si>
    <t>არბო 2009</t>
  </si>
  <si>
    <t>GE08BG0000000366075562GEL</t>
  </si>
  <si>
    <t>ჯე ფიტტინგ</t>
  </si>
  <si>
    <t>GE60BG0000000537555494GEL</t>
  </si>
  <si>
    <t>ფართი შოპ ჯი</t>
  </si>
  <si>
    <t>GE85TB7151545061100023</t>
  </si>
  <si>
    <t>ჟანა ოგანეზოვი</t>
  </si>
  <si>
    <t>GE05TB7886536080100008</t>
  </si>
  <si>
    <t>იში7788</t>
  </si>
  <si>
    <t>GE21BG0000000759214000GEL</t>
  </si>
  <si>
    <t>ცეცხლაძე როინ</t>
  </si>
  <si>
    <t>GE95BG0000000695964400GEL</t>
  </si>
  <si>
    <t>მურმან გეგია</t>
  </si>
  <si>
    <t>GE57BG0000000215070900GEL</t>
  </si>
  <si>
    <t>ლარისა ფონიავა</t>
  </si>
  <si>
    <t>GE23TB7185636080100003</t>
  </si>
  <si>
    <t xml:space="preserve"> ოაგრუპ</t>
  </si>
  <si>
    <t>GE84BG0000000103359782GEL</t>
  </si>
  <si>
    <t>ოთარაშვილი ალექსეი</t>
  </si>
  <si>
    <t>GE08BG0000000312837500GEL</t>
  </si>
  <si>
    <t>კვეზერელი ნიკოლოზ</t>
  </si>
  <si>
    <t>GE87LB0211117682002000</t>
  </si>
  <si>
    <t>სოფიკო ხომასურიძე</t>
  </si>
  <si>
    <t>GE20BG0000000161924296GEL</t>
  </si>
  <si>
    <t>მუკბანიანი ანა</t>
  </si>
  <si>
    <t>GE92BG0000000187220600GEL</t>
  </si>
  <si>
    <t>ბულბულაშვილი ნოდარი</t>
  </si>
  <si>
    <t>GE95TB7931136020100009</t>
  </si>
  <si>
    <t>ნანოტეკ ფროდაქშენ</t>
  </si>
  <si>
    <t>GE20TB7938836020100004</t>
  </si>
  <si>
    <t>ბაგრო ჯორჯია</t>
  </si>
  <si>
    <t>400438371</t>
  </si>
  <si>
    <t>GE94BG0000000654109500GEL</t>
  </si>
  <si>
    <t>ბექაური ქეთევან</t>
  </si>
  <si>
    <t>GE32BG0000000541718947GEL</t>
  </si>
  <si>
    <t>GE37BG0000000610791684GEL</t>
  </si>
  <si>
    <t>ილია ცინცაძე</t>
  </si>
  <si>
    <t>GE50TB7080036060100002</t>
  </si>
  <si>
    <t>ველლი ჯგუფი</t>
  </si>
  <si>
    <t>429336621</t>
  </si>
  <si>
    <t>GE08PC0183600100015821</t>
  </si>
  <si>
    <t>სიდო</t>
  </si>
  <si>
    <t>GE32TB7372336080100012</t>
  </si>
  <si>
    <t>ვერტა ელევატორი</t>
  </si>
  <si>
    <t>GE69TB7863336080100016</t>
  </si>
  <si>
    <t>კოკოსილქ+</t>
  </si>
  <si>
    <t>406320887</t>
  </si>
  <si>
    <t>GE29TB3900000077517777</t>
  </si>
  <si>
    <t>GE29TB7400836010100046</t>
  </si>
  <si>
    <t>ვასილიი კაპლიევ</t>
  </si>
  <si>
    <t>GE73BG0000000279352900GEL</t>
  </si>
  <si>
    <t>მამმადოვ როვშან</t>
  </si>
  <si>
    <t>GE53BG0000000545804791GEL</t>
  </si>
  <si>
    <t>ცანქალ მუამმერ</t>
  </si>
  <si>
    <t>GE88BG0000000499033380GEL</t>
  </si>
  <si>
    <t>უნიკალი</t>
  </si>
  <si>
    <t>GE34TB0600000000609009</t>
  </si>
  <si>
    <t>დიპლომატი</t>
  </si>
  <si>
    <t>EMBASSY OF ISLAMIC REPUBLIC OF IRAN</t>
  </si>
  <si>
    <t>GE11TB1930636080100002</t>
  </si>
  <si>
    <t>GE62TB7183936050100002</t>
  </si>
  <si>
    <t>GE92BG0000000545811849GEL</t>
  </si>
  <si>
    <t>საქსპეცტრანსი</t>
  </si>
  <si>
    <t>GE51BG0000000608679742GEL</t>
  </si>
  <si>
    <t>ხაჭაპურიძე გრიგოლ</t>
  </si>
  <si>
    <t>GE02BG0000000580784491GEL</t>
  </si>
  <si>
    <t>სამხრეთის სამშენებლო კომპანია</t>
  </si>
  <si>
    <t>საქართველოს მცირე და საშუალო საწარმოთა ასოციაცია</t>
  </si>
  <si>
    <t>თორნიკე პაპიაშვილი</t>
  </si>
  <si>
    <t>61007007408</t>
  </si>
  <si>
    <t>0d51a686-652b-478f-9502-50b11abafa54</t>
  </si>
  <si>
    <t>94279771-0dd8-44b8-955b-275714b1489b</t>
  </si>
  <si>
    <t>ნიუ მეტალ ჯორჯია</t>
  </si>
  <si>
    <t>საერთაშორისო სავაჭრო ჯგუფი</t>
  </si>
  <si>
    <t>ოქტო არტჰაუსი</t>
  </si>
  <si>
    <t>ba538574-e93f-4ce8-a780-667b61fc970a</t>
  </si>
  <si>
    <t>ნიკოლოზ ოშხერელი</t>
  </si>
  <si>
    <t>3b6618c9-b4c6-4e78-80e2-442b948fcd64</t>
  </si>
  <si>
    <t>831339ac-64e3-4d4c-9726-074e2d68b19c</t>
  </si>
  <si>
    <t>4cfc8be1-19ee-4685-bfb0-f793bd8db5d3</t>
  </si>
  <si>
    <t>e606e963-3d68-4e52-91bd-172b28100c3b</t>
  </si>
  <si>
    <t>520be2ef-4a9d-4fcf-9e88-82917c39c851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</si>
</sst>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19191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  <xf numFmtId="2" fontId="0" fillId="0" borderId="0" xfId="0" applyNumberFormat="1"/>
    <xf numFmtId="2" fontId="0" fillId="0" borderId="0" xfId="0" quotePrefix="1" applyNumberFormat="1"/>
    <xf numFmtId="0" fontId="2" fillId="0" borderId="0" xfId="0" applyFont="1"/>
    <xf numFmtId="22" fontId="0" fillId="2" borderId="0" xfId="0" applyNumberFormat="1" applyFill="1"/>
    <xf numFmtId="0" fontId="0" fillId="2" borderId="0" xfId="0" applyFill="1"/>
    <xf numFmtId="2" fontId="0" fillId="2" borderId="0" xfId="0" applyNumberFormat="1" applyFill="1"/>
    <xf numFmtId="14" fontId="0" fillId="2" borderId="0" xfId="0" applyNumberFormat="1" applyFill="1"/>
    <xf numFmtId="22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917CF-C27E-490B-8B89-4407CFDFA5CD}">
  <dimension ref="A1:E67"/>
  <sheetViews>
    <sheetView topLeftCell="A2" workbookViewId="0">
      <selection activeCell="E36" sqref="E36"/>
    </sheetView>
  </sheetViews>
  <sheetFormatPr defaultRowHeight="15" x14ac:dyDescent="0.25"/>
  <cols>
    <col min="1" max="1" width="13.5703125" bestFit="1" customWidth="1"/>
    <col min="2" max="2" width="30.85546875" bestFit="1" customWidth="1"/>
    <col min="3" max="3" width="53.5703125" bestFit="1" customWidth="1"/>
    <col min="4" max="4" width="64.85546875" bestFit="1" customWidth="1"/>
    <col min="5" max="5" width="14.7109375" bestFit="1" customWidth="1"/>
  </cols>
  <sheetData>
    <row r="1" spans="1:5" x14ac:dyDescent="0.25">
      <c r="A1" t="s">
        <v>1647</v>
      </c>
      <c r="B1" t="s">
        <v>1648</v>
      </c>
      <c r="C1" t="s">
        <v>1649</v>
      </c>
      <c r="D1" t="s">
        <v>1650</v>
      </c>
    </row>
    <row r="2" spans="1:5" x14ac:dyDescent="0.25">
      <c r="A2">
        <v>405135394</v>
      </c>
      <c r="B2" t="s">
        <v>1651</v>
      </c>
      <c r="C2" t="s">
        <v>1652</v>
      </c>
      <c r="D2" t="s">
        <v>1653</v>
      </c>
      <c r="E2" s="6" t="str">
        <f t="shared" ref="E2:E65" si="0">""&amp;IF(LEN(A2)=10,0&amp;A2,A2)</f>
        <v>405135394</v>
      </c>
    </row>
    <row r="3" spans="1:5" x14ac:dyDescent="0.25">
      <c r="A3">
        <v>405461361</v>
      </c>
      <c r="B3" t="s">
        <v>1654</v>
      </c>
      <c r="C3" t="s">
        <v>1652</v>
      </c>
      <c r="D3" t="s">
        <v>1655</v>
      </c>
      <c r="E3" s="6" t="str">
        <f t="shared" si="0"/>
        <v>405461361</v>
      </c>
    </row>
    <row r="4" spans="1:5" x14ac:dyDescent="0.25">
      <c r="A4">
        <v>61007007408</v>
      </c>
      <c r="B4" t="s">
        <v>1656</v>
      </c>
      <c r="C4" t="s">
        <v>55</v>
      </c>
      <c r="D4" t="s">
        <v>1657</v>
      </c>
      <c r="E4" s="6" t="str">
        <f t="shared" si="0"/>
        <v>61007007408</v>
      </c>
    </row>
    <row r="5" spans="1:5" x14ac:dyDescent="0.25">
      <c r="A5">
        <v>445612864</v>
      </c>
      <c r="B5" t="s">
        <v>1658</v>
      </c>
      <c r="C5" t="s">
        <v>1652</v>
      </c>
      <c r="D5" t="s">
        <v>1669</v>
      </c>
      <c r="E5" s="6" t="str">
        <f t="shared" si="0"/>
        <v>445612864</v>
      </c>
    </row>
    <row r="6" spans="1:5" x14ac:dyDescent="0.25">
      <c r="A6">
        <v>31001054268</v>
      </c>
      <c r="B6" t="s">
        <v>1659</v>
      </c>
      <c r="C6" t="s">
        <v>63</v>
      </c>
      <c r="D6" t="s">
        <v>1779</v>
      </c>
      <c r="E6" s="6" t="str">
        <f t="shared" si="0"/>
        <v>31001054268</v>
      </c>
    </row>
    <row r="7" spans="1:5" x14ac:dyDescent="0.25">
      <c r="A7" t="s">
        <v>1660</v>
      </c>
      <c r="B7" t="s">
        <v>1661</v>
      </c>
      <c r="C7" t="s">
        <v>55</v>
      </c>
      <c r="D7" t="s">
        <v>1662</v>
      </c>
      <c r="E7" s="6" t="str">
        <f t="shared" si="0"/>
        <v>C01492631</v>
      </c>
    </row>
    <row r="8" spans="1:5" x14ac:dyDescent="0.25">
      <c r="A8">
        <v>405429996</v>
      </c>
      <c r="B8" t="s">
        <v>1663</v>
      </c>
      <c r="C8" t="s">
        <v>1652</v>
      </c>
      <c r="D8" t="s">
        <v>1664</v>
      </c>
      <c r="E8" s="6" t="str">
        <f t="shared" si="0"/>
        <v>405429996</v>
      </c>
    </row>
    <row r="9" spans="1:5" x14ac:dyDescent="0.25">
      <c r="A9" t="s">
        <v>1461</v>
      </c>
      <c r="B9" t="s">
        <v>1665</v>
      </c>
      <c r="C9" t="s">
        <v>333</v>
      </c>
      <c r="D9" t="s">
        <v>1666</v>
      </c>
      <c r="E9" s="7" t="s">
        <v>1780</v>
      </c>
    </row>
    <row r="10" spans="1:5" x14ac:dyDescent="0.25">
      <c r="A10">
        <v>441486517</v>
      </c>
      <c r="B10" t="s">
        <v>1667</v>
      </c>
      <c r="C10" t="s">
        <v>1652</v>
      </c>
      <c r="D10" t="s">
        <v>1668</v>
      </c>
      <c r="E10" s="6" t="str">
        <f t="shared" si="0"/>
        <v>441486517</v>
      </c>
    </row>
    <row r="11" spans="1:5" x14ac:dyDescent="0.25">
      <c r="A11" t="s">
        <v>1461</v>
      </c>
      <c r="B11" t="s">
        <v>1658</v>
      </c>
      <c r="C11" t="s">
        <v>1652</v>
      </c>
      <c r="D11" t="s">
        <v>1669</v>
      </c>
      <c r="E11" s="7" t="s">
        <v>1670</v>
      </c>
    </row>
    <row r="12" spans="1:5" x14ac:dyDescent="0.25">
      <c r="A12">
        <v>1030048584</v>
      </c>
      <c r="B12" t="s">
        <v>1671</v>
      </c>
      <c r="C12" t="s">
        <v>55</v>
      </c>
      <c r="D12" t="s">
        <v>1672</v>
      </c>
      <c r="E12" s="6" t="str">
        <f t="shared" si="0"/>
        <v>01030048584</v>
      </c>
    </row>
    <row r="13" spans="1:5" x14ac:dyDescent="0.25">
      <c r="A13">
        <v>404760745</v>
      </c>
      <c r="B13" t="s">
        <v>1673</v>
      </c>
      <c r="C13" t="s">
        <v>1652</v>
      </c>
      <c r="D13" t="s">
        <v>1674</v>
      </c>
      <c r="E13" s="6" t="str">
        <f t="shared" si="0"/>
        <v>404760745</v>
      </c>
    </row>
    <row r="14" spans="1:5" x14ac:dyDescent="0.25">
      <c r="A14">
        <v>19001005737</v>
      </c>
      <c r="B14" t="s">
        <v>1675</v>
      </c>
      <c r="C14" t="s">
        <v>55</v>
      </c>
      <c r="D14" t="s">
        <v>1676</v>
      </c>
      <c r="E14" s="6" t="str">
        <f t="shared" si="0"/>
        <v>19001005737</v>
      </c>
    </row>
    <row r="15" spans="1:5" x14ac:dyDescent="0.25">
      <c r="A15">
        <v>61005000077</v>
      </c>
      <c r="B15" t="s">
        <v>1677</v>
      </c>
      <c r="C15" t="s">
        <v>55</v>
      </c>
      <c r="D15" t="s">
        <v>1678</v>
      </c>
      <c r="E15" s="6" t="str">
        <f t="shared" si="0"/>
        <v>61005000077</v>
      </c>
    </row>
    <row r="16" spans="1:5" x14ac:dyDescent="0.25">
      <c r="A16">
        <v>18001048942</v>
      </c>
      <c r="B16" t="s">
        <v>1679</v>
      </c>
      <c r="C16" t="s">
        <v>63</v>
      </c>
      <c r="D16" t="s">
        <v>1680</v>
      </c>
      <c r="E16" s="6" t="str">
        <f t="shared" si="0"/>
        <v>18001048942</v>
      </c>
    </row>
    <row r="17" spans="1:5" x14ac:dyDescent="0.25">
      <c r="A17">
        <v>445500066</v>
      </c>
      <c r="B17" t="s">
        <v>1681</v>
      </c>
      <c r="C17" t="s">
        <v>1652</v>
      </c>
      <c r="D17" t="s">
        <v>1682</v>
      </c>
      <c r="E17" s="6" t="str">
        <f t="shared" si="0"/>
        <v>445500066</v>
      </c>
    </row>
    <row r="18" spans="1:5" x14ac:dyDescent="0.25">
      <c r="A18">
        <v>400340323</v>
      </c>
      <c r="B18" t="s">
        <v>1683</v>
      </c>
      <c r="C18" t="s">
        <v>1652</v>
      </c>
      <c r="D18" t="s">
        <v>1684</v>
      </c>
      <c r="E18" s="6" t="str">
        <f t="shared" si="0"/>
        <v>400340323</v>
      </c>
    </row>
    <row r="19" spans="1:5" x14ac:dyDescent="0.25">
      <c r="A19">
        <v>417875419</v>
      </c>
      <c r="B19" t="s">
        <v>1685</v>
      </c>
      <c r="C19" t="s">
        <v>1652</v>
      </c>
      <c r="D19" t="s">
        <v>1686</v>
      </c>
      <c r="E19" s="6" t="str">
        <f t="shared" si="0"/>
        <v>417875419</v>
      </c>
    </row>
    <row r="20" spans="1:5" x14ac:dyDescent="0.25">
      <c r="A20">
        <v>405753929</v>
      </c>
      <c r="B20" t="s">
        <v>1687</v>
      </c>
      <c r="C20" t="s">
        <v>1652</v>
      </c>
      <c r="D20" t="s">
        <v>1688</v>
      </c>
      <c r="E20" s="6" t="str">
        <f t="shared" si="0"/>
        <v>405753929</v>
      </c>
    </row>
    <row r="21" spans="1:5" x14ac:dyDescent="0.25">
      <c r="A21">
        <v>404387855</v>
      </c>
      <c r="B21" t="s">
        <v>1689</v>
      </c>
      <c r="C21" t="s">
        <v>382</v>
      </c>
      <c r="D21" t="s">
        <v>1778</v>
      </c>
      <c r="E21" s="6" t="str">
        <f t="shared" si="0"/>
        <v>404387855</v>
      </c>
    </row>
    <row r="22" spans="1:5" x14ac:dyDescent="0.25">
      <c r="A22">
        <v>1030003511</v>
      </c>
      <c r="B22" t="s">
        <v>1690</v>
      </c>
      <c r="C22" t="s">
        <v>55</v>
      </c>
      <c r="D22" t="s">
        <v>1691</v>
      </c>
      <c r="E22" s="6" t="str">
        <f t="shared" si="0"/>
        <v>01030003511</v>
      </c>
    </row>
    <row r="23" spans="1:5" x14ac:dyDescent="0.25">
      <c r="A23">
        <v>405030504</v>
      </c>
      <c r="B23" t="s">
        <v>1692</v>
      </c>
      <c r="C23" t="s">
        <v>1652</v>
      </c>
      <c r="D23" t="s">
        <v>1693</v>
      </c>
      <c r="E23" s="6" t="str">
        <f t="shared" si="0"/>
        <v>405030504</v>
      </c>
    </row>
    <row r="24" spans="1:5" x14ac:dyDescent="0.25">
      <c r="A24">
        <v>1024064734</v>
      </c>
      <c r="B24" t="s">
        <v>1694</v>
      </c>
      <c r="C24" t="s">
        <v>55</v>
      </c>
      <c r="D24" t="s">
        <v>1695</v>
      </c>
      <c r="E24" s="6" t="str">
        <f t="shared" si="0"/>
        <v>01024064734</v>
      </c>
    </row>
    <row r="25" spans="1:5" x14ac:dyDescent="0.25">
      <c r="A25">
        <v>48001007247</v>
      </c>
      <c r="B25" t="s">
        <v>1696</v>
      </c>
      <c r="C25" t="s">
        <v>55</v>
      </c>
      <c r="D25" t="s">
        <v>1697</v>
      </c>
      <c r="E25" s="6" t="str">
        <f t="shared" si="0"/>
        <v>48001007247</v>
      </c>
    </row>
    <row r="26" spans="1:5" x14ac:dyDescent="0.25">
      <c r="A26">
        <v>62004003487</v>
      </c>
      <c r="B26" t="s">
        <v>1698</v>
      </c>
      <c r="C26" t="s">
        <v>55</v>
      </c>
      <c r="D26" t="s">
        <v>1699</v>
      </c>
      <c r="E26" s="6" t="str">
        <f t="shared" si="0"/>
        <v>62004003487</v>
      </c>
    </row>
    <row r="27" spans="1:5" x14ac:dyDescent="0.25">
      <c r="A27">
        <v>62004003484</v>
      </c>
      <c r="B27" t="s">
        <v>1700</v>
      </c>
      <c r="C27" t="s">
        <v>55</v>
      </c>
      <c r="D27" t="s">
        <v>1701</v>
      </c>
      <c r="E27" s="6" t="str">
        <f t="shared" si="0"/>
        <v>62004003484</v>
      </c>
    </row>
    <row r="28" spans="1:5" x14ac:dyDescent="0.25">
      <c r="A28">
        <v>13001067982</v>
      </c>
      <c r="B28" t="s">
        <v>1702</v>
      </c>
      <c r="C28" t="s">
        <v>55</v>
      </c>
      <c r="D28" t="s">
        <v>1703</v>
      </c>
      <c r="E28" s="6" t="str">
        <f t="shared" si="0"/>
        <v>13001067982</v>
      </c>
    </row>
    <row r="29" spans="1:5" x14ac:dyDescent="0.25">
      <c r="A29">
        <v>9701030604</v>
      </c>
      <c r="B29" t="s">
        <v>1704</v>
      </c>
      <c r="C29" t="s">
        <v>55</v>
      </c>
      <c r="D29" t="s">
        <v>1705</v>
      </c>
      <c r="E29" s="6" t="str">
        <f t="shared" si="0"/>
        <v>09701030604</v>
      </c>
    </row>
    <row r="30" spans="1:5" x14ac:dyDescent="0.25">
      <c r="A30">
        <v>30001010161</v>
      </c>
      <c r="B30" t="s">
        <v>1706</v>
      </c>
      <c r="C30" t="s">
        <v>55</v>
      </c>
      <c r="D30" t="s">
        <v>1707</v>
      </c>
      <c r="E30" s="6" t="str">
        <f t="shared" si="0"/>
        <v>30001010161</v>
      </c>
    </row>
    <row r="31" spans="1:5" x14ac:dyDescent="0.25">
      <c r="A31" t="s">
        <v>1461</v>
      </c>
      <c r="B31" t="s">
        <v>1708</v>
      </c>
      <c r="C31" t="s">
        <v>55</v>
      </c>
      <c r="D31" t="s">
        <v>1709</v>
      </c>
      <c r="E31" s="7" t="s">
        <v>1780</v>
      </c>
    </row>
    <row r="32" spans="1:5" x14ac:dyDescent="0.25">
      <c r="A32">
        <v>205273498</v>
      </c>
      <c r="B32" t="s">
        <v>1710</v>
      </c>
      <c r="C32" t="s">
        <v>1652</v>
      </c>
      <c r="D32" t="s">
        <v>1711</v>
      </c>
      <c r="E32" s="6" t="str">
        <f t="shared" si="0"/>
        <v>205273498</v>
      </c>
    </row>
    <row r="33" spans="1:5" x14ac:dyDescent="0.25">
      <c r="A33">
        <v>443122871</v>
      </c>
      <c r="B33" t="s">
        <v>1712</v>
      </c>
      <c r="C33" t="s">
        <v>1652</v>
      </c>
      <c r="D33" t="s">
        <v>1713</v>
      </c>
      <c r="E33" s="6" t="str">
        <f t="shared" si="0"/>
        <v>443122871</v>
      </c>
    </row>
    <row r="34" spans="1:5" x14ac:dyDescent="0.25">
      <c r="A34">
        <v>440893856</v>
      </c>
      <c r="B34" t="s">
        <v>1714</v>
      </c>
      <c r="C34" t="s">
        <v>1652</v>
      </c>
      <c r="D34" t="s">
        <v>1715</v>
      </c>
      <c r="E34" s="6" t="str">
        <f t="shared" si="0"/>
        <v>440893856</v>
      </c>
    </row>
    <row r="35" spans="1:5" x14ac:dyDescent="0.25">
      <c r="A35">
        <v>1002016532</v>
      </c>
      <c r="B35" t="s">
        <v>1716</v>
      </c>
      <c r="C35" t="s">
        <v>55</v>
      </c>
      <c r="D35" t="s">
        <v>1717</v>
      </c>
      <c r="E35" s="6" t="str">
        <f t="shared" si="0"/>
        <v>01002016532</v>
      </c>
    </row>
    <row r="36" spans="1:5" x14ac:dyDescent="0.25">
      <c r="A36">
        <v>404742490</v>
      </c>
      <c r="B36" t="s">
        <v>1718</v>
      </c>
      <c r="C36" t="s">
        <v>1652</v>
      </c>
      <c r="D36" t="s">
        <v>1719</v>
      </c>
      <c r="E36" s="6" t="str">
        <f t="shared" si="0"/>
        <v>404742490</v>
      </c>
    </row>
    <row r="37" spans="1:5" x14ac:dyDescent="0.25">
      <c r="A37">
        <v>61009020971</v>
      </c>
      <c r="B37" t="s">
        <v>1720</v>
      </c>
      <c r="C37" t="s">
        <v>55</v>
      </c>
      <c r="D37" t="s">
        <v>1721</v>
      </c>
      <c r="E37" s="6" t="str">
        <f t="shared" si="0"/>
        <v>61009020971</v>
      </c>
    </row>
    <row r="38" spans="1:5" x14ac:dyDescent="0.25">
      <c r="A38">
        <v>1027043092</v>
      </c>
      <c r="B38" t="s">
        <v>1722</v>
      </c>
      <c r="C38" t="s">
        <v>63</v>
      </c>
      <c r="D38" t="s">
        <v>1723</v>
      </c>
      <c r="E38" s="6" t="str">
        <f t="shared" si="0"/>
        <v>01027043092</v>
      </c>
    </row>
    <row r="39" spans="1:5" x14ac:dyDescent="0.25">
      <c r="A39">
        <v>29001002303</v>
      </c>
      <c r="B39" t="s">
        <v>1724</v>
      </c>
      <c r="C39" t="s">
        <v>63</v>
      </c>
      <c r="D39" t="s">
        <v>1725</v>
      </c>
      <c r="E39" s="6" t="str">
        <f t="shared" si="0"/>
        <v>29001002303</v>
      </c>
    </row>
    <row r="40" spans="1:5" x14ac:dyDescent="0.25">
      <c r="A40">
        <v>404512737</v>
      </c>
      <c r="B40" t="s">
        <v>1726</v>
      </c>
      <c r="C40" t="s">
        <v>1652</v>
      </c>
      <c r="D40" t="s">
        <v>1727</v>
      </c>
      <c r="E40" s="6" t="str">
        <f t="shared" si="0"/>
        <v>404512737</v>
      </c>
    </row>
    <row r="41" spans="1:5" x14ac:dyDescent="0.25">
      <c r="A41">
        <v>1027057218</v>
      </c>
      <c r="B41" t="s">
        <v>1728</v>
      </c>
      <c r="C41" t="s">
        <v>55</v>
      </c>
      <c r="D41" t="s">
        <v>1729</v>
      </c>
      <c r="E41" s="6" t="str">
        <f t="shared" si="0"/>
        <v>01027057218</v>
      </c>
    </row>
    <row r="42" spans="1:5" x14ac:dyDescent="0.25">
      <c r="A42">
        <v>13001016058</v>
      </c>
      <c r="B42" t="s">
        <v>1730</v>
      </c>
      <c r="C42" t="s">
        <v>55</v>
      </c>
      <c r="D42" t="s">
        <v>1731</v>
      </c>
      <c r="E42" s="6" t="str">
        <f t="shared" si="0"/>
        <v>13001016058</v>
      </c>
    </row>
    <row r="43" spans="1:5" x14ac:dyDescent="0.25">
      <c r="A43">
        <v>38001039690</v>
      </c>
      <c r="B43" t="s">
        <v>1732</v>
      </c>
      <c r="C43" t="s">
        <v>55</v>
      </c>
      <c r="D43" t="s">
        <v>1733</v>
      </c>
      <c r="E43" s="6" t="str">
        <f t="shared" si="0"/>
        <v>38001039690</v>
      </c>
    </row>
    <row r="44" spans="1:5" x14ac:dyDescent="0.25">
      <c r="A44">
        <v>1027065735</v>
      </c>
      <c r="B44" t="s">
        <v>1734</v>
      </c>
      <c r="C44" t="s">
        <v>55</v>
      </c>
      <c r="D44" t="s">
        <v>1735</v>
      </c>
      <c r="E44" s="6" t="str">
        <f t="shared" si="0"/>
        <v>01027065735</v>
      </c>
    </row>
    <row r="45" spans="1:5" x14ac:dyDescent="0.25">
      <c r="A45">
        <v>1033004067</v>
      </c>
      <c r="B45" t="s">
        <v>1736</v>
      </c>
      <c r="C45" t="s">
        <v>55</v>
      </c>
      <c r="D45" t="s">
        <v>1737</v>
      </c>
      <c r="E45" s="6" t="str">
        <f t="shared" si="0"/>
        <v>01033004067</v>
      </c>
    </row>
    <row r="46" spans="1:5" x14ac:dyDescent="0.25">
      <c r="A46">
        <v>400325457</v>
      </c>
      <c r="B46" t="s">
        <v>1738</v>
      </c>
      <c r="C46" t="s">
        <v>1652</v>
      </c>
      <c r="D46" t="s">
        <v>1739</v>
      </c>
      <c r="E46" s="6" t="str">
        <f t="shared" si="0"/>
        <v>400325457</v>
      </c>
    </row>
    <row r="47" spans="1:5" x14ac:dyDescent="0.25">
      <c r="A47" t="s">
        <v>1461</v>
      </c>
      <c r="B47" t="s">
        <v>1740</v>
      </c>
      <c r="C47" t="s">
        <v>1652</v>
      </c>
      <c r="D47" t="s">
        <v>1741</v>
      </c>
      <c r="E47" s="7" t="s">
        <v>1742</v>
      </c>
    </row>
    <row r="48" spans="1:5" x14ac:dyDescent="0.25">
      <c r="A48">
        <v>1003015236</v>
      </c>
      <c r="B48" t="s">
        <v>1743</v>
      </c>
      <c r="C48" t="s">
        <v>55</v>
      </c>
      <c r="D48" t="s">
        <v>1744</v>
      </c>
      <c r="E48" s="6" t="str">
        <f t="shared" si="0"/>
        <v>01003015236</v>
      </c>
    </row>
    <row r="49" spans="1:5" x14ac:dyDescent="0.25">
      <c r="A49">
        <v>4001003770</v>
      </c>
      <c r="B49" t="s">
        <v>1745</v>
      </c>
      <c r="C49" t="s">
        <v>63</v>
      </c>
      <c r="D49" t="s">
        <v>1787</v>
      </c>
      <c r="E49" s="6" t="str">
        <f t="shared" si="0"/>
        <v>04001003770</v>
      </c>
    </row>
    <row r="50" spans="1:5" x14ac:dyDescent="0.25">
      <c r="A50">
        <v>1019082778</v>
      </c>
      <c r="B50" t="s">
        <v>1746</v>
      </c>
      <c r="C50" t="s">
        <v>63</v>
      </c>
      <c r="D50" t="s">
        <v>1747</v>
      </c>
      <c r="E50" s="6" t="str">
        <f t="shared" si="0"/>
        <v>01019082778</v>
      </c>
    </row>
    <row r="51" spans="1:5" x14ac:dyDescent="0.25">
      <c r="A51" t="s">
        <v>1461</v>
      </c>
      <c r="B51" t="s">
        <v>1748</v>
      </c>
      <c r="C51" t="s">
        <v>1652</v>
      </c>
      <c r="D51" t="s">
        <v>1749</v>
      </c>
      <c r="E51" s="7" t="s">
        <v>1750</v>
      </c>
    </row>
    <row r="52" spans="1:5" x14ac:dyDescent="0.25">
      <c r="A52">
        <v>211404531</v>
      </c>
      <c r="B52" t="s">
        <v>1751</v>
      </c>
      <c r="C52" t="s">
        <v>1652</v>
      </c>
      <c r="D52" t="s">
        <v>1752</v>
      </c>
      <c r="E52" s="6" t="str">
        <f t="shared" si="0"/>
        <v>211404531</v>
      </c>
    </row>
    <row r="53" spans="1:5" x14ac:dyDescent="0.25">
      <c r="A53">
        <v>426558325</v>
      </c>
      <c r="B53" t="s">
        <v>1753</v>
      </c>
      <c r="C53" t="s">
        <v>1652</v>
      </c>
      <c r="D53" t="s">
        <v>1754</v>
      </c>
      <c r="E53" s="6" t="str">
        <f t="shared" si="0"/>
        <v>426558325</v>
      </c>
    </row>
    <row r="54" spans="1:5" x14ac:dyDescent="0.25">
      <c r="A54" t="s">
        <v>1461</v>
      </c>
      <c r="B54" t="s">
        <v>1755</v>
      </c>
      <c r="C54" t="s">
        <v>1652</v>
      </c>
      <c r="D54" t="s">
        <v>1756</v>
      </c>
      <c r="E54" s="7" t="s">
        <v>1757</v>
      </c>
    </row>
    <row r="55" spans="1:5" x14ac:dyDescent="0.25">
      <c r="A55">
        <v>404380629</v>
      </c>
      <c r="B55" t="s">
        <v>1758</v>
      </c>
      <c r="C55" t="s">
        <v>1652</v>
      </c>
      <c r="D55" t="s">
        <v>1783</v>
      </c>
      <c r="E55" s="6" t="str">
        <f t="shared" si="0"/>
        <v>404380629</v>
      </c>
    </row>
    <row r="56" spans="1:5" x14ac:dyDescent="0.25">
      <c r="A56">
        <v>405753929</v>
      </c>
      <c r="B56" t="s">
        <v>1687</v>
      </c>
      <c r="C56" t="s">
        <v>1652</v>
      </c>
      <c r="D56" t="s">
        <v>1688</v>
      </c>
      <c r="E56" s="6" t="str">
        <f t="shared" si="0"/>
        <v>405753929</v>
      </c>
    </row>
    <row r="57" spans="1:5" x14ac:dyDescent="0.25">
      <c r="A57">
        <v>345757772</v>
      </c>
      <c r="B57" t="s">
        <v>1759</v>
      </c>
      <c r="C57" t="s">
        <v>63</v>
      </c>
      <c r="D57" t="s">
        <v>1760</v>
      </c>
      <c r="E57" s="6" t="str">
        <f t="shared" si="0"/>
        <v>345757772</v>
      </c>
    </row>
    <row r="58" spans="1:5" x14ac:dyDescent="0.25">
      <c r="A58">
        <v>1092003392</v>
      </c>
      <c r="B58" t="s">
        <v>1761</v>
      </c>
      <c r="C58" t="s">
        <v>55</v>
      </c>
      <c r="D58" t="s">
        <v>1762</v>
      </c>
      <c r="E58" s="6" t="str">
        <f t="shared" si="0"/>
        <v>01092003392</v>
      </c>
    </row>
    <row r="59" spans="1:5" x14ac:dyDescent="0.25">
      <c r="A59">
        <v>443122871</v>
      </c>
      <c r="B59" t="s">
        <v>1712</v>
      </c>
      <c r="C59" t="s">
        <v>1652</v>
      </c>
      <c r="D59" t="s">
        <v>1713</v>
      </c>
      <c r="E59" s="6" t="str">
        <f t="shared" si="0"/>
        <v>443122871</v>
      </c>
    </row>
    <row r="60" spans="1:5" x14ac:dyDescent="0.25">
      <c r="A60">
        <v>10610088510</v>
      </c>
      <c r="B60" t="s">
        <v>1763</v>
      </c>
      <c r="C60" t="s">
        <v>55</v>
      </c>
      <c r="D60" t="s">
        <v>1764</v>
      </c>
      <c r="E60" s="6" t="str">
        <f t="shared" si="0"/>
        <v>10610088510</v>
      </c>
    </row>
    <row r="61" spans="1:5" x14ac:dyDescent="0.25">
      <c r="A61">
        <v>445598185</v>
      </c>
      <c r="B61" t="s">
        <v>1765</v>
      </c>
      <c r="C61" t="s">
        <v>1652</v>
      </c>
      <c r="D61" t="s">
        <v>1766</v>
      </c>
      <c r="E61" s="6" t="str">
        <f t="shared" si="0"/>
        <v>445598185</v>
      </c>
    </row>
    <row r="62" spans="1:5" x14ac:dyDescent="0.25">
      <c r="A62">
        <v>211349762</v>
      </c>
      <c r="B62" t="s">
        <v>1767</v>
      </c>
      <c r="C62" t="s">
        <v>1768</v>
      </c>
      <c r="D62" t="s">
        <v>1769</v>
      </c>
      <c r="E62" s="6" t="str">
        <f t="shared" si="0"/>
        <v>211349762</v>
      </c>
    </row>
    <row r="63" spans="1:5" x14ac:dyDescent="0.25">
      <c r="A63">
        <v>231289593</v>
      </c>
      <c r="B63" t="s">
        <v>1770</v>
      </c>
      <c r="C63" t="s">
        <v>1652</v>
      </c>
      <c r="D63" t="s">
        <v>1784</v>
      </c>
      <c r="E63" s="6" t="str">
        <f t="shared" si="0"/>
        <v>231289593</v>
      </c>
    </row>
    <row r="64" spans="1:5" x14ac:dyDescent="0.25">
      <c r="A64">
        <v>405665285</v>
      </c>
      <c r="B64" t="s">
        <v>1771</v>
      </c>
      <c r="C64" t="s">
        <v>1652</v>
      </c>
      <c r="D64" t="s">
        <v>1785</v>
      </c>
      <c r="E64" s="6" t="str">
        <f t="shared" si="0"/>
        <v>405665285</v>
      </c>
    </row>
    <row r="65" spans="1:5" x14ac:dyDescent="0.25">
      <c r="A65">
        <v>205064446</v>
      </c>
      <c r="B65" t="s">
        <v>1772</v>
      </c>
      <c r="C65" t="s">
        <v>1652</v>
      </c>
      <c r="D65" t="s">
        <v>1773</v>
      </c>
      <c r="E65" s="6" t="str">
        <f t="shared" si="0"/>
        <v>205064446</v>
      </c>
    </row>
    <row r="66" spans="1:5" x14ac:dyDescent="0.25">
      <c r="A66">
        <v>57001010449</v>
      </c>
      <c r="B66" t="s">
        <v>1774</v>
      </c>
      <c r="C66" t="s">
        <v>55</v>
      </c>
      <c r="D66" t="s">
        <v>1775</v>
      </c>
      <c r="E66" s="6" t="str">
        <f t="shared" ref="E66" si="1">""&amp;IF(LEN(A66)=10,0&amp;A66,A66)</f>
        <v>57001010449</v>
      </c>
    </row>
    <row r="67" spans="1:5" x14ac:dyDescent="0.25">
      <c r="A67">
        <v>445721595</v>
      </c>
      <c r="B67" t="s">
        <v>1776</v>
      </c>
      <c r="C67" t="s">
        <v>1652</v>
      </c>
      <c r="D67" t="s">
        <v>1777</v>
      </c>
      <c r="E67" s="6" t="str">
        <f>""&amp;IF(LEN(A67)=10,0&amp;A67,A67)</f>
        <v>445721595</v>
      </c>
    </row>
  </sheetData>
  <autoFilter ref="A1:E67" xr:uid="{0C8917CF-C27E-490B-8B89-4407CFDFA5C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50398-190A-4F15-BF25-77B6E32729EB}">
  <sheetPr filterMode="1"/>
  <dimension ref="A1:Z277"/>
  <sheetViews>
    <sheetView tabSelected="1" topLeftCell="E1" workbookViewId="0">
      <selection activeCell="S72" sqref="S72"/>
    </sheetView>
  </sheetViews>
  <sheetFormatPr defaultRowHeight="15" x14ac:dyDescent="0.25"/>
  <cols>
    <col min="1" max="1" width="18.28515625" bestFit="1" customWidth="1"/>
    <col min="2" max="2" width="80.42578125" bestFit="1" customWidth="1"/>
    <col min="3" max="3" width="21.42578125" bestFit="1" customWidth="1"/>
    <col min="4" max="4" width="26.7109375" bestFit="1" customWidth="1"/>
    <col min="5" max="5" width="18.85546875" bestFit="1" customWidth="1"/>
    <col min="6" max="7" width="11.85546875" bestFit="1" customWidth="1"/>
    <col min="8" max="9" width="14.85546875" bestFit="1" customWidth="1"/>
    <col min="10" max="10" width="8.85546875" bestFit="1" customWidth="1"/>
    <col min="11" max="14" width="11.85546875" bestFit="1" customWidth="1"/>
    <col min="15" max="15" width="23" bestFit="1" customWidth="1"/>
    <col min="16" max="16" width="15.42578125" bestFit="1" customWidth="1"/>
    <col min="17" max="17" width="11.85546875" bestFit="1" customWidth="1"/>
    <col min="18" max="18" width="12.85546875" bestFit="1" customWidth="1"/>
    <col min="19" max="21" width="37.28515625" bestFit="1" customWidth="1"/>
    <col min="22" max="23" width="16.140625" bestFit="1" customWidth="1"/>
    <col min="24" max="24" width="11.42578125" bestFit="1" customWidth="1"/>
    <col min="25" max="25" width="13.28515625" bestFit="1" customWidth="1"/>
    <col min="26" max="26" width="13.570312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s="10" customFormat="1" hidden="1" x14ac:dyDescent="0.25">
      <c r="A2" s="9"/>
      <c r="B2" s="10" t="str" cm="1">
        <f t="array" ref="B2:B67">Sheet3!D2:D67</f>
        <v>გეა ნოვა</v>
      </c>
      <c r="C2" s="11" t="str" cm="1">
        <f t="array" ref="C2:C67">Sheet3!E2:E67</f>
        <v>405135394</v>
      </c>
      <c r="D2" s="12"/>
      <c r="E2" s="10" t="str" cm="1">
        <f t="array" ref="E2:E67">Sheet3!C2:C67</f>
        <v xml:space="preserve">შპს </v>
      </c>
      <c r="K2" s="10" t="str" cm="1">
        <f t="array" ref="K2:K67">Sheet3!B2:B67</f>
        <v>GE96BG0000000730563700GEL</v>
      </c>
      <c r="S2" s="10" t="s">
        <v>1782</v>
      </c>
      <c r="T2" s="10" t="s">
        <v>1781</v>
      </c>
    </row>
    <row r="3" spans="1:26" s="10" customFormat="1" hidden="1" x14ac:dyDescent="0.25">
      <c r="A3" s="9"/>
      <c r="B3" s="10" t="str">
        <v>ჯი თი სი რენთ</v>
      </c>
      <c r="C3" s="10" t="str">
        <v>405461361</v>
      </c>
      <c r="D3" s="12"/>
      <c r="E3" s="10" t="str">
        <v xml:space="preserve">შპს </v>
      </c>
      <c r="K3" s="10" t="str">
        <v>GE24TB7236936020100010</v>
      </c>
      <c r="S3" s="10" t="s">
        <v>1782</v>
      </c>
      <c r="T3" s="10" t="s">
        <v>1781</v>
      </c>
    </row>
    <row r="4" spans="1:26" hidden="1" x14ac:dyDescent="0.25">
      <c r="A4" s="2"/>
      <c r="B4" t="str">
        <v>ტოროსიანი მარინა</v>
      </c>
      <c r="C4" t="str">
        <v>61007007408</v>
      </c>
      <c r="D4" s="5"/>
      <c r="E4" t="str">
        <v>ფიზ. პირი</v>
      </c>
      <c r="F4" t="s">
        <v>84</v>
      </c>
      <c r="K4" t="str">
        <v>GE84BG0000000100756011GEL</v>
      </c>
      <c r="S4" t="s">
        <v>1782</v>
      </c>
      <c r="T4" t="s">
        <v>1786</v>
      </c>
      <c r="W4" t="b">
        <v>1</v>
      </c>
    </row>
    <row r="5" spans="1:26" s="10" customFormat="1" hidden="1" x14ac:dyDescent="0.25">
      <c r="A5" s="9"/>
      <c r="B5" s="10" t="str">
        <v>აი ეს ბი ეიჩ</v>
      </c>
      <c r="C5" s="10" t="str">
        <v>445612864</v>
      </c>
      <c r="D5" s="12"/>
      <c r="E5" s="10" t="str">
        <v xml:space="preserve">შპს </v>
      </c>
      <c r="K5" s="10" t="str">
        <v>GE05BS0000000010936920</v>
      </c>
      <c r="S5" s="10" t="s">
        <v>1782</v>
      </c>
      <c r="T5" s="10" t="s">
        <v>1781</v>
      </c>
    </row>
    <row r="6" spans="1:26" s="10" customFormat="1" hidden="1" x14ac:dyDescent="0.25">
      <c r="A6" s="9"/>
      <c r="B6" s="10" t="str">
        <v>თორნიკე პაპიაშვილი</v>
      </c>
      <c r="C6" s="10" t="str">
        <v>31001054268</v>
      </c>
      <c r="D6" s="12"/>
      <c r="E6" s="10" t="str">
        <v>ინდ. მეწარმე</v>
      </c>
      <c r="K6" s="10" t="str">
        <v>GE26BG0000000528006165GEL</v>
      </c>
      <c r="S6" s="10" t="s">
        <v>1782</v>
      </c>
      <c r="T6" s="10" t="s">
        <v>1786</v>
      </c>
    </row>
    <row r="7" spans="1:26" hidden="1" x14ac:dyDescent="0.25">
      <c r="A7" s="2"/>
      <c r="B7" t="str">
        <v>აანდიყევ ალასგარ</v>
      </c>
      <c r="C7" t="str">
        <v>C01492631</v>
      </c>
      <c r="D7" s="5"/>
      <c r="E7" t="str">
        <v>ფიზ. პირი</v>
      </c>
      <c r="F7" t="s">
        <v>54</v>
      </c>
      <c r="K7" t="str">
        <v>GE92BG0000000609672187GEL</v>
      </c>
      <c r="S7" t="s">
        <v>1782</v>
      </c>
      <c r="T7" t="s">
        <v>1786</v>
      </c>
      <c r="W7" t="b">
        <v>1</v>
      </c>
    </row>
    <row r="8" spans="1:26" s="10" customFormat="1" hidden="1" x14ac:dyDescent="0.25">
      <c r="A8" s="9"/>
      <c r="B8" s="10" t="str">
        <v>ნიკოლას</v>
      </c>
      <c r="C8" s="10" t="str">
        <v>405429996</v>
      </c>
      <c r="D8" s="12"/>
      <c r="E8" s="10" t="str">
        <v xml:space="preserve">შპს </v>
      </c>
      <c r="K8" s="10" t="str">
        <v>GE07BG0000000523441105GEL</v>
      </c>
      <c r="S8" s="10" t="s">
        <v>1782</v>
      </c>
      <c r="T8" s="10" t="s">
        <v>1781</v>
      </c>
    </row>
    <row r="9" spans="1:26" hidden="1" x14ac:dyDescent="0.25">
      <c r="A9" s="2"/>
      <c r="B9" t="str">
        <v>Hidral</v>
      </c>
      <c r="C9" t="str">
        <v>61007007408</v>
      </c>
      <c r="D9" s="5"/>
      <c r="E9" t="str">
        <v>უცხოური საწარმო</v>
      </c>
      <c r="K9" t="str">
        <v>ES7500815094800001135224</v>
      </c>
      <c r="S9" t="s">
        <v>1792</v>
      </c>
      <c r="T9" s="8" t="s">
        <v>1788</v>
      </c>
    </row>
    <row r="10" spans="1:26" s="10" customFormat="1" hidden="1" x14ac:dyDescent="0.25">
      <c r="A10" s="9"/>
      <c r="B10" s="10" t="str">
        <v>ტეკი</v>
      </c>
      <c r="C10" s="10" t="str">
        <v>441486517</v>
      </c>
      <c r="D10" s="12"/>
      <c r="E10" s="10" t="str">
        <v xml:space="preserve">შპს </v>
      </c>
      <c r="K10" s="10" t="str">
        <v>GE84BG0000000161360738GEL</v>
      </c>
      <c r="S10" s="10" t="s">
        <v>1782</v>
      </c>
      <c r="T10" s="10" t="s">
        <v>1781</v>
      </c>
    </row>
    <row r="11" spans="1:26" s="10" customFormat="1" hidden="1" x14ac:dyDescent="0.25">
      <c r="A11" s="9"/>
      <c r="B11" s="10" t="str">
        <v>აი ეს ბი ეიჩ</v>
      </c>
      <c r="C11" s="10" t="str">
        <v>445612864</v>
      </c>
      <c r="D11" s="12"/>
      <c r="E11" s="10" t="str">
        <v xml:space="preserve">შპს </v>
      </c>
      <c r="K11" s="10" t="str">
        <v>GE05BS0000000010936920</v>
      </c>
      <c r="S11" s="10" t="s">
        <v>1782</v>
      </c>
      <c r="T11" s="10" t="s">
        <v>1781</v>
      </c>
    </row>
    <row r="12" spans="1:26" hidden="1" x14ac:dyDescent="0.25">
      <c r="A12" s="2"/>
      <c r="B12" t="str">
        <v>მორჩილაძე მარიანა</v>
      </c>
      <c r="C12" t="str">
        <v>01030048584</v>
      </c>
      <c r="D12" s="5"/>
      <c r="E12" t="str">
        <v>ფიზ. პირი</v>
      </c>
      <c r="F12" t="s">
        <v>84</v>
      </c>
      <c r="K12" t="str">
        <v>GE80BG0000000498659686GEL</v>
      </c>
      <c r="S12" t="s">
        <v>1782</v>
      </c>
      <c r="T12" t="s">
        <v>1786</v>
      </c>
      <c r="W12" t="b">
        <v>1</v>
      </c>
    </row>
    <row r="13" spans="1:26" s="10" customFormat="1" hidden="1" x14ac:dyDescent="0.25">
      <c r="A13" s="9"/>
      <c r="B13" s="10" t="str">
        <v>რობირენტ.ჯი</v>
      </c>
      <c r="C13" s="10" t="str">
        <v>404760745</v>
      </c>
      <c r="D13" s="12"/>
      <c r="E13" s="10" t="str">
        <v xml:space="preserve">შპს </v>
      </c>
      <c r="K13" s="10" t="str">
        <v>GE52BG0000000606293330GEL</v>
      </c>
      <c r="S13" s="10" t="s">
        <v>1782</v>
      </c>
      <c r="T13" s="10" t="s">
        <v>1781</v>
      </c>
    </row>
    <row r="14" spans="1:26" hidden="1" x14ac:dyDescent="0.25">
      <c r="A14" s="2"/>
      <c r="B14" t="str">
        <v>იზორია გიორგი</v>
      </c>
      <c r="C14" t="str">
        <v>19001005737</v>
      </c>
      <c r="D14" s="5"/>
      <c r="E14" t="str">
        <v>ფიზ. პირი</v>
      </c>
      <c r="F14" t="s">
        <v>54</v>
      </c>
      <c r="K14" t="str">
        <v>GE82BG0000000541362251GEL</v>
      </c>
      <c r="S14" t="s">
        <v>1782</v>
      </c>
      <c r="T14" t="s">
        <v>1786</v>
      </c>
      <c r="W14" t="b">
        <v>1</v>
      </c>
    </row>
    <row r="15" spans="1:26" hidden="1" x14ac:dyDescent="0.25">
      <c r="A15" s="2"/>
      <c r="B15" t="str">
        <v>ტარიელაძე თეიმურაზ</v>
      </c>
      <c r="C15" t="str">
        <v>61005000077</v>
      </c>
      <c r="D15" s="5"/>
      <c r="E15" t="str">
        <v>ფიზ. პირი</v>
      </c>
      <c r="F15" t="s">
        <v>54</v>
      </c>
      <c r="K15" t="str">
        <v>GE54BG0000000162677471GEL</v>
      </c>
      <c r="S15" t="s">
        <v>1782</v>
      </c>
      <c r="T15" t="s">
        <v>1786</v>
      </c>
      <c r="W15" t="b">
        <v>1</v>
      </c>
    </row>
    <row r="16" spans="1:26" s="10" customFormat="1" hidden="1" x14ac:dyDescent="0.25">
      <c r="A16" s="9"/>
      <c r="B16" s="10" t="str">
        <v>ამირან წაქაძე</v>
      </c>
      <c r="C16" s="10" t="str">
        <v>18001048942</v>
      </c>
      <c r="D16" s="12"/>
      <c r="E16" s="10" t="str">
        <v>ინდ. მეწარმე</v>
      </c>
      <c r="K16" s="10" t="str">
        <v>GE13BG0000000534065989GEL</v>
      </c>
      <c r="S16" s="10" t="s">
        <v>1782</v>
      </c>
      <c r="T16" s="10" t="s">
        <v>1786</v>
      </c>
    </row>
    <row r="17" spans="1:23" s="10" customFormat="1" hidden="1" x14ac:dyDescent="0.25">
      <c r="A17" s="9"/>
      <c r="B17" s="10" t="str">
        <v>სტატუსი</v>
      </c>
      <c r="C17" s="10" t="str">
        <v>445500066</v>
      </c>
      <c r="D17" s="12"/>
      <c r="E17" s="10" t="str">
        <v xml:space="preserve">შპს </v>
      </c>
      <c r="K17" s="10" t="str">
        <v>GE83BG0000000548350598GEL</v>
      </c>
      <c r="S17" s="10" t="s">
        <v>1782</v>
      </c>
      <c r="T17" s="10" t="s">
        <v>1781</v>
      </c>
    </row>
    <row r="18" spans="1:23" s="10" customFormat="1" hidden="1" x14ac:dyDescent="0.25">
      <c r="A18" s="9"/>
      <c r="B18" s="10" t="str">
        <v>უნივერსალური ნათება</v>
      </c>
      <c r="C18" s="10" t="str">
        <v>400340323</v>
      </c>
      <c r="D18" s="12"/>
      <c r="E18" s="10" t="str">
        <v xml:space="preserve">შპს </v>
      </c>
      <c r="K18" s="10" t="str">
        <v>GE93BG0000000538027969GEL</v>
      </c>
      <c r="S18" s="10" t="s">
        <v>1782</v>
      </c>
      <c r="T18" s="10" t="s">
        <v>1781</v>
      </c>
    </row>
    <row r="19" spans="1:23" s="10" customFormat="1" hidden="1" x14ac:dyDescent="0.25">
      <c r="A19" s="9"/>
      <c r="B19" s="10" t="str">
        <v>ლაცა 2009</v>
      </c>
      <c r="C19" s="10" t="str">
        <v>417875419</v>
      </c>
      <c r="D19" s="12"/>
      <c r="E19" s="10" t="str">
        <v xml:space="preserve">შპს </v>
      </c>
      <c r="K19" s="10" t="str">
        <v>GE02BG0000000622833700GEL</v>
      </c>
      <c r="S19" s="10" t="s">
        <v>1782</v>
      </c>
      <c r="T19" s="10" t="s">
        <v>1781</v>
      </c>
    </row>
    <row r="20" spans="1:23" s="10" customFormat="1" hidden="1" x14ac:dyDescent="0.25">
      <c r="A20" s="9"/>
      <c r="B20" s="10" t="str">
        <v>ჩექ ქარ ჯეორჯია</v>
      </c>
      <c r="C20" s="10" t="str">
        <v>405753929</v>
      </c>
      <c r="D20" s="12"/>
      <c r="E20" s="10" t="str">
        <v xml:space="preserve">შპს </v>
      </c>
      <c r="K20" s="10" t="str">
        <v>GE63BG0000000606154034GEL</v>
      </c>
      <c r="S20" s="10" t="s">
        <v>1782</v>
      </c>
      <c r="T20" s="10" t="s">
        <v>1781</v>
      </c>
    </row>
    <row r="21" spans="1:23" hidden="1" x14ac:dyDescent="0.25">
      <c r="A21" s="2"/>
      <c r="B21" t="str">
        <v>საქართველოს მცირე და საშუალო საწარმოთა ასოციაცია</v>
      </c>
      <c r="C21" t="str">
        <v>404387855</v>
      </c>
      <c r="D21" s="5"/>
      <c r="E21" t="str">
        <v>არასამეწარმეო (არაკომერციული) იურიდიული პირი</v>
      </c>
      <c r="K21" t="str">
        <v>GE52BG0000000594459718GEL</v>
      </c>
      <c r="S21" t="s">
        <v>1782</v>
      </c>
      <c r="T21" s="8" t="s">
        <v>1789</v>
      </c>
    </row>
    <row r="22" spans="1:23" hidden="1" x14ac:dyDescent="0.25">
      <c r="A22" s="2"/>
      <c r="B22" t="str">
        <v>ირემაშვილი აკაკი</v>
      </c>
      <c r="C22" t="str">
        <v>01030003511</v>
      </c>
      <c r="D22" s="5"/>
      <c r="E22" t="str">
        <v>ფიზ. პირი</v>
      </c>
      <c r="F22" t="s">
        <v>54</v>
      </c>
      <c r="K22" t="str">
        <v>GE38BG0000000101462223GEL</v>
      </c>
      <c r="S22" t="s">
        <v>1782</v>
      </c>
      <c r="T22" t="s">
        <v>1786</v>
      </c>
      <c r="W22" t="b">
        <v>1</v>
      </c>
    </row>
    <row r="23" spans="1:23" s="10" customFormat="1" hidden="1" x14ac:dyDescent="0.25">
      <c r="A23" s="9"/>
      <c r="B23" s="10" t="str">
        <v>თრეიდერი</v>
      </c>
      <c r="C23" s="10" t="str">
        <v>405030504</v>
      </c>
      <c r="D23" s="12"/>
      <c r="E23" s="10" t="str">
        <v xml:space="preserve">შპს </v>
      </c>
      <c r="K23" s="10" t="str">
        <v>GE26TB7212436050100001</v>
      </c>
      <c r="S23" s="10" t="s">
        <v>1782</v>
      </c>
      <c r="T23" s="10" t="s">
        <v>1781</v>
      </c>
    </row>
    <row r="24" spans="1:23" hidden="1" x14ac:dyDescent="0.25">
      <c r="A24" s="2"/>
      <c r="B24" t="str">
        <v>მჟავია დარეჯან</v>
      </c>
      <c r="C24" t="str">
        <v>01024064734</v>
      </c>
      <c r="D24" s="5"/>
      <c r="E24" t="str">
        <v>ფიზ. პირი</v>
      </c>
      <c r="F24" t="s">
        <v>84</v>
      </c>
      <c r="K24" t="str">
        <v>GE31BG0000000162627833GEL</v>
      </c>
      <c r="S24" t="s">
        <v>1782</v>
      </c>
      <c r="T24" t="s">
        <v>1786</v>
      </c>
      <c r="W24" t="b">
        <v>1</v>
      </c>
    </row>
    <row r="25" spans="1:23" hidden="1" x14ac:dyDescent="0.25">
      <c r="A25" s="2"/>
      <c r="B25" t="str">
        <v>ქებურია ნიკა</v>
      </c>
      <c r="C25" t="str">
        <v>48001007247</v>
      </c>
      <c r="D25" s="5"/>
      <c r="E25" t="str">
        <v>ფიზ. პირი</v>
      </c>
      <c r="F25" t="s">
        <v>54</v>
      </c>
      <c r="K25" t="str">
        <v>GE41BG0000000346051064GEL</v>
      </c>
      <c r="S25" t="s">
        <v>1782</v>
      </c>
      <c r="T25" t="s">
        <v>1786</v>
      </c>
      <c r="W25" t="b">
        <v>1</v>
      </c>
    </row>
    <row r="26" spans="1:23" hidden="1" x14ac:dyDescent="0.25">
      <c r="A26" s="2"/>
      <c r="B26" t="str">
        <v>კორთხონჯია დავით</v>
      </c>
      <c r="C26" t="str">
        <v>62004003487</v>
      </c>
      <c r="D26" s="5"/>
      <c r="E26" t="str">
        <v>ფიზ. პირი</v>
      </c>
      <c r="F26" t="s">
        <v>54</v>
      </c>
      <c r="K26" t="str">
        <v>GE52BG0000000808306500GEL</v>
      </c>
      <c r="S26" t="s">
        <v>1782</v>
      </c>
      <c r="T26" t="s">
        <v>1786</v>
      </c>
      <c r="W26" t="b">
        <v>1</v>
      </c>
    </row>
    <row r="27" spans="1:23" hidden="1" x14ac:dyDescent="0.25">
      <c r="A27" s="2"/>
      <c r="B27" t="str">
        <v>კორთხონჯია ზურაბ</v>
      </c>
      <c r="C27" t="str">
        <v>62004003484</v>
      </c>
      <c r="D27" s="5"/>
      <c r="E27" t="str">
        <v>ფიზ. პირი</v>
      </c>
      <c r="F27" t="s">
        <v>54</v>
      </c>
      <c r="K27" t="str">
        <v>GE37BG0000000131254142GEL</v>
      </c>
      <c r="S27" t="s">
        <v>1782</v>
      </c>
      <c r="T27" t="s">
        <v>1786</v>
      </c>
      <c r="W27" t="b">
        <v>1</v>
      </c>
    </row>
    <row r="28" spans="1:23" hidden="1" x14ac:dyDescent="0.25">
      <c r="A28" s="2"/>
      <c r="B28" t="str">
        <v>მამულაშვილი შალვა</v>
      </c>
      <c r="C28" t="str">
        <v>13001067982</v>
      </c>
      <c r="D28" s="5"/>
      <c r="E28" t="str">
        <v>ფიზ. პირი</v>
      </c>
      <c r="F28" t="s">
        <v>54</v>
      </c>
      <c r="K28" t="str">
        <v>GE56BG0000000366036092GEL</v>
      </c>
      <c r="S28" t="s">
        <v>1782</v>
      </c>
      <c r="T28" t="s">
        <v>1786</v>
      </c>
      <c r="W28" t="b">
        <v>1</v>
      </c>
    </row>
    <row r="29" spans="1:23" hidden="1" x14ac:dyDescent="0.25">
      <c r="A29" s="2"/>
      <c r="B29" t="str">
        <v>ფუტკარაძე გივი</v>
      </c>
      <c r="C29" t="str">
        <v>09701030604</v>
      </c>
      <c r="D29" s="5"/>
      <c r="E29" t="str">
        <v>ფიზ. პირი</v>
      </c>
      <c r="F29" t="s">
        <v>54</v>
      </c>
      <c r="K29" t="str">
        <v>GE52BG0000000101309875GEL</v>
      </c>
      <c r="S29" t="s">
        <v>1782</v>
      </c>
      <c r="T29" t="s">
        <v>1786</v>
      </c>
      <c r="W29" t="b">
        <v>1</v>
      </c>
    </row>
    <row r="30" spans="1:23" hidden="1" x14ac:dyDescent="0.25">
      <c r="A30" s="2"/>
      <c r="B30" t="str">
        <v>შერვაშიძე ერეკლე</v>
      </c>
      <c r="C30" t="str">
        <v>30001010161</v>
      </c>
      <c r="D30" s="5"/>
      <c r="E30" t="str">
        <v>ფიზ. პირი</v>
      </c>
      <c r="F30" t="s">
        <v>54</v>
      </c>
      <c r="K30" t="str">
        <v>GE36BG0000000584703164GEL</v>
      </c>
      <c r="S30" t="s">
        <v>1782</v>
      </c>
      <c r="T30" t="s">
        <v>1786</v>
      </c>
      <c r="W30" t="b">
        <v>1</v>
      </c>
    </row>
    <row r="31" spans="1:23" hidden="1" x14ac:dyDescent="0.25">
      <c r="A31" s="2"/>
      <c r="B31" t="str">
        <v>მარინა ტოროსიანი</v>
      </c>
      <c r="C31" t="str">
        <v>61007007408</v>
      </c>
      <c r="D31" s="5"/>
      <c r="E31" t="str">
        <v>ფიზ. პირი</v>
      </c>
      <c r="F31" t="s">
        <v>84</v>
      </c>
      <c r="K31" t="str">
        <v>GE29TB7598345064300061</v>
      </c>
      <c r="S31" t="s">
        <v>1782</v>
      </c>
      <c r="T31" t="s">
        <v>1786</v>
      </c>
      <c r="W31" t="b">
        <v>1</v>
      </c>
    </row>
    <row r="32" spans="1:23" s="10" customFormat="1" hidden="1" x14ac:dyDescent="0.25">
      <c r="A32" s="9"/>
      <c r="B32" s="10" t="str">
        <v>არბო 2009</v>
      </c>
      <c r="C32" s="10" t="str">
        <v>205273498</v>
      </c>
      <c r="D32" s="12"/>
      <c r="E32" s="10" t="str">
        <v xml:space="preserve">შპს </v>
      </c>
      <c r="K32" s="10" t="str">
        <v>GE97TB7713036060100001</v>
      </c>
      <c r="S32" s="10" t="s">
        <v>1782</v>
      </c>
      <c r="T32" s="10" t="s">
        <v>1781</v>
      </c>
    </row>
    <row r="33" spans="1:23" s="10" customFormat="1" hidden="1" x14ac:dyDescent="0.25">
      <c r="A33" s="9"/>
      <c r="B33" s="10" t="str">
        <v>ჯე ფიტტინგ</v>
      </c>
      <c r="C33" s="10" t="str">
        <v>443122871</v>
      </c>
      <c r="D33" s="12"/>
      <c r="E33" s="10" t="str">
        <v xml:space="preserve">შპს </v>
      </c>
      <c r="K33" s="10" t="str">
        <v>GE08BG0000000366075562GEL</v>
      </c>
      <c r="S33" s="10" t="s">
        <v>1782</v>
      </c>
      <c r="T33" s="10" t="s">
        <v>1781</v>
      </c>
    </row>
    <row r="34" spans="1:23" s="10" customFormat="1" hidden="1" x14ac:dyDescent="0.25">
      <c r="A34" s="9"/>
      <c r="B34" s="10" t="str">
        <v>ფართი შოპ ჯი</v>
      </c>
      <c r="C34" s="10" t="str">
        <v>440893856</v>
      </c>
      <c r="D34" s="12"/>
      <c r="E34" s="10" t="str">
        <v xml:space="preserve">შპს </v>
      </c>
      <c r="K34" s="10" t="str">
        <v>GE60BG0000000537555494GEL</v>
      </c>
      <c r="S34" s="10" t="s">
        <v>1782</v>
      </c>
      <c r="T34" s="10" t="s">
        <v>1781</v>
      </c>
    </row>
    <row r="35" spans="1:23" hidden="1" x14ac:dyDescent="0.25">
      <c r="A35" s="2"/>
      <c r="B35" t="str">
        <v>ჟანა ოგანეზოვი</v>
      </c>
      <c r="C35" t="str">
        <v>01002016532</v>
      </c>
      <c r="D35" s="5"/>
      <c r="E35" t="str">
        <v>ფიზ. პირი</v>
      </c>
      <c r="F35" t="s">
        <v>84</v>
      </c>
      <c r="K35" t="str">
        <v>GE85TB7151545061100023</v>
      </c>
      <c r="S35" t="s">
        <v>1782</v>
      </c>
      <c r="T35" t="s">
        <v>1786</v>
      </c>
      <c r="W35" t="b">
        <v>1</v>
      </c>
    </row>
    <row r="36" spans="1:23" s="10" customFormat="1" hidden="1" x14ac:dyDescent="0.25">
      <c r="A36" s="9"/>
      <c r="B36" s="10" t="str">
        <v>იში7788</v>
      </c>
      <c r="C36" s="10" t="str">
        <v>404742490</v>
      </c>
      <c r="D36" s="12"/>
      <c r="E36" s="10" t="str">
        <v xml:space="preserve">შპს </v>
      </c>
      <c r="K36" s="10" t="str">
        <v>GE05TB7886536080100008</v>
      </c>
      <c r="S36" s="10" t="s">
        <v>1782</v>
      </c>
      <c r="T36" s="10" t="s">
        <v>1781</v>
      </c>
    </row>
    <row r="37" spans="1:23" hidden="1" x14ac:dyDescent="0.25">
      <c r="A37" s="2"/>
      <c r="B37" t="str">
        <v>ცეცხლაძე როინ</v>
      </c>
      <c r="C37" t="str">
        <v>61009020971</v>
      </c>
      <c r="D37" s="5"/>
      <c r="E37" t="str">
        <v>ფიზ. პირი</v>
      </c>
      <c r="F37" t="s">
        <v>54</v>
      </c>
      <c r="K37" t="str">
        <v>GE21BG0000000759214000GEL</v>
      </c>
      <c r="S37" t="s">
        <v>1782</v>
      </c>
      <c r="T37" t="s">
        <v>1786</v>
      </c>
      <c r="W37" t="b">
        <v>1</v>
      </c>
    </row>
    <row r="38" spans="1:23" s="10" customFormat="1" hidden="1" x14ac:dyDescent="0.25">
      <c r="A38" s="9"/>
      <c r="B38" s="10" t="str">
        <v>მურმან გეგია</v>
      </c>
      <c r="C38" s="10" t="str">
        <v>01027043092</v>
      </c>
      <c r="D38" s="12"/>
      <c r="E38" s="10" t="str">
        <v>ინდ. მეწარმე</v>
      </c>
      <c r="K38" s="10" t="str">
        <v>GE95BG0000000695964400GEL</v>
      </c>
      <c r="S38" s="10" t="s">
        <v>1782</v>
      </c>
      <c r="T38" s="10" t="s">
        <v>1786</v>
      </c>
    </row>
    <row r="39" spans="1:23" s="10" customFormat="1" hidden="1" x14ac:dyDescent="0.25">
      <c r="A39" s="9"/>
      <c r="B39" s="10" t="str">
        <v>ლარისა ფონიავა</v>
      </c>
      <c r="C39" s="10" t="str">
        <v>29001002303</v>
      </c>
      <c r="D39" s="12"/>
      <c r="E39" s="10" t="str">
        <v>ინდ. მეწარმე</v>
      </c>
      <c r="K39" s="10" t="str">
        <v>GE57BG0000000215070900GEL</v>
      </c>
      <c r="S39" s="10" t="s">
        <v>1782</v>
      </c>
      <c r="T39" s="10" t="s">
        <v>1786</v>
      </c>
    </row>
    <row r="40" spans="1:23" s="10" customFormat="1" hidden="1" x14ac:dyDescent="0.25">
      <c r="A40" s="9"/>
      <c r="B40" s="10" t="str">
        <v xml:space="preserve"> ოაგრუპ</v>
      </c>
      <c r="C40" s="10" t="str">
        <v>404512737</v>
      </c>
      <c r="D40" s="12"/>
      <c r="E40" s="10" t="str">
        <v xml:space="preserve">შპს </v>
      </c>
      <c r="K40" s="10" t="str">
        <v>GE23TB7185636080100003</v>
      </c>
      <c r="S40" s="10" t="s">
        <v>1782</v>
      </c>
      <c r="T40" s="10" t="s">
        <v>1781</v>
      </c>
    </row>
    <row r="41" spans="1:23" hidden="1" x14ac:dyDescent="0.25">
      <c r="A41" s="2"/>
      <c r="B41" t="str">
        <v>ოთარაშვილი ალექსეი</v>
      </c>
      <c r="C41" t="str">
        <v>01027057218</v>
      </c>
      <c r="D41" s="5"/>
      <c r="E41" t="str">
        <v>ფიზ. პირი</v>
      </c>
      <c r="F41" t="s">
        <v>54</v>
      </c>
      <c r="K41" t="str">
        <v>GE84BG0000000103359782GEL</v>
      </c>
      <c r="S41" t="s">
        <v>1782</v>
      </c>
      <c r="T41" t="s">
        <v>1786</v>
      </c>
      <c r="W41" t="b">
        <v>1</v>
      </c>
    </row>
    <row r="42" spans="1:23" hidden="1" x14ac:dyDescent="0.25">
      <c r="A42" s="2"/>
      <c r="B42" t="str">
        <v>კვეზერელი ნიკოლოზ</v>
      </c>
      <c r="C42" t="str">
        <v>13001016058</v>
      </c>
      <c r="E42" t="str">
        <v>ფიზ. პირი</v>
      </c>
      <c r="F42" t="s">
        <v>54</v>
      </c>
      <c r="K42" t="str">
        <v>GE08BG0000000312837500GEL</v>
      </c>
      <c r="S42" t="s">
        <v>1782</v>
      </c>
      <c r="T42" t="s">
        <v>1786</v>
      </c>
      <c r="W42" t="b">
        <v>1</v>
      </c>
    </row>
    <row r="43" spans="1:23" hidden="1" x14ac:dyDescent="0.25">
      <c r="A43" s="2"/>
      <c r="B43" t="str">
        <v>სოფიკო ხომასურიძე</v>
      </c>
      <c r="C43" t="str">
        <v>38001039690</v>
      </c>
      <c r="E43" t="str">
        <v>ფიზ. პირი</v>
      </c>
      <c r="F43" t="s">
        <v>84</v>
      </c>
      <c r="K43" t="str">
        <v>GE87LB0211117682002000</v>
      </c>
      <c r="S43" t="s">
        <v>1782</v>
      </c>
      <c r="T43" t="s">
        <v>1786</v>
      </c>
      <c r="W43" t="b">
        <v>1</v>
      </c>
    </row>
    <row r="44" spans="1:23" hidden="1" x14ac:dyDescent="0.25">
      <c r="A44" s="2"/>
      <c r="B44" t="str">
        <v>მუკბანიანი ანა</v>
      </c>
      <c r="C44" t="str">
        <v>01027065735</v>
      </c>
      <c r="E44" t="str">
        <v>ფიზ. პირი</v>
      </c>
      <c r="F44" t="s">
        <v>84</v>
      </c>
      <c r="K44" t="str">
        <v>GE20BG0000000161924296GEL</v>
      </c>
      <c r="S44" t="s">
        <v>1782</v>
      </c>
      <c r="T44" t="s">
        <v>1786</v>
      </c>
      <c r="W44" t="b">
        <v>1</v>
      </c>
    </row>
    <row r="45" spans="1:23" hidden="1" x14ac:dyDescent="0.25">
      <c r="A45" s="2"/>
      <c r="B45" t="str">
        <v>ბულბულაშვილი ნოდარი</v>
      </c>
      <c r="C45" t="str">
        <v>01033004067</v>
      </c>
      <c r="E45" t="str">
        <v>ფიზ. პირი</v>
      </c>
      <c r="F45" t="s">
        <v>54</v>
      </c>
      <c r="K45" t="str">
        <v>GE92BG0000000187220600GEL</v>
      </c>
      <c r="S45" t="s">
        <v>1782</v>
      </c>
      <c r="T45" t="s">
        <v>1786</v>
      </c>
      <c r="W45" t="b">
        <v>1</v>
      </c>
    </row>
    <row r="46" spans="1:23" s="10" customFormat="1" hidden="1" x14ac:dyDescent="0.25">
      <c r="A46" s="9"/>
      <c r="B46" s="10" t="str">
        <v>ნანოტეკ ფროდაქშენ</v>
      </c>
      <c r="C46" s="10" t="str">
        <v>400325457</v>
      </c>
      <c r="E46" s="10" t="str">
        <v xml:space="preserve">შპს </v>
      </c>
      <c r="K46" s="10" t="str">
        <v>GE95TB7931136020100009</v>
      </c>
      <c r="S46" s="10" t="s">
        <v>1782</v>
      </c>
      <c r="T46" s="10" t="s">
        <v>1781</v>
      </c>
    </row>
    <row r="47" spans="1:23" s="10" customFormat="1" hidden="1" x14ac:dyDescent="0.25">
      <c r="A47" s="9"/>
      <c r="B47" s="10" t="str">
        <v>ბაგრო ჯორჯია</v>
      </c>
      <c r="C47" s="10" t="str">
        <v>400438371</v>
      </c>
      <c r="E47" s="10" t="str">
        <v xml:space="preserve">შპს </v>
      </c>
      <c r="K47" s="10" t="str">
        <v>GE20TB7938836020100004</v>
      </c>
      <c r="S47" s="10" t="s">
        <v>1782</v>
      </c>
      <c r="T47" s="10" t="s">
        <v>1781</v>
      </c>
    </row>
    <row r="48" spans="1:23" hidden="1" x14ac:dyDescent="0.25">
      <c r="A48" s="2"/>
      <c r="B48" t="str">
        <v>ბექაური ქეთევან</v>
      </c>
      <c r="C48" t="str">
        <v>01003015236</v>
      </c>
      <c r="E48" t="str">
        <v>ფიზ. პირი</v>
      </c>
      <c r="F48" t="s">
        <v>84</v>
      </c>
      <c r="K48" t="str">
        <v>GE94BG0000000654109500GEL</v>
      </c>
      <c r="S48" t="s">
        <v>1782</v>
      </c>
      <c r="T48" t="s">
        <v>1786</v>
      </c>
      <c r="W48" t="b">
        <v>1</v>
      </c>
    </row>
    <row r="49" spans="1:23" s="10" customFormat="1" hidden="1" x14ac:dyDescent="0.25">
      <c r="A49" s="9"/>
      <c r="B49" s="10" t="str">
        <v>ნიკოლოზ ოშხერელი</v>
      </c>
      <c r="C49" s="10" t="str">
        <v>04001003770</v>
      </c>
      <c r="E49" s="10" t="str">
        <v>ინდ. მეწარმე</v>
      </c>
      <c r="K49" s="10" t="str">
        <v>GE32BG0000000541718947GEL</v>
      </c>
      <c r="S49" s="10" t="s">
        <v>1782</v>
      </c>
      <c r="T49" s="10" t="s">
        <v>1786</v>
      </c>
    </row>
    <row r="50" spans="1:23" s="10" customFormat="1" hidden="1" x14ac:dyDescent="0.25">
      <c r="A50" s="9"/>
      <c r="B50" s="10" t="str">
        <v>ილია ცინცაძე</v>
      </c>
      <c r="C50" s="10" t="str">
        <v>01019082778</v>
      </c>
      <c r="E50" s="10" t="str">
        <v>ინდ. მეწარმე</v>
      </c>
      <c r="K50" s="10" t="str">
        <v>GE37BG0000000610791684GEL</v>
      </c>
      <c r="S50" s="10" t="s">
        <v>1782</v>
      </c>
      <c r="T50" s="10" t="s">
        <v>1786</v>
      </c>
    </row>
    <row r="51" spans="1:23" s="10" customFormat="1" hidden="1" x14ac:dyDescent="0.25">
      <c r="A51" s="9"/>
      <c r="B51" s="10" t="str">
        <v>ველლი ჯგუფი</v>
      </c>
      <c r="C51" s="10" t="str">
        <v>429336621</v>
      </c>
      <c r="E51" s="10" t="str">
        <v xml:space="preserve">შპს </v>
      </c>
      <c r="K51" s="10" t="str">
        <v>GE50TB7080036060100002</v>
      </c>
      <c r="S51" s="10" t="s">
        <v>1782</v>
      </c>
      <c r="T51" s="10" t="s">
        <v>1781</v>
      </c>
    </row>
    <row r="52" spans="1:23" s="10" customFormat="1" hidden="1" x14ac:dyDescent="0.25">
      <c r="A52" s="9"/>
      <c r="B52" s="10" t="str">
        <v>სიდო</v>
      </c>
      <c r="C52" s="10" t="str">
        <v>211404531</v>
      </c>
      <c r="E52" s="10" t="str">
        <v xml:space="preserve">შპს </v>
      </c>
      <c r="K52" s="10" t="str">
        <v>GE08PC0183600100015821</v>
      </c>
      <c r="S52" s="10" t="s">
        <v>1782</v>
      </c>
      <c r="T52" s="10" t="s">
        <v>1781</v>
      </c>
    </row>
    <row r="53" spans="1:23" s="10" customFormat="1" hidden="1" x14ac:dyDescent="0.25">
      <c r="A53" s="9"/>
      <c r="B53" s="10" t="str">
        <v>ვერტა ელევატორი</v>
      </c>
      <c r="C53" s="10" t="str">
        <v>426558325</v>
      </c>
      <c r="E53" s="10" t="str">
        <v xml:space="preserve">შპს </v>
      </c>
      <c r="K53" s="10" t="str">
        <v>GE32TB7372336080100012</v>
      </c>
      <c r="S53" s="10" t="s">
        <v>1782</v>
      </c>
      <c r="T53" s="10" t="s">
        <v>1781</v>
      </c>
    </row>
    <row r="54" spans="1:23" s="10" customFormat="1" hidden="1" x14ac:dyDescent="0.25">
      <c r="A54" s="9"/>
      <c r="B54" s="10" t="str">
        <v>კოკოსილქ+</v>
      </c>
      <c r="C54" s="10" t="str">
        <v>406320887</v>
      </c>
      <c r="E54" s="10" t="str">
        <v xml:space="preserve">შპს </v>
      </c>
      <c r="K54" s="10" t="str">
        <v>GE69TB7863336080100016</v>
      </c>
      <c r="S54" s="10" t="s">
        <v>1782</v>
      </c>
      <c r="T54" s="10" t="s">
        <v>1781</v>
      </c>
    </row>
    <row r="55" spans="1:23" s="10" customFormat="1" hidden="1" x14ac:dyDescent="0.25">
      <c r="A55" s="9"/>
      <c r="B55" s="10" t="str">
        <v>ნიუ მეტალ ჯორჯია</v>
      </c>
      <c r="C55" s="10" t="str">
        <v>404380629</v>
      </c>
      <c r="E55" s="10" t="str">
        <v xml:space="preserve">შპს </v>
      </c>
      <c r="K55" s="10" t="str">
        <v>GE29TB3900000077517777</v>
      </c>
      <c r="S55" s="10" t="s">
        <v>1782</v>
      </c>
      <c r="T55" s="10" t="s">
        <v>1781</v>
      </c>
    </row>
    <row r="56" spans="1:23" s="10" customFormat="1" hidden="1" x14ac:dyDescent="0.25">
      <c r="A56" s="9"/>
      <c r="B56" s="10" t="str">
        <v>ჩექ ქარ ჯეორჯია</v>
      </c>
      <c r="C56" s="10" t="str">
        <v>405753929</v>
      </c>
      <c r="E56" s="10" t="str">
        <v xml:space="preserve">შპს </v>
      </c>
      <c r="K56" s="10" t="str">
        <v>GE63BG0000000606154034GEL</v>
      </c>
      <c r="S56" s="10" t="s">
        <v>1782</v>
      </c>
      <c r="T56" s="10" t="s">
        <v>1781</v>
      </c>
    </row>
    <row r="57" spans="1:23" s="14" customFormat="1" hidden="1" x14ac:dyDescent="0.25">
      <c r="A57" s="13"/>
      <c r="B57" s="14" t="str">
        <v>ვასილიი კაპლიევ</v>
      </c>
      <c r="C57" s="14" t="str">
        <v>345757772</v>
      </c>
      <c r="E57" s="14" t="str">
        <v>ინდ. მეწარმე</v>
      </c>
      <c r="K57" s="14" t="str">
        <v>GE29TB7400836010100046</v>
      </c>
      <c r="S57" s="14" t="s">
        <v>1782</v>
      </c>
      <c r="T57" s="14" t="s">
        <v>1786</v>
      </c>
    </row>
    <row r="58" spans="1:23" hidden="1" x14ac:dyDescent="0.25">
      <c r="A58" s="2"/>
      <c r="B58" t="str">
        <v>მამმადოვ როვშან</v>
      </c>
      <c r="C58" t="str">
        <v>01092003392</v>
      </c>
      <c r="E58" t="str">
        <v>ფიზ. პირი</v>
      </c>
      <c r="F58" t="s">
        <v>54</v>
      </c>
      <c r="K58" t="str">
        <v>GE73BG0000000279352900GEL</v>
      </c>
      <c r="S58" t="s">
        <v>1782</v>
      </c>
      <c r="T58" t="s">
        <v>1786</v>
      </c>
      <c r="W58" t="b">
        <v>1</v>
      </c>
    </row>
    <row r="59" spans="1:23" s="10" customFormat="1" hidden="1" x14ac:dyDescent="0.25">
      <c r="A59" s="9"/>
      <c r="B59" s="10" t="str">
        <v>ჯე ფიტტინგ</v>
      </c>
      <c r="C59" s="10" t="str">
        <v>443122871</v>
      </c>
      <c r="E59" s="10" t="str">
        <v xml:space="preserve">შპს </v>
      </c>
      <c r="K59" s="10" t="str">
        <v>GE08BG0000000366075562GEL</v>
      </c>
      <c r="S59" s="10" t="s">
        <v>1782</v>
      </c>
      <c r="T59" s="10" t="s">
        <v>1781</v>
      </c>
    </row>
    <row r="60" spans="1:23" hidden="1" x14ac:dyDescent="0.25">
      <c r="A60" s="2"/>
      <c r="B60" t="str">
        <v>ცანქალ მუამმერ</v>
      </c>
      <c r="C60" t="str">
        <v>10610088510</v>
      </c>
      <c r="E60" t="str">
        <v>ფიზ. პირი</v>
      </c>
      <c r="F60" t="s">
        <v>54</v>
      </c>
      <c r="K60" t="str">
        <v>GE53BG0000000545804791GEL</v>
      </c>
      <c r="S60" t="s">
        <v>1782</v>
      </c>
      <c r="T60" t="s">
        <v>1786</v>
      </c>
      <c r="W60" t="b">
        <v>1</v>
      </c>
    </row>
    <row r="61" spans="1:23" s="10" customFormat="1" hidden="1" x14ac:dyDescent="0.25">
      <c r="A61" s="9"/>
      <c r="B61" s="10" t="str">
        <v>უნიკალი</v>
      </c>
      <c r="C61" s="10" t="str">
        <v>445598185</v>
      </c>
      <c r="E61" s="10" t="str">
        <v xml:space="preserve">შპს </v>
      </c>
      <c r="K61" s="10" t="str">
        <v>GE88BG0000000499033380GEL</v>
      </c>
      <c r="S61" s="10" t="s">
        <v>1782</v>
      </c>
      <c r="T61" s="10" t="s">
        <v>1781</v>
      </c>
    </row>
    <row r="62" spans="1:23" x14ac:dyDescent="0.25">
      <c r="A62" s="2"/>
      <c r="B62" t="str">
        <v>EMBASSY OF ISLAMIC REPUBLIC OF IRAN</v>
      </c>
      <c r="C62" t="str">
        <v>211349762</v>
      </c>
      <c r="E62" t="str">
        <v>დიპლომატი</v>
      </c>
      <c r="K62" t="str">
        <v>GE34TB0600000000609009</v>
      </c>
      <c r="S62" t="s">
        <v>1791</v>
      </c>
      <c r="T62" s="8" t="s">
        <v>1790</v>
      </c>
    </row>
    <row r="63" spans="1:23" s="10" customFormat="1" hidden="1" x14ac:dyDescent="0.25">
      <c r="A63" s="9"/>
      <c r="B63" s="10" t="str">
        <v>საერთაშორისო სავაჭრო ჯგუფი</v>
      </c>
      <c r="C63" s="10" t="str">
        <v>231289593</v>
      </c>
      <c r="E63" s="10" t="str">
        <v xml:space="preserve">შპს </v>
      </c>
      <c r="K63" s="10" t="str">
        <v>GE11TB1930636080100002</v>
      </c>
      <c r="S63" s="10" t="s">
        <v>1782</v>
      </c>
      <c r="T63" s="10" t="s">
        <v>1781</v>
      </c>
    </row>
    <row r="64" spans="1:23" s="10" customFormat="1" hidden="1" x14ac:dyDescent="0.25">
      <c r="A64" s="9"/>
      <c r="B64" s="10" t="str">
        <v>ოქტო არტჰაუსი</v>
      </c>
      <c r="C64" s="10" t="str">
        <v>405665285</v>
      </c>
      <c r="E64" s="10" t="str">
        <v xml:space="preserve">შპს </v>
      </c>
      <c r="K64" s="10" t="str">
        <v>GE62TB7183936050100002</v>
      </c>
      <c r="S64" s="10" t="s">
        <v>1782</v>
      </c>
      <c r="T64" s="10" t="s">
        <v>1781</v>
      </c>
    </row>
    <row r="65" spans="1:23" s="10" customFormat="1" hidden="1" x14ac:dyDescent="0.25">
      <c r="A65" s="9"/>
      <c r="B65" s="10" t="str">
        <v>საქსპეცტრანსი</v>
      </c>
      <c r="C65" s="10" t="str">
        <v>205064446</v>
      </c>
      <c r="E65" s="10" t="str">
        <v xml:space="preserve">შპს </v>
      </c>
      <c r="K65" s="10" t="str">
        <v>GE92BG0000000545811849GEL</v>
      </c>
      <c r="S65" s="10" t="s">
        <v>1782</v>
      </c>
      <c r="T65" s="10" t="s">
        <v>1781</v>
      </c>
    </row>
    <row r="66" spans="1:23" hidden="1" x14ac:dyDescent="0.25">
      <c r="A66" s="2"/>
      <c r="B66" t="str">
        <v>ხაჭაპურიძე გრიგოლ</v>
      </c>
      <c r="C66" t="str">
        <v>57001010449</v>
      </c>
      <c r="E66" t="str">
        <v>ფიზ. პირი</v>
      </c>
      <c r="F66" t="s">
        <v>54</v>
      </c>
      <c r="K66" t="str">
        <v>GE51BG0000000608679742GEL</v>
      </c>
      <c r="S66" t="s">
        <v>1782</v>
      </c>
      <c r="T66" t="s">
        <v>1786</v>
      </c>
      <c r="W66" t="b">
        <v>1</v>
      </c>
    </row>
    <row r="67" spans="1:23" s="10" customFormat="1" hidden="1" x14ac:dyDescent="0.25">
      <c r="A67" s="9"/>
      <c r="B67" s="10" t="str">
        <v>სამხრეთის სამშენებლო კომპანია</v>
      </c>
      <c r="C67" s="10" t="str">
        <v>445721595</v>
      </c>
      <c r="E67" s="10" t="str">
        <v xml:space="preserve">შპს </v>
      </c>
      <c r="K67" s="10" t="str">
        <v>GE02BG0000000580784491GEL</v>
      </c>
      <c r="S67" s="10" t="s">
        <v>1782</v>
      </c>
      <c r="T67" s="10" t="s">
        <v>1781</v>
      </c>
    </row>
    <row r="68" spans="1:23" x14ac:dyDescent="0.25">
      <c r="A68" s="2"/>
    </row>
    <row r="69" spans="1:23" x14ac:dyDescent="0.25">
      <c r="A69" s="2"/>
    </row>
    <row r="70" spans="1:23" x14ac:dyDescent="0.25">
      <c r="A70" s="2"/>
    </row>
    <row r="71" spans="1:23" x14ac:dyDescent="0.25">
      <c r="A71" s="2"/>
    </row>
    <row r="72" spans="1:23" x14ac:dyDescent="0.25">
      <c r="A72" s="2"/>
    </row>
    <row r="73" spans="1:23" x14ac:dyDescent="0.25">
      <c r="A73" s="2"/>
    </row>
    <row r="74" spans="1:23" x14ac:dyDescent="0.25">
      <c r="A74" s="2"/>
    </row>
    <row r="75" spans="1:23" x14ac:dyDescent="0.25">
      <c r="A75" s="2"/>
    </row>
    <row r="76" spans="1:23" x14ac:dyDescent="0.25">
      <c r="A76" s="2"/>
    </row>
    <row r="77" spans="1:23" x14ac:dyDescent="0.25">
      <c r="A77" s="2"/>
    </row>
    <row r="78" spans="1:23" x14ac:dyDescent="0.25">
      <c r="A78" s="2"/>
    </row>
    <row r="79" spans="1:23" x14ac:dyDescent="0.25">
      <c r="A79" s="2"/>
    </row>
    <row r="80" spans="1:23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</sheetData>
  <autoFilter ref="A1:Z67" xr:uid="{8E550398-190A-4F15-BF25-77B6E32729EB}">
    <filterColumn colId="18">
      <filters>
        <filter val="e606e963-3d68-4e52-91bd-172b28100c3b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7"/>
  <sheetViews>
    <sheetView workbookViewId="0">
      <selection activeCell="J10" sqref="J10"/>
    </sheetView>
  </sheetViews>
  <sheetFormatPr defaultRowHeight="15" x14ac:dyDescent="0.25"/>
  <cols>
    <col min="1" max="1" width="18.28515625" bestFit="1" customWidth="1"/>
    <col min="2" max="2" width="80.42578125" bestFit="1" customWidth="1"/>
    <col min="3" max="3" width="21.42578125" bestFit="1" customWidth="1"/>
    <col min="4" max="4" width="26.7109375" bestFit="1" customWidth="1"/>
    <col min="5" max="7" width="11.85546875" bestFit="1" customWidth="1"/>
    <col min="8" max="9" width="14.85546875" bestFit="1" customWidth="1"/>
    <col min="10" max="10" width="8.85546875" bestFit="1" customWidth="1"/>
    <col min="11" max="14" width="11.85546875" bestFit="1" customWidth="1"/>
    <col min="15" max="15" width="23" bestFit="1" customWidth="1"/>
    <col min="16" max="16" width="15.42578125" bestFit="1" customWidth="1"/>
    <col min="17" max="17" width="11.85546875" bestFit="1" customWidth="1"/>
    <col min="18" max="18" width="12.85546875" bestFit="1" customWidth="1"/>
    <col min="19" max="21" width="37.28515625" bestFit="1" customWidth="1"/>
    <col min="22" max="23" width="16.140625" bestFit="1" customWidth="1"/>
    <col min="24" max="24" width="11.42578125" bestFit="1" customWidth="1"/>
    <col min="25" max="25" width="8.7109375" bestFit="1" customWidth="1"/>
    <col min="26" max="26" width="13.570312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>
        <v>44346.868298611109</v>
      </c>
      <c r="B2" t="s">
        <v>53</v>
      </c>
      <c r="C2" t="s">
        <v>1460</v>
      </c>
      <c r="D2" s="5"/>
      <c r="F2" t="s">
        <v>54</v>
      </c>
      <c r="H2" t="s">
        <v>56</v>
      </c>
      <c r="N2" t="s">
        <v>1461</v>
      </c>
      <c r="S2" t="s">
        <v>187</v>
      </c>
      <c r="T2" t="s">
        <v>61</v>
      </c>
      <c r="U2" t="s">
        <v>57</v>
      </c>
      <c r="W2" t="b">
        <v>0</v>
      </c>
    </row>
    <row r="3" spans="1:26" x14ac:dyDescent="0.25">
      <c r="A3" s="2">
        <v>44346.875763888886</v>
      </c>
      <c r="B3" t="s">
        <v>62</v>
      </c>
      <c r="C3" t="s">
        <v>1461</v>
      </c>
      <c r="D3" s="5"/>
      <c r="F3" t="s">
        <v>54</v>
      </c>
      <c r="H3" t="s">
        <v>64</v>
      </c>
      <c r="N3" t="s">
        <v>1461</v>
      </c>
      <c r="S3" t="s">
        <v>187</v>
      </c>
      <c r="T3" t="s">
        <v>68</v>
      </c>
      <c r="U3" t="s">
        <v>65</v>
      </c>
      <c r="W3" t="b">
        <v>0</v>
      </c>
    </row>
    <row r="4" spans="1:26" x14ac:dyDescent="0.25">
      <c r="A4" s="2">
        <v>44346.879907407405</v>
      </c>
      <c r="B4" t="s">
        <v>69</v>
      </c>
      <c r="C4" t="s">
        <v>1462</v>
      </c>
      <c r="D4" s="5"/>
      <c r="F4" t="s">
        <v>54</v>
      </c>
      <c r="H4" t="s">
        <v>70</v>
      </c>
      <c r="N4" t="s">
        <v>1461</v>
      </c>
      <c r="S4" t="s">
        <v>187</v>
      </c>
      <c r="T4" t="s">
        <v>68</v>
      </c>
      <c r="U4" t="s">
        <v>71</v>
      </c>
      <c r="W4" t="b">
        <v>0</v>
      </c>
    </row>
    <row r="5" spans="1:26" x14ac:dyDescent="0.25">
      <c r="A5" s="2">
        <v>44346.88140046296</v>
      </c>
      <c r="B5" t="s">
        <v>74</v>
      </c>
      <c r="C5" t="s">
        <v>1463</v>
      </c>
      <c r="D5" s="5"/>
      <c r="F5" t="s">
        <v>54</v>
      </c>
      <c r="H5" t="s">
        <v>78</v>
      </c>
      <c r="K5" t="s">
        <v>79</v>
      </c>
      <c r="N5" t="s">
        <v>1461</v>
      </c>
      <c r="P5">
        <v>599207011</v>
      </c>
      <c r="S5" t="s">
        <v>187</v>
      </c>
      <c r="T5" t="s">
        <v>61</v>
      </c>
      <c r="U5" t="s">
        <v>80</v>
      </c>
      <c r="W5" t="b">
        <v>1</v>
      </c>
    </row>
    <row r="6" spans="1:26" x14ac:dyDescent="0.25">
      <c r="A6" s="2">
        <v>44346.881736111114</v>
      </c>
      <c r="B6" t="s">
        <v>83</v>
      </c>
      <c r="C6" t="s">
        <v>1464</v>
      </c>
      <c r="D6" s="5"/>
      <c r="F6" t="s">
        <v>84</v>
      </c>
      <c r="H6" t="s">
        <v>87</v>
      </c>
      <c r="K6" t="s">
        <v>88</v>
      </c>
      <c r="N6" t="s">
        <v>1461</v>
      </c>
      <c r="P6">
        <v>597765050</v>
      </c>
      <c r="S6" t="s">
        <v>187</v>
      </c>
      <c r="T6" t="s">
        <v>61</v>
      </c>
      <c r="U6" t="s">
        <v>89</v>
      </c>
      <c r="W6" t="b">
        <v>0</v>
      </c>
    </row>
    <row r="7" spans="1:26" x14ac:dyDescent="0.25">
      <c r="A7" s="2">
        <v>44346.88175925926</v>
      </c>
      <c r="B7" t="s">
        <v>92</v>
      </c>
      <c r="C7" t="s">
        <v>1465</v>
      </c>
      <c r="D7" s="5"/>
      <c r="F7" t="s">
        <v>84</v>
      </c>
      <c r="H7" t="s">
        <v>93</v>
      </c>
      <c r="K7" t="s">
        <v>94</v>
      </c>
      <c r="N7" t="s">
        <v>1461</v>
      </c>
      <c r="P7">
        <v>598884244</v>
      </c>
      <c r="S7" t="s">
        <v>187</v>
      </c>
      <c r="T7" t="s">
        <v>61</v>
      </c>
      <c r="U7" t="s">
        <v>95</v>
      </c>
      <c r="W7" t="b">
        <v>1</v>
      </c>
    </row>
    <row r="8" spans="1:26" x14ac:dyDescent="0.25">
      <c r="A8" s="2">
        <v>44346.881793981483</v>
      </c>
      <c r="B8" t="s">
        <v>98</v>
      </c>
      <c r="C8" t="s">
        <v>1466</v>
      </c>
      <c r="D8" s="5"/>
      <c r="F8" t="s">
        <v>84</v>
      </c>
      <c r="H8" t="s">
        <v>99</v>
      </c>
      <c r="K8" t="s">
        <v>100</v>
      </c>
      <c r="N8" t="s">
        <v>1461</v>
      </c>
      <c r="P8">
        <v>599385053</v>
      </c>
      <c r="S8" t="s">
        <v>187</v>
      </c>
      <c r="T8" t="s">
        <v>61</v>
      </c>
      <c r="U8" t="s">
        <v>101</v>
      </c>
      <c r="W8" t="b">
        <v>1</v>
      </c>
    </row>
    <row r="9" spans="1:26" x14ac:dyDescent="0.25">
      <c r="A9" s="2">
        <v>44346.881828703707</v>
      </c>
      <c r="B9" t="s">
        <v>104</v>
      </c>
      <c r="C9" t="s">
        <v>1467</v>
      </c>
      <c r="D9" s="5"/>
      <c r="F9" t="s">
        <v>84</v>
      </c>
      <c r="H9" t="s">
        <v>105</v>
      </c>
      <c r="K9" t="s">
        <v>106</v>
      </c>
      <c r="N9" t="s">
        <v>1461</v>
      </c>
      <c r="P9">
        <v>574404060</v>
      </c>
      <c r="S9" t="s">
        <v>187</v>
      </c>
      <c r="T9" t="s">
        <v>61</v>
      </c>
      <c r="U9" t="s">
        <v>107</v>
      </c>
      <c r="W9" t="b">
        <v>1</v>
      </c>
    </row>
    <row r="10" spans="1:26" x14ac:dyDescent="0.25">
      <c r="A10" s="2">
        <v>44346.881863425922</v>
      </c>
      <c r="B10" t="s">
        <v>110</v>
      </c>
      <c r="C10" t="s">
        <v>1468</v>
      </c>
      <c r="D10" s="5"/>
      <c r="F10" t="s">
        <v>54</v>
      </c>
      <c r="H10" t="s">
        <v>111</v>
      </c>
      <c r="K10" t="s">
        <v>112</v>
      </c>
      <c r="N10" t="s">
        <v>1461</v>
      </c>
      <c r="P10">
        <v>598001153</v>
      </c>
      <c r="S10" t="s">
        <v>187</v>
      </c>
      <c r="T10" t="s">
        <v>61</v>
      </c>
      <c r="U10" t="s">
        <v>113</v>
      </c>
      <c r="W10" t="b">
        <v>1</v>
      </c>
    </row>
    <row r="11" spans="1:26" x14ac:dyDescent="0.25">
      <c r="A11" s="2">
        <v>44346.882361111115</v>
      </c>
      <c r="B11" t="s">
        <v>116</v>
      </c>
      <c r="C11" t="s">
        <v>1469</v>
      </c>
      <c r="D11" s="5"/>
      <c r="F11" t="s">
        <v>84</v>
      </c>
      <c r="H11" t="s">
        <v>117</v>
      </c>
      <c r="K11" t="s">
        <v>118</v>
      </c>
      <c r="N11" t="s">
        <v>1461</v>
      </c>
      <c r="P11">
        <v>593949301</v>
      </c>
      <c r="S11" t="s">
        <v>187</v>
      </c>
      <c r="T11" t="s">
        <v>61</v>
      </c>
      <c r="U11" t="s">
        <v>119</v>
      </c>
      <c r="W11" t="b">
        <v>1</v>
      </c>
    </row>
    <row r="12" spans="1:26" x14ac:dyDescent="0.25">
      <c r="A12" s="2">
        <v>44346.882743055554</v>
      </c>
      <c r="B12" t="s">
        <v>122</v>
      </c>
      <c r="C12" t="s">
        <v>1470</v>
      </c>
      <c r="D12" s="5"/>
      <c r="F12" t="s">
        <v>84</v>
      </c>
      <c r="H12" t="s">
        <v>78</v>
      </c>
      <c r="K12" t="s">
        <v>123</v>
      </c>
      <c r="N12" t="s">
        <v>1461</v>
      </c>
      <c r="P12">
        <v>577771611</v>
      </c>
      <c r="S12" t="s">
        <v>187</v>
      </c>
      <c r="T12" t="s">
        <v>61</v>
      </c>
      <c r="U12" t="s">
        <v>124</v>
      </c>
      <c r="W12" t="b">
        <v>1</v>
      </c>
    </row>
    <row r="13" spans="1:26" x14ac:dyDescent="0.25">
      <c r="A13" s="2">
        <v>44346.885601851849</v>
      </c>
      <c r="B13" t="s">
        <v>127</v>
      </c>
      <c r="C13" t="s">
        <v>1471</v>
      </c>
      <c r="D13" s="5"/>
      <c r="F13" t="s">
        <v>54</v>
      </c>
      <c r="H13" t="s">
        <v>128</v>
      </c>
      <c r="K13" t="s">
        <v>129</v>
      </c>
      <c r="N13" t="s">
        <v>1461</v>
      </c>
      <c r="P13">
        <v>591222276</v>
      </c>
      <c r="S13" t="s">
        <v>187</v>
      </c>
      <c r="T13" t="s">
        <v>61</v>
      </c>
      <c r="U13" t="s">
        <v>130</v>
      </c>
      <c r="W13" t="b">
        <v>1</v>
      </c>
    </row>
    <row r="14" spans="1:26" x14ac:dyDescent="0.25">
      <c r="A14" s="2">
        <v>44346.885671296295</v>
      </c>
      <c r="B14" t="s">
        <v>133</v>
      </c>
      <c r="C14" t="s">
        <v>1472</v>
      </c>
      <c r="D14" s="5"/>
      <c r="F14" t="s">
        <v>84</v>
      </c>
      <c r="H14" t="s">
        <v>134</v>
      </c>
      <c r="K14" t="s">
        <v>135</v>
      </c>
      <c r="N14" t="s">
        <v>1461</v>
      </c>
      <c r="P14">
        <v>558132887</v>
      </c>
      <c r="S14" t="s">
        <v>187</v>
      </c>
      <c r="T14" t="s">
        <v>61</v>
      </c>
      <c r="U14" t="s">
        <v>136</v>
      </c>
      <c r="W14" t="b">
        <v>0</v>
      </c>
    </row>
    <row r="15" spans="1:26" x14ac:dyDescent="0.25">
      <c r="A15" s="2">
        <v>44346.885706018518</v>
      </c>
      <c r="B15" t="s">
        <v>139</v>
      </c>
      <c r="C15" t="s">
        <v>1473</v>
      </c>
      <c r="D15" s="5"/>
      <c r="F15" t="s">
        <v>54</v>
      </c>
      <c r="H15" t="s">
        <v>140</v>
      </c>
      <c r="K15" t="s">
        <v>141</v>
      </c>
      <c r="N15" t="s">
        <v>1461</v>
      </c>
      <c r="P15">
        <v>5</v>
      </c>
      <c r="S15" t="s">
        <v>187</v>
      </c>
      <c r="T15" t="s">
        <v>61</v>
      </c>
      <c r="U15" t="s">
        <v>142</v>
      </c>
      <c r="W15" t="b">
        <v>1</v>
      </c>
    </row>
    <row r="16" spans="1:26" x14ac:dyDescent="0.25">
      <c r="A16" s="2">
        <v>44346.885729166665</v>
      </c>
      <c r="B16" t="s">
        <v>145</v>
      </c>
      <c r="C16" t="s">
        <v>1474</v>
      </c>
      <c r="D16" s="5"/>
      <c r="F16" t="s">
        <v>54</v>
      </c>
      <c r="H16" t="s">
        <v>146</v>
      </c>
      <c r="K16" t="s">
        <v>147</v>
      </c>
      <c r="N16" t="s">
        <v>1461</v>
      </c>
      <c r="P16">
        <v>5</v>
      </c>
      <c r="S16" t="s">
        <v>187</v>
      </c>
      <c r="T16" t="s">
        <v>61</v>
      </c>
      <c r="U16" t="s">
        <v>148</v>
      </c>
      <c r="W16" t="b">
        <v>1</v>
      </c>
    </row>
    <row r="17" spans="1:23" x14ac:dyDescent="0.25">
      <c r="A17" s="2">
        <v>44346.885775462964</v>
      </c>
      <c r="B17" t="s">
        <v>151</v>
      </c>
      <c r="C17" t="s">
        <v>1475</v>
      </c>
      <c r="D17" s="5"/>
      <c r="F17" t="s">
        <v>54</v>
      </c>
      <c r="H17" t="s">
        <v>152</v>
      </c>
      <c r="K17" t="s">
        <v>153</v>
      </c>
      <c r="N17" t="s">
        <v>1461</v>
      </c>
      <c r="P17">
        <v>557602672</v>
      </c>
      <c r="S17" t="s">
        <v>187</v>
      </c>
      <c r="T17" t="s">
        <v>61</v>
      </c>
      <c r="U17" t="s">
        <v>154</v>
      </c>
      <c r="W17" t="b">
        <v>1</v>
      </c>
    </row>
    <row r="18" spans="1:23" x14ac:dyDescent="0.25">
      <c r="A18" s="2">
        <v>44346.885798611111</v>
      </c>
      <c r="B18" t="s">
        <v>157</v>
      </c>
      <c r="C18" t="s">
        <v>1476</v>
      </c>
      <c r="D18" s="5"/>
      <c r="F18" t="s">
        <v>84</v>
      </c>
      <c r="H18" t="s">
        <v>158</v>
      </c>
      <c r="K18" t="s">
        <v>159</v>
      </c>
      <c r="N18" t="s">
        <v>1461</v>
      </c>
      <c r="P18">
        <v>558377414</v>
      </c>
      <c r="S18" t="s">
        <v>187</v>
      </c>
      <c r="T18" t="s">
        <v>61</v>
      </c>
      <c r="U18" t="s">
        <v>160</v>
      </c>
      <c r="W18" t="b">
        <v>1</v>
      </c>
    </row>
    <row r="19" spans="1:23" x14ac:dyDescent="0.25">
      <c r="A19" s="2">
        <v>44346.885821759257</v>
      </c>
      <c r="B19" t="s">
        <v>163</v>
      </c>
      <c r="C19" t="s">
        <v>1477</v>
      </c>
      <c r="D19" s="5"/>
      <c r="F19" t="s">
        <v>54</v>
      </c>
      <c r="H19" t="s">
        <v>164</v>
      </c>
      <c r="K19" t="s">
        <v>165</v>
      </c>
      <c r="N19" t="s">
        <v>1461</v>
      </c>
      <c r="P19">
        <v>5</v>
      </c>
      <c r="S19" t="s">
        <v>187</v>
      </c>
      <c r="T19" t="s">
        <v>61</v>
      </c>
      <c r="U19" t="s">
        <v>166</v>
      </c>
      <c r="W19" t="b">
        <v>1</v>
      </c>
    </row>
    <row r="20" spans="1:23" x14ac:dyDescent="0.25">
      <c r="A20" s="2">
        <v>44346.886944444443</v>
      </c>
      <c r="B20" t="s">
        <v>169</v>
      </c>
      <c r="C20" t="s">
        <v>1461</v>
      </c>
      <c r="D20" s="5"/>
      <c r="H20" t="s">
        <v>172</v>
      </c>
      <c r="N20" t="s">
        <v>1461</v>
      </c>
      <c r="S20" t="s">
        <v>176</v>
      </c>
      <c r="T20" t="s">
        <v>177</v>
      </c>
      <c r="U20" t="s">
        <v>173</v>
      </c>
      <c r="W20" t="b">
        <v>0</v>
      </c>
    </row>
    <row r="21" spans="1:23" x14ac:dyDescent="0.25">
      <c r="A21" s="2">
        <v>44346.889687499999</v>
      </c>
      <c r="B21" t="s">
        <v>178</v>
      </c>
      <c r="C21" t="s">
        <v>1478</v>
      </c>
      <c r="D21" s="5">
        <v>42100</v>
      </c>
      <c r="H21" t="s">
        <v>180</v>
      </c>
      <c r="M21" t="s">
        <v>181</v>
      </c>
      <c r="N21" t="s">
        <v>1634</v>
      </c>
      <c r="P21">
        <v>551933911</v>
      </c>
      <c r="S21" t="s">
        <v>187</v>
      </c>
      <c r="T21" t="s">
        <v>188</v>
      </c>
      <c r="U21" t="s">
        <v>182</v>
      </c>
      <c r="W21" t="b">
        <v>0</v>
      </c>
    </row>
    <row r="22" spans="1:23" x14ac:dyDescent="0.25">
      <c r="A22" s="2">
        <v>44346.895092592589</v>
      </c>
      <c r="B22" t="s">
        <v>189</v>
      </c>
      <c r="C22" t="s">
        <v>1479</v>
      </c>
      <c r="D22" s="5">
        <v>41256</v>
      </c>
      <c r="H22" t="s">
        <v>190</v>
      </c>
      <c r="M22" t="s">
        <v>192</v>
      </c>
      <c r="N22" t="s">
        <v>1635</v>
      </c>
      <c r="P22">
        <v>555227256</v>
      </c>
      <c r="S22" t="s">
        <v>187</v>
      </c>
      <c r="T22" t="s">
        <v>188</v>
      </c>
      <c r="U22" t="s">
        <v>193</v>
      </c>
      <c r="W22" t="b">
        <v>0</v>
      </c>
    </row>
    <row r="23" spans="1:23" x14ac:dyDescent="0.25">
      <c r="A23" s="2">
        <v>44346.900567129633</v>
      </c>
      <c r="B23" t="s">
        <v>197</v>
      </c>
      <c r="C23" t="s">
        <v>1480</v>
      </c>
      <c r="D23" s="5">
        <v>39743</v>
      </c>
      <c r="H23" t="s">
        <v>198</v>
      </c>
      <c r="M23" t="s">
        <v>199</v>
      </c>
      <c r="N23" t="s">
        <v>1636</v>
      </c>
      <c r="P23">
        <v>599659090</v>
      </c>
      <c r="S23" t="s">
        <v>187</v>
      </c>
      <c r="T23" t="s">
        <v>188</v>
      </c>
      <c r="U23" t="s">
        <v>200</v>
      </c>
      <c r="W23" t="b">
        <v>0</v>
      </c>
    </row>
    <row r="24" spans="1:23" x14ac:dyDescent="0.25">
      <c r="A24" s="2">
        <v>44346.900925925926</v>
      </c>
      <c r="B24" t="s">
        <v>204</v>
      </c>
      <c r="C24" t="s">
        <v>1481</v>
      </c>
      <c r="D24" s="5">
        <v>41234</v>
      </c>
      <c r="H24" t="s">
        <v>205</v>
      </c>
      <c r="M24" t="s">
        <v>207</v>
      </c>
      <c r="N24" t="s">
        <v>1637</v>
      </c>
      <c r="P24">
        <v>571222222</v>
      </c>
      <c r="S24" t="s">
        <v>187</v>
      </c>
      <c r="T24" t="s">
        <v>188</v>
      </c>
      <c r="U24" t="s">
        <v>208</v>
      </c>
      <c r="W24" t="b">
        <v>0</v>
      </c>
    </row>
    <row r="25" spans="1:23" x14ac:dyDescent="0.25">
      <c r="A25" s="2">
        <v>44346.902557870373</v>
      </c>
      <c r="B25" t="s">
        <v>212</v>
      </c>
      <c r="C25" t="s">
        <v>1482</v>
      </c>
      <c r="D25" s="5">
        <v>40036</v>
      </c>
      <c r="F25" t="s">
        <v>54</v>
      </c>
      <c r="H25" t="s">
        <v>213</v>
      </c>
      <c r="N25" t="s">
        <v>1461</v>
      </c>
      <c r="S25" t="s">
        <v>187</v>
      </c>
      <c r="T25" t="s">
        <v>188</v>
      </c>
      <c r="U25" t="s">
        <v>214</v>
      </c>
      <c r="W25" t="b">
        <v>0</v>
      </c>
    </row>
    <row r="26" spans="1:23" x14ac:dyDescent="0.25">
      <c r="A26" s="2">
        <v>44346.902777777781</v>
      </c>
      <c r="B26" t="s">
        <v>217</v>
      </c>
      <c r="C26" t="s">
        <v>1483</v>
      </c>
      <c r="D26" s="5">
        <v>41318</v>
      </c>
      <c r="F26" t="s">
        <v>84</v>
      </c>
      <c r="H26" t="s">
        <v>218</v>
      </c>
      <c r="N26" t="s">
        <v>1461</v>
      </c>
      <c r="P26">
        <v>599584875</v>
      </c>
      <c r="S26" t="s">
        <v>187</v>
      </c>
      <c r="T26" t="s">
        <v>68</v>
      </c>
      <c r="U26" t="s">
        <v>220</v>
      </c>
      <c r="W26" t="b">
        <v>0</v>
      </c>
    </row>
    <row r="27" spans="1:23" x14ac:dyDescent="0.25">
      <c r="A27" s="2">
        <v>44346.903067129628</v>
      </c>
      <c r="B27" t="s">
        <v>224</v>
      </c>
      <c r="C27" t="s">
        <v>1484</v>
      </c>
      <c r="D27" s="5">
        <v>43388</v>
      </c>
      <c r="F27" t="s">
        <v>54</v>
      </c>
      <c r="H27" t="s">
        <v>226</v>
      </c>
      <c r="N27" t="s">
        <v>1461</v>
      </c>
      <c r="P27">
        <v>555782268</v>
      </c>
      <c r="S27" t="s">
        <v>187</v>
      </c>
      <c r="T27" t="s">
        <v>231</v>
      </c>
      <c r="U27" t="s">
        <v>227</v>
      </c>
      <c r="W27" t="b">
        <v>0</v>
      </c>
    </row>
    <row r="28" spans="1:23" x14ac:dyDescent="0.25">
      <c r="A28" s="2">
        <v>44346.903310185182</v>
      </c>
      <c r="B28" t="s">
        <v>232</v>
      </c>
      <c r="C28" t="s">
        <v>1485</v>
      </c>
      <c r="D28" s="5">
        <v>41941</v>
      </c>
      <c r="F28" t="s">
        <v>84</v>
      </c>
      <c r="H28" t="s">
        <v>233</v>
      </c>
      <c r="N28" t="s">
        <v>1461</v>
      </c>
      <c r="S28" t="s">
        <v>187</v>
      </c>
      <c r="T28" t="s">
        <v>68</v>
      </c>
      <c r="U28" t="s">
        <v>234</v>
      </c>
      <c r="W28" t="b">
        <v>0</v>
      </c>
    </row>
    <row r="29" spans="1:23" x14ac:dyDescent="0.25">
      <c r="A29" s="2">
        <v>44346.903368055559</v>
      </c>
      <c r="B29" t="s">
        <v>238</v>
      </c>
      <c r="C29" t="s">
        <v>1486</v>
      </c>
      <c r="D29" s="5">
        <v>41942</v>
      </c>
      <c r="F29" t="s">
        <v>54</v>
      </c>
      <c r="H29" t="s">
        <v>239</v>
      </c>
      <c r="N29" t="s">
        <v>1461</v>
      </c>
      <c r="S29" t="s">
        <v>187</v>
      </c>
      <c r="T29" t="s">
        <v>68</v>
      </c>
      <c r="U29" t="s">
        <v>240</v>
      </c>
      <c r="W29" t="b">
        <v>0</v>
      </c>
    </row>
    <row r="30" spans="1:23" x14ac:dyDescent="0.25">
      <c r="A30" s="2">
        <v>44346.903449074074</v>
      </c>
      <c r="B30" t="s">
        <v>244</v>
      </c>
      <c r="C30" t="s">
        <v>1487</v>
      </c>
      <c r="D30" s="5">
        <v>41788</v>
      </c>
      <c r="F30" t="s">
        <v>54</v>
      </c>
      <c r="H30" t="s">
        <v>245</v>
      </c>
      <c r="N30" t="s">
        <v>1461</v>
      </c>
      <c r="S30" t="s">
        <v>187</v>
      </c>
      <c r="T30" t="s">
        <v>68</v>
      </c>
      <c r="U30" t="s">
        <v>246</v>
      </c>
      <c r="W30" t="b">
        <v>0</v>
      </c>
    </row>
    <row r="31" spans="1:23" x14ac:dyDescent="0.25">
      <c r="A31" s="2">
        <v>44346.906840277778</v>
      </c>
      <c r="B31" t="s">
        <v>256</v>
      </c>
      <c r="C31" t="s">
        <v>1488</v>
      </c>
      <c r="D31" s="5">
        <v>44062</v>
      </c>
      <c r="H31" t="s">
        <v>257</v>
      </c>
      <c r="M31" t="s">
        <v>259</v>
      </c>
      <c r="N31" t="s">
        <v>1638</v>
      </c>
      <c r="P31">
        <v>593348442</v>
      </c>
      <c r="S31" t="s">
        <v>187</v>
      </c>
      <c r="T31" t="s">
        <v>188</v>
      </c>
      <c r="U31" t="s">
        <v>260</v>
      </c>
      <c r="W31" t="b">
        <v>0</v>
      </c>
    </row>
    <row r="32" spans="1:23" x14ac:dyDescent="0.25">
      <c r="A32" s="2">
        <v>44346.906956018516</v>
      </c>
      <c r="B32" t="s">
        <v>264</v>
      </c>
      <c r="C32" t="s">
        <v>1489</v>
      </c>
      <c r="D32" s="5">
        <v>44084</v>
      </c>
      <c r="H32" t="s">
        <v>265</v>
      </c>
      <c r="M32" t="s">
        <v>266</v>
      </c>
      <c r="N32" t="s">
        <v>1639</v>
      </c>
      <c r="P32">
        <v>555030351</v>
      </c>
      <c r="S32" t="s">
        <v>187</v>
      </c>
      <c r="T32" t="s">
        <v>188</v>
      </c>
      <c r="U32" t="s">
        <v>267</v>
      </c>
      <c r="W32" t="b">
        <v>0</v>
      </c>
    </row>
    <row r="33" spans="1:23" x14ac:dyDescent="0.25">
      <c r="A33" s="2">
        <v>44346.907453703701</v>
      </c>
      <c r="B33" t="s">
        <v>271</v>
      </c>
      <c r="C33" t="s">
        <v>1490</v>
      </c>
      <c r="D33" s="5"/>
      <c r="F33" t="s">
        <v>54</v>
      </c>
      <c r="H33" t="s">
        <v>272</v>
      </c>
      <c r="N33" t="s">
        <v>1461</v>
      </c>
      <c r="S33" t="s">
        <v>187</v>
      </c>
      <c r="T33" t="s">
        <v>68</v>
      </c>
      <c r="U33" t="s">
        <v>1645</v>
      </c>
      <c r="W33" t="b">
        <v>1</v>
      </c>
    </row>
    <row r="34" spans="1:23" x14ac:dyDescent="0.25">
      <c r="A34" s="2">
        <v>44346.90761574074</v>
      </c>
      <c r="B34" t="s">
        <v>275</v>
      </c>
      <c r="C34" t="s">
        <v>1491</v>
      </c>
      <c r="D34" s="5">
        <v>39307</v>
      </c>
      <c r="F34" t="s">
        <v>54</v>
      </c>
      <c r="H34" t="s">
        <v>276</v>
      </c>
      <c r="N34" t="s">
        <v>1461</v>
      </c>
      <c r="S34" t="s">
        <v>187</v>
      </c>
      <c r="T34" t="s">
        <v>68</v>
      </c>
      <c r="U34" t="s">
        <v>1646</v>
      </c>
      <c r="W34" t="b">
        <v>1</v>
      </c>
    </row>
    <row r="35" spans="1:23" x14ac:dyDescent="0.25">
      <c r="A35" s="2">
        <v>44346.907685185186</v>
      </c>
      <c r="B35" t="s">
        <v>279</v>
      </c>
      <c r="C35" t="s">
        <v>1492</v>
      </c>
      <c r="D35" s="5">
        <v>41509</v>
      </c>
      <c r="H35" t="s">
        <v>280</v>
      </c>
      <c r="M35" t="s">
        <v>281</v>
      </c>
      <c r="N35" t="s">
        <v>1640</v>
      </c>
      <c r="P35">
        <v>599560300</v>
      </c>
      <c r="S35" t="s">
        <v>187</v>
      </c>
      <c r="T35" t="s">
        <v>188</v>
      </c>
      <c r="U35" t="s">
        <v>282</v>
      </c>
      <c r="W35" t="b">
        <v>0</v>
      </c>
    </row>
    <row r="36" spans="1:23" x14ac:dyDescent="0.25">
      <c r="A36" s="2">
        <v>44346.908206018517</v>
      </c>
      <c r="B36" t="s">
        <v>286</v>
      </c>
      <c r="C36" t="s">
        <v>1493</v>
      </c>
      <c r="D36" s="5">
        <v>42674</v>
      </c>
      <c r="H36" t="s">
        <v>287</v>
      </c>
      <c r="M36" t="s">
        <v>288</v>
      </c>
      <c r="N36" t="s">
        <v>1641</v>
      </c>
      <c r="P36">
        <v>551886188</v>
      </c>
      <c r="S36" t="s">
        <v>187</v>
      </c>
      <c r="T36" t="s">
        <v>188</v>
      </c>
      <c r="U36" t="s">
        <v>289</v>
      </c>
      <c r="W36" t="b">
        <v>0</v>
      </c>
    </row>
    <row r="37" spans="1:23" x14ac:dyDescent="0.25">
      <c r="A37" s="2">
        <v>44446.475231481483</v>
      </c>
      <c r="B37" t="s">
        <v>293</v>
      </c>
      <c r="C37" t="s">
        <v>1494</v>
      </c>
      <c r="D37" s="5"/>
      <c r="F37" t="s">
        <v>84</v>
      </c>
      <c r="H37" t="s">
        <v>295</v>
      </c>
      <c r="N37" t="s">
        <v>1461</v>
      </c>
      <c r="S37" t="s">
        <v>299</v>
      </c>
      <c r="T37" t="s">
        <v>61</v>
      </c>
      <c r="U37" t="s">
        <v>296</v>
      </c>
      <c r="W37" t="b">
        <v>0</v>
      </c>
    </row>
    <row r="38" spans="1:23" x14ac:dyDescent="0.25">
      <c r="A38" s="2">
        <v>44503.644432870373</v>
      </c>
      <c r="B38" t="s">
        <v>300</v>
      </c>
      <c r="C38" t="s">
        <v>1495</v>
      </c>
      <c r="D38" s="5"/>
      <c r="F38" t="s">
        <v>54</v>
      </c>
      <c r="H38" t="s">
        <v>294</v>
      </c>
      <c r="N38" t="s">
        <v>1461</v>
      </c>
      <c r="S38" t="s">
        <v>1643</v>
      </c>
      <c r="T38" t="s">
        <v>1644</v>
      </c>
      <c r="U38" t="s">
        <v>301</v>
      </c>
      <c r="W38" t="b">
        <v>0</v>
      </c>
    </row>
    <row r="39" spans="1:23" x14ac:dyDescent="0.25">
      <c r="A39" s="2">
        <v>44526.63318287037</v>
      </c>
      <c r="B39" t="s">
        <v>304</v>
      </c>
      <c r="C39" t="s">
        <v>1496</v>
      </c>
      <c r="D39" s="5"/>
      <c r="F39" t="s">
        <v>84</v>
      </c>
      <c r="H39" t="s">
        <v>305</v>
      </c>
      <c r="N39" t="s">
        <v>1461</v>
      </c>
      <c r="S39" t="s">
        <v>187</v>
      </c>
      <c r="T39" t="s">
        <v>61</v>
      </c>
      <c r="U39" t="s">
        <v>306</v>
      </c>
      <c r="W39" t="b">
        <v>0</v>
      </c>
    </row>
    <row r="40" spans="1:23" x14ac:dyDescent="0.25">
      <c r="A40" s="2">
        <v>44644.706932870373</v>
      </c>
      <c r="B40" t="s">
        <v>309</v>
      </c>
      <c r="C40" t="s">
        <v>1461</v>
      </c>
      <c r="D40" s="5"/>
      <c r="F40" t="s">
        <v>54</v>
      </c>
      <c r="H40" t="s">
        <v>311</v>
      </c>
      <c r="N40" t="s">
        <v>1461</v>
      </c>
      <c r="S40" t="s">
        <v>315</v>
      </c>
      <c r="T40" t="s">
        <v>61</v>
      </c>
      <c r="U40" t="s">
        <v>312</v>
      </c>
      <c r="W40" t="b">
        <v>0</v>
      </c>
    </row>
    <row r="41" spans="1:23" x14ac:dyDescent="0.25">
      <c r="A41" s="2">
        <v>44663.570810185185</v>
      </c>
      <c r="B41" t="s">
        <v>316</v>
      </c>
      <c r="C41" t="s">
        <v>1497</v>
      </c>
      <c r="D41" s="5"/>
      <c r="F41" t="s">
        <v>54</v>
      </c>
      <c r="H41" t="s">
        <v>317</v>
      </c>
      <c r="N41" t="s">
        <v>1461</v>
      </c>
      <c r="S41" t="s">
        <v>315</v>
      </c>
      <c r="T41" t="s">
        <v>61</v>
      </c>
      <c r="U41" t="s">
        <v>318</v>
      </c>
      <c r="W41" t="b">
        <v>0</v>
      </c>
    </row>
    <row r="42" spans="1:23" x14ac:dyDescent="0.25">
      <c r="A42" s="2">
        <v>44826.55872685185</v>
      </c>
      <c r="B42" t="s">
        <v>331</v>
      </c>
      <c r="C42" t="s">
        <v>1461</v>
      </c>
      <c r="H42" t="s">
        <v>334</v>
      </c>
      <c r="N42" t="s">
        <v>1461</v>
      </c>
      <c r="S42" t="s">
        <v>176</v>
      </c>
      <c r="T42" t="s">
        <v>338</v>
      </c>
      <c r="U42" t="s">
        <v>335</v>
      </c>
      <c r="W42" t="b">
        <v>0</v>
      </c>
    </row>
    <row r="43" spans="1:23" x14ac:dyDescent="0.25">
      <c r="A43" s="2">
        <v>44894.730891203704</v>
      </c>
      <c r="B43" t="s">
        <v>339</v>
      </c>
      <c r="C43" t="s">
        <v>1461</v>
      </c>
      <c r="N43" t="s">
        <v>1461</v>
      </c>
      <c r="S43" t="s">
        <v>344</v>
      </c>
      <c r="T43" t="s">
        <v>338</v>
      </c>
      <c r="U43" t="s">
        <v>341</v>
      </c>
      <c r="W43" t="b">
        <v>0</v>
      </c>
    </row>
    <row r="44" spans="1:23" x14ac:dyDescent="0.25">
      <c r="A44" s="2">
        <v>44901.465243055558</v>
      </c>
      <c r="B44" t="s">
        <v>345</v>
      </c>
      <c r="C44" t="s">
        <v>1461</v>
      </c>
      <c r="H44" t="s">
        <v>346</v>
      </c>
      <c r="N44" t="s">
        <v>1461</v>
      </c>
      <c r="S44" t="s">
        <v>176</v>
      </c>
      <c r="T44" t="s">
        <v>338</v>
      </c>
      <c r="U44" t="s">
        <v>347</v>
      </c>
      <c r="W44" t="b">
        <v>0</v>
      </c>
    </row>
    <row r="45" spans="1:23" x14ac:dyDescent="0.25">
      <c r="A45" s="2">
        <v>44911.526458333334</v>
      </c>
      <c r="B45" t="s">
        <v>350</v>
      </c>
      <c r="C45" t="s">
        <v>1461</v>
      </c>
      <c r="H45" t="s">
        <v>351</v>
      </c>
      <c r="N45" t="s">
        <v>1461</v>
      </c>
      <c r="S45" t="s">
        <v>176</v>
      </c>
      <c r="T45" t="s">
        <v>338</v>
      </c>
      <c r="U45" t="s">
        <v>352</v>
      </c>
      <c r="W45" t="b">
        <v>0</v>
      </c>
    </row>
    <row r="46" spans="1:23" x14ac:dyDescent="0.25">
      <c r="A46" s="2">
        <v>44921.587060185186</v>
      </c>
      <c r="B46" t="s">
        <v>355</v>
      </c>
      <c r="C46" t="s">
        <v>1461</v>
      </c>
      <c r="H46" t="s">
        <v>356</v>
      </c>
      <c r="N46" t="s">
        <v>1461</v>
      </c>
      <c r="S46" t="s">
        <v>176</v>
      </c>
      <c r="T46" t="s">
        <v>338</v>
      </c>
      <c r="U46" t="s">
        <v>357</v>
      </c>
      <c r="W46" t="b">
        <v>0</v>
      </c>
    </row>
    <row r="47" spans="1:23" x14ac:dyDescent="0.25">
      <c r="A47" s="2">
        <v>44951.466874999998</v>
      </c>
      <c r="B47" t="s">
        <v>360</v>
      </c>
      <c r="C47" t="s">
        <v>1461</v>
      </c>
      <c r="H47" t="s">
        <v>362</v>
      </c>
      <c r="K47" t="s">
        <v>363</v>
      </c>
      <c r="N47" t="s">
        <v>1461</v>
      </c>
      <c r="S47" t="s">
        <v>367</v>
      </c>
      <c r="T47" t="s">
        <v>338</v>
      </c>
      <c r="U47" t="s">
        <v>364</v>
      </c>
      <c r="W47" t="b">
        <v>0</v>
      </c>
    </row>
    <row r="48" spans="1:23" x14ac:dyDescent="0.25">
      <c r="A48" s="2">
        <v>44956.479930555557</v>
      </c>
      <c r="B48" t="s">
        <v>368</v>
      </c>
      <c r="C48" t="s">
        <v>1461</v>
      </c>
      <c r="N48" t="s">
        <v>1461</v>
      </c>
      <c r="S48" t="s">
        <v>187</v>
      </c>
      <c r="T48" t="s">
        <v>373</v>
      </c>
      <c r="U48" t="s">
        <v>370</v>
      </c>
      <c r="W48" t="b">
        <v>0</v>
      </c>
    </row>
    <row r="49" spans="1:23" x14ac:dyDescent="0.25">
      <c r="A49" s="2">
        <v>44960.504664351851</v>
      </c>
      <c r="B49" t="s">
        <v>374</v>
      </c>
      <c r="C49" t="s">
        <v>1461</v>
      </c>
      <c r="H49" t="s">
        <v>376</v>
      </c>
      <c r="N49" t="s">
        <v>1461</v>
      </c>
      <c r="S49" t="s">
        <v>380</v>
      </c>
      <c r="T49" t="s">
        <v>338</v>
      </c>
      <c r="U49" t="s">
        <v>377</v>
      </c>
      <c r="W49" t="b">
        <v>0</v>
      </c>
    </row>
    <row r="50" spans="1:23" x14ac:dyDescent="0.25">
      <c r="A50" s="2">
        <v>44968.101493055554</v>
      </c>
      <c r="B50" t="s">
        <v>381</v>
      </c>
      <c r="C50" t="s">
        <v>1461</v>
      </c>
      <c r="N50" t="s">
        <v>1461</v>
      </c>
      <c r="S50" t="s">
        <v>187</v>
      </c>
      <c r="T50" t="s">
        <v>386</v>
      </c>
      <c r="U50" t="s">
        <v>383</v>
      </c>
      <c r="W50" t="b">
        <v>0</v>
      </c>
    </row>
    <row r="51" spans="1:23" x14ac:dyDescent="0.25">
      <c r="A51" s="2">
        <v>44972.479733796295</v>
      </c>
      <c r="B51" t="s">
        <v>387</v>
      </c>
      <c r="C51" t="s">
        <v>1461</v>
      </c>
      <c r="H51" t="s">
        <v>389</v>
      </c>
      <c r="N51" t="s">
        <v>1461</v>
      </c>
      <c r="S51" t="s">
        <v>393</v>
      </c>
      <c r="T51" t="s">
        <v>338</v>
      </c>
      <c r="U51" t="s">
        <v>390</v>
      </c>
      <c r="W51" t="b">
        <v>0</v>
      </c>
    </row>
    <row r="52" spans="1:23" x14ac:dyDescent="0.25">
      <c r="A52" s="2">
        <v>44984.595231481479</v>
      </c>
      <c r="B52" t="s">
        <v>394</v>
      </c>
      <c r="C52" t="s">
        <v>1461</v>
      </c>
      <c r="K52" t="s">
        <v>395</v>
      </c>
      <c r="N52" t="s">
        <v>1461</v>
      </c>
      <c r="S52" t="s">
        <v>187</v>
      </c>
      <c r="T52" t="s">
        <v>188</v>
      </c>
      <c r="U52" t="s">
        <v>396</v>
      </c>
      <c r="W52" t="b">
        <v>0</v>
      </c>
    </row>
    <row r="53" spans="1:23" x14ac:dyDescent="0.25">
      <c r="A53" s="2">
        <v>45012.519930555558</v>
      </c>
      <c r="B53" t="s">
        <v>399</v>
      </c>
      <c r="C53" t="s">
        <v>1461</v>
      </c>
      <c r="H53" t="s">
        <v>400</v>
      </c>
      <c r="K53" t="s">
        <v>401</v>
      </c>
      <c r="N53" t="s">
        <v>1461</v>
      </c>
      <c r="S53" t="s">
        <v>176</v>
      </c>
      <c r="T53" t="s">
        <v>338</v>
      </c>
      <c r="U53" t="s">
        <v>402</v>
      </c>
      <c r="W53" t="b">
        <v>0</v>
      </c>
    </row>
    <row r="54" spans="1:23" x14ac:dyDescent="0.25">
      <c r="A54" s="2">
        <v>45041.109363425923</v>
      </c>
      <c r="B54" t="s">
        <v>405</v>
      </c>
      <c r="C54" t="s">
        <v>1461</v>
      </c>
      <c r="N54" t="s">
        <v>1461</v>
      </c>
      <c r="S54" t="s">
        <v>176</v>
      </c>
      <c r="T54" t="s">
        <v>338</v>
      </c>
      <c r="U54" t="s">
        <v>406</v>
      </c>
      <c r="W54" t="b">
        <v>0</v>
      </c>
    </row>
    <row r="55" spans="1:23" x14ac:dyDescent="0.25">
      <c r="A55" s="2">
        <v>45083.873796296299</v>
      </c>
      <c r="B55" t="s">
        <v>409</v>
      </c>
      <c r="C55" t="s">
        <v>1498</v>
      </c>
      <c r="K55" t="s">
        <v>410</v>
      </c>
      <c r="N55" t="s">
        <v>1461</v>
      </c>
      <c r="S55" t="s">
        <v>187</v>
      </c>
      <c r="T55" t="s">
        <v>188</v>
      </c>
      <c r="U55" t="s">
        <v>411</v>
      </c>
      <c r="W55" t="b">
        <v>0</v>
      </c>
    </row>
    <row r="56" spans="1:23" x14ac:dyDescent="0.25">
      <c r="A56" s="2">
        <v>45106.662037037036</v>
      </c>
      <c r="B56" t="s">
        <v>414</v>
      </c>
      <c r="C56" t="s">
        <v>1461</v>
      </c>
      <c r="H56" t="s">
        <v>415</v>
      </c>
      <c r="K56" t="s">
        <v>417</v>
      </c>
      <c r="N56" t="s">
        <v>1461</v>
      </c>
      <c r="S56" t="s">
        <v>176</v>
      </c>
      <c r="T56" t="s">
        <v>338</v>
      </c>
      <c r="U56" t="s">
        <v>418</v>
      </c>
      <c r="W56" t="b">
        <v>0</v>
      </c>
    </row>
    <row r="57" spans="1:23" x14ac:dyDescent="0.25">
      <c r="A57" s="2">
        <v>45154.615740740737</v>
      </c>
      <c r="B57" t="s">
        <v>422</v>
      </c>
      <c r="C57" t="s">
        <v>1461</v>
      </c>
      <c r="H57" t="s">
        <v>424</v>
      </c>
      <c r="N57" t="s">
        <v>1461</v>
      </c>
      <c r="S57" t="s">
        <v>428</v>
      </c>
      <c r="T57" t="s">
        <v>338</v>
      </c>
      <c r="U57" t="s">
        <v>425</v>
      </c>
      <c r="W57" t="b">
        <v>0</v>
      </c>
    </row>
    <row r="58" spans="1:23" x14ac:dyDescent="0.25">
      <c r="A58" s="2">
        <v>45154.946192129632</v>
      </c>
      <c r="B58" t="s">
        <v>429</v>
      </c>
      <c r="C58" t="s">
        <v>1499</v>
      </c>
      <c r="F58" t="s">
        <v>54</v>
      </c>
      <c r="K58" t="s">
        <v>430</v>
      </c>
      <c r="N58" t="s">
        <v>1461</v>
      </c>
      <c r="S58" t="s">
        <v>187</v>
      </c>
      <c r="T58" t="s">
        <v>68</v>
      </c>
      <c r="U58" t="s">
        <v>431</v>
      </c>
      <c r="W58" t="b">
        <v>0</v>
      </c>
    </row>
    <row r="59" spans="1:23" x14ac:dyDescent="0.25">
      <c r="A59" s="2">
        <v>45155.537268518521</v>
      </c>
      <c r="B59" t="s">
        <v>434</v>
      </c>
      <c r="C59" t="s">
        <v>1461</v>
      </c>
      <c r="H59" t="s">
        <v>436</v>
      </c>
      <c r="N59" t="s">
        <v>1461</v>
      </c>
      <c r="S59" t="s">
        <v>440</v>
      </c>
      <c r="T59" t="s">
        <v>338</v>
      </c>
      <c r="U59" t="s">
        <v>437</v>
      </c>
      <c r="W59" t="b">
        <v>0</v>
      </c>
    </row>
    <row r="60" spans="1:23" x14ac:dyDescent="0.25">
      <c r="A60" s="2">
        <v>45181.559942129628</v>
      </c>
      <c r="B60" t="s">
        <v>441</v>
      </c>
      <c r="C60" t="s">
        <v>1461</v>
      </c>
      <c r="H60" t="s">
        <v>442</v>
      </c>
      <c r="N60" t="s">
        <v>1461</v>
      </c>
      <c r="S60" t="s">
        <v>176</v>
      </c>
      <c r="T60" t="s">
        <v>338</v>
      </c>
      <c r="U60" t="s">
        <v>443</v>
      </c>
      <c r="W60" t="b">
        <v>0</v>
      </c>
    </row>
    <row r="61" spans="1:23" x14ac:dyDescent="0.25">
      <c r="A61" s="2">
        <v>45184.569560185184</v>
      </c>
      <c r="B61" t="s">
        <v>446</v>
      </c>
      <c r="C61" t="s">
        <v>447</v>
      </c>
      <c r="F61" t="s">
        <v>54</v>
      </c>
      <c r="N61" t="s">
        <v>1461</v>
      </c>
      <c r="S61" t="s">
        <v>187</v>
      </c>
      <c r="T61" t="s">
        <v>61</v>
      </c>
      <c r="U61" t="s">
        <v>448</v>
      </c>
      <c r="W61" t="b">
        <v>0</v>
      </c>
    </row>
    <row r="62" spans="1:23" x14ac:dyDescent="0.25">
      <c r="A62" s="2">
        <v>45204.772430555553</v>
      </c>
      <c r="B62" t="s">
        <v>451</v>
      </c>
      <c r="C62" t="s">
        <v>1461</v>
      </c>
      <c r="H62" t="s">
        <v>453</v>
      </c>
      <c r="M62" t="s">
        <v>454</v>
      </c>
      <c r="N62" t="s">
        <v>1642</v>
      </c>
      <c r="S62" t="s">
        <v>187</v>
      </c>
      <c r="T62" t="s">
        <v>458</v>
      </c>
      <c r="U62" t="s">
        <v>455</v>
      </c>
      <c r="W62" t="b">
        <v>0</v>
      </c>
    </row>
    <row r="63" spans="1:23" x14ac:dyDescent="0.25">
      <c r="A63" s="2">
        <v>45257.621805555558</v>
      </c>
      <c r="B63" t="s">
        <v>459</v>
      </c>
      <c r="C63" t="s">
        <v>460</v>
      </c>
      <c r="F63" t="s">
        <v>54</v>
      </c>
      <c r="K63" t="s">
        <v>461</v>
      </c>
      <c r="N63" t="s">
        <v>1461</v>
      </c>
      <c r="S63" t="s">
        <v>380</v>
      </c>
      <c r="T63" t="s">
        <v>61</v>
      </c>
      <c r="U63" t="s">
        <v>462</v>
      </c>
      <c r="W63" t="b">
        <v>0</v>
      </c>
    </row>
    <row r="64" spans="1:23" x14ac:dyDescent="0.25">
      <c r="A64" s="2">
        <v>45263.863946759258</v>
      </c>
      <c r="B64" t="s">
        <v>465</v>
      </c>
      <c r="C64" t="s">
        <v>1461</v>
      </c>
      <c r="H64" t="s">
        <v>466</v>
      </c>
      <c r="K64" t="s">
        <v>468</v>
      </c>
      <c r="N64" t="s">
        <v>1461</v>
      </c>
      <c r="S64" t="s">
        <v>176</v>
      </c>
      <c r="T64" t="s">
        <v>338</v>
      </c>
      <c r="U64" t="s">
        <v>469</v>
      </c>
      <c r="W64" t="b">
        <v>0</v>
      </c>
    </row>
    <row r="65" spans="1:23" x14ac:dyDescent="0.25">
      <c r="A65" s="2">
        <v>45279.618032407408</v>
      </c>
      <c r="B65" t="s">
        <v>472</v>
      </c>
      <c r="C65" t="s">
        <v>473</v>
      </c>
      <c r="H65" t="s">
        <v>474</v>
      </c>
      <c r="N65" t="s">
        <v>1461</v>
      </c>
      <c r="S65" t="s">
        <v>380</v>
      </c>
      <c r="T65" t="s">
        <v>338</v>
      </c>
      <c r="U65" t="s">
        <v>475</v>
      </c>
      <c r="W65" t="b">
        <v>0</v>
      </c>
    </row>
    <row r="66" spans="1:23" x14ac:dyDescent="0.25">
      <c r="A66" s="2">
        <v>45280.542164351849</v>
      </c>
      <c r="B66" t="s">
        <v>479</v>
      </c>
      <c r="C66" t="s">
        <v>1500</v>
      </c>
      <c r="H66" t="s">
        <v>480</v>
      </c>
      <c r="N66" t="s">
        <v>1461</v>
      </c>
      <c r="S66" t="s">
        <v>187</v>
      </c>
      <c r="T66" t="s">
        <v>458</v>
      </c>
      <c r="U66" t="s">
        <v>481</v>
      </c>
      <c r="W66" t="b">
        <v>0</v>
      </c>
    </row>
    <row r="67" spans="1:23" x14ac:dyDescent="0.25">
      <c r="A67" s="2">
        <v>45336.778923611113</v>
      </c>
      <c r="B67" t="s">
        <v>484</v>
      </c>
      <c r="C67" t="s">
        <v>1501</v>
      </c>
      <c r="N67" t="s">
        <v>1461</v>
      </c>
      <c r="S67" t="s">
        <v>367</v>
      </c>
      <c r="T67" t="s">
        <v>338</v>
      </c>
      <c r="U67" t="s">
        <v>485</v>
      </c>
      <c r="W67" t="b">
        <v>0</v>
      </c>
    </row>
    <row r="68" spans="1:23" x14ac:dyDescent="0.25">
      <c r="A68" s="2">
        <v>45349.885011574072</v>
      </c>
      <c r="B68" t="s">
        <v>488</v>
      </c>
      <c r="C68" t="s">
        <v>1502</v>
      </c>
      <c r="F68" t="s">
        <v>54</v>
      </c>
      <c r="N68" t="s">
        <v>1461</v>
      </c>
      <c r="S68" t="s">
        <v>187</v>
      </c>
      <c r="T68" t="s">
        <v>68</v>
      </c>
      <c r="U68" t="s">
        <v>489</v>
      </c>
      <c r="W68" t="b">
        <v>0</v>
      </c>
    </row>
    <row r="69" spans="1:23" x14ac:dyDescent="0.25">
      <c r="A69" s="2">
        <v>45370.578726851854</v>
      </c>
      <c r="B69" t="s">
        <v>492</v>
      </c>
      <c r="C69" t="s">
        <v>1503</v>
      </c>
      <c r="N69" t="s">
        <v>1461</v>
      </c>
      <c r="S69" t="s">
        <v>176</v>
      </c>
      <c r="T69" t="s">
        <v>338</v>
      </c>
      <c r="U69" t="s">
        <v>493</v>
      </c>
      <c r="W69" t="b">
        <v>0</v>
      </c>
    </row>
    <row r="70" spans="1:23" x14ac:dyDescent="0.25">
      <c r="A70" s="2">
        <v>45377.709687499999</v>
      </c>
      <c r="B70" t="s">
        <v>496</v>
      </c>
      <c r="C70" t="s">
        <v>1461</v>
      </c>
      <c r="F70" t="s">
        <v>54</v>
      </c>
      <c r="N70" t="s">
        <v>1461</v>
      </c>
      <c r="S70" t="s">
        <v>344</v>
      </c>
      <c r="T70" t="s">
        <v>61</v>
      </c>
      <c r="U70" t="s">
        <v>497</v>
      </c>
      <c r="W70" t="b">
        <v>0</v>
      </c>
    </row>
    <row r="71" spans="1:23" x14ac:dyDescent="0.25">
      <c r="A71" s="2">
        <v>45390.65185185185</v>
      </c>
      <c r="B71" t="s">
        <v>500</v>
      </c>
      <c r="C71" t="s">
        <v>1504</v>
      </c>
      <c r="F71" t="s">
        <v>54</v>
      </c>
      <c r="K71" t="s">
        <v>503</v>
      </c>
      <c r="N71" t="s">
        <v>1461</v>
      </c>
      <c r="S71" t="s">
        <v>507</v>
      </c>
      <c r="T71" t="s">
        <v>61</v>
      </c>
      <c r="U71" t="s">
        <v>504</v>
      </c>
      <c r="W71" t="b">
        <v>0</v>
      </c>
    </row>
    <row r="72" spans="1:23" x14ac:dyDescent="0.25">
      <c r="A72" s="2">
        <v>45449.547951388886</v>
      </c>
      <c r="B72" t="s">
        <v>508</v>
      </c>
      <c r="C72" t="s">
        <v>509</v>
      </c>
      <c r="F72" t="s">
        <v>54</v>
      </c>
      <c r="K72" t="s">
        <v>511</v>
      </c>
      <c r="N72" t="s">
        <v>1461</v>
      </c>
      <c r="S72" t="s">
        <v>515</v>
      </c>
      <c r="T72" t="s">
        <v>61</v>
      </c>
      <c r="U72" t="s">
        <v>512</v>
      </c>
      <c r="W72" t="b">
        <v>0</v>
      </c>
    </row>
    <row r="73" spans="1:23" x14ac:dyDescent="0.25">
      <c r="A73" s="2">
        <v>45468.680983796294</v>
      </c>
      <c r="B73" t="s">
        <v>516</v>
      </c>
      <c r="C73" t="s">
        <v>517</v>
      </c>
      <c r="F73" t="s">
        <v>54</v>
      </c>
      <c r="K73" t="s">
        <v>519</v>
      </c>
      <c r="N73" t="s">
        <v>1461</v>
      </c>
      <c r="S73" t="s">
        <v>523</v>
      </c>
      <c r="T73" t="s">
        <v>61</v>
      </c>
      <c r="U73" t="s">
        <v>520</v>
      </c>
      <c r="W73" t="b">
        <v>0</v>
      </c>
    </row>
    <row r="74" spans="1:23" x14ac:dyDescent="0.25">
      <c r="A74" s="2">
        <v>45534.624571759261</v>
      </c>
      <c r="B74" t="s">
        <v>524</v>
      </c>
      <c r="C74" t="s">
        <v>525</v>
      </c>
      <c r="F74" t="s">
        <v>54</v>
      </c>
      <c r="N74" t="s">
        <v>1461</v>
      </c>
      <c r="S74" t="s">
        <v>187</v>
      </c>
      <c r="T74" t="s">
        <v>61</v>
      </c>
      <c r="U74" t="s">
        <v>526</v>
      </c>
      <c r="W74" t="b">
        <v>0</v>
      </c>
    </row>
    <row r="75" spans="1:23" x14ac:dyDescent="0.25">
      <c r="A75" s="2">
        <v>45551.900092592594</v>
      </c>
      <c r="B75" t="s">
        <v>529</v>
      </c>
      <c r="C75" t="s">
        <v>1505</v>
      </c>
      <c r="F75" t="s">
        <v>54</v>
      </c>
      <c r="K75" t="s">
        <v>531</v>
      </c>
      <c r="N75" t="s">
        <v>1461</v>
      </c>
      <c r="S75" t="s">
        <v>187</v>
      </c>
      <c r="T75" t="s">
        <v>61</v>
      </c>
      <c r="U75" t="s">
        <v>532</v>
      </c>
      <c r="W75" t="b">
        <v>0</v>
      </c>
    </row>
    <row r="76" spans="1:23" x14ac:dyDescent="0.25">
      <c r="A76" s="2">
        <v>45605.008738425924</v>
      </c>
      <c r="B76" t="s">
        <v>535</v>
      </c>
      <c r="C76" t="s">
        <v>1506</v>
      </c>
      <c r="F76" t="s">
        <v>54</v>
      </c>
      <c r="K76" t="s">
        <v>536</v>
      </c>
      <c r="N76" t="s">
        <v>1461</v>
      </c>
      <c r="S76" t="s">
        <v>187</v>
      </c>
      <c r="T76" t="s">
        <v>68</v>
      </c>
      <c r="U76" t="s">
        <v>537</v>
      </c>
      <c r="W76" t="b">
        <v>1</v>
      </c>
    </row>
    <row r="77" spans="1:23" x14ac:dyDescent="0.25">
      <c r="A77" s="2">
        <v>45645.011331018519</v>
      </c>
      <c r="B77" t="s">
        <v>540</v>
      </c>
      <c r="C77" t="s">
        <v>1507</v>
      </c>
      <c r="F77" t="s">
        <v>54</v>
      </c>
      <c r="N77" t="s">
        <v>1461</v>
      </c>
      <c r="S77" t="s">
        <v>187</v>
      </c>
      <c r="T77" t="s">
        <v>68</v>
      </c>
      <c r="U77" t="s">
        <v>541</v>
      </c>
      <c r="W77" t="b">
        <v>0</v>
      </c>
    </row>
    <row r="78" spans="1:23" x14ac:dyDescent="0.25">
      <c r="A78" s="2">
        <v>45686.671759259261</v>
      </c>
      <c r="B78" t="s">
        <v>544</v>
      </c>
      <c r="C78" t="s">
        <v>545</v>
      </c>
      <c r="F78" t="s">
        <v>84</v>
      </c>
      <c r="N78" t="s">
        <v>1461</v>
      </c>
      <c r="S78" t="s">
        <v>187</v>
      </c>
      <c r="T78" t="s">
        <v>61</v>
      </c>
      <c r="U78" t="s">
        <v>546</v>
      </c>
      <c r="W78" t="b">
        <v>0</v>
      </c>
    </row>
    <row r="79" spans="1:23" x14ac:dyDescent="0.25">
      <c r="A79" s="2">
        <v>45687.446481481478</v>
      </c>
      <c r="B79" t="s">
        <v>550</v>
      </c>
      <c r="C79" t="s">
        <v>551</v>
      </c>
      <c r="F79" t="s">
        <v>54</v>
      </c>
      <c r="K79" t="s">
        <v>552</v>
      </c>
      <c r="N79" t="s">
        <v>1461</v>
      </c>
      <c r="S79" t="s">
        <v>380</v>
      </c>
      <c r="T79" t="s">
        <v>61</v>
      </c>
      <c r="U79" t="s">
        <v>553</v>
      </c>
      <c r="W79" t="b">
        <v>0</v>
      </c>
    </row>
    <row r="80" spans="1:23" x14ac:dyDescent="0.25">
      <c r="A80" s="2">
        <v>45702.771666666667</v>
      </c>
      <c r="B80" t="s">
        <v>556</v>
      </c>
      <c r="C80" t="s">
        <v>1508</v>
      </c>
      <c r="F80" t="s">
        <v>54</v>
      </c>
      <c r="K80" t="s">
        <v>557</v>
      </c>
      <c r="N80" t="s">
        <v>1461</v>
      </c>
      <c r="S80" t="s">
        <v>187</v>
      </c>
      <c r="T80" t="s">
        <v>231</v>
      </c>
      <c r="U80" t="s">
        <v>558</v>
      </c>
      <c r="W80" t="b">
        <v>1</v>
      </c>
    </row>
    <row r="81" spans="1:23" x14ac:dyDescent="0.25">
      <c r="A81" s="2">
        <v>45705.49287037037</v>
      </c>
      <c r="B81" t="s">
        <v>561</v>
      </c>
      <c r="C81" t="s">
        <v>1509</v>
      </c>
      <c r="F81" t="s">
        <v>54</v>
      </c>
      <c r="N81" t="s">
        <v>1461</v>
      </c>
      <c r="S81" t="s">
        <v>187</v>
      </c>
      <c r="T81" t="s">
        <v>68</v>
      </c>
      <c r="U81" t="s">
        <v>562</v>
      </c>
      <c r="W81" t="b">
        <v>0</v>
      </c>
    </row>
    <row r="82" spans="1:23" x14ac:dyDescent="0.25">
      <c r="A82" s="2">
        <v>45708.650231481479</v>
      </c>
      <c r="B82" t="s">
        <v>565</v>
      </c>
      <c r="C82" t="s">
        <v>1461</v>
      </c>
      <c r="N82" t="s">
        <v>1461</v>
      </c>
      <c r="S82" t="s">
        <v>380</v>
      </c>
      <c r="T82" t="s">
        <v>338</v>
      </c>
      <c r="U82" t="s">
        <v>566</v>
      </c>
      <c r="W82" t="b">
        <v>0</v>
      </c>
    </row>
    <row r="83" spans="1:23" x14ac:dyDescent="0.25">
      <c r="A83" s="2">
        <v>45708.650231481479</v>
      </c>
      <c r="B83" t="s">
        <v>569</v>
      </c>
      <c r="C83" t="s">
        <v>1461</v>
      </c>
      <c r="N83" t="s">
        <v>1461</v>
      </c>
      <c r="S83" t="s">
        <v>380</v>
      </c>
      <c r="T83" t="s">
        <v>338</v>
      </c>
      <c r="U83" t="s">
        <v>570</v>
      </c>
      <c r="W83" t="b">
        <v>0</v>
      </c>
    </row>
    <row r="84" spans="1:23" x14ac:dyDescent="0.25">
      <c r="A84" s="2">
        <v>45708.986597222225</v>
      </c>
      <c r="B84" t="s">
        <v>573</v>
      </c>
      <c r="C84" t="s">
        <v>1461</v>
      </c>
      <c r="N84" t="s">
        <v>1461</v>
      </c>
      <c r="S84" t="s">
        <v>176</v>
      </c>
      <c r="T84" t="s">
        <v>338</v>
      </c>
      <c r="U84" t="s">
        <v>574</v>
      </c>
      <c r="W84" t="b">
        <v>0</v>
      </c>
    </row>
    <row r="85" spans="1:23" x14ac:dyDescent="0.25">
      <c r="A85" s="2">
        <v>45708.986597222225</v>
      </c>
      <c r="B85" t="s">
        <v>577</v>
      </c>
      <c r="C85" t="s">
        <v>1461</v>
      </c>
      <c r="N85" t="s">
        <v>1461</v>
      </c>
      <c r="S85" t="s">
        <v>176</v>
      </c>
      <c r="T85" t="s">
        <v>338</v>
      </c>
      <c r="U85" t="s">
        <v>578</v>
      </c>
      <c r="W85" t="b">
        <v>0</v>
      </c>
    </row>
    <row r="86" spans="1:23" x14ac:dyDescent="0.25">
      <c r="A86" s="2">
        <v>45708.986597222225</v>
      </c>
      <c r="B86" t="s">
        <v>581</v>
      </c>
      <c r="C86" t="s">
        <v>1461</v>
      </c>
      <c r="N86" t="s">
        <v>1461</v>
      </c>
      <c r="S86" t="s">
        <v>176</v>
      </c>
      <c r="T86" t="s">
        <v>338</v>
      </c>
      <c r="U86" t="s">
        <v>582</v>
      </c>
      <c r="W86" t="b">
        <v>0</v>
      </c>
    </row>
    <row r="87" spans="1:23" x14ac:dyDescent="0.25">
      <c r="A87" s="2">
        <v>45708.986597222225</v>
      </c>
      <c r="B87" t="s">
        <v>585</v>
      </c>
      <c r="C87" t="s">
        <v>1461</v>
      </c>
      <c r="N87" t="s">
        <v>1461</v>
      </c>
      <c r="S87" t="s">
        <v>176</v>
      </c>
      <c r="T87" t="s">
        <v>338</v>
      </c>
      <c r="U87" t="s">
        <v>586</v>
      </c>
      <c r="W87" t="b">
        <v>0</v>
      </c>
    </row>
    <row r="88" spans="1:23" x14ac:dyDescent="0.25">
      <c r="A88" s="2">
        <v>45708.986597222225</v>
      </c>
      <c r="B88" t="s">
        <v>589</v>
      </c>
      <c r="C88" t="s">
        <v>1461</v>
      </c>
      <c r="N88" t="s">
        <v>1461</v>
      </c>
      <c r="S88" t="s">
        <v>176</v>
      </c>
      <c r="T88" t="s">
        <v>338</v>
      </c>
      <c r="U88" t="s">
        <v>590</v>
      </c>
      <c r="W88" t="b">
        <v>0</v>
      </c>
    </row>
    <row r="89" spans="1:23" x14ac:dyDescent="0.25">
      <c r="A89" s="2">
        <v>45708.986597222225</v>
      </c>
      <c r="B89" t="s">
        <v>593</v>
      </c>
      <c r="C89" t="s">
        <v>1461</v>
      </c>
      <c r="N89" t="s">
        <v>1461</v>
      </c>
      <c r="S89" t="s">
        <v>176</v>
      </c>
      <c r="T89" t="s">
        <v>338</v>
      </c>
      <c r="U89" t="s">
        <v>594</v>
      </c>
      <c r="W89" t="b">
        <v>0</v>
      </c>
    </row>
    <row r="90" spans="1:23" x14ac:dyDescent="0.25">
      <c r="A90" s="2">
        <v>45708.986597222225</v>
      </c>
      <c r="B90" t="s">
        <v>597</v>
      </c>
      <c r="C90" t="s">
        <v>1461</v>
      </c>
      <c r="N90" t="s">
        <v>1461</v>
      </c>
      <c r="S90" t="s">
        <v>176</v>
      </c>
      <c r="T90" t="s">
        <v>338</v>
      </c>
      <c r="U90" t="s">
        <v>598</v>
      </c>
      <c r="W90" t="b">
        <v>0</v>
      </c>
    </row>
    <row r="91" spans="1:23" x14ac:dyDescent="0.25">
      <c r="A91" s="2">
        <v>45708.986597222225</v>
      </c>
      <c r="B91" t="s">
        <v>601</v>
      </c>
      <c r="C91" t="s">
        <v>1461</v>
      </c>
      <c r="N91" t="s">
        <v>1461</v>
      </c>
      <c r="S91" t="s">
        <v>176</v>
      </c>
      <c r="T91" t="s">
        <v>338</v>
      </c>
      <c r="U91" t="s">
        <v>602</v>
      </c>
      <c r="W91" t="b">
        <v>0</v>
      </c>
    </row>
    <row r="92" spans="1:23" x14ac:dyDescent="0.25">
      <c r="A92" s="2">
        <v>45708.986597222225</v>
      </c>
      <c r="B92" t="s">
        <v>605</v>
      </c>
      <c r="C92" t="s">
        <v>1461</v>
      </c>
      <c r="N92" t="s">
        <v>1461</v>
      </c>
      <c r="S92" t="s">
        <v>176</v>
      </c>
      <c r="T92" t="s">
        <v>338</v>
      </c>
      <c r="U92" t="s">
        <v>606</v>
      </c>
      <c r="W92" t="b">
        <v>0</v>
      </c>
    </row>
    <row r="93" spans="1:23" x14ac:dyDescent="0.25">
      <c r="A93" s="2">
        <v>45708.986597222225</v>
      </c>
      <c r="B93" t="s">
        <v>609</v>
      </c>
      <c r="C93" t="s">
        <v>1461</v>
      </c>
      <c r="N93" t="s">
        <v>1461</v>
      </c>
      <c r="S93" t="s">
        <v>614</v>
      </c>
      <c r="T93" t="s">
        <v>338</v>
      </c>
      <c r="U93" t="s">
        <v>611</v>
      </c>
      <c r="W93" t="b">
        <v>0</v>
      </c>
    </row>
    <row r="94" spans="1:23" x14ac:dyDescent="0.25">
      <c r="A94" s="2">
        <v>45712.462337962963</v>
      </c>
      <c r="B94" t="s">
        <v>615</v>
      </c>
      <c r="C94" t="s">
        <v>1461</v>
      </c>
      <c r="N94" t="s">
        <v>1461</v>
      </c>
      <c r="S94" t="s">
        <v>176</v>
      </c>
      <c r="T94" t="s">
        <v>338</v>
      </c>
      <c r="U94" t="s">
        <v>616</v>
      </c>
      <c r="W94" t="b">
        <v>0</v>
      </c>
    </row>
    <row r="95" spans="1:23" x14ac:dyDescent="0.25">
      <c r="A95" s="2">
        <v>45712.462337962963</v>
      </c>
      <c r="B95" t="s">
        <v>619</v>
      </c>
      <c r="C95" t="s">
        <v>1461</v>
      </c>
      <c r="N95" t="s">
        <v>1461</v>
      </c>
      <c r="S95" t="s">
        <v>176</v>
      </c>
      <c r="T95" t="s">
        <v>338</v>
      </c>
      <c r="U95" t="s">
        <v>620</v>
      </c>
      <c r="W95" t="b">
        <v>0</v>
      </c>
    </row>
    <row r="96" spans="1:23" x14ac:dyDescent="0.25">
      <c r="A96" s="2">
        <v>45712.468923611108</v>
      </c>
      <c r="B96" t="s">
        <v>623</v>
      </c>
      <c r="C96" t="s">
        <v>1461</v>
      </c>
      <c r="N96" t="s">
        <v>1461</v>
      </c>
      <c r="S96" t="s">
        <v>176</v>
      </c>
      <c r="T96" t="s">
        <v>338</v>
      </c>
      <c r="U96" t="s">
        <v>624</v>
      </c>
      <c r="W96" t="b">
        <v>0</v>
      </c>
    </row>
    <row r="97" spans="1:23" x14ac:dyDescent="0.25">
      <c r="A97" s="2">
        <v>45712.468923611108</v>
      </c>
      <c r="B97" t="s">
        <v>627</v>
      </c>
      <c r="C97" t="s">
        <v>1461</v>
      </c>
      <c r="N97" t="s">
        <v>1461</v>
      </c>
      <c r="S97" t="s">
        <v>176</v>
      </c>
      <c r="T97" t="s">
        <v>338</v>
      </c>
      <c r="U97" t="s">
        <v>628</v>
      </c>
      <c r="W97" t="b">
        <v>0</v>
      </c>
    </row>
    <row r="98" spans="1:23" x14ac:dyDescent="0.25">
      <c r="A98" s="2">
        <v>45712.468923611108</v>
      </c>
      <c r="B98" t="s">
        <v>631</v>
      </c>
      <c r="C98" t="s">
        <v>1461</v>
      </c>
      <c r="N98" t="s">
        <v>1461</v>
      </c>
      <c r="S98" t="s">
        <v>176</v>
      </c>
      <c r="T98" t="s">
        <v>338</v>
      </c>
      <c r="U98" t="s">
        <v>632</v>
      </c>
      <c r="W98" t="b">
        <v>0</v>
      </c>
    </row>
    <row r="99" spans="1:23" x14ac:dyDescent="0.25">
      <c r="A99" s="2">
        <v>45712.671990740739</v>
      </c>
      <c r="B99" t="s">
        <v>635</v>
      </c>
      <c r="C99" t="s">
        <v>1461</v>
      </c>
      <c r="F99" t="s">
        <v>54</v>
      </c>
      <c r="N99" t="s">
        <v>1461</v>
      </c>
      <c r="S99" t="s">
        <v>428</v>
      </c>
      <c r="T99" t="s">
        <v>61</v>
      </c>
      <c r="U99" t="s">
        <v>636</v>
      </c>
      <c r="W99" t="b">
        <v>0</v>
      </c>
    </row>
    <row r="100" spans="1:23" x14ac:dyDescent="0.25">
      <c r="A100" s="2">
        <v>45712.671990740739</v>
      </c>
      <c r="B100" t="s">
        <v>639</v>
      </c>
      <c r="C100" t="s">
        <v>1510</v>
      </c>
      <c r="F100" t="s">
        <v>84</v>
      </c>
      <c r="N100" t="s">
        <v>1461</v>
      </c>
      <c r="S100" t="s">
        <v>428</v>
      </c>
      <c r="T100" t="s">
        <v>61</v>
      </c>
      <c r="U100" t="s">
        <v>640</v>
      </c>
      <c r="W100" t="b">
        <v>0</v>
      </c>
    </row>
    <row r="101" spans="1:23" x14ac:dyDescent="0.25">
      <c r="A101" s="2">
        <v>45712.671990740739</v>
      </c>
      <c r="B101" t="s">
        <v>643</v>
      </c>
      <c r="C101" t="s">
        <v>1511</v>
      </c>
      <c r="F101" t="s">
        <v>54</v>
      </c>
      <c r="N101" t="s">
        <v>1461</v>
      </c>
      <c r="S101" t="s">
        <v>428</v>
      </c>
      <c r="T101" t="s">
        <v>61</v>
      </c>
      <c r="U101" t="s">
        <v>644</v>
      </c>
      <c r="W101" t="b">
        <v>0</v>
      </c>
    </row>
    <row r="102" spans="1:23" x14ac:dyDescent="0.25">
      <c r="A102" s="2">
        <v>45712.671990740739</v>
      </c>
      <c r="B102" t="s">
        <v>647</v>
      </c>
      <c r="C102" t="s">
        <v>648</v>
      </c>
      <c r="F102" t="s">
        <v>84</v>
      </c>
      <c r="N102" t="s">
        <v>1461</v>
      </c>
      <c r="S102" t="s">
        <v>428</v>
      </c>
      <c r="T102" t="s">
        <v>61</v>
      </c>
      <c r="U102" t="s">
        <v>649</v>
      </c>
      <c r="W102" t="b">
        <v>0</v>
      </c>
    </row>
    <row r="103" spans="1:23" x14ac:dyDescent="0.25">
      <c r="A103" s="2">
        <v>45716.456562500003</v>
      </c>
      <c r="B103" t="s">
        <v>652</v>
      </c>
      <c r="C103" t="s">
        <v>1512</v>
      </c>
      <c r="F103" t="s">
        <v>54</v>
      </c>
      <c r="N103" t="s">
        <v>1461</v>
      </c>
      <c r="S103" t="s">
        <v>187</v>
      </c>
      <c r="T103" t="s">
        <v>68</v>
      </c>
      <c r="U103" t="s">
        <v>653</v>
      </c>
      <c r="W103" t="b">
        <v>0</v>
      </c>
    </row>
    <row r="104" spans="1:23" x14ac:dyDescent="0.25">
      <c r="A104" s="2">
        <v>45726.506168981483</v>
      </c>
      <c r="B104" t="s">
        <v>656</v>
      </c>
      <c r="C104" t="s">
        <v>657</v>
      </c>
      <c r="F104" t="s">
        <v>84</v>
      </c>
      <c r="N104" t="s">
        <v>1461</v>
      </c>
      <c r="S104" t="s">
        <v>428</v>
      </c>
      <c r="T104" t="s">
        <v>61</v>
      </c>
      <c r="U104" t="s">
        <v>658</v>
      </c>
      <c r="W104" t="b">
        <v>0</v>
      </c>
    </row>
    <row r="105" spans="1:23" x14ac:dyDescent="0.25">
      <c r="A105" s="2">
        <v>45742.533032407409</v>
      </c>
      <c r="B105" t="s">
        <v>661</v>
      </c>
      <c r="C105" t="s">
        <v>1461</v>
      </c>
      <c r="F105" t="s">
        <v>54</v>
      </c>
      <c r="N105" t="s">
        <v>1461</v>
      </c>
      <c r="S105" t="s">
        <v>666</v>
      </c>
      <c r="T105" t="s">
        <v>61</v>
      </c>
      <c r="U105" t="s">
        <v>663</v>
      </c>
      <c r="W105" t="b">
        <v>0</v>
      </c>
    </row>
    <row r="106" spans="1:23" x14ac:dyDescent="0.25">
      <c r="A106" s="2">
        <v>45743.596851851849</v>
      </c>
      <c r="B106" t="s">
        <v>667</v>
      </c>
      <c r="C106" t="s">
        <v>1461</v>
      </c>
      <c r="N106" t="s">
        <v>1461</v>
      </c>
      <c r="S106" t="s">
        <v>393</v>
      </c>
      <c r="T106" t="s">
        <v>188</v>
      </c>
      <c r="U106" t="s">
        <v>668</v>
      </c>
      <c r="W106" t="b">
        <v>0</v>
      </c>
    </row>
    <row r="107" spans="1:23" x14ac:dyDescent="0.25">
      <c r="A107" s="2">
        <v>45749.512060185189</v>
      </c>
      <c r="B107" t="s">
        <v>671</v>
      </c>
      <c r="C107" t="s">
        <v>1461</v>
      </c>
      <c r="N107" t="s">
        <v>1461</v>
      </c>
      <c r="S107" t="s">
        <v>187</v>
      </c>
      <c r="T107" t="s">
        <v>188</v>
      </c>
      <c r="U107" t="s">
        <v>672</v>
      </c>
      <c r="W107" t="b">
        <v>0</v>
      </c>
    </row>
    <row r="108" spans="1:23" x14ac:dyDescent="0.25">
      <c r="A108" s="2">
        <v>45749.512060185189</v>
      </c>
      <c r="B108" t="s">
        <v>675</v>
      </c>
      <c r="C108" t="s">
        <v>1461</v>
      </c>
      <c r="F108" t="s">
        <v>54</v>
      </c>
      <c r="N108" t="s">
        <v>1461</v>
      </c>
      <c r="S108" t="s">
        <v>187</v>
      </c>
      <c r="T108" t="s">
        <v>61</v>
      </c>
      <c r="U108" t="s">
        <v>676</v>
      </c>
      <c r="W108" t="b">
        <v>1</v>
      </c>
    </row>
    <row r="109" spans="1:23" x14ac:dyDescent="0.25">
      <c r="A109" s="2">
        <v>45749.889421296299</v>
      </c>
      <c r="B109" t="s">
        <v>679</v>
      </c>
      <c r="C109" t="s">
        <v>1461</v>
      </c>
      <c r="N109" t="s">
        <v>1461</v>
      </c>
      <c r="S109" t="s">
        <v>176</v>
      </c>
      <c r="T109" t="s">
        <v>188</v>
      </c>
      <c r="U109" t="s">
        <v>680</v>
      </c>
      <c r="W109" t="b">
        <v>0</v>
      </c>
    </row>
    <row r="110" spans="1:23" x14ac:dyDescent="0.25">
      <c r="A110" s="2">
        <v>45749.897094907406</v>
      </c>
      <c r="B110" t="s">
        <v>683</v>
      </c>
      <c r="C110" t="s">
        <v>1461</v>
      </c>
      <c r="N110" t="s">
        <v>1461</v>
      </c>
      <c r="S110" t="s">
        <v>523</v>
      </c>
      <c r="T110" t="s">
        <v>188</v>
      </c>
      <c r="U110" t="s">
        <v>684</v>
      </c>
      <c r="W110" t="b">
        <v>0</v>
      </c>
    </row>
    <row r="111" spans="1:23" x14ac:dyDescent="0.25">
      <c r="A111" s="2">
        <v>45749.898993055554</v>
      </c>
      <c r="B111" t="s">
        <v>687</v>
      </c>
      <c r="C111" t="s">
        <v>1461</v>
      </c>
      <c r="N111" t="s">
        <v>1461</v>
      </c>
      <c r="S111" t="s">
        <v>176</v>
      </c>
      <c r="T111" t="s">
        <v>188</v>
      </c>
      <c r="U111" t="s">
        <v>688</v>
      </c>
      <c r="W111" t="b">
        <v>0</v>
      </c>
    </row>
    <row r="112" spans="1:23" x14ac:dyDescent="0.25">
      <c r="A112" s="2">
        <v>45749.978067129632</v>
      </c>
      <c r="B112" t="s">
        <v>691</v>
      </c>
      <c r="C112" t="s">
        <v>1461</v>
      </c>
      <c r="N112" t="s">
        <v>1461</v>
      </c>
      <c r="S112" t="s">
        <v>176</v>
      </c>
      <c r="T112" t="s">
        <v>188</v>
      </c>
      <c r="U112" t="s">
        <v>692</v>
      </c>
      <c r="W112" t="b">
        <v>0</v>
      </c>
    </row>
    <row r="113" spans="1:23" x14ac:dyDescent="0.25">
      <c r="A113" s="2">
        <v>45749.978067129632</v>
      </c>
      <c r="B113" t="s">
        <v>695</v>
      </c>
      <c r="C113" t="s">
        <v>1461</v>
      </c>
      <c r="N113" t="s">
        <v>1461</v>
      </c>
      <c r="S113" t="s">
        <v>380</v>
      </c>
      <c r="T113" t="s">
        <v>188</v>
      </c>
      <c r="U113" t="s">
        <v>696</v>
      </c>
      <c r="W113" t="b">
        <v>0</v>
      </c>
    </row>
    <row r="114" spans="1:23" x14ac:dyDescent="0.25">
      <c r="A114" s="2">
        <v>45749.978067129632</v>
      </c>
      <c r="B114" t="s">
        <v>699</v>
      </c>
      <c r="C114" t="s">
        <v>1461</v>
      </c>
      <c r="N114" t="s">
        <v>1461</v>
      </c>
      <c r="S114" t="s">
        <v>176</v>
      </c>
      <c r="T114" t="s">
        <v>188</v>
      </c>
      <c r="U114" t="s">
        <v>700</v>
      </c>
      <c r="W114" t="b">
        <v>0</v>
      </c>
    </row>
    <row r="115" spans="1:23" x14ac:dyDescent="0.25">
      <c r="A115" s="2">
        <v>45749.978067129632</v>
      </c>
      <c r="B115" t="s">
        <v>703</v>
      </c>
      <c r="C115" t="s">
        <v>1461</v>
      </c>
      <c r="N115" t="s">
        <v>1461</v>
      </c>
      <c r="S115" t="s">
        <v>176</v>
      </c>
      <c r="T115" t="s">
        <v>188</v>
      </c>
      <c r="U115" t="s">
        <v>704</v>
      </c>
      <c r="W115" t="b">
        <v>0</v>
      </c>
    </row>
    <row r="116" spans="1:23" x14ac:dyDescent="0.25">
      <c r="A116" s="2">
        <v>45749.978067129632</v>
      </c>
      <c r="B116" t="s">
        <v>707</v>
      </c>
      <c r="C116" t="s">
        <v>1461</v>
      </c>
      <c r="N116" t="s">
        <v>1461</v>
      </c>
      <c r="S116" t="s">
        <v>176</v>
      </c>
      <c r="T116" t="s">
        <v>188</v>
      </c>
      <c r="U116" t="s">
        <v>708</v>
      </c>
      <c r="W116" t="b">
        <v>0</v>
      </c>
    </row>
    <row r="117" spans="1:23" x14ac:dyDescent="0.25">
      <c r="A117" s="2">
        <v>45749.978067129632</v>
      </c>
      <c r="B117" t="s">
        <v>711</v>
      </c>
      <c r="C117" t="s">
        <v>1461</v>
      </c>
      <c r="N117" t="s">
        <v>1461</v>
      </c>
      <c r="S117" t="s">
        <v>176</v>
      </c>
      <c r="T117" t="s">
        <v>188</v>
      </c>
      <c r="U117" t="s">
        <v>712</v>
      </c>
      <c r="W117" t="b">
        <v>0</v>
      </c>
    </row>
    <row r="118" spans="1:23" x14ac:dyDescent="0.25">
      <c r="A118" s="2">
        <v>45749.978067129632</v>
      </c>
      <c r="B118" t="s">
        <v>715</v>
      </c>
      <c r="C118" t="s">
        <v>1461</v>
      </c>
      <c r="N118" t="s">
        <v>1461</v>
      </c>
      <c r="S118" t="s">
        <v>176</v>
      </c>
      <c r="T118" t="s">
        <v>188</v>
      </c>
      <c r="U118" t="s">
        <v>716</v>
      </c>
      <c r="W118" t="b">
        <v>0</v>
      </c>
    </row>
    <row r="119" spans="1:23" x14ac:dyDescent="0.25">
      <c r="A119" s="2">
        <v>45749.978067129632</v>
      </c>
      <c r="B119" t="s">
        <v>719</v>
      </c>
      <c r="C119" t="s">
        <v>1461</v>
      </c>
      <c r="N119" t="s">
        <v>1461</v>
      </c>
      <c r="S119" t="s">
        <v>176</v>
      </c>
      <c r="T119" t="s">
        <v>188</v>
      </c>
      <c r="U119" t="s">
        <v>720</v>
      </c>
      <c r="W119" t="b">
        <v>0</v>
      </c>
    </row>
    <row r="120" spans="1:23" x14ac:dyDescent="0.25">
      <c r="A120" s="2">
        <v>45749.978067129632</v>
      </c>
      <c r="B120" t="s">
        <v>723</v>
      </c>
      <c r="C120" t="s">
        <v>1461</v>
      </c>
      <c r="N120" t="s">
        <v>1461</v>
      </c>
      <c r="S120" t="s">
        <v>428</v>
      </c>
      <c r="T120" t="s">
        <v>188</v>
      </c>
      <c r="U120" t="s">
        <v>724</v>
      </c>
      <c r="W120" t="b">
        <v>0</v>
      </c>
    </row>
    <row r="121" spans="1:23" x14ac:dyDescent="0.25">
      <c r="A121" s="2">
        <v>45749.978067129632</v>
      </c>
      <c r="B121" t="s">
        <v>727</v>
      </c>
      <c r="C121" t="s">
        <v>1461</v>
      </c>
      <c r="N121" t="s">
        <v>1461</v>
      </c>
      <c r="S121" t="s">
        <v>176</v>
      </c>
      <c r="T121" t="s">
        <v>188</v>
      </c>
      <c r="U121" t="s">
        <v>728</v>
      </c>
      <c r="W121" t="b">
        <v>0</v>
      </c>
    </row>
    <row r="122" spans="1:23" x14ac:dyDescent="0.25">
      <c r="A122" s="2">
        <v>45749.978067129632</v>
      </c>
      <c r="B122" t="s">
        <v>731</v>
      </c>
      <c r="C122" t="s">
        <v>1461</v>
      </c>
      <c r="N122" t="s">
        <v>1461</v>
      </c>
      <c r="S122" t="s">
        <v>176</v>
      </c>
      <c r="T122" t="s">
        <v>188</v>
      </c>
      <c r="U122" t="s">
        <v>732</v>
      </c>
      <c r="W122" t="b">
        <v>0</v>
      </c>
    </row>
    <row r="123" spans="1:23" x14ac:dyDescent="0.25">
      <c r="A123" s="2">
        <v>45749.978067129632</v>
      </c>
      <c r="B123" t="s">
        <v>735</v>
      </c>
      <c r="C123" t="s">
        <v>1461</v>
      </c>
      <c r="N123" t="s">
        <v>1461</v>
      </c>
      <c r="S123" t="s">
        <v>176</v>
      </c>
      <c r="T123" t="s">
        <v>188</v>
      </c>
      <c r="U123" t="s">
        <v>736</v>
      </c>
      <c r="W123" t="b">
        <v>0</v>
      </c>
    </row>
    <row r="124" spans="1:23" x14ac:dyDescent="0.25">
      <c r="A124" s="2">
        <v>45749.978067129632</v>
      </c>
      <c r="B124" t="s">
        <v>739</v>
      </c>
      <c r="C124" t="s">
        <v>1461</v>
      </c>
      <c r="N124" t="s">
        <v>1461</v>
      </c>
      <c r="S124" t="s">
        <v>176</v>
      </c>
      <c r="T124" t="s">
        <v>188</v>
      </c>
      <c r="U124" t="s">
        <v>740</v>
      </c>
      <c r="W124" t="b">
        <v>0</v>
      </c>
    </row>
    <row r="125" spans="1:23" x14ac:dyDescent="0.25">
      <c r="A125" s="2">
        <v>45750.406990740739</v>
      </c>
      <c r="B125" t="s">
        <v>743</v>
      </c>
      <c r="C125" t="s">
        <v>1461</v>
      </c>
      <c r="N125" t="s">
        <v>1461</v>
      </c>
      <c r="S125" t="s">
        <v>176</v>
      </c>
      <c r="T125" t="s">
        <v>188</v>
      </c>
      <c r="U125" t="s">
        <v>744</v>
      </c>
      <c r="W125" t="b">
        <v>0</v>
      </c>
    </row>
    <row r="126" spans="1:23" x14ac:dyDescent="0.25">
      <c r="A126" s="2">
        <v>45750.406990740739</v>
      </c>
      <c r="B126" t="s">
        <v>747</v>
      </c>
      <c r="C126" t="s">
        <v>1461</v>
      </c>
      <c r="N126" t="s">
        <v>1461</v>
      </c>
      <c r="S126" t="s">
        <v>176</v>
      </c>
      <c r="T126" t="s">
        <v>188</v>
      </c>
      <c r="U126" t="s">
        <v>748</v>
      </c>
      <c r="W126" t="b">
        <v>0</v>
      </c>
    </row>
    <row r="127" spans="1:23" x14ac:dyDescent="0.25">
      <c r="A127" s="2">
        <v>45750.406990740739</v>
      </c>
      <c r="B127" t="s">
        <v>751</v>
      </c>
      <c r="C127" t="s">
        <v>1461</v>
      </c>
      <c r="N127" t="s">
        <v>1461</v>
      </c>
      <c r="S127" t="s">
        <v>176</v>
      </c>
      <c r="T127" t="s">
        <v>188</v>
      </c>
      <c r="U127" t="s">
        <v>752</v>
      </c>
      <c r="W127" t="b">
        <v>0</v>
      </c>
    </row>
    <row r="128" spans="1:23" x14ac:dyDescent="0.25">
      <c r="A128" s="2">
        <v>45750.406990740739</v>
      </c>
      <c r="B128" t="s">
        <v>755</v>
      </c>
      <c r="C128" t="s">
        <v>1461</v>
      </c>
      <c r="N128" t="s">
        <v>1461</v>
      </c>
      <c r="S128" t="s">
        <v>176</v>
      </c>
      <c r="T128" t="s">
        <v>188</v>
      </c>
      <c r="U128" t="s">
        <v>756</v>
      </c>
      <c r="W128" t="b">
        <v>0</v>
      </c>
    </row>
    <row r="129" spans="1:23" x14ac:dyDescent="0.25">
      <c r="A129" s="2">
        <v>45750.406990740739</v>
      </c>
      <c r="B129" t="s">
        <v>759</v>
      </c>
      <c r="C129" t="s">
        <v>1461</v>
      </c>
      <c r="N129" t="s">
        <v>1461</v>
      </c>
      <c r="S129" t="s">
        <v>176</v>
      </c>
      <c r="T129" t="s">
        <v>188</v>
      </c>
      <c r="U129" t="s">
        <v>760</v>
      </c>
      <c r="W129" t="b">
        <v>0</v>
      </c>
    </row>
    <row r="130" spans="1:23" x14ac:dyDescent="0.25">
      <c r="A130" s="2">
        <v>45750.411469907405</v>
      </c>
      <c r="B130" t="s">
        <v>763</v>
      </c>
      <c r="C130" t="s">
        <v>1461</v>
      </c>
      <c r="N130" t="s">
        <v>1461</v>
      </c>
      <c r="S130" t="s">
        <v>176</v>
      </c>
      <c r="T130" t="s">
        <v>188</v>
      </c>
      <c r="U130" t="s">
        <v>764</v>
      </c>
      <c r="W130" t="b">
        <v>0</v>
      </c>
    </row>
    <row r="131" spans="1:23" x14ac:dyDescent="0.25">
      <c r="A131" s="2">
        <v>45750.413738425923</v>
      </c>
      <c r="B131" t="s">
        <v>767</v>
      </c>
      <c r="C131" t="s">
        <v>1461</v>
      </c>
      <c r="N131" t="s">
        <v>1461</v>
      </c>
      <c r="S131" t="s">
        <v>176</v>
      </c>
      <c r="T131" t="s">
        <v>188</v>
      </c>
      <c r="U131" t="s">
        <v>768</v>
      </c>
      <c r="W131" t="b">
        <v>0</v>
      </c>
    </row>
    <row r="132" spans="1:23" x14ac:dyDescent="0.25">
      <c r="A132" s="2">
        <v>45750.422708333332</v>
      </c>
      <c r="B132" t="s">
        <v>771</v>
      </c>
      <c r="C132" t="s">
        <v>1461</v>
      </c>
      <c r="N132" t="s">
        <v>1461</v>
      </c>
      <c r="S132" t="s">
        <v>776</v>
      </c>
      <c r="T132" t="s">
        <v>188</v>
      </c>
      <c r="U132" t="s">
        <v>773</v>
      </c>
      <c r="W132" t="b">
        <v>0</v>
      </c>
    </row>
    <row r="133" spans="1:23" x14ac:dyDescent="0.25">
      <c r="A133" s="2">
        <v>45750.45453703704</v>
      </c>
      <c r="B133" t="s">
        <v>777</v>
      </c>
      <c r="C133" t="s">
        <v>1461</v>
      </c>
      <c r="N133" t="s">
        <v>1461</v>
      </c>
      <c r="S133" t="s">
        <v>176</v>
      </c>
      <c r="T133" t="s">
        <v>188</v>
      </c>
      <c r="U133" t="s">
        <v>778</v>
      </c>
      <c r="W133" t="b">
        <v>0</v>
      </c>
    </row>
    <row r="134" spans="1:23" x14ac:dyDescent="0.25">
      <c r="A134" s="2">
        <v>45750.45453703704</v>
      </c>
      <c r="B134" t="s">
        <v>781</v>
      </c>
      <c r="C134" t="s">
        <v>1461</v>
      </c>
      <c r="N134" t="s">
        <v>1461</v>
      </c>
      <c r="S134" t="s">
        <v>176</v>
      </c>
      <c r="T134" t="s">
        <v>188</v>
      </c>
      <c r="U134" t="s">
        <v>782</v>
      </c>
      <c r="W134" t="b">
        <v>0</v>
      </c>
    </row>
    <row r="135" spans="1:23" x14ac:dyDescent="0.25">
      <c r="A135" s="2">
        <v>45750.45453703704</v>
      </c>
      <c r="B135" t="s">
        <v>785</v>
      </c>
      <c r="C135" t="s">
        <v>1461</v>
      </c>
      <c r="N135" t="s">
        <v>1461</v>
      </c>
      <c r="S135" t="s">
        <v>176</v>
      </c>
      <c r="T135" t="s">
        <v>188</v>
      </c>
      <c r="U135" t="s">
        <v>786</v>
      </c>
      <c r="W135" t="b">
        <v>0</v>
      </c>
    </row>
    <row r="136" spans="1:23" x14ac:dyDescent="0.25">
      <c r="A136" s="2">
        <v>45758.628437500003</v>
      </c>
      <c r="B136" t="s">
        <v>789</v>
      </c>
      <c r="C136" t="s">
        <v>1461</v>
      </c>
      <c r="F136" t="s">
        <v>54</v>
      </c>
      <c r="N136" t="s">
        <v>1461</v>
      </c>
      <c r="S136" t="s">
        <v>187</v>
      </c>
      <c r="T136" t="s">
        <v>61</v>
      </c>
      <c r="U136" t="s">
        <v>790</v>
      </c>
      <c r="W136" t="b">
        <v>1</v>
      </c>
    </row>
    <row r="137" spans="1:23" x14ac:dyDescent="0.25">
      <c r="A137" s="2">
        <v>45763.599872685183</v>
      </c>
      <c r="B137" t="s">
        <v>793</v>
      </c>
      <c r="C137" t="s">
        <v>1461</v>
      </c>
      <c r="F137" t="s">
        <v>54</v>
      </c>
      <c r="N137" t="s">
        <v>1461</v>
      </c>
      <c r="S137" t="s">
        <v>428</v>
      </c>
      <c r="T137" t="s">
        <v>61</v>
      </c>
      <c r="U137" t="s">
        <v>794</v>
      </c>
      <c r="W137" t="b">
        <v>1</v>
      </c>
    </row>
    <row r="138" spans="1:23" x14ac:dyDescent="0.25">
      <c r="A138" s="2">
        <v>45764.408067129632</v>
      </c>
      <c r="B138" t="s">
        <v>797</v>
      </c>
      <c r="C138" t="s">
        <v>1461</v>
      </c>
      <c r="N138" t="s">
        <v>1461</v>
      </c>
      <c r="S138" t="s">
        <v>393</v>
      </c>
      <c r="T138" t="s">
        <v>188</v>
      </c>
      <c r="U138" t="s">
        <v>798</v>
      </c>
      <c r="W138" t="b">
        <v>0</v>
      </c>
    </row>
    <row r="139" spans="1:23" x14ac:dyDescent="0.25">
      <c r="A139" s="2">
        <v>45833.70957175926</v>
      </c>
      <c r="B139" t="s">
        <v>801</v>
      </c>
      <c r="C139" t="s">
        <v>1513</v>
      </c>
      <c r="N139" t="s">
        <v>1461</v>
      </c>
      <c r="S139" t="s">
        <v>380</v>
      </c>
      <c r="T139" t="s">
        <v>338</v>
      </c>
      <c r="U139" t="s">
        <v>802</v>
      </c>
      <c r="W139" t="b">
        <v>0</v>
      </c>
    </row>
    <row r="140" spans="1:23" x14ac:dyDescent="0.25">
      <c r="A140" s="2">
        <v>45834.686585648145</v>
      </c>
      <c r="B140" t="s">
        <v>805</v>
      </c>
      <c r="C140" t="s">
        <v>1514</v>
      </c>
      <c r="K140" t="s">
        <v>806</v>
      </c>
      <c r="N140" t="s">
        <v>1461</v>
      </c>
      <c r="S140" t="s">
        <v>187</v>
      </c>
      <c r="T140" t="s">
        <v>188</v>
      </c>
      <c r="U140" t="s">
        <v>807</v>
      </c>
      <c r="W140" t="b">
        <v>0</v>
      </c>
    </row>
    <row r="141" spans="1:23" x14ac:dyDescent="0.25">
      <c r="A141" s="2">
        <v>45835.465277777781</v>
      </c>
      <c r="B141" t="s">
        <v>810</v>
      </c>
      <c r="C141" t="s">
        <v>1515</v>
      </c>
      <c r="F141" t="s">
        <v>54</v>
      </c>
      <c r="K141" t="s">
        <v>811</v>
      </c>
      <c r="N141" t="s">
        <v>1461</v>
      </c>
      <c r="S141" t="s">
        <v>187</v>
      </c>
      <c r="T141" t="s">
        <v>61</v>
      </c>
      <c r="U141" t="s">
        <v>812</v>
      </c>
      <c r="W141" t="b">
        <v>1</v>
      </c>
    </row>
    <row r="142" spans="1:23" x14ac:dyDescent="0.25">
      <c r="A142" s="2">
        <v>45835.465277777781</v>
      </c>
      <c r="B142" t="s">
        <v>815</v>
      </c>
      <c r="C142" t="s">
        <v>1461</v>
      </c>
      <c r="F142" t="s">
        <v>54</v>
      </c>
      <c r="K142" t="s">
        <v>816</v>
      </c>
      <c r="N142" t="s">
        <v>1461</v>
      </c>
      <c r="S142" t="s">
        <v>187</v>
      </c>
      <c r="T142" t="s">
        <v>61</v>
      </c>
      <c r="U142" t="s">
        <v>817</v>
      </c>
      <c r="W142" t="b">
        <v>1</v>
      </c>
    </row>
    <row r="143" spans="1:23" x14ac:dyDescent="0.25">
      <c r="A143" s="2">
        <v>45835.465277777781</v>
      </c>
      <c r="B143" t="s">
        <v>820</v>
      </c>
      <c r="C143" t="s">
        <v>1461</v>
      </c>
      <c r="F143" t="s">
        <v>54</v>
      </c>
      <c r="K143" t="s">
        <v>821</v>
      </c>
      <c r="N143" t="s">
        <v>1461</v>
      </c>
      <c r="S143" t="s">
        <v>187</v>
      </c>
      <c r="T143" t="s">
        <v>61</v>
      </c>
      <c r="U143" t="s">
        <v>822</v>
      </c>
      <c r="W143" t="b">
        <v>1</v>
      </c>
    </row>
    <row r="144" spans="1:23" x14ac:dyDescent="0.25">
      <c r="A144" s="2">
        <v>45835.465277777781</v>
      </c>
      <c r="B144" t="s">
        <v>825</v>
      </c>
      <c r="C144" t="s">
        <v>826</v>
      </c>
      <c r="F144" t="s">
        <v>54</v>
      </c>
      <c r="K144" t="s">
        <v>827</v>
      </c>
      <c r="N144" t="s">
        <v>1461</v>
      </c>
      <c r="S144" t="s">
        <v>187</v>
      </c>
      <c r="T144" t="s">
        <v>61</v>
      </c>
      <c r="U144" t="s">
        <v>828</v>
      </c>
      <c r="W144" t="b">
        <v>1</v>
      </c>
    </row>
    <row r="145" spans="1:23" x14ac:dyDescent="0.25">
      <c r="A145" s="2">
        <v>45835.465277777781</v>
      </c>
      <c r="B145" t="s">
        <v>831</v>
      </c>
      <c r="C145" t="s">
        <v>1516</v>
      </c>
      <c r="F145" t="s">
        <v>54</v>
      </c>
      <c r="K145" t="s">
        <v>832</v>
      </c>
      <c r="N145" t="s">
        <v>1461</v>
      </c>
      <c r="S145" t="s">
        <v>187</v>
      </c>
      <c r="T145" t="s">
        <v>61</v>
      </c>
      <c r="U145" t="s">
        <v>833</v>
      </c>
      <c r="W145" t="b">
        <v>1</v>
      </c>
    </row>
    <row r="146" spans="1:23" x14ac:dyDescent="0.25">
      <c r="A146" s="2">
        <v>45835.465277777781</v>
      </c>
      <c r="B146" t="s">
        <v>836</v>
      </c>
      <c r="C146" t="s">
        <v>1517</v>
      </c>
      <c r="F146" t="s">
        <v>54</v>
      </c>
      <c r="K146" t="s">
        <v>837</v>
      </c>
      <c r="N146" t="s">
        <v>1461</v>
      </c>
      <c r="S146" t="s">
        <v>187</v>
      </c>
      <c r="T146" t="s">
        <v>61</v>
      </c>
      <c r="U146" t="s">
        <v>838</v>
      </c>
      <c r="W146" t="b">
        <v>1</v>
      </c>
    </row>
    <row r="147" spans="1:23" x14ac:dyDescent="0.25">
      <c r="A147" s="2">
        <v>45835.465277777781</v>
      </c>
      <c r="B147" t="s">
        <v>841</v>
      </c>
      <c r="C147" t="s">
        <v>1461</v>
      </c>
      <c r="F147" t="s">
        <v>84</v>
      </c>
      <c r="K147" t="s">
        <v>842</v>
      </c>
      <c r="N147" t="s">
        <v>1461</v>
      </c>
      <c r="S147" t="s">
        <v>187</v>
      </c>
      <c r="T147" t="s">
        <v>61</v>
      </c>
      <c r="U147" t="s">
        <v>843</v>
      </c>
      <c r="W147" t="b">
        <v>1</v>
      </c>
    </row>
    <row r="148" spans="1:23" x14ac:dyDescent="0.25">
      <c r="A148" s="2">
        <v>45835.465277777781</v>
      </c>
      <c r="B148" t="s">
        <v>846</v>
      </c>
      <c r="C148" t="s">
        <v>1518</v>
      </c>
      <c r="F148" t="s">
        <v>54</v>
      </c>
      <c r="K148" t="s">
        <v>847</v>
      </c>
      <c r="N148" t="s">
        <v>1461</v>
      </c>
      <c r="S148" t="s">
        <v>187</v>
      </c>
      <c r="T148" t="s">
        <v>61</v>
      </c>
      <c r="U148" t="s">
        <v>848</v>
      </c>
      <c r="W148" t="b">
        <v>1</v>
      </c>
    </row>
    <row r="149" spans="1:23" x14ac:dyDescent="0.25">
      <c r="A149" s="2">
        <v>45835.465277777781</v>
      </c>
      <c r="B149" t="s">
        <v>851</v>
      </c>
      <c r="C149" t="s">
        <v>1519</v>
      </c>
      <c r="F149" t="s">
        <v>54</v>
      </c>
      <c r="K149" t="s">
        <v>852</v>
      </c>
      <c r="N149" t="s">
        <v>1461</v>
      </c>
      <c r="S149" t="s">
        <v>187</v>
      </c>
      <c r="T149" t="s">
        <v>61</v>
      </c>
      <c r="U149" t="s">
        <v>853</v>
      </c>
      <c r="W149" t="b">
        <v>1</v>
      </c>
    </row>
    <row r="150" spans="1:23" x14ac:dyDescent="0.25">
      <c r="A150" s="2">
        <v>45835.465277777781</v>
      </c>
      <c r="B150" t="s">
        <v>856</v>
      </c>
      <c r="C150" t="s">
        <v>1461</v>
      </c>
      <c r="F150" t="s">
        <v>54</v>
      </c>
      <c r="N150" t="s">
        <v>1461</v>
      </c>
      <c r="S150" t="s">
        <v>187</v>
      </c>
      <c r="T150" t="s">
        <v>61</v>
      </c>
      <c r="U150" t="s">
        <v>857</v>
      </c>
      <c r="W150" t="b">
        <v>1</v>
      </c>
    </row>
    <row r="151" spans="1:23" x14ac:dyDescent="0.25">
      <c r="A151" s="2">
        <v>45853.638298611113</v>
      </c>
      <c r="B151" t="s">
        <v>860</v>
      </c>
      <c r="C151" t="s">
        <v>1461</v>
      </c>
      <c r="K151" t="s">
        <v>861</v>
      </c>
      <c r="N151" t="s">
        <v>1461</v>
      </c>
      <c r="S151" t="s">
        <v>367</v>
      </c>
      <c r="T151" t="s">
        <v>188</v>
      </c>
      <c r="U151" t="s">
        <v>862</v>
      </c>
      <c r="W151" t="b">
        <v>0</v>
      </c>
    </row>
    <row r="152" spans="1:23" x14ac:dyDescent="0.25">
      <c r="A152" s="2">
        <v>45853.638298611113</v>
      </c>
      <c r="B152" t="s">
        <v>865</v>
      </c>
      <c r="C152" t="s">
        <v>1461</v>
      </c>
      <c r="F152" t="s">
        <v>54</v>
      </c>
      <c r="K152" t="s">
        <v>866</v>
      </c>
      <c r="N152" t="s">
        <v>1461</v>
      </c>
      <c r="S152" t="s">
        <v>344</v>
      </c>
      <c r="T152" t="s">
        <v>61</v>
      </c>
      <c r="U152" t="s">
        <v>867</v>
      </c>
      <c r="W152" t="b">
        <v>0</v>
      </c>
    </row>
    <row r="153" spans="1:23" x14ac:dyDescent="0.25">
      <c r="A153" s="2">
        <v>45902.527488425927</v>
      </c>
      <c r="B153" t="s">
        <v>870</v>
      </c>
      <c r="C153" t="s">
        <v>1520</v>
      </c>
      <c r="N153" t="s">
        <v>1461</v>
      </c>
      <c r="S153" t="s">
        <v>187</v>
      </c>
      <c r="T153" t="s">
        <v>188</v>
      </c>
      <c r="U153" t="s">
        <v>871</v>
      </c>
      <c r="W153" t="b">
        <v>0</v>
      </c>
    </row>
    <row r="154" spans="1:23" x14ac:dyDescent="0.25">
      <c r="A154" s="2">
        <v>45902.527488425927</v>
      </c>
      <c r="B154" t="s">
        <v>874</v>
      </c>
      <c r="C154" t="s">
        <v>1521</v>
      </c>
      <c r="N154" t="s">
        <v>1461</v>
      </c>
      <c r="S154" t="s">
        <v>187</v>
      </c>
      <c r="T154" t="s">
        <v>188</v>
      </c>
      <c r="U154" t="s">
        <v>875</v>
      </c>
      <c r="W154" t="b">
        <v>0</v>
      </c>
    </row>
    <row r="155" spans="1:23" x14ac:dyDescent="0.25">
      <c r="A155" s="2">
        <v>45902.527488425927</v>
      </c>
      <c r="B155" t="s">
        <v>878</v>
      </c>
      <c r="C155" t="s">
        <v>1522</v>
      </c>
      <c r="K155" t="s">
        <v>879</v>
      </c>
      <c r="N155" t="s">
        <v>1461</v>
      </c>
      <c r="S155" t="s">
        <v>187</v>
      </c>
      <c r="T155" t="s">
        <v>188</v>
      </c>
      <c r="U155" t="s">
        <v>880</v>
      </c>
      <c r="W155" t="b">
        <v>0</v>
      </c>
    </row>
    <row r="156" spans="1:23" x14ac:dyDescent="0.25">
      <c r="A156" s="2">
        <v>45902.527488425927</v>
      </c>
      <c r="B156" t="s">
        <v>883</v>
      </c>
      <c r="C156" t="s">
        <v>1523</v>
      </c>
      <c r="N156" t="s">
        <v>1461</v>
      </c>
      <c r="S156" t="s">
        <v>187</v>
      </c>
      <c r="T156" t="s">
        <v>188</v>
      </c>
      <c r="U156" t="s">
        <v>884</v>
      </c>
      <c r="W156" t="b">
        <v>0</v>
      </c>
    </row>
    <row r="157" spans="1:23" x14ac:dyDescent="0.25">
      <c r="A157" s="2">
        <v>45902.527488425927</v>
      </c>
      <c r="B157" t="s">
        <v>887</v>
      </c>
      <c r="C157" t="s">
        <v>1524</v>
      </c>
      <c r="F157" t="s">
        <v>54</v>
      </c>
      <c r="K157" t="s">
        <v>888</v>
      </c>
      <c r="N157" t="s">
        <v>1461</v>
      </c>
      <c r="S157" t="s">
        <v>187</v>
      </c>
      <c r="T157" t="s">
        <v>68</v>
      </c>
      <c r="U157" t="s">
        <v>889</v>
      </c>
      <c r="W157" t="b">
        <v>0</v>
      </c>
    </row>
    <row r="158" spans="1:23" x14ac:dyDescent="0.25">
      <c r="A158" s="2">
        <v>45902.616099537037</v>
      </c>
      <c r="B158" t="s">
        <v>892</v>
      </c>
      <c r="C158" t="s">
        <v>1525</v>
      </c>
      <c r="K158" t="s">
        <v>893</v>
      </c>
      <c r="N158" t="s">
        <v>1461</v>
      </c>
      <c r="S158" t="s">
        <v>187</v>
      </c>
      <c r="T158" t="s">
        <v>188</v>
      </c>
      <c r="U158" t="s">
        <v>894</v>
      </c>
      <c r="W158" t="b">
        <v>0</v>
      </c>
    </row>
    <row r="159" spans="1:23" x14ac:dyDescent="0.25">
      <c r="A159" s="2">
        <v>45902.661678240744</v>
      </c>
      <c r="B159" t="s">
        <v>897</v>
      </c>
      <c r="C159" t="s">
        <v>1526</v>
      </c>
      <c r="F159" t="s">
        <v>84</v>
      </c>
      <c r="K159" t="s">
        <v>898</v>
      </c>
      <c r="N159" t="s">
        <v>1461</v>
      </c>
      <c r="S159" t="s">
        <v>187</v>
      </c>
      <c r="T159" t="s">
        <v>61</v>
      </c>
      <c r="U159" t="s">
        <v>899</v>
      </c>
      <c r="W159" t="b">
        <v>1</v>
      </c>
    </row>
    <row r="160" spans="1:23" x14ac:dyDescent="0.25">
      <c r="A160" s="2">
        <v>45902.661678240744</v>
      </c>
      <c r="B160" t="s">
        <v>902</v>
      </c>
      <c r="C160" t="s">
        <v>1527</v>
      </c>
      <c r="F160" t="s">
        <v>54</v>
      </c>
      <c r="K160" t="s">
        <v>903</v>
      </c>
      <c r="N160" t="s">
        <v>1461</v>
      </c>
      <c r="S160" t="s">
        <v>187</v>
      </c>
      <c r="T160" t="s">
        <v>61</v>
      </c>
      <c r="U160" t="s">
        <v>904</v>
      </c>
      <c r="W160" t="b">
        <v>1</v>
      </c>
    </row>
    <row r="161" spans="1:23" x14ac:dyDescent="0.25">
      <c r="A161" s="2">
        <v>45903.539143518516</v>
      </c>
      <c r="B161" t="s">
        <v>907</v>
      </c>
      <c r="C161" t="s">
        <v>1528</v>
      </c>
      <c r="F161" t="s">
        <v>54</v>
      </c>
      <c r="N161" t="s">
        <v>1461</v>
      </c>
      <c r="S161" t="s">
        <v>187</v>
      </c>
      <c r="T161" t="s">
        <v>61</v>
      </c>
      <c r="U161" t="s">
        <v>908</v>
      </c>
      <c r="W161" t="b">
        <v>1</v>
      </c>
    </row>
    <row r="162" spans="1:23" x14ac:dyDescent="0.25">
      <c r="A162" s="2">
        <v>45905.484340277777</v>
      </c>
      <c r="B162" t="s">
        <v>911</v>
      </c>
      <c r="C162" t="s">
        <v>1529</v>
      </c>
      <c r="K162" t="s">
        <v>912</v>
      </c>
      <c r="N162" t="s">
        <v>1461</v>
      </c>
      <c r="S162" t="s">
        <v>187</v>
      </c>
      <c r="T162" t="s">
        <v>188</v>
      </c>
      <c r="U162" t="s">
        <v>913</v>
      </c>
      <c r="W162" t="b">
        <v>0</v>
      </c>
    </row>
    <row r="163" spans="1:23" x14ac:dyDescent="0.25">
      <c r="A163" s="2">
        <v>45905.565833333334</v>
      </c>
      <c r="B163" t="s">
        <v>916</v>
      </c>
      <c r="C163" t="s">
        <v>1530</v>
      </c>
      <c r="F163" t="s">
        <v>54</v>
      </c>
      <c r="K163" t="s">
        <v>917</v>
      </c>
      <c r="N163" t="s">
        <v>1461</v>
      </c>
      <c r="S163" t="s">
        <v>187</v>
      </c>
      <c r="T163" t="s">
        <v>61</v>
      </c>
      <c r="U163" t="s">
        <v>918</v>
      </c>
      <c r="W163" t="b">
        <v>1</v>
      </c>
    </row>
    <row r="164" spans="1:23" x14ac:dyDescent="0.25">
      <c r="A164" s="2">
        <v>45905.565833333334</v>
      </c>
      <c r="B164" t="s">
        <v>921</v>
      </c>
      <c r="C164" t="s">
        <v>1531</v>
      </c>
      <c r="K164" t="s">
        <v>922</v>
      </c>
      <c r="N164" t="s">
        <v>1461</v>
      </c>
      <c r="S164" t="s">
        <v>187</v>
      </c>
      <c r="T164" t="s">
        <v>188</v>
      </c>
      <c r="U164" t="s">
        <v>923</v>
      </c>
      <c r="W164" t="b">
        <v>0</v>
      </c>
    </row>
    <row r="165" spans="1:23" x14ac:dyDescent="0.25">
      <c r="A165" s="2">
        <v>45905.565833333334</v>
      </c>
      <c r="B165" t="s">
        <v>926</v>
      </c>
      <c r="C165" t="s">
        <v>1532</v>
      </c>
      <c r="F165" t="s">
        <v>54</v>
      </c>
      <c r="K165" t="s">
        <v>927</v>
      </c>
      <c r="N165" t="s">
        <v>1461</v>
      </c>
      <c r="S165" t="s">
        <v>187</v>
      </c>
      <c r="T165" t="s">
        <v>68</v>
      </c>
      <c r="U165" t="s">
        <v>928</v>
      </c>
      <c r="W165" t="b">
        <v>1</v>
      </c>
    </row>
    <row r="166" spans="1:23" x14ac:dyDescent="0.25">
      <c r="A166" s="2">
        <v>45905.565833333334</v>
      </c>
      <c r="B166" t="s">
        <v>931</v>
      </c>
      <c r="C166" t="s">
        <v>1533</v>
      </c>
      <c r="F166" t="s">
        <v>54</v>
      </c>
      <c r="N166" t="s">
        <v>1461</v>
      </c>
      <c r="S166" t="s">
        <v>187</v>
      </c>
      <c r="T166" t="s">
        <v>68</v>
      </c>
      <c r="U166" t="s">
        <v>932</v>
      </c>
      <c r="W166" t="b">
        <v>1</v>
      </c>
    </row>
    <row r="167" spans="1:23" x14ac:dyDescent="0.25">
      <c r="A167" s="2">
        <v>45905.565833333334</v>
      </c>
      <c r="B167" t="s">
        <v>935</v>
      </c>
      <c r="C167" t="s">
        <v>1534</v>
      </c>
      <c r="F167" t="s">
        <v>54</v>
      </c>
      <c r="N167" t="s">
        <v>1461</v>
      </c>
      <c r="S167" t="s">
        <v>187</v>
      </c>
      <c r="T167" t="s">
        <v>61</v>
      </c>
      <c r="U167" t="s">
        <v>936</v>
      </c>
      <c r="W167" t="b">
        <v>1</v>
      </c>
    </row>
    <row r="168" spans="1:23" x14ac:dyDescent="0.25">
      <c r="A168" s="2">
        <v>45908.646354166667</v>
      </c>
      <c r="B168" t="s">
        <v>939</v>
      </c>
      <c r="C168" t="s">
        <v>1535</v>
      </c>
      <c r="K168" t="s">
        <v>940</v>
      </c>
      <c r="N168" t="s">
        <v>1461</v>
      </c>
      <c r="S168" t="s">
        <v>187</v>
      </c>
      <c r="T168" t="s">
        <v>188</v>
      </c>
      <c r="U168" t="s">
        <v>941</v>
      </c>
      <c r="W168" t="b">
        <v>0</v>
      </c>
    </row>
    <row r="169" spans="1:23" x14ac:dyDescent="0.25">
      <c r="A169" s="2">
        <v>45908.66196759259</v>
      </c>
      <c r="B169" t="s">
        <v>944</v>
      </c>
      <c r="C169" t="s">
        <v>1461</v>
      </c>
      <c r="K169">
        <v>8.1103140126007204E+18</v>
      </c>
      <c r="N169" t="s">
        <v>1461</v>
      </c>
      <c r="S169" t="s">
        <v>393</v>
      </c>
      <c r="T169" t="s">
        <v>188</v>
      </c>
      <c r="U169" t="s">
        <v>945</v>
      </c>
      <c r="W169" t="b">
        <v>0</v>
      </c>
    </row>
    <row r="170" spans="1:23" x14ac:dyDescent="0.25">
      <c r="A170" s="2">
        <v>45910.55064814815</v>
      </c>
      <c r="B170" t="s">
        <v>948</v>
      </c>
      <c r="C170" t="s">
        <v>949</v>
      </c>
      <c r="F170" t="s">
        <v>54</v>
      </c>
      <c r="K170" t="s">
        <v>950</v>
      </c>
      <c r="N170" t="s">
        <v>1461</v>
      </c>
      <c r="S170" t="s">
        <v>523</v>
      </c>
      <c r="T170" t="s">
        <v>61</v>
      </c>
      <c r="U170" t="s">
        <v>951</v>
      </c>
      <c r="W170" t="b">
        <v>0</v>
      </c>
    </row>
    <row r="171" spans="1:23" x14ac:dyDescent="0.25">
      <c r="A171" s="2">
        <v>45911.577372685184</v>
      </c>
      <c r="B171" t="s">
        <v>954</v>
      </c>
      <c r="C171" t="s">
        <v>1536</v>
      </c>
      <c r="F171" t="s">
        <v>54</v>
      </c>
      <c r="K171" t="s">
        <v>955</v>
      </c>
      <c r="N171" t="s">
        <v>1461</v>
      </c>
      <c r="S171" t="s">
        <v>187</v>
      </c>
      <c r="T171" t="s">
        <v>61</v>
      </c>
      <c r="U171" t="s">
        <v>956</v>
      </c>
      <c r="W171" t="b">
        <v>1</v>
      </c>
    </row>
    <row r="172" spans="1:23" x14ac:dyDescent="0.25">
      <c r="A172" s="2">
        <v>45911.738900462966</v>
      </c>
      <c r="B172" t="s">
        <v>959</v>
      </c>
      <c r="C172" t="s">
        <v>1537</v>
      </c>
      <c r="F172" t="s">
        <v>54</v>
      </c>
      <c r="K172" t="s">
        <v>960</v>
      </c>
      <c r="N172" t="s">
        <v>1461</v>
      </c>
      <c r="S172" t="s">
        <v>187</v>
      </c>
      <c r="T172" t="s">
        <v>61</v>
      </c>
      <c r="U172" t="s">
        <v>961</v>
      </c>
      <c r="W172" t="b">
        <v>1</v>
      </c>
    </row>
    <row r="173" spans="1:23" x14ac:dyDescent="0.25">
      <c r="A173" s="2">
        <v>45912.562430555554</v>
      </c>
      <c r="B173" t="s">
        <v>964</v>
      </c>
      <c r="C173" t="s">
        <v>1538</v>
      </c>
      <c r="F173" t="s">
        <v>54</v>
      </c>
      <c r="K173" t="s">
        <v>965</v>
      </c>
      <c r="N173" t="s">
        <v>1461</v>
      </c>
      <c r="S173" t="s">
        <v>187</v>
      </c>
      <c r="T173" t="s">
        <v>61</v>
      </c>
      <c r="U173" t="s">
        <v>966</v>
      </c>
      <c r="W173" t="b">
        <v>1</v>
      </c>
    </row>
    <row r="174" spans="1:23" x14ac:dyDescent="0.25">
      <c r="A174" s="2">
        <v>45913.648275462961</v>
      </c>
      <c r="B174" t="s">
        <v>969</v>
      </c>
      <c r="C174" t="s">
        <v>1539</v>
      </c>
      <c r="F174" t="s">
        <v>54</v>
      </c>
      <c r="K174" t="s">
        <v>970</v>
      </c>
      <c r="N174" t="s">
        <v>1461</v>
      </c>
      <c r="S174" t="s">
        <v>187</v>
      </c>
      <c r="T174" t="s">
        <v>61</v>
      </c>
      <c r="U174" t="s">
        <v>971</v>
      </c>
      <c r="W174" t="b">
        <v>1</v>
      </c>
    </row>
    <row r="175" spans="1:23" x14ac:dyDescent="0.25">
      <c r="A175" s="2">
        <v>45917.701724537037</v>
      </c>
      <c r="B175" t="s">
        <v>974</v>
      </c>
      <c r="C175" t="s">
        <v>1540</v>
      </c>
      <c r="F175" t="s">
        <v>54</v>
      </c>
      <c r="K175" t="s">
        <v>975</v>
      </c>
      <c r="N175" t="s">
        <v>1461</v>
      </c>
      <c r="S175" t="s">
        <v>187</v>
      </c>
      <c r="T175" t="s">
        <v>61</v>
      </c>
      <c r="U175" t="s">
        <v>976</v>
      </c>
      <c r="W175" t="b">
        <v>1</v>
      </c>
    </row>
    <row r="176" spans="1:23" x14ac:dyDescent="0.25">
      <c r="A176" s="2">
        <v>45917.701724537037</v>
      </c>
      <c r="B176" t="s">
        <v>979</v>
      </c>
      <c r="C176" t="s">
        <v>1541</v>
      </c>
      <c r="F176" t="s">
        <v>84</v>
      </c>
      <c r="K176" t="s">
        <v>980</v>
      </c>
      <c r="N176" t="s">
        <v>1461</v>
      </c>
      <c r="S176" t="s">
        <v>187</v>
      </c>
      <c r="T176" t="s">
        <v>61</v>
      </c>
      <c r="U176" t="s">
        <v>981</v>
      </c>
      <c r="W176" t="b">
        <v>1</v>
      </c>
    </row>
    <row r="177" spans="1:23" x14ac:dyDescent="0.25">
      <c r="A177" s="2">
        <v>45918.555868055555</v>
      </c>
      <c r="B177" t="s">
        <v>984</v>
      </c>
      <c r="C177" t="s">
        <v>1542</v>
      </c>
      <c r="F177" t="s">
        <v>84</v>
      </c>
      <c r="N177" t="s">
        <v>1461</v>
      </c>
      <c r="S177" t="s">
        <v>187</v>
      </c>
      <c r="T177" t="s">
        <v>61</v>
      </c>
      <c r="U177" t="s">
        <v>985</v>
      </c>
      <c r="W177" t="b">
        <v>0</v>
      </c>
    </row>
    <row r="178" spans="1:23" x14ac:dyDescent="0.25">
      <c r="A178" s="2">
        <v>45918.555868055555</v>
      </c>
      <c r="B178" t="s">
        <v>988</v>
      </c>
      <c r="C178" t="s">
        <v>1461</v>
      </c>
      <c r="N178" t="s">
        <v>1461</v>
      </c>
      <c r="S178" t="s">
        <v>187</v>
      </c>
      <c r="T178" t="s">
        <v>458</v>
      </c>
      <c r="U178" t="s">
        <v>989</v>
      </c>
      <c r="W178" t="b">
        <v>0</v>
      </c>
    </row>
    <row r="179" spans="1:23" x14ac:dyDescent="0.25">
      <c r="A179" s="2">
        <v>45918.75984953704</v>
      </c>
      <c r="B179" t="s">
        <v>992</v>
      </c>
      <c r="C179" t="s">
        <v>993</v>
      </c>
      <c r="F179" t="s">
        <v>54</v>
      </c>
      <c r="K179" t="s">
        <v>994</v>
      </c>
      <c r="N179" t="s">
        <v>1461</v>
      </c>
      <c r="S179" t="s">
        <v>523</v>
      </c>
      <c r="T179" t="s">
        <v>61</v>
      </c>
      <c r="U179" t="s">
        <v>995</v>
      </c>
      <c r="W179" t="b">
        <v>0</v>
      </c>
    </row>
    <row r="180" spans="1:23" x14ac:dyDescent="0.25">
      <c r="A180" s="2">
        <v>45923.677361111113</v>
      </c>
      <c r="B180" t="s">
        <v>998</v>
      </c>
      <c r="C180" t="s">
        <v>1543</v>
      </c>
      <c r="F180" t="s">
        <v>54</v>
      </c>
      <c r="K180" t="s">
        <v>999</v>
      </c>
      <c r="N180" t="s">
        <v>1461</v>
      </c>
      <c r="S180" t="s">
        <v>187</v>
      </c>
      <c r="T180" t="s">
        <v>61</v>
      </c>
      <c r="U180" t="s">
        <v>1000</v>
      </c>
      <c r="W180" t="b">
        <v>1</v>
      </c>
    </row>
    <row r="181" spans="1:23" x14ac:dyDescent="0.25">
      <c r="A181" s="2">
        <v>45924.500960648147</v>
      </c>
      <c r="B181" t="s">
        <v>1003</v>
      </c>
      <c r="C181" t="s">
        <v>1544</v>
      </c>
      <c r="K181" t="s">
        <v>1004</v>
      </c>
      <c r="N181" t="s">
        <v>1461</v>
      </c>
      <c r="S181" t="s">
        <v>187</v>
      </c>
      <c r="T181" t="s">
        <v>188</v>
      </c>
      <c r="U181" t="s">
        <v>1005</v>
      </c>
      <c r="W181" t="b">
        <v>0</v>
      </c>
    </row>
    <row r="182" spans="1:23" x14ac:dyDescent="0.25">
      <c r="A182" s="2">
        <v>45924.500960648147</v>
      </c>
      <c r="B182" t="s">
        <v>1008</v>
      </c>
      <c r="C182" t="s">
        <v>1545</v>
      </c>
      <c r="F182" t="s">
        <v>54</v>
      </c>
      <c r="K182" t="s">
        <v>1009</v>
      </c>
      <c r="N182" t="s">
        <v>1461</v>
      </c>
      <c r="S182" t="s">
        <v>187</v>
      </c>
      <c r="T182" t="s">
        <v>61</v>
      </c>
      <c r="U182" t="s">
        <v>1010</v>
      </c>
      <c r="W182" t="b">
        <v>1</v>
      </c>
    </row>
    <row r="183" spans="1:23" x14ac:dyDescent="0.25">
      <c r="A183" s="2">
        <v>45924.500960648147</v>
      </c>
      <c r="B183" t="s">
        <v>1013</v>
      </c>
      <c r="C183" t="s">
        <v>1546</v>
      </c>
      <c r="N183" t="s">
        <v>1461</v>
      </c>
      <c r="S183" t="s">
        <v>187</v>
      </c>
      <c r="T183" t="s">
        <v>188</v>
      </c>
      <c r="U183" t="s">
        <v>1014</v>
      </c>
      <c r="W183" t="b">
        <v>0</v>
      </c>
    </row>
    <row r="184" spans="1:23" x14ac:dyDescent="0.25">
      <c r="A184" s="2">
        <v>45924.500960648147</v>
      </c>
      <c r="B184" t="s">
        <v>1017</v>
      </c>
      <c r="C184" t="s">
        <v>1547</v>
      </c>
      <c r="F184" t="s">
        <v>54</v>
      </c>
      <c r="K184" t="s">
        <v>1018</v>
      </c>
      <c r="N184" t="s">
        <v>1461</v>
      </c>
      <c r="S184" t="s">
        <v>187</v>
      </c>
      <c r="T184" t="s">
        <v>61</v>
      </c>
      <c r="U184" t="s">
        <v>1019</v>
      </c>
      <c r="W184" t="b">
        <v>1</v>
      </c>
    </row>
    <row r="185" spans="1:23" x14ac:dyDescent="0.25">
      <c r="A185" s="2">
        <v>45924.500960648147</v>
      </c>
      <c r="B185" t="s">
        <v>1022</v>
      </c>
      <c r="C185" t="s">
        <v>1548</v>
      </c>
      <c r="K185" t="s">
        <v>1023</v>
      </c>
      <c r="N185" t="s">
        <v>1461</v>
      </c>
      <c r="S185" t="s">
        <v>187</v>
      </c>
      <c r="T185" t="s">
        <v>188</v>
      </c>
      <c r="U185" t="s">
        <v>1024</v>
      </c>
      <c r="W185" t="b">
        <v>0</v>
      </c>
    </row>
    <row r="186" spans="1:23" x14ac:dyDescent="0.25">
      <c r="A186" s="2">
        <v>45924.500960648147</v>
      </c>
      <c r="B186" t="s">
        <v>1027</v>
      </c>
      <c r="C186" t="s">
        <v>1549</v>
      </c>
      <c r="K186" t="s">
        <v>1028</v>
      </c>
      <c r="N186" t="s">
        <v>1461</v>
      </c>
      <c r="S186" t="s">
        <v>187</v>
      </c>
      <c r="T186" t="s">
        <v>61</v>
      </c>
      <c r="U186" t="s">
        <v>1029</v>
      </c>
      <c r="W186" t="b">
        <v>1</v>
      </c>
    </row>
    <row r="187" spans="1:23" x14ac:dyDescent="0.25">
      <c r="A187" s="2">
        <v>45924.500960648147</v>
      </c>
      <c r="B187" t="s">
        <v>1032</v>
      </c>
      <c r="C187" t="s">
        <v>1550</v>
      </c>
      <c r="K187" t="s">
        <v>1033</v>
      </c>
      <c r="N187" t="s">
        <v>1461</v>
      </c>
      <c r="S187" t="s">
        <v>187</v>
      </c>
      <c r="T187" t="s">
        <v>188</v>
      </c>
      <c r="U187" t="s">
        <v>1034</v>
      </c>
      <c r="W187" t="b">
        <v>0</v>
      </c>
    </row>
    <row r="188" spans="1:23" x14ac:dyDescent="0.25">
      <c r="A188" s="2">
        <v>45924.540231481478</v>
      </c>
      <c r="B188" t="s">
        <v>1037</v>
      </c>
      <c r="C188" t="s">
        <v>1551</v>
      </c>
      <c r="K188" t="s">
        <v>1038</v>
      </c>
      <c r="N188" t="s">
        <v>1461</v>
      </c>
      <c r="S188" t="s">
        <v>187</v>
      </c>
      <c r="T188" t="s">
        <v>188</v>
      </c>
      <c r="U188" t="s">
        <v>1039</v>
      </c>
      <c r="W188" t="b">
        <v>0</v>
      </c>
    </row>
    <row r="189" spans="1:23" x14ac:dyDescent="0.25">
      <c r="A189" s="2">
        <v>45924.540231481478</v>
      </c>
      <c r="B189" t="s">
        <v>1042</v>
      </c>
      <c r="C189" t="s">
        <v>1552</v>
      </c>
      <c r="F189" t="s">
        <v>54</v>
      </c>
      <c r="K189" t="s">
        <v>1043</v>
      </c>
      <c r="N189" t="s">
        <v>1461</v>
      </c>
      <c r="S189" t="s">
        <v>428</v>
      </c>
      <c r="T189" t="s">
        <v>61</v>
      </c>
      <c r="U189" t="s">
        <v>1044</v>
      </c>
      <c r="W189" t="b">
        <v>0</v>
      </c>
    </row>
    <row r="190" spans="1:23" x14ac:dyDescent="0.25">
      <c r="A190" s="2">
        <v>45924.542916666665</v>
      </c>
      <c r="B190" t="s">
        <v>1047</v>
      </c>
      <c r="C190" t="s">
        <v>1553</v>
      </c>
      <c r="F190" t="s">
        <v>54</v>
      </c>
      <c r="K190" t="s">
        <v>1048</v>
      </c>
      <c r="N190" t="s">
        <v>1461</v>
      </c>
      <c r="S190" t="s">
        <v>187</v>
      </c>
      <c r="T190" t="s">
        <v>61</v>
      </c>
      <c r="U190" t="s">
        <v>1049</v>
      </c>
      <c r="W190" t="b">
        <v>0</v>
      </c>
    </row>
    <row r="191" spans="1:23" x14ac:dyDescent="0.25">
      <c r="A191" s="2">
        <v>45924.547326388885</v>
      </c>
      <c r="B191" t="s">
        <v>1052</v>
      </c>
      <c r="C191" t="s">
        <v>1554</v>
      </c>
      <c r="K191" t="s">
        <v>1053</v>
      </c>
      <c r="N191" t="s">
        <v>1461</v>
      </c>
      <c r="S191" t="s">
        <v>187</v>
      </c>
      <c r="T191" t="s">
        <v>188</v>
      </c>
      <c r="U191" t="s">
        <v>1054</v>
      </c>
      <c r="W191" t="b">
        <v>0</v>
      </c>
    </row>
    <row r="192" spans="1:23" x14ac:dyDescent="0.25">
      <c r="A192" s="2">
        <v>45924.856273148151</v>
      </c>
      <c r="B192" t="s">
        <v>1057</v>
      </c>
      <c r="C192" t="s">
        <v>1555</v>
      </c>
      <c r="F192" t="s">
        <v>54</v>
      </c>
      <c r="K192" t="s">
        <v>1058</v>
      </c>
      <c r="N192" t="s">
        <v>1461</v>
      </c>
      <c r="S192" t="s">
        <v>523</v>
      </c>
      <c r="T192" t="s">
        <v>61</v>
      </c>
      <c r="U192" t="s">
        <v>1059</v>
      </c>
      <c r="W192" t="b">
        <v>0</v>
      </c>
    </row>
    <row r="193" spans="1:23" x14ac:dyDescent="0.25">
      <c r="A193" s="2">
        <v>45924.881030092591</v>
      </c>
      <c r="B193" t="s">
        <v>1062</v>
      </c>
      <c r="C193" t="s">
        <v>1556</v>
      </c>
      <c r="F193" t="s">
        <v>54</v>
      </c>
      <c r="K193" t="s">
        <v>1063</v>
      </c>
      <c r="N193" t="s">
        <v>1461</v>
      </c>
      <c r="S193" t="s">
        <v>187</v>
      </c>
      <c r="T193" t="s">
        <v>61</v>
      </c>
      <c r="U193" t="s">
        <v>1064</v>
      </c>
      <c r="W193" t="b">
        <v>1</v>
      </c>
    </row>
    <row r="194" spans="1:23" x14ac:dyDescent="0.25">
      <c r="A194" s="2">
        <v>45925.514039351852</v>
      </c>
      <c r="B194" t="s">
        <v>1067</v>
      </c>
      <c r="C194" t="s">
        <v>1557</v>
      </c>
      <c r="F194" t="s">
        <v>54</v>
      </c>
      <c r="K194" t="s">
        <v>1068</v>
      </c>
      <c r="N194" t="s">
        <v>1461</v>
      </c>
      <c r="S194" t="s">
        <v>187</v>
      </c>
      <c r="T194" t="s">
        <v>61</v>
      </c>
      <c r="U194" t="s">
        <v>1069</v>
      </c>
      <c r="W194" t="b">
        <v>1</v>
      </c>
    </row>
    <row r="195" spans="1:23" x14ac:dyDescent="0.25">
      <c r="A195" s="2">
        <v>45925.797164351854</v>
      </c>
      <c r="B195" t="s">
        <v>1072</v>
      </c>
      <c r="C195" t="s">
        <v>1558</v>
      </c>
      <c r="F195" t="s">
        <v>54</v>
      </c>
      <c r="K195" t="s">
        <v>1073</v>
      </c>
      <c r="N195" t="s">
        <v>1461</v>
      </c>
      <c r="S195" t="s">
        <v>187</v>
      </c>
      <c r="T195" t="s">
        <v>61</v>
      </c>
      <c r="U195" t="s">
        <v>1074</v>
      </c>
      <c r="W195" t="b">
        <v>1</v>
      </c>
    </row>
    <row r="196" spans="1:23" x14ac:dyDescent="0.25">
      <c r="A196" s="2">
        <v>45925.809224537035</v>
      </c>
      <c r="B196" t="s">
        <v>1077</v>
      </c>
      <c r="C196" t="s">
        <v>1559</v>
      </c>
      <c r="F196" t="s">
        <v>54</v>
      </c>
      <c r="K196" t="s">
        <v>1078</v>
      </c>
      <c r="N196" t="s">
        <v>1461</v>
      </c>
      <c r="S196" t="s">
        <v>187</v>
      </c>
      <c r="T196" t="s">
        <v>61</v>
      </c>
      <c r="U196" t="s">
        <v>1079</v>
      </c>
      <c r="W196" t="b">
        <v>1</v>
      </c>
    </row>
    <row r="197" spans="1:23" x14ac:dyDescent="0.25">
      <c r="A197" s="2">
        <v>45931.852812500001</v>
      </c>
      <c r="B197" t="s">
        <v>1082</v>
      </c>
      <c r="C197" t="s">
        <v>1560</v>
      </c>
      <c r="F197" t="s">
        <v>54</v>
      </c>
      <c r="K197" t="s">
        <v>1083</v>
      </c>
      <c r="N197" t="s">
        <v>1461</v>
      </c>
      <c r="S197" t="s">
        <v>187</v>
      </c>
      <c r="T197" t="s">
        <v>188</v>
      </c>
      <c r="U197" t="s">
        <v>1084</v>
      </c>
      <c r="W197" t="b">
        <v>1</v>
      </c>
    </row>
    <row r="198" spans="1:23" x14ac:dyDescent="0.25">
      <c r="A198" s="2">
        <v>45931.960949074077</v>
      </c>
      <c r="B198" t="s">
        <v>1087</v>
      </c>
      <c r="C198" t="s">
        <v>1561</v>
      </c>
      <c r="F198" t="s">
        <v>54</v>
      </c>
      <c r="K198" t="s">
        <v>1088</v>
      </c>
      <c r="N198" t="s">
        <v>1461</v>
      </c>
      <c r="S198" t="s">
        <v>187</v>
      </c>
      <c r="T198" t="s">
        <v>61</v>
      </c>
      <c r="U198" t="s">
        <v>1089</v>
      </c>
      <c r="W198" t="b">
        <v>1</v>
      </c>
    </row>
    <row r="199" spans="1:23" x14ac:dyDescent="0.25">
      <c r="A199" s="2">
        <v>45932.544710648152</v>
      </c>
      <c r="B199" t="s">
        <v>1092</v>
      </c>
      <c r="C199" t="s">
        <v>1562</v>
      </c>
      <c r="F199" t="s">
        <v>54</v>
      </c>
      <c r="K199" t="s">
        <v>1093</v>
      </c>
      <c r="N199" t="s">
        <v>1461</v>
      </c>
      <c r="S199" t="s">
        <v>187</v>
      </c>
      <c r="T199" t="s">
        <v>61</v>
      </c>
      <c r="U199" t="s">
        <v>1094</v>
      </c>
      <c r="W199" t="b">
        <v>1</v>
      </c>
    </row>
    <row r="200" spans="1:23" x14ac:dyDescent="0.25">
      <c r="A200" s="2">
        <v>45932.583923611113</v>
      </c>
      <c r="B200" t="s">
        <v>1097</v>
      </c>
      <c r="C200" t="s">
        <v>1563</v>
      </c>
      <c r="F200" t="s">
        <v>54</v>
      </c>
      <c r="K200" t="s">
        <v>1098</v>
      </c>
      <c r="N200" t="s">
        <v>1461</v>
      </c>
      <c r="S200" t="s">
        <v>187</v>
      </c>
      <c r="T200" t="s">
        <v>61</v>
      </c>
      <c r="U200" t="s">
        <v>1099</v>
      </c>
      <c r="W200" t="b">
        <v>1</v>
      </c>
    </row>
    <row r="201" spans="1:23" x14ac:dyDescent="0.25">
      <c r="A201" s="2">
        <v>45932.583923611113</v>
      </c>
      <c r="B201" t="s">
        <v>1102</v>
      </c>
      <c r="C201" t="s">
        <v>1564</v>
      </c>
      <c r="F201" t="s">
        <v>54</v>
      </c>
      <c r="K201" t="s">
        <v>1103</v>
      </c>
      <c r="N201" t="s">
        <v>1461</v>
      </c>
      <c r="S201" t="s">
        <v>187</v>
      </c>
      <c r="T201" t="s">
        <v>61</v>
      </c>
      <c r="U201" t="s">
        <v>1104</v>
      </c>
      <c r="W201" t="b">
        <v>0</v>
      </c>
    </row>
    <row r="202" spans="1:23" x14ac:dyDescent="0.25">
      <c r="A202" s="2">
        <v>45932.583923611113</v>
      </c>
      <c r="B202" t="s">
        <v>1107</v>
      </c>
      <c r="C202" t="s">
        <v>1565</v>
      </c>
      <c r="F202" t="s">
        <v>54</v>
      </c>
      <c r="K202" t="s">
        <v>1108</v>
      </c>
      <c r="N202" t="s">
        <v>1461</v>
      </c>
      <c r="S202" t="s">
        <v>187</v>
      </c>
      <c r="T202" t="s">
        <v>61</v>
      </c>
      <c r="U202" t="s">
        <v>1109</v>
      </c>
      <c r="W202" t="b">
        <v>1</v>
      </c>
    </row>
    <row r="203" spans="1:23" x14ac:dyDescent="0.25">
      <c r="A203" s="2">
        <v>45932.583923611113</v>
      </c>
      <c r="B203" t="s">
        <v>1112</v>
      </c>
      <c r="C203" t="s">
        <v>1566</v>
      </c>
      <c r="F203" t="s">
        <v>54</v>
      </c>
      <c r="K203" t="s">
        <v>1113</v>
      </c>
      <c r="N203" t="s">
        <v>1461</v>
      </c>
      <c r="S203" t="s">
        <v>187</v>
      </c>
      <c r="T203" t="s">
        <v>61</v>
      </c>
      <c r="U203" t="s">
        <v>1114</v>
      </c>
      <c r="W203" t="b">
        <v>1</v>
      </c>
    </row>
    <row r="204" spans="1:23" x14ac:dyDescent="0.25">
      <c r="A204" s="2">
        <v>45932.636134259257</v>
      </c>
      <c r="B204" t="s">
        <v>1117</v>
      </c>
      <c r="C204" t="s">
        <v>1461</v>
      </c>
      <c r="K204">
        <v>8.6611003101420995E+19</v>
      </c>
      <c r="N204" t="s">
        <v>1461</v>
      </c>
      <c r="S204" t="s">
        <v>393</v>
      </c>
      <c r="T204" t="s">
        <v>188</v>
      </c>
      <c r="U204" t="s">
        <v>1118</v>
      </c>
      <c r="W204" t="b">
        <v>0</v>
      </c>
    </row>
    <row r="205" spans="1:23" x14ac:dyDescent="0.25">
      <c r="A205" s="2">
        <v>45932.693981481483</v>
      </c>
      <c r="B205" t="s">
        <v>1121</v>
      </c>
      <c r="C205" t="s">
        <v>1461</v>
      </c>
      <c r="K205" t="s">
        <v>1122</v>
      </c>
      <c r="N205" t="s">
        <v>1461</v>
      </c>
      <c r="S205" t="s">
        <v>176</v>
      </c>
      <c r="T205" t="s">
        <v>188</v>
      </c>
      <c r="U205" t="s">
        <v>1123</v>
      </c>
      <c r="W205" t="b">
        <v>0</v>
      </c>
    </row>
    <row r="206" spans="1:23" x14ac:dyDescent="0.25">
      <c r="A206" s="2">
        <v>45933.497986111113</v>
      </c>
      <c r="B206" t="s">
        <v>1126</v>
      </c>
      <c r="C206" t="s">
        <v>1567</v>
      </c>
      <c r="K206" t="s">
        <v>1127</v>
      </c>
      <c r="N206" t="s">
        <v>1461</v>
      </c>
      <c r="S206" t="s">
        <v>187</v>
      </c>
      <c r="T206" t="s">
        <v>188</v>
      </c>
      <c r="U206" t="s">
        <v>1128</v>
      </c>
      <c r="W206" t="b">
        <v>0</v>
      </c>
    </row>
    <row r="207" spans="1:23" x14ac:dyDescent="0.25">
      <c r="A207" s="2">
        <v>45933.497986111113</v>
      </c>
      <c r="B207" t="s">
        <v>1131</v>
      </c>
      <c r="C207" t="s">
        <v>1568</v>
      </c>
      <c r="K207" t="s">
        <v>1132</v>
      </c>
      <c r="N207" t="s">
        <v>1461</v>
      </c>
      <c r="S207" t="s">
        <v>187</v>
      </c>
      <c r="T207" t="s">
        <v>188</v>
      </c>
      <c r="U207" t="s">
        <v>1133</v>
      </c>
      <c r="W207" t="b">
        <v>0</v>
      </c>
    </row>
    <row r="208" spans="1:23" x14ac:dyDescent="0.25">
      <c r="A208" s="2">
        <v>45933.497986111113</v>
      </c>
      <c r="B208" t="s">
        <v>1136</v>
      </c>
      <c r="C208" t="s">
        <v>1569</v>
      </c>
      <c r="K208" t="s">
        <v>1137</v>
      </c>
      <c r="N208" t="s">
        <v>1461</v>
      </c>
      <c r="S208" t="s">
        <v>187</v>
      </c>
      <c r="T208" t="s">
        <v>188</v>
      </c>
      <c r="U208" t="s">
        <v>1138</v>
      </c>
      <c r="W208" t="b">
        <v>0</v>
      </c>
    </row>
    <row r="209" spans="1:23" x14ac:dyDescent="0.25">
      <c r="A209" s="2">
        <v>45933.497986111113</v>
      </c>
      <c r="B209" t="s">
        <v>1141</v>
      </c>
      <c r="C209" t="s">
        <v>1570</v>
      </c>
      <c r="K209" t="s">
        <v>1142</v>
      </c>
      <c r="N209" t="s">
        <v>1461</v>
      </c>
      <c r="S209" t="s">
        <v>187</v>
      </c>
      <c r="T209" t="s">
        <v>188</v>
      </c>
      <c r="U209" t="s">
        <v>1143</v>
      </c>
      <c r="W209" t="b">
        <v>0</v>
      </c>
    </row>
    <row r="210" spans="1:23" x14ac:dyDescent="0.25">
      <c r="A210" s="2">
        <v>45933.497986111113</v>
      </c>
      <c r="B210" t="s">
        <v>1146</v>
      </c>
      <c r="C210" t="s">
        <v>1571</v>
      </c>
      <c r="F210" t="s">
        <v>84</v>
      </c>
      <c r="K210" t="s">
        <v>1147</v>
      </c>
      <c r="N210" t="s">
        <v>1461</v>
      </c>
      <c r="S210" t="s">
        <v>187</v>
      </c>
      <c r="T210" t="s">
        <v>61</v>
      </c>
      <c r="U210" t="s">
        <v>1148</v>
      </c>
      <c r="W210" t="b">
        <v>0</v>
      </c>
    </row>
    <row r="211" spans="1:23" x14ac:dyDescent="0.25">
      <c r="A211" s="2">
        <v>45933.497986111113</v>
      </c>
      <c r="B211" t="s">
        <v>1151</v>
      </c>
      <c r="C211" t="s">
        <v>1572</v>
      </c>
      <c r="K211" t="s">
        <v>1152</v>
      </c>
      <c r="N211" t="s">
        <v>1461</v>
      </c>
      <c r="S211" t="s">
        <v>187</v>
      </c>
      <c r="T211" t="s">
        <v>188</v>
      </c>
      <c r="U211" t="s">
        <v>1153</v>
      </c>
      <c r="W211" t="b">
        <v>0</v>
      </c>
    </row>
    <row r="212" spans="1:23" x14ac:dyDescent="0.25">
      <c r="A212" s="2">
        <v>45933.497986111113</v>
      </c>
      <c r="B212" t="s">
        <v>1156</v>
      </c>
      <c r="C212" t="s">
        <v>1573</v>
      </c>
      <c r="K212" t="s">
        <v>1157</v>
      </c>
      <c r="N212" t="s">
        <v>1461</v>
      </c>
      <c r="S212" t="s">
        <v>187</v>
      </c>
      <c r="T212" t="s">
        <v>188</v>
      </c>
      <c r="U212" t="s">
        <v>1158</v>
      </c>
      <c r="W212" t="b">
        <v>0</v>
      </c>
    </row>
    <row r="213" spans="1:23" x14ac:dyDescent="0.25">
      <c r="A213" s="2">
        <v>45933.497986111113</v>
      </c>
      <c r="B213" t="s">
        <v>1161</v>
      </c>
      <c r="C213" t="s">
        <v>1574</v>
      </c>
      <c r="K213" t="s">
        <v>1162</v>
      </c>
      <c r="N213" t="s">
        <v>1461</v>
      </c>
      <c r="S213" t="s">
        <v>187</v>
      </c>
      <c r="T213" t="s">
        <v>188</v>
      </c>
      <c r="U213" t="s">
        <v>1163</v>
      </c>
      <c r="W213" t="b">
        <v>0</v>
      </c>
    </row>
    <row r="214" spans="1:23" x14ac:dyDescent="0.25">
      <c r="A214" s="2">
        <v>45933.50708333333</v>
      </c>
      <c r="B214" t="s">
        <v>1166</v>
      </c>
      <c r="C214" t="s">
        <v>1575</v>
      </c>
      <c r="K214" t="s">
        <v>1167</v>
      </c>
      <c r="N214" t="s">
        <v>1461</v>
      </c>
      <c r="S214" t="s">
        <v>187</v>
      </c>
      <c r="T214" t="s">
        <v>188</v>
      </c>
      <c r="U214" t="s">
        <v>1168</v>
      </c>
      <c r="W214" t="b">
        <v>0</v>
      </c>
    </row>
    <row r="215" spans="1:23" x14ac:dyDescent="0.25">
      <c r="A215" s="2">
        <v>45937.482060185182</v>
      </c>
      <c r="B215" t="s">
        <v>1171</v>
      </c>
      <c r="C215" t="s">
        <v>1576</v>
      </c>
      <c r="K215" t="s">
        <v>1172</v>
      </c>
      <c r="N215" t="s">
        <v>1461</v>
      </c>
      <c r="S215" t="s">
        <v>187</v>
      </c>
      <c r="T215" t="s">
        <v>188</v>
      </c>
      <c r="U215" t="s">
        <v>1173</v>
      </c>
      <c r="W215" t="b">
        <v>0</v>
      </c>
    </row>
    <row r="216" spans="1:23" x14ac:dyDescent="0.25">
      <c r="A216" s="2">
        <v>45937.482060185182</v>
      </c>
      <c r="B216" t="s">
        <v>1176</v>
      </c>
      <c r="C216" t="s">
        <v>1577</v>
      </c>
      <c r="N216" t="s">
        <v>1461</v>
      </c>
      <c r="S216" t="s">
        <v>187</v>
      </c>
      <c r="T216" t="s">
        <v>188</v>
      </c>
      <c r="U216" t="s">
        <v>1177</v>
      </c>
      <c r="W216" t="b">
        <v>0</v>
      </c>
    </row>
    <row r="217" spans="1:23" x14ac:dyDescent="0.25">
      <c r="A217" s="2">
        <v>45937.482060185182</v>
      </c>
      <c r="B217" t="s">
        <v>1180</v>
      </c>
      <c r="C217" t="s">
        <v>1578</v>
      </c>
      <c r="N217" t="s">
        <v>1461</v>
      </c>
      <c r="S217" t="s">
        <v>187</v>
      </c>
      <c r="T217" t="s">
        <v>188</v>
      </c>
      <c r="U217" t="s">
        <v>1181</v>
      </c>
      <c r="W217" t="b">
        <v>0</v>
      </c>
    </row>
    <row r="218" spans="1:23" x14ac:dyDescent="0.25">
      <c r="A218" s="2">
        <v>45937.482060185182</v>
      </c>
      <c r="B218" t="s">
        <v>1184</v>
      </c>
      <c r="C218" t="s">
        <v>1579</v>
      </c>
      <c r="K218" t="s">
        <v>1185</v>
      </c>
      <c r="N218" t="s">
        <v>1461</v>
      </c>
      <c r="S218" t="s">
        <v>187</v>
      </c>
      <c r="T218" t="s">
        <v>188</v>
      </c>
      <c r="U218" t="s">
        <v>1186</v>
      </c>
      <c r="W218" t="b">
        <v>0</v>
      </c>
    </row>
    <row r="219" spans="1:23" x14ac:dyDescent="0.25">
      <c r="A219" s="2">
        <v>45937.482060185182</v>
      </c>
      <c r="B219" t="s">
        <v>1189</v>
      </c>
      <c r="C219" t="s">
        <v>1580</v>
      </c>
      <c r="K219" t="s">
        <v>1190</v>
      </c>
      <c r="N219" t="s">
        <v>1461</v>
      </c>
      <c r="S219" t="s">
        <v>187</v>
      </c>
      <c r="T219" t="s">
        <v>188</v>
      </c>
      <c r="U219" t="s">
        <v>1191</v>
      </c>
      <c r="W219" t="b">
        <v>0</v>
      </c>
    </row>
    <row r="220" spans="1:23" x14ac:dyDescent="0.25">
      <c r="A220" s="2">
        <v>45937.867326388892</v>
      </c>
      <c r="B220" t="s">
        <v>1194</v>
      </c>
      <c r="C220" t="s">
        <v>1581</v>
      </c>
      <c r="F220" t="s">
        <v>54</v>
      </c>
      <c r="K220" t="s">
        <v>1195</v>
      </c>
      <c r="N220" t="s">
        <v>1461</v>
      </c>
      <c r="S220" t="s">
        <v>187</v>
      </c>
      <c r="T220" t="s">
        <v>61</v>
      </c>
      <c r="U220" t="s">
        <v>1196</v>
      </c>
      <c r="W220" t="b">
        <v>1</v>
      </c>
    </row>
    <row r="221" spans="1:23" x14ac:dyDescent="0.25">
      <c r="A221" s="2">
        <v>45938.608043981483</v>
      </c>
      <c r="B221" t="s">
        <v>1199</v>
      </c>
      <c r="C221" t="s">
        <v>1582</v>
      </c>
      <c r="F221" t="s">
        <v>54</v>
      </c>
      <c r="K221" t="s">
        <v>1200</v>
      </c>
      <c r="N221" t="s">
        <v>1461</v>
      </c>
      <c r="S221" t="s">
        <v>187</v>
      </c>
      <c r="T221" t="s">
        <v>61</v>
      </c>
      <c r="U221" t="s">
        <v>1201</v>
      </c>
      <c r="W221" t="b">
        <v>0</v>
      </c>
    </row>
    <row r="222" spans="1:23" x14ac:dyDescent="0.25">
      <c r="A222" s="2">
        <v>45938.608043981483</v>
      </c>
      <c r="B222" t="s">
        <v>1204</v>
      </c>
      <c r="C222" t="s">
        <v>1583</v>
      </c>
      <c r="K222" t="s">
        <v>1205</v>
      </c>
      <c r="N222" t="s">
        <v>1461</v>
      </c>
      <c r="S222" t="s">
        <v>187</v>
      </c>
      <c r="T222" t="s">
        <v>188</v>
      </c>
      <c r="U222" t="s">
        <v>1206</v>
      </c>
      <c r="W222" t="b">
        <v>0</v>
      </c>
    </row>
    <row r="223" spans="1:23" x14ac:dyDescent="0.25">
      <c r="A223" s="2">
        <v>45938.623796296299</v>
      </c>
      <c r="B223" t="s">
        <v>1209</v>
      </c>
      <c r="C223" t="s">
        <v>1584</v>
      </c>
      <c r="F223" t="s">
        <v>54</v>
      </c>
      <c r="K223" t="s">
        <v>1210</v>
      </c>
      <c r="N223" t="s">
        <v>1461</v>
      </c>
      <c r="S223" t="s">
        <v>187</v>
      </c>
      <c r="T223" t="s">
        <v>68</v>
      </c>
      <c r="U223" t="s">
        <v>1211</v>
      </c>
      <c r="W223" t="b">
        <v>1</v>
      </c>
    </row>
    <row r="224" spans="1:23" x14ac:dyDescent="0.25">
      <c r="A224" s="2">
        <v>45944.822557870371</v>
      </c>
      <c r="B224" t="s">
        <v>1214</v>
      </c>
      <c r="C224" t="s">
        <v>1585</v>
      </c>
      <c r="F224" t="s">
        <v>84</v>
      </c>
      <c r="K224" t="s">
        <v>1215</v>
      </c>
      <c r="N224" t="s">
        <v>1461</v>
      </c>
      <c r="S224" t="s">
        <v>187</v>
      </c>
      <c r="T224" t="s">
        <v>61</v>
      </c>
      <c r="U224" t="s">
        <v>1216</v>
      </c>
      <c r="W224" t="b">
        <v>0</v>
      </c>
    </row>
    <row r="225" spans="1:23" x14ac:dyDescent="0.25">
      <c r="A225" s="2">
        <v>45945.508946759262</v>
      </c>
      <c r="B225" t="s">
        <v>1219</v>
      </c>
      <c r="C225" t="s">
        <v>1586</v>
      </c>
      <c r="F225" t="s">
        <v>84</v>
      </c>
      <c r="K225" t="s">
        <v>1220</v>
      </c>
      <c r="N225" t="s">
        <v>1461</v>
      </c>
      <c r="S225" t="s">
        <v>187</v>
      </c>
      <c r="T225" t="s">
        <v>61</v>
      </c>
      <c r="U225" t="s">
        <v>1221</v>
      </c>
      <c r="W225" t="b">
        <v>0</v>
      </c>
    </row>
    <row r="226" spans="1:23" x14ac:dyDescent="0.25">
      <c r="A226" s="2">
        <v>45945.508946759262</v>
      </c>
      <c r="B226" t="s">
        <v>1224</v>
      </c>
      <c r="C226" t="s">
        <v>1461</v>
      </c>
      <c r="K226">
        <v>15000111405133</v>
      </c>
      <c r="N226" t="s">
        <v>1461</v>
      </c>
      <c r="S226" t="s">
        <v>393</v>
      </c>
      <c r="T226" t="s">
        <v>188</v>
      </c>
      <c r="U226" t="s">
        <v>1225</v>
      </c>
      <c r="W226" t="b">
        <v>0</v>
      </c>
    </row>
    <row r="227" spans="1:23" x14ac:dyDescent="0.25">
      <c r="A227" s="2">
        <v>45945.686354166668</v>
      </c>
      <c r="B227" t="s">
        <v>1228</v>
      </c>
      <c r="C227" t="s">
        <v>1587</v>
      </c>
      <c r="F227" t="s">
        <v>84</v>
      </c>
      <c r="K227" t="s">
        <v>1229</v>
      </c>
      <c r="N227" t="s">
        <v>1461</v>
      </c>
      <c r="S227" t="s">
        <v>187</v>
      </c>
      <c r="T227" t="s">
        <v>61</v>
      </c>
      <c r="U227" t="s">
        <v>1230</v>
      </c>
      <c r="W227" t="b">
        <v>1</v>
      </c>
    </row>
    <row r="228" spans="1:23" x14ac:dyDescent="0.25">
      <c r="A228" s="2">
        <v>45945.686354166668</v>
      </c>
      <c r="B228" t="s">
        <v>1233</v>
      </c>
      <c r="C228" t="s">
        <v>1588</v>
      </c>
      <c r="F228" t="s">
        <v>54</v>
      </c>
      <c r="K228" t="s">
        <v>1234</v>
      </c>
      <c r="N228" t="s">
        <v>1461</v>
      </c>
      <c r="S228" t="s">
        <v>187</v>
      </c>
      <c r="T228" t="s">
        <v>68</v>
      </c>
      <c r="U228" t="s">
        <v>1235</v>
      </c>
      <c r="W228" t="b">
        <v>0</v>
      </c>
    </row>
    <row r="229" spans="1:23" x14ac:dyDescent="0.25">
      <c r="A229" s="2">
        <v>45945.686354166668</v>
      </c>
      <c r="B229" t="s">
        <v>1238</v>
      </c>
      <c r="C229" t="s">
        <v>1589</v>
      </c>
      <c r="F229" t="s">
        <v>54</v>
      </c>
      <c r="K229" t="s">
        <v>1239</v>
      </c>
      <c r="N229" t="s">
        <v>1461</v>
      </c>
      <c r="S229" t="s">
        <v>187</v>
      </c>
      <c r="T229" t="s">
        <v>68</v>
      </c>
      <c r="U229" t="s">
        <v>1240</v>
      </c>
      <c r="W229" t="b">
        <v>0</v>
      </c>
    </row>
    <row r="230" spans="1:23" x14ac:dyDescent="0.25">
      <c r="A230" s="2">
        <v>45945.686354166668</v>
      </c>
      <c r="B230" t="s">
        <v>1243</v>
      </c>
      <c r="C230" t="s">
        <v>1590</v>
      </c>
      <c r="F230" t="s">
        <v>54</v>
      </c>
      <c r="K230" t="s">
        <v>1244</v>
      </c>
      <c r="N230" t="s">
        <v>1461</v>
      </c>
      <c r="S230" t="s">
        <v>187</v>
      </c>
      <c r="T230" t="s">
        <v>61</v>
      </c>
      <c r="U230" t="s">
        <v>1245</v>
      </c>
      <c r="W230" t="b">
        <v>1</v>
      </c>
    </row>
    <row r="231" spans="1:23" x14ac:dyDescent="0.25">
      <c r="A231" s="2">
        <v>45945.686354166668</v>
      </c>
      <c r="B231" t="s">
        <v>1248</v>
      </c>
      <c r="C231" t="s">
        <v>1591</v>
      </c>
      <c r="F231" t="s">
        <v>54</v>
      </c>
      <c r="K231" t="s">
        <v>1249</v>
      </c>
      <c r="N231" t="s">
        <v>1461</v>
      </c>
      <c r="S231" t="s">
        <v>187</v>
      </c>
      <c r="T231" t="s">
        <v>61</v>
      </c>
      <c r="U231" t="s">
        <v>1250</v>
      </c>
      <c r="W231" t="b">
        <v>1</v>
      </c>
    </row>
    <row r="232" spans="1:23" x14ac:dyDescent="0.25">
      <c r="A232" s="2">
        <v>45945.686354166668</v>
      </c>
      <c r="B232" t="s">
        <v>1253</v>
      </c>
      <c r="C232" t="s">
        <v>1592</v>
      </c>
      <c r="K232" t="s">
        <v>1254</v>
      </c>
      <c r="N232" t="s">
        <v>1461</v>
      </c>
      <c r="S232" t="s">
        <v>187</v>
      </c>
      <c r="T232" t="s">
        <v>188</v>
      </c>
      <c r="U232" t="s">
        <v>1255</v>
      </c>
      <c r="W232" t="b">
        <v>0</v>
      </c>
    </row>
    <row r="233" spans="1:23" x14ac:dyDescent="0.25">
      <c r="A233" s="2">
        <v>45945.686354166668</v>
      </c>
      <c r="B233" t="s">
        <v>1258</v>
      </c>
      <c r="C233" t="s">
        <v>1593</v>
      </c>
      <c r="K233" t="s">
        <v>1259</v>
      </c>
      <c r="N233" t="s">
        <v>1461</v>
      </c>
      <c r="S233" t="s">
        <v>187</v>
      </c>
      <c r="T233" t="s">
        <v>188</v>
      </c>
      <c r="U233" t="s">
        <v>1260</v>
      </c>
      <c r="W233" t="b">
        <v>0</v>
      </c>
    </row>
    <row r="234" spans="1:23" x14ac:dyDescent="0.25">
      <c r="A234" s="2">
        <v>45949.885833333334</v>
      </c>
      <c r="B234" t="s">
        <v>1263</v>
      </c>
      <c r="C234" t="s">
        <v>1594</v>
      </c>
      <c r="F234" t="s">
        <v>84</v>
      </c>
      <c r="K234" t="s">
        <v>1264</v>
      </c>
      <c r="N234" t="s">
        <v>1461</v>
      </c>
      <c r="S234" t="s">
        <v>187</v>
      </c>
      <c r="T234" t="s">
        <v>61</v>
      </c>
      <c r="U234" t="s">
        <v>1265</v>
      </c>
      <c r="W234" t="b">
        <v>1</v>
      </c>
    </row>
    <row r="235" spans="1:23" x14ac:dyDescent="0.25">
      <c r="A235" s="2">
        <v>45951.496400462966</v>
      </c>
      <c r="B235" t="s">
        <v>1268</v>
      </c>
      <c r="C235" t="s">
        <v>1595</v>
      </c>
      <c r="F235" t="s">
        <v>84</v>
      </c>
      <c r="K235" t="s">
        <v>1269</v>
      </c>
      <c r="N235" t="s">
        <v>1461</v>
      </c>
      <c r="S235" t="s">
        <v>187</v>
      </c>
      <c r="T235" t="s">
        <v>61</v>
      </c>
      <c r="U235" t="s">
        <v>1270</v>
      </c>
      <c r="W235" t="b">
        <v>1</v>
      </c>
    </row>
    <row r="236" spans="1:23" x14ac:dyDescent="0.25">
      <c r="A236" s="2">
        <v>45951.539618055554</v>
      </c>
      <c r="B236" t="s">
        <v>1273</v>
      </c>
      <c r="C236" t="s">
        <v>1596</v>
      </c>
      <c r="N236" t="s">
        <v>1461</v>
      </c>
      <c r="S236" t="s">
        <v>187</v>
      </c>
      <c r="T236" t="s">
        <v>188</v>
      </c>
      <c r="U236" t="s">
        <v>1274</v>
      </c>
      <c r="W236" t="b">
        <v>0</v>
      </c>
    </row>
    <row r="237" spans="1:23" x14ac:dyDescent="0.25">
      <c r="A237" s="2">
        <v>45951.539618055554</v>
      </c>
      <c r="B237" t="s">
        <v>1277</v>
      </c>
      <c r="C237" t="s">
        <v>1597</v>
      </c>
      <c r="F237" t="s">
        <v>54</v>
      </c>
      <c r="K237" t="s">
        <v>1278</v>
      </c>
      <c r="N237" t="s">
        <v>1461</v>
      </c>
      <c r="S237" t="s">
        <v>187</v>
      </c>
      <c r="T237" t="s">
        <v>61</v>
      </c>
      <c r="U237" t="s">
        <v>1279</v>
      </c>
      <c r="W237" t="b">
        <v>0</v>
      </c>
    </row>
    <row r="238" spans="1:23" x14ac:dyDescent="0.25">
      <c r="A238" s="2">
        <v>45957.560752314814</v>
      </c>
      <c r="B238" t="s">
        <v>1282</v>
      </c>
      <c r="C238" t="s">
        <v>1598</v>
      </c>
      <c r="F238" t="s">
        <v>54</v>
      </c>
      <c r="K238" t="s">
        <v>1283</v>
      </c>
      <c r="N238" t="s">
        <v>1461</v>
      </c>
      <c r="S238" t="s">
        <v>187</v>
      </c>
      <c r="T238" t="s">
        <v>68</v>
      </c>
      <c r="U238" t="s">
        <v>1284</v>
      </c>
      <c r="W238" t="b">
        <v>1</v>
      </c>
    </row>
    <row r="239" spans="1:23" x14ac:dyDescent="0.25">
      <c r="A239" s="2">
        <v>45957.560752314814</v>
      </c>
      <c r="B239" t="s">
        <v>1287</v>
      </c>
      <c r="C239" t="s">
        <v>1599</v>
      </c>
      <c r="K239" t="s">
        <v>1288</v>
      </c>
      <c r="N239" t="s">
        <v>1461</v>
      </c>
      <c r="S239" t="s">
        <v>187</v>
      </c>
      <c r="T239" t="s">
        <v>188</v>
      </c>
      <c r="U239" t="s">
        <v>1289</v>
      </c>
      <c r="W239" t="b">
        <v>0</v>
      </c>
    </row>
    <row r="240" spans="1:23" x14ac:dyDescent="0.25">
      <c r="A240" s="2">
        <v>45962.660393518519</v>
      </c>
      <c r="B240" t="s">
        <v>1292</v>
      </c>
      <c r="C240" t="s">
        <v>1600</v>
      </c>
      <c r="F240" t="s">
        <v>84</v>
      </c>
      <c r="K240" t="s">
        <v>1293</v>
      </c>
      <c r="N240" t="s">
        <v>1461</v>
      </c>
      <c r="S240" t="s">
        <v>187</v>
      </c>
      <c r="T240" t="s">
        <v>61</v>
      </c>
      <c r="U240" t="s">
        <v>1294</v>
      </c>
      <c r="W240" t="b">
        <v>1</v>
      </c>
    </row>
    <row r="241" spans="1:23" x14ac:dyDescent="0.25">
      <c r="A241" s="2">
        <v>45964.703101851854</v>
      </c>
      <c r="B241" t="s">
        <v>1297</v>
      </c>
      <c r="C241" t="s">
        <v>1461</v>
      </c>
      <c r="F241" t="s">
        <v>54</v>
      </c>
      <c r="K241" t="s">
        <v>1298</v>
      </c>
      <c r="N241" t="s">
        <v>1461</v>
      </c>
      <c r="S241" t="s">
        <v>523</v>
      </c>
      <c r="T241" t="s">
        <v>61</v>
      </c>
      <c r="U241" t="s">
        <v>1299</v>
      </c>
      <c r="W241" t="b">
        <v>0</v>
      </c>
    </row>
    <row r="242" spans="1:23" x14ac:dyDescent="0.25">
      <c r="A242" s="2">
        <v>45964.703101851854</v>
      </c>
      <c r="B242" t="s">
        <v>1302</v>
      </c>
      <c r="C242" t="s">
        <v>1601</v>
      </c>
      <c r="F242" t="s">
        <v>54</v>
      </c>
      <c r="K242" t="s">
        <v>1303</v>
      </c>
      <c r="N242" t="s">
        <v>1461</v>
      </c>
      <c r="S242" t="s">
        <v>187</v>
      </c>
      <c r="T242" t="s">
        <v>61</v>
      </c>
      <c r="U242" t="s">
        <v>1304</v>
      </c>
      <c r="W242" t="b">
        <v>0</v>
      </c>
    </row>
    <row r="243" spans="1:23" x14ac:dyDescent="0.25">
      <c r="A243" s="2">
        <v>45964.706377314818</v>
      </c>
      <c r="B243" t="s">
        <v>1307</v>
      </c>
      <c r="C243" t="s">
        <v>1602</v>
      </c>
      <c r="F243" t="s">
        <v>54</v>
      </c>
      <c r="K243" t="s">
        <v>1308</v>
      </c>
      <c r="N243" t="s">
        <v>1461</v>
      </c>
      <c r="S243" t="s">
        <v>187</v>
      </c>
      <c r="T243" t="s">
        <v>61</v>
      </c>
      <c r="U243" t="s">
        <v>1309</v>
      </c>
      <c r="W243" t="b">
        <v>0</v>
      </c>
    </row>
    <row r="244" spans="1:23" x14ac:dyDescent="0.25">
      <c r="A244" s="2">
        <v>45966.518333333333</v>
      </c>
      <c r="B244" t="s">
        <v>1312</v>
      </c>
      <c r="C244" t="s">
        <v>1313</v>
      </c>
      <c r="F244" t="s">
        <v>54</v>
      </c>
      <c r="K244" t="s">
        <v>1314</v>
      </c>
      <c r="N244" t="s">
        <v>1461</v>
      </c>
      <c r="S244" t="s">
        <v>393</v>
      </c>
      <c r="T244" t="s">
        <v>61</v>
      </c>
      <c r="U244" t="s">
        <v>1315</v>
      </c>
      <c r="W244" t="b">
        <v>0</v>
      </c>
    </row>
    <row r="245" spans="1:23" x14ac:dyDescent="0.25">
      <c r="A245" s="2">
        <v>45966.581423611111</v>
      </c>
      <c r="B245" t="s">
        <v>1318</v>
      </c>
      <c r="C245" t="s">
        <v>1603</v>
      </c>
      <c r="F245" t="s">
        <v>84</v>
      </c>
      <c r="K245" t="s">
        <v>1319</v>
      </c>
      <c r="N245" t="s">
        <v>1461</v>
      </c>
      <c r="S245" t="s">
        <v>187</v>
      </c>
      <c r="T245" t="s">
        <v>61</v>
      </c>
      <c r="U245" t="s">
        <v>1320</v>
      </c>
      <c r="W245" t="b">
        <v>1</v>
      </c>
    </row>
    <row r="246" spans="1:23" x14ac:dyDescent="0.25">
      <c r="A246" s="2">
        <v>45966.581423611111</v>
      </c>
      <c r="B246" t="s">
        <v>1323</v>
      </c>
      <c r="C246" t="s">
        <v>1604</v>
      </c>
      <c r="K246" t="s">
        <v>1324</v>
      </c>
      <c r="N246" t="s">
        <v>1461</v>
      </c>
      <c r="S246" t="s">
        <v>187</v>
      </c>
      <c r="T246" t="s">
        <v>188</v>
      </c>
      <c r="U246" t="s">
        <v>1325</v>
      </c>
      <c r="W246" t="b">
        <v>0</v>
      </c>
    </row>
    <row r="247" spans="1:23" x14ac:dyDescent="0.25">
      <c r="A247" s="2">
        <v>45966.581423611111</v>
      </c>
      <c r="B247" t="s">
        <v>1328</v>
      </c>
      <c r="C247" t="s">
        <v>1605</v>
      </c>
      <c r="F247" t="s">
        <v>54</v>
      </c>
      <c r="K247" t="s">
        <v>1329</v>
      </c>
      <c r="N247" t="s">
        <v>1461</v>
      </c>
      <c r="S247" t="s">
        <v>187</v>
      </c>
      <c r="T247" t="s">
        <v>61</v>
      </c>
      <c r="U247" t="s">
        <v>1330</v>
      </c>
      <c r="W247" t="b">
        <v>1</v>
      </c>
    </row>
    <row r="248" spans="1:23" x14ac:dyDescent="0.25">
      <c r="A248" s="2">
        <v>45966.581423611111</v>
      </c>
      <c r="B248" t="s">
        <v>1333</v>
      </c>
      <c r="C248" t="s">
        <v>1461</v>
      </c>
      <c r="K248" t="s">
        <v>1334</v>
      </c>
      <c r="N248" t="s">
        <v>1461</v>
      </c>
      <c r="S248" t="s">
        <v>187</v>
      </c>
      <c r="T248" t="s">
        <v>458</v>
      </c>
      <c r="U248" t="s">
        <v>1335</v>
      </c>
      <c r="W248" t="b">
        <v>0</v>
      </c>
    </row>
    <row r="249" spans="1:23" x14ac:dyDescent="0.25">
      <c r="A249" s="2">
        <v>45966.713090277779</v>
      </c>
      <c r="B249" t="s">
        <v>1338</v>
      </c>
      <c r="C249" t="s">
        <v>1606</v>
      </c>
      <c r="K249" t="s">
        <v>1339</v>
      </c>
      <c r="N249" t="s">
        <v>1461</v>
      </c>
      <c r="S249" t="s">
        <v>187</v>
      </c>
      <c r="T249" t="s">
        <v>188</v>
      </c>
      <c r="U249" t="s">
        <v>1340</v>
      </c>
      <c r="W249" t="b">
        <v>0</v>
      </c>
    </row>
    <row r="250" spans="1:23" x14ac:dyDescent="0.25">
      <c r="A250" s="2">
        <v>45967.622766203705</v>
      </c>
      <c r="B250" t="s">
        <v>1343</v>
      </c>
      <c r="C250" t="s">
        <v>1607</v>
      </c>
      <c r="F250" t="s">
        <v>54</v>
      </c>
      <c r="K250" t="s">
        <v>1344</v>
      </c>
      <c r="N250" t="s">
        <v>1461</v>
      </c>
      <c r="S250" t="s">
        <v>187</v>
      </c>
      <c r="T250" t="s">
        <v>61</v>
      </c>
      <c r="U250" t="s">
        <v>1345</v>
      </c>
      <c r="W250" t="b">
        <v>1</v>
      </c>
    </row>
    <row r="251" spans="1:23" x14ac:dyDescent="0.25">
      <c r="A251" s="2">
        <v>45967.622766203705</v>
      </c>
      <c r="B251" t="s">
        <v>1348</v>
      </c>
      <c r="C251" t="s">
        <v>1608</v>
      </c>
      <c r="F251" t="s">
        <v>54</v>
      </c>
      <c r="K251" t="s">
        <v>1349</v>
      </c>
      <c r="N251" t="s">
        <v>1461</v>
      </c>
      <c r="S251" t="s">
        <v>187</v>
      </c>
      <c r="T251" t="s">
        <v>61</v>
      </c>
      <c r="U251" t="s">
        <v>1350</v>
      </c>
      <c r="W251" t="b">
        <v>1</v>
      </c>
    </row>
    <row r="252" spans="1:23" x14ac:dyDescent="0.25">
      <c r="A252" s="2">
        <v>45967.622766203705</v>
      </c>
      <c r="B252" t="s">
        <v>1353</v>
      </c>
      <c r="C252" t="s">
        <v>1609</v>
      </c>
      <c r="F252" t="s">
        <v>54</v>
      </c>
      <c r="K252" t="s">
        <v>1354</v>
      </c>
      <c r="N252" t="s">
        <v>1461</v>
      </c>
      <c r="S252" t="s">
        <v>187</v>
      </c>
      <c r="T252" t="s">
        <v>61</v>
      </c>
      <c r="U252" t="s">
        <v>1355</v>
      </c>
      <c r="W252" t="b">
        <v>1</v>
      </c>
    </row>
    <row r="253" spans="1:23" x14ac:dyDescent="0.25">
      <c r="A253" s="2">
        <v>45967.622766203705</v>
      </c>
      <c r="B253" t="s">
        <v>1358</v>
      </c>
      <c r="C253" t="s">
        <v>1610</v>
      </c>
      <c r="F253" t="s">
        <v>54</v>
      </c>
      <c r="K253" t="s">
        <v>1359</v>
      </c>
      <c r="N253" t="s">
        <v>1461</v>
      </c>
      <c r="S253" t="s">
        <v>187</v>
      </c>
      <c r="T253" t="s">
        <v>61</v>
      </c>
      <c r="U253" t="s">
        <v>1360</v>
      </c>
      <c r="W253" t="b">
        <v>1</v>
      </c>
    </row>
    <row r="254" spans="1:23" x14ac:dyDescent="0.25">
      <c r="A254" s="2">
        <v>45967.770127314812</v>
      </c>
      <c r="B254" t="s">
        <v>1363</v>
      </c>
      <c r="C254" t="s">
        <v>1611</v>
      </c>
      <c r="F254" t="s">
        <v>84</v>
      </c>
      <c r="K254" t="s">
        <v>1364</v>
      </c>
      <c r="N254" t="s">
        <v>1461</v>
      </c>
      <c r="S254" t="s">
        <v>187</v>
      </c>
      <c r="T254" t="s">
        <v>61</v>
      </c>
      <c r="U254" t="s">
        <v>1365</v>
      </c>
      <c r="W254" t="b">
        <v>1</v>
      </c>
    </row>
    <row r="255" spans="1:23" x14ac:dyDescent="0.25">
      <c r="A255" s="2">
        <v>45968.538252314815</v>
      </c>
      <c r="B255" t="s">
        <v>1368</v>
      </c>
      <c r="C255" t="s">
        <v>1612</v>
      </c>
      <c r="N255" t="s">
        <v>1461</v>
      </c>
      <c r="S255" t="s">
        <v>187</v>
      </c>
      <c r="T255" t="s">
        <v>188</v>
      </c>
      <c r="U255" t="s">
        <v>1369</v>
      </c>
      <c r="W255" t="b">
        <v>0</v>
      </c>
    </row>
    <row r="256" spans="1:23" x14ac:dyDescent="0.25">
      <c r="A256" s="2">
        <v>45968.538252314815</v>
      </c>
      <c r="B256" t="s">
        <v>1372</v>
      </c>
      <c r="C256" t="s">
        <v>1613</v>
      </c>
      <c r="F256" t="s">
        <v>54</v>
      </c>
      <c r="N256" t="s">
        <v>1461</v>
      </c>
      <c r="S256" t="s">
        <v>187</v>
      </c>
      <c r="T256" t="s">
        <v>68</v>
      </c>
      <c r="U256" t="s">
        <v>1373</v>
      </c>
      <c r="W256" t="b">
        <v>0</v>
      </c>
    </row>
    <row r="257" spans="1:23" x14ac:dyDescent="0.25">
      <c r="A257" s="2">
        <v>45968.538252314815</v>
      </c>
      <c r="B257" t="s">
        <v>1376</v>
      </c>
      <c r="C257" t="s">
        <v>1614</v>
      </c>
      <c r="F257" t="s">
        <v>54</v>
      </c>
      <c r="N257" t="s">
        <v>1461</v>
      </c>
      <c r="S257" t="s">
        <v>187</v>
      </c>
      <c r="T257" t="s">
        <v>68</v>
      </c>
      <c r="U257" t="s">
        <v>1377</v>
      </c>
      <c r="W257" t="b">
        <v>0</v>
      </c>
    </row>
    <row r="258" spans="1:23" x14ac:dyDescent="0.25">
      <c r="A258" s="2">
        <v>45968.538252314815</v>
      </c>
      <c r="B258" t="s">
        <v>1380</v>
      </c>
      <c r="C258" t="s">
        <v>1615</v>
      </c>
      <c r="N258" t="s">
        <v>1461</v>
      </c>
      <c r="S258" t="s">
        <v>187</v>
      </c>
      <c r="T258" t="s">
        <v>188</v>
      </c>
      <c r="U258" t="s">
        <v>1381</v>
      </c>
      <c r="W258" t="b">
        <v>0</v>
      </c>
    </row>
    <row r="259" spans="1:23" x14ac:dyDescent="0.25">
      <c r="A259" s="2">
        <v>45968.538252314815</v>
      </c>
      <c r="B259" t="s">
        <v>1384</v>
      </c>
      <c r="C259" t="s">
        <v>1616</v>
      </c>
      <c r="F259" t="s">
        <v>54</v>
      </c>
      <c r="N259" t="s">
        <v>1461</v>
      </c>
      <c r="S259" t="s">
        <v>187</v>
      </c>
      <c r="T259" t="s">
        <v>68</v>
      </c>
      <c r="U259" t="s">
        <v>1385</v>
      </c>
      <c r="W259" t="b">
        <v>0</v>
      </c>
    </row>
    <row r="260" spans="1:23" x14ac:dyDescent="0.25">
      <c r="A260" s="2">
        <v>45968.538252314815</v>
      </c>
      <c r="B260" t="s">
        <v>1388</v>
      </c>
      <c r="C260" t="s">
        <v>1617</v>
      </c>
      <c r="N260" t="s">
        <v>1461</v>
      </c>
      <c r="S260" t="s">
        <v>187</v>
      </c>
      <c r="T260" t="s">
        <v>188</v>
      </c>
      <c r="U260" t="s">
        <v>1389</v>
      </c>
      <c r="W260" t="b">
        <v>0</v>
      </c>
    </row>
    <row r="261" spans="1:23" x14ac:dyDescent="0.25">
      <c r="A261" s="2">
        <v>45968.538252314815</v>
      </c>
      <c r="B261" t="s">
        <v>1392</v>
      </c>
      <c r="C261" t="s">
        <v>1618</v>
      </c>
      <c r="N261" t="s">
        <v>1461</v>
      </c>
      <c r="S261" t="s">
        <v>187</v>
      </c>
      <c r="T261" t="s">
        <v>188</v>
      </c>
      <c r="U261" t="s">
        <v>1393</v>
      </c>
      <c r="W261" t="b">
        <v>0</v>
      </c>
    </row>
    <row r="262" spans="1:23" x14ac:dyDescent="0.25">
      <c r="A262" s="2">
        <v>45968.538252314815</v>
      </c>
      <c r="B262" t="s">
        <v>1396</v>
      </c>
      <c r="C262" t="s">
        <v>1619</v>
      </c>
      <c r="N262" t="s">
        <v>1461</v>
      </c>
      <c r="S262" t="s">
        <v>187</v>
      </c>
      <c r="T262" t="s">
        <v>188</v>
      </c>
      <c r="U262" t="s">
        <v>1397</v>
      </c>
      <c r="W262" t="b">
        <v>0</v>
      </c>
    </row>
    <row r="263" spans="1:23" x14ac:dyDescent="0.25">
      <c r="A263" s="2">
        <v>45968.538252314815</v>
      </c>
      <c r="B263" t="s">
        <v>1400</v>
      </c>
      <c r="C263" t="s">
        <v>1620</v>
      </c>
      <c r="N263" t="s">
        <v>1461</v>
      </c>
      <c r="S263" t="s">
        <v>187</v>
      </c>
      <c r="T263" t="s">
        <v>188</v>
      </c>
      <c r="U263" t="s">
        <v>1401</v>
      </c>
      <c r="W263" t="b">
        <v>0</v>
      </c>
    </row>
    <row r="264" spans="1:23" x14ac:dyDescent="0.25">
      <c r="A264" s="2">
        <v>45968.538252314815</v>
      </c>
      <c r="B264" t="s">
        <v>1404</v>
      </c>
      <c r="C264" t="s">
        <v>1621</v>
      </c>
      <c r="N264" t="s">
        <v>1461</v>
      </c>
      <c r="S264" t="s">
        <v>187</v>
      </c>
      <c r="T264" t="s">
        <v>188</v>
      </c>
      <c r="U264" t="s">
        <v>1405</v>
      </c>
      <c r="W264" t="b">
        <v>0</v>
      </c>
    </row>
    <row r="265" spans="1:23" x14ac:dyDescent="0.25">
      <c r="A265" s="2">
        <v>45968.538252314815</v>
      </c>
      <c r="B265" t="s">
        <v>1408</v>
      </c>
      <c r="C265" t="s">
        <v>1622</v>
      </c>
      <c r="N265" t="s">
        <v>1461</v>
      </c>
      <c r="S265" t="s">
        <v>187</v>
      </c>
      <c r="T265" t="s">
        <v>188</v>
      </c>
      <c r="U265" t="s">
        <v>1409</v>
      </c>
      <c r="W265" t="b">
        <v>0</v>
      </c>
    </row>
    <row r="266" spans="1:23" x14ac:dyDescent="0.25">
      <c r="A266" s="2">
        <v>45968.538252314815</v>
      </c>
      <c r="B266" t="s">
        <v>1412</v>
      </c>
      <c r="C266" t="s">
        <v>1623</v>
      </c>
      <c r="N266" t="s">
        <v>1461</v>
      </c>
      <c r="S266" t="s">
        <v>187</v>
      </c>
      <c r="T266" t="s">
        <v>188</v>
      </c>
      <c r="U266" t="s">
        <v>1413</v>
      </c>
      <c r="W266" t="b">
        <v>0</v>
      </c>
    </row>
    <row r="267" spans="1:23" x14ac:dyDescent="0.25">
      <c r="A267" s="2">
        <v>45968.538252314815</v>
      </c>
      <c r="B267" t="s">
        <v>1416</v>
      </c>
      <c r="C267" t="s">
        <v>1624</v>
      </c>
      <c r="N267" t="s">
        <v>1461</v>
      </c>
      <c r="S267" t="s">
        <v>187</v>
      </c>
      <c r="T267" t="s">
        <v>188</v>
      </c>
      <c r="U267" t="s">
        <v>1417</v>
      </c>
      <c r="W267" t="b">
        <v>0</v>
      </c>
    </row>
    <row r="268" spans="1:23" x14ac:dyDescent="0.25">
      <c r="A268" s="2">
        <v>45968.538252314815</v>
      </c>
      <c r="B268" t="s">
        <v>1420</v>
      </c>
      <c r="C268" t="s">
        <v>1625</v>
      </c>
      <c r="F268" t="s">
        <v>84</v>
      </c>
      <c r="N268" t="s">
        <v>1461</v>
      </c>
      <c r="S268" t="s">
        <v>187</v>
      </c>
      <c r="T268" t="s">
        <v>68</v>
      </c>
      <c r="U268" t="s">
        <v>1421</v>
      </c>
      <c r="W268" t="b">
        <v>0</v>
      </c>
    </row>
    <row r="269" spans="1:23" x14ac:dyDescent="0.25">
      <c r="A269" s="2">
        <v>45968.538252314815</v>
      </c>
      <c r="B269" t="s">
        <v>1424</v>
      </c>
      <c r="C269" t="s">
        <v>1626</v>
      </c>
      <c r="N269" t="s">
        <v>1461</v>
      </c>
      <c r="S269" t="s">
        <v>187</v>
      </c>
      <c r="T269" t="s">
        <v>188</v>
      </c>
      <c r="U269" t="s">
        <v>1425</v>
      </c>
      <c r="W269" t="b">
        <v>0</v>
      </c>
    </row>
    <row r="270" spans="1:23" x14ac:dyDescent="0.25">
      <c r="A270" s="2">
        <v>45968.538252314815</v>
      </c>
      <c r="B270" t="s">
        <v>1428</v>
      </c>
      <c r="C270" t="s">
        <v>1627</v>
      </c>
      <c r="F270" t="s">
        <v>54</v>
      </c>
      <c r="N270" t="s">
        <v>1461</v>
      </c>
      <c r="S270" t="s">
        <v>187</v>
      </c>
      <c r="T270" t="s">
        <v>68</v>
      </c>
      <c r="U270" t="s">
        <v>1429</v>
      </c>
      <c r="W270" t="b">
        <v>0</v>
      </c>
    </row>
    <row r="271" spans="1:23" x14ac:dyDescent="0.25">
      <c r="A271" s="2">
        <v>45968.538252314815</v>
      </c>
      <c r="B271" t="s">
        <v>1432</v>
      </c>
      <c r="C271" t="s">
        <v>1628</v>
      </c>
      <c r="N271" t="s">
        <v>1461</v>
      </c>
      <c r="S271" t="s">
        <v>187</v>
      </c>
      <c r="T271" t="s">
        <v>188</v>
      </c>
      <c r="U271" t="s">
        <v>1433</v>
      </c>
      <c r="W271" t="b">
        <v>0</v>
      </c>
    </row>
    <row r="272" spans="1:23" x14ac:dyDescent="0.25">
      <c r="A272" s="2">
        <v>45968.538252314815</v>
      </c>
      <c r="B272" t="s">
        <v>1436</v>
      </c>
      <c r="C272" t="s">
        <v>1629</v>
      </c>
      <c r="N272" t="s">
        <v>1461</v>
      </c>
      <c r="S272" t="s">
        <v>187</v>
      </c>
      <c r="T272" t="s">
        <v>188</v>
      </c>
      <c r="U272" t="s">
        <v>1437</v>
      </c>
      <c r="W272" t="b">
        <v>0</v>
      </c>
    </row>
    <row r="273" spans="1:23" x14ac:dyDescent="0.25">
      <c r="A273" s="2">
        <v>45968.538252314815</v>
      </c>
      <c r="B273" t="s">
        <v>1440</v>
      </c>
      <c r="C273" t="s">
        <v>1630</v>
      </c>
      <c r="N273" t="s">
        <v>1461</v>
      </c>
      <c r="S273" t="s">
        <v>187</v>
      </c>
      <c r="T273" t="s">
        <v>188</v>
      </c>
      <c r="U273" t="s">
        <v>1441</v>
      </c>
      <c r="W273" t="b">
        <v>0</v>
      </c>
    </row>
    <row r="274" spans="1:23" x14ac:dyDescent="0.25">
      <c r="A274" s="2">
        <v>45968.538252314815</v>
      </c>
      <c r="B274" t="s">
        <v>1444</v>
      </c>
      <c r="C274" t="s">
        <v>1631</v>
      </c>
      <c r="F274" t="s">
        <v>54</v>
      </c>
      <c r="N274" t="s">
        <v>1461</v>
      </c>
      <c r="S274" t="s">
        <v>187</v>
      </c>
      <c r="T274" t="s">
        <v>68</v>
      </c>
      <c r="U274" t="s">
        <v>1445</v>
      </c>
      <c r="W274" t="b">
        <v>0</v>
      </c>
    </row>
    <row r="275" spans="1:23" x14ac:dyDescent="0.25">
      <c r="A275" s="2">
        <v>45968.538252314815</v>
      </c>
      <c r="B275" t="s">
        <v>1448</v>
      </c>
      <c r="C275" t="s">
        <v>1632</v>
      </c>
      <c r="N275" t="s">
        <v>1461</v>
      </c>
      <c r="S275" t="s">
        <v>187</v>
      </c>
      <c r="T275" t="s">
        <v>188</v>
      </c>
      <c r="U275" t="s">
        <v>1449</v>
      </c>
      <c r="W275" t="b">
        <v>0</v>
      </c>
    </row>
    <row r="276" spans="1:23" x14ac:dyDescent="0.25">
      <c r="A276" s="2">
        <v>45968.538252314815</v>
      </c>
      <c r="B276" t="s">
        <v>1452</v>
      </c>
      <c r="C276" t="s">
        <v>1633</v>
      </c>
      <c r="F276" t="s">
        <v>54</v>
      </c>
      <c r="N276" t="s">
        <v>1461</v>
      </c>
      <c r="S276" t="s">
        <v>187</v>
      </c>
      <c r="T276" t="s">
        <v>68</v>
      </c>
      <c r="U276" t="s">
        <v>1453</v>
      </c>
      <c r="W276" t="b">
        <v>0</v>
      </c>
    </row>
    <row r="277" spans="1:23" x14ac:dyDescent="0.25">
      <c r="A277" s="2">
        <v>45971.582303240742</v>
      </c>
      <c r="B277" t="s">
        <v>1456</v>
      </c>
      <c r="C277" t="s">
        <v>1461</v>
      </c>
      <c r="S277" t="s">
        <v>187</v>
      </c>
      <c r="T277" t="s">
        <v>458</v>
      </c>
      <c r="U277" t="s">
        <v>1457</v>
      </c>
      <c r="W277" t="b">
        <v>0</v>
      </c>
    </row>
  </sheetData>
  <autoFilter ref="A1:AA277" xr:uid="{00000000-0001-0000-00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03B2E-EFBA-4FCD-899A-4A1547064D72}">
  <dimension ref="A1:AC280"/>
  <sheetViews>
    <sheetView topLeftCell="G65" workbookViewId="0">
      <selection activeCell="K2" sqref="K2:L65"/>
    </sheetView>
  </sheetViews>
  <sheetFormatPr defaultRowHeight="15" x14ac:dyDescent="0.25"/>
  <cols>
    <col min="1" max="1" width="15.85546875" bestFit="1" customWidth="1"/>
    <col min="2" max="2" width="80.42578125" bestFit="1" customWidth="1"/>
    <col min="6" max="6" width="26.28515625" bestFit="1" customWidth="1"/>
    <col min="15" max="15" width="10" bestFit="1" customWidth="1"/>
    <col min="23" max="23" width="39.140625" bestFit="1" customWidth="1"/>
    <col min="24" max="24" width="39.5703125" bestFit="1" customWidth="1"/>
  </cols>
  <sheetData>
    <row r="1" spans="1:29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C1" t="b">
        <v>1</v>
      </c>
    </row>
    <row r="2" spans="1:29" x14ac:dyDescent="0.25">
      <c r="B2" t="str">
        <f>IF(LEN(F2)=10,0&amp;F2,""&amp;F2)</f>
        <v>105316925</v>
      </c>
      <c r="C2" t="s">
        <v>54</v>
      </c>
      <c r="D2" t="s">
        <v>55</v>
      </c>
      <c r="F2">
        <v>105316925</v>
      </c>
      <c r="H2" t="s">
        <v>56</v>
      </c>
      <c r="P2" t="s">
        <v>57</v>
      </c>
      <c r="T2" t="s">
        <v>58</v>
      </c>
      <c r="U2" t="s">
        <v>59</v>
      </c>
      <c r="V2" t="s">
        <v>60</v>
      </c>
      <c r="X2" t="s">
        <v>61</v>
      </c>
      <c r="Z2" t="b">
        <v>0</v>
      </c>
      <c r="AA2" t="b">
        <v>0</v>
      </c>
      <c r="AB2" t="b">
        <v>1</v>
      </c>
      <c r="AC2" t="b">
        <v>0</v>
      </c>
    </row>
    <row r="3" spans="1:29" x14ac:dyDescent="0.25">
      <c r="B3" t="str">
        <f t="shared" ref="B3:B66" si="0">IF(LEN(F3)=10,0&amp;F3,""&amp;F3)</f>
        <v/>
      </c>
      <c r="C3" t="s">
        <v>54</v>
      </c>
      <c r="D3" t="s">
        <v>63</v>
      </c>
      <c r="H3" t="s">
        <v>64</v>
      </c>
      <c r="P3" s="3" t="s">
        <v>65</v>
      </c>
      <c r="T3" t="s">
        <v>66</v>
      </c>
      <c r="U3" t="s">
        <v>67</v>
      </c>
      <c r="V3" t="s">
        <v>60</v>
      </c>
      <c r="X3" t="s">
        <v>68</v>
      </c>
      <c r="Z3" t="b">
        <v>0</v>
      </c>
      <c r="AA3" t="b">
        <v>0</v>
      </c>
      <c r="AB3" t="b">
        <v>1</v>
      </c>
      <c r="AC3" t="b">
        <v>0</v>
      </c>
    </row>
    <row r="4" spans="1:29" ht="315" x14ac:dyDescent="0.25">
      <c r="B4" t="str">
        <f t="shared" si="0"/>
        <v>306282929</v>
      </c>
      <c r="C4" t="s">
        <v>54</v>
      </c>
      <c r="D4" t="s">
        <v>63</v>
      </c>
      <c r="F4">
        <v>306282929</v>
      </c>
      <c r="H4" s="4" t="s">
        <v>70</v>
      </c>
      <c r="P4" t="s">
        <v>71</v>
      </c>
      <c r="T4" t="s">
        <v>72</v>
      </c>
      <c r="U4" t="s">
        <v>73</v>
      </c>
      <c r="V4" t="s">
        <v>60</v>
      </c>
      <c r="X4" t="s">
        <v>68</v>
      </c>
      <c r="Z4" t="b">
        <v>0</v>
      </c>
      <c r="AA4" t="b">
        <v>0</v>
      </c>
      <c r="AB4" t="b">
        <v>1</v>
      </c>
      <c r="AC4" t="b">
        <v>0</v>
      </c>
    </row>
    <row r="5" spans="1:29" x14ac:dyDescent="0.25">
      <c r="B5" t="str">
        <f t="shared" si="0"/>
        <v>59002000130</v>
      </c>
      <c r="C5" t="s">
        <v>75</v>
      </c>
      <c r="D5" t="s">
        <v>55</v>
      </c>
      <c r="E5" t="s">
        <v>76</v>
      </c>
      <c r="F5">
        <v>59002000130</v>
      </c>
      <c r="G5" t="s">
        <v>77</v>
      </c>
      <c r="H5" t="s">
        <v>78</v>
      </c>
      <c r="N5" t="s">
        <v>79</v>
      </c>
      <c r="O5">
        <v>599207011</v>
      </c>
      <c r="P5" t="s">
        <v>80</v>
      </c>
      <c r="T5" t="s">
        <v>81</v>
      </c>
      <c r="U5" t="s">
        <v>82</v>
      </c>
      <c r="V5" t="s">
        <v>60</v>
      </c>
      <c r="X5" t="s">
        <v>61</v>
      </c>
      <c r="Z5" t="b">
        <v>0</v>
      </c>
      <c r="AA5" t="b">
        <v>0</v>
      </c>
      <c r="AB5" t="b">
        <v>1</v>
      </c>
      <c r="AC5" t="b">
        <v>0</v>
      </c>
    </row>
    <row r="6" spans="1:29" x14ac:dyDescent="0.25">
      <c r="B6" t="str">
        <f t="shared" si="0"/>
        <v>01027025241</v>
      </c>
      <c r="C6" t="s">
        <v>84</v>
      </c>
      <c r="D6" t="s">
        <v>55</v>
      </c>
      <c r="E6" t="s">
        <v>85</v>
      </c>
      <c r="F6">
        <v>1027025241</v>
      </c>
      <c r="G6" t="s">
        <v>86</v>
      </c>
      <c r="H6" t="s">
        <v>87</v>
      </c>
      <c r="N6" t="s">
        <v>88</v>
      </c>
      <c r="O6">
        <v>597765050</v>
      </c>
      <c r="P6" t="s">
        <v>89</v>
      </c>
      <c r="S6">
        <v>395</v>
      </c>
      <c r="T6" t="s">
        <v>90</v>
      </c>
      <c r="U6" t="s">
        <v>91</v>
      </c>
      <c r="V6" t="s">
        <v>60</v>
      </c>
      <c r="X6" t="s">
        <v>61</v>
      </c>
      <c r="Z6" t="b">
        <v>0</v>
      </c>
      <c r="AA6" t="b">
        <v>0</v>
      </c>
      <c r="AB6" t="b">
        <v>1</v>
      </c>
      <c r="AC6" t="b">
        <v>0</v>
      </c>
    </row>
    <row r="7" spans="1:29" x14ac:dyDescent="0.25">
      <c r="B7" t="str">
        <f t="shared" si="0"/>
        <v>01017023607</v>
      </c>
      <c r="C7" t="s">
        <v>84</v>
      </c>
      <c r="D7" t="s">
        <v>55</v>
      </c>
      <c r="E7" t="s">
        <v>76</v>
      </c>
      <c r="F7">
        <v>1017023607</v>
      </c>
      <c r="G7" t="s">
        <v>86</v>
      </c>
      <c r="H7" t="s">
        <v>93</v>
      </c>
      <c r="N7" t="s">
        <v>94</v>
      </c>
      <c r="O7">
        <v>598884244</v>
      </c>
      <c r="P7" t="s">
        <v>95</v>
      </c>
      <c r="S7">
        <v>503</v>
      </c>
      <c r="T7" t="s">
        <v>96</v>
      </c>
      <c r="U7" t="s">
        <v>97</v>
      </c>
      <c r="V7" t="s">
        <v>60</v>
      </c>
      <c r="X7" t="s">
        <v>61</v>
      </c>
      <c r="Z7" t="b">
        <v>0</v>
      </c>
      <c r="AA7" t="b">
        <v>0</v>
      </c>
      <c r="AB7" t="b">
        <v>1</v>
      </c>
      <c r="AC7" t="b">
        <v>0</v>
      </c>
    </row>
    <row r="8" spans="1:29" x14ac:dyDescent="0.25">
      <c r="B8" t="str">
        <f t="shared" si="0"/>
        <v>62001030230</v>
      </c>
      <c r="C8" t="s">
        <v>84</v>
      </c>
      <c r="D8" t="s">
        <v>55</v>
      </c>
      <c r="E8" t="s">
        <v>76</v>
      </c>
      <c r="F8">
        <v>62001030230</v>
      </c>
      <c r="G8" t="s">
        <v>86</v>
      </c>
      <c r="H8" t="s">
        <v>99</v>
      </c>
      <c r="N8" t="s">
        <v>100</v>
      </c>
      <c r="O8">
        <v>599385053</v>
      </c>
      <c r="P8" t="s">
        <v>101</v>
      </c>
      <c r="T8" t="s">
        <v>102</v>
      </c>
      <c r="U8" t="s">
        <v>103</v>
      </c>
      <c r="V8" t="s">
        <v>60</v>
      </c>
      <c r="X8" t="s">
        <v>61</v>
      </c>
      <c r="Z8" t="b">
        <v>0</v>
      </c>
      <c r="AA8" t="b">
        <v>0</v>
      </c>
      <c r="AB8" t="b">
        <v>1</v>
      </c>
      <c r="AC8" t="b">
        <v>0</v>
      </c>
    </row>
    <row r="9" spans="1:29" x14ac:dyDescent="0.25">
      <c r="B9" t="str">
        <f t="shared" si="0"/>
        <v>01019021033</v>
      </c>
      <c r="C9" t="s">
        <v>84</v>
      </c>
      <c r="D9" t="s">
        <v>55</v>
      </c>
      <c r="E9" t="s">
        <v>76</v>
      </c>
      <c r="F9">
        <v>1019021033</v>
      </c>
      <c r="G9" t="s">
        <v>86</v>
      </c>
      <c r="H9" t="s">
        <v>105</v>
      </c>
      <c r="N9" t="s">
        <v>106</v>
      </c>
      <c r="O9">
        <v>574404060</v>
      </c>
      <c r="P9" t="s">
        <v>107</v>
      </c>
      <c r="T9" t="s">
        <v>108</v>
      </c>
      <c r="U9" t="s">
        <v>109</v>
      </c>
      <c r="V9" t="s">
        <v>60</v>
      </c>
      <c r="X9" t="s">
        <v>61</v>
      </c>
      <c r="Z9" t="b">
        <v>0</v>
      </c>
      <c r="AA9" t="b">
        <v>0</v>
      </c>
      <c r="AB9" t="b">
        <v>1</v>
      </c>
      <c r="AC9" t="b">
        <v>0</v>
      </c>
    </row>
    <row r="10" spans="1:29" x14ac:dyDescent="0.25">
      <c r="B10" t="str">
        <f t="shared" si="0"/>
        <v>01005042868</v>
      </c>
      <c r="C10" t="s">
        <v>54</v>
      </c>
      <c r="D10" t="s">
        <v>55</v>
      </c>
      <c r="E10" t="s">
        <v>76</v>
      </c>
      <c r="F10">
        <v>1005042868</v>
      </c>
      <c r="G10" t="s">
        <v>86</v>
      </c>
      <c r="H10" t="s">
        <v>111</v>
      </c>
      <c r="N10" t="s">
        <v>112</v>
      </c>
      <c r="O10">
        <v>598001153</v>
      </c>
      <c r="P10" t="s">
        <v>113</v>
      </c>
      <c r="T10" t="s">
        <v>114</v>
      </c>
      <c r="U10" t="s">
        <v>115</v>
      </c>
      <c r="V10" t="s">
        <v>60</v>
      </c>
      <c r="X10" t="s">
        <v>61</v>
      </c>
      <c r="Z10" t="b">
        <v>0</v>
      </c>
      <c r="AA10" t="b">
        <v>0</v>
      </c>
      <c r="AB10" t="b">
        <v>1</v>
      </c>
      <c r="AC10" t="b">
        <v>0</v>
      </c>
    </row>
    <row r="11" spans="1:29" x14ac:dyDescent="0.25">
      <c r="B11" t="str">
        <f t="shared" si="0"/>
        <v>61001080225</v>
      </c>
      <c r="C11" t="s">
        <v>84</v>
      </c>
      <c r="D11" t="s">
        <v>55</v>
      </c>
      <c r="E11" t="s">
        <v>76</v>
      </c>
      <c r="F11">
        <v>61001080225</v>
      </c>
      <c r="G11" t="s">
        <v>86</v>
      </c>
      <c r="H11" t="s">
        <v>117</v>
      </c>
      <c r="N11" t="s">
        <v>118</v>
      </c>
      <c r="O11">
        <v>593949301</v>
      </c>
      <c r="P11" t="s">
        <v>119</v>
      </c>
      <c r="T11" t="s">
        <v>120</v>
      </c>
      <c r="U11" t="s">
        <v>121</v>
      </c>
      <c r="V11" t="s">
        <v>60</v>
      </c>
      <c r="X11" t="s">
        <v>61</v>
      </c>
      <c r="Z11" t="b">
        <v>0</v>
      </c>
      <c r="AA11" t="b">
        <v>0</v>
      </c>
      <c r="AB11" t="b">
        <v>1</v>
      </c>
      <c r="AC11" t="b">
        <v>0</v>
      </c>
    </row>
    <row r="12" spans="1:29" x14ac:dyDescent="0.25">
      <c r="B12" t="str">
        <f t="shared" si="0"/>
        <v>01005004678</v>
      </c>
      <c r="C12" t="s">
        <v>84</v>
      </c>
      <c r="D12" t="s">
        <v>55</v>
      </c>
      <c r="E12" t="s">
        <v>76</v>
      </c>
      <c r="F12">
        <v>1005004678</v>
      </c>
      <c r="G12" t="s">
        <v>86</v>
      </c>
      <c r="H12" t="s">
        <v>78</v>
      </c>
      <c r="N12" t="s">
        <v>123</v>
      </c>
      <c r="O12">
        <v>577771611</v>
      </c>
      <c r="P12" t="s">
        <v>124</v>
      </c>
      <c r="T12" t="s">
        <v>125</v>
      </c>
      <c r="U12" t="s">
        <v>126</v>
      </c>
      <c r="V12" t="s">
        <v>60</v>
      </c>
      <c r="X12" t="s">
        <v>61</v>
      </c>
      <c r="Z12" t="b">
        <v>0</v>
      </c>
      <c r="AA12" t="b">
        <v>0</v>
      </c>
      <c r="AB12" t="b">
        <v>1</v>
      </c>
      <c r="AC12" t="b">
        <v>0</v>
      </c>
    </row>
    <row r="13" spans="1:29" x14ac:dyDescent="0.25">
      <c r="B13" t="str">
        <f t="shared" si="0"/>
        <v>01027089575</v>
      </c>
      <c r="C13" t="s">
        <v>54</v>
      </c>
      <c r="D13" t="s">
        <v>55</v>
      </c>
      <c r="E13" t="s">
        <v>76</v>
      </c>
      <c r="F13">
        <v>1027089575</v>
      </c>
      <c r="G13" t="s">
        <v>86</v>
      </c>
      <c r="H13" t="s">
        <v>128</v>
      </c>
      <c r="N13" t="s">
        <v>129</v>
      </c>
      <c r="O13">
        <v>591222276</v>
      </c>
      <c r="P13" t="s">
        <v>130</v>
      </c>
      <c r="T13" t="s">
        <v>131</v>
      </c>
      <c r="U13" t="s">
        <v>132</v>
      </c>
      <c r="V13" t="s">
        <v>60</v>
      </c>
      <c r="X13" t="s">
        <v>61</v>
      </c>
      <c r="Z13" t="b">
        <v>0</v>
      </c>
      <c r="AA13" t="b">
        <v>0</v>
      </c>
      <c r="AB13" t="b">
        <v>1</v>
      </c>
      <c r="AC13" t="b">
        <v>0</v>
      </c>
    </row>
    <row r="14" spans="1:29" x14ac:dyDescent="0.25">
      <c r="B14" t="str">
        <f t="shared" si="0"/>
        <v>61006053512</v>
      </c>
      <c r="C14" t="s">
        <v>84</v>
      </c>
      <c r="D14" t="s">
        <v>55</v>
      </c>
      <c r="E14" t="s">
        <v>85</v>
      </c>
      <c r="F14">
        <v>61006053512</v>
      </c>
      <c r="G14" t="s">
        <v>86</v>
      </c>
      <c r="H14" t="s">
        <v>134</v>
      </c>
      <c r="N14" t="s">
        <v>135</v>
      </c>
      <c r="O14">
        <v>558132887</v>
      </c>
      <c r="P14" t="s">
        <v>136</v>
      </c>
      <c r="T14" t="s">
        <v>137</v>
      </c>
      <c r="U14" t="s">
        <v>138</v>
      </c>
      <c r="V14" t="s">
        <v>60</v>
      </c>
      <c r="X14" t="s">
        <v>61</v>
      </c>
      <c r="Z14" t="b">
        <v>0</v>
      </c>
      <c r="AA14" t="b">
        <v>0</v>
      </c>
      <c r="AB14" t="b">
        <v>1</v>
      </c>
      <c r="AC14" t="b">
        <v>0</v>
      </c>
    </row>
    <row r="15" spans="1:29" x14ac:dyDescent="0.25">
      <c r="B15" t="str">
        <f t="shared" si="0"/>
        <v>61004066717</v>
      </c>
      <c r="C15" t="s">
        <v>54</v>
      </c>
      <c r="D15" t="s">
        <v>55</v>
      </c>
      <c r="E15" t="s">
        <v>76</v>
      </c>
      <c r="F15">
        <v>61004066717</v>
      </c>
      <c r="G15" t="s">
        <v>86</v>
      </c>
      <c r="H15" t="s">
        <v>140</v>
      </c>
      <c r="N15" t="s">
        <v>141</v>
      </c>
      <c r="O15">
        <v>5</v>
      </c>
      <c r="P15" t="s">
        <v>142</v>
      </c>
      <c r="T15" t="s">
        <v>143</v>
      </c>
      <c r="U15" t="s">
        <v>144</v>
      </c>
      <c r="V15" t="s">
        <v>60</v>
      </c>
      <c r="X15" t="s">
        <v>61</v>
      </c>
      <c r="Z15" t="b">
        <v>0</v>
      </c>
      <c r="AA15" t="b">
        <v>0</v>
      </c>
      <c r="AB15" t="b">
        <v>1</v>
      </c>
      <c r="AC15" t="b">
        <v>0</v>
      </c>
    </row>
    <row r="16" spans="1:29" x14ac:dyDescent="0.25">
      <c r="B16" t="str">
        <f t="shared" si="0"/>
        <v>01009002617</v>
      </c>
      <c r="C16" t="s">
        <v>54</v>
      </c>
      <c r="D16" t="s">
        <v>55</v>
      </c>
      <c r="E16" t="s">
        <v>76</v>
      </c>
      <c r="F16">
        <v>1009002617</v>
      </c>
      <c r="G16" t="s">
        <v>86</v>
      </c>
      <c r="H16" t="s">
        <v>146</v>
      </c>
      <c r="N16" t="s">
        <v>147</v>
      </c>
      <c r="O16">
        <v>5</v>
      </c>
      <c r="P16" t="s">
        <v>148</v>
      </c>
      <c r="S16">
        <v>1837</v>
      </c>
      <c r="T16" t="s">
        <v>149</v>
      </c>
      <c r="U16" t="s">
        <v>150</v>
      </c>
      <c r="V16" t="s">
        <v>60</v>
      </c>
      <c r="X16" t="s">
        <v>61</v>
      </c>
      <c r="Z16" t="b">
        <v>0</v>
      </c>
      <c r="AA16" t="b">
        <v>0</v>
      </c>
      <c r="AB16" t="b">
        <v>1</v>
      </c>
      <c r="AC16" t="b">
        <v>0</v>
      </c>
    </row>
    <row r="17" spans="2:29" x14ac:dyDescent="0.25">
      <c r="B17" t="str">
        <f t="shared" si="0"/>
        <v>01001027557</v>
      </c>
      <c r="C17" t="s">
        <v>54</v>
      </c>
      <c r="D17" t="s">
        <v>55</v>
      </c>
      <c r="E17" t="s">
        <v>76</v>
      </c>
      <c r="F17">
        <v>1001027557</v>
      </c>
      <c r="G17" t="s">
        <v>86</v>
      </c>
      <c r="H17" t="s">
        <v>152</v>
      </c>
      <c r="N17" t="s">
        <v>153</v>
      </c>
      <c r="O17">
        <v>557602672</v>
      </c>
      <c r="P17" t="s">
        <v>154</v>
      </c>
      <c r="T17" t="s">
        <v>155</v>
      </c>
      <c r="U17" t="s">
        <v>156</v>
      </c>
      <c r="V17" t="s">
        <v>60</v>
      </c>
      <c r="X17" t="s">
        <v>61</v>
      </c>
      <c r="Z17" t="b">
        <v>0</v>
      </c>
      <c r="AA17" t="b">
        <v>0</v>
      </c>
      <c r="AB17" t="b">
        <v>1</v>
      </c>
      <c r="AC17" t="b">
        <v>0</v>
      </c>
    </row>
    <row r="18" spans="2:29" x14ac:dyDescent="0.25">
      <c r="B18" t="str">
        <f t="shared" si="0"/>
        <v>01024037161</v>
      </c>
      <c r="C18" t="s">
        <v>84</v>
      </c>
      <c r="D18" t="s">
        <v>55</v>
      </c>
      <c r="E18" t="s">
        <v>76</v>
      </c>
      <c r="F18">
        <v>1024037161</v>
      </c>
      <c r="G18" t="s">
        <v>86</v>
      </c>
      <c r="H18" t="s">
        <v>158</v>
      </c>
      <c r="N18" t="s">
        <v>159</v>
      </c>
      <c r="O18">
        <v>558377414</v>
      </c>
      <c r="P18" t="s">
        <v>160</v>
      </c>
      <c r="T18" t="s">
        <v>161</v>
      </c>
      <c r="U18" t="s">
        <v>162</v>
      </c>
      <c r="V18" t="s">
        <v>60</v>
      </c>
      <c r="X18" t="s">
        <v>61</v>
      </c>
      <c r="Z18" t="b">
        <v>0</v>
      </c>
      <c r="AA18" t="b">
        <v>0</v>
      </c>
      <c r="AB18" t="b">
        <v>1</v>
      </c>
      <c r="AC18" t="b">
        <v>0</v>
      </c>
    </row>
    <row r="19" spans="2:29" x14ac:dyDescent="0.25">
      <c r="B19" t="str">
        <f t="shared" si="0"/>
        <v>19001070187</v>
      </c>
      <c r="C19" t="s">
        <v>54</v>
      </c>
      <c r="D19" t="s">
        <v>55</v>
      </c>
      <c r="E19" t="s">
        <v>76</v>
      </c>
      <c r="F19">
        <v>19001070187</v>
      </c>
      <c r="G19" t="s">
        <v>86</v>
      </c>
      <c r="H19" t="s">
        <v>164</v>
      </c>
      <c r="N19" t="s">
        <v>165</v>
      </c>
      <c r="O19">
        <v>5</v>
      </c>
      <c r="P19" t="s">
        <v>166</v>
      </c>
      <c r="T19" t="s">
        <v>167</v>
      </c>
      <c r="U19" t="s">
        <v>168</v>
      </c>
      <c r="V19" t="s">
        <v>60</v>
      </c>
      <c r="X19" t="s">
        <v>61</v>
      </c>
      <c r="Z19" t="b">
        <v>0</v>
      </c>
      <c r="AA19" t="b">
        <v>0</v>
      </c>
      <c r="AB19" t="b">
        <v>1</v>
      </c>
      <c r="AC19" t="b">
        <v>0</v>
      </c>
    </row>
    <row r="20" spans="2:29" x14ac:dyDescent="0.25">
      <c r="B20" t="str">
        <f t="shared" si="0"/>
        <v/>
      </c>
      <c r="D20" t="s">
        <v>170</v>
      </c>
      <c r="E20" t="s">
        <v>85</v>
      </c>
      <c r="G20" t="s">
        <v>171</v>
      </c>
      <c r="H20" t="s">
        <v>172</v>
      </c>
      <c r="P20" t="s">
        <v>173</v>
      </c>
      <c r="S20">
        <v>668</v>
      </c>
      <c r="T20" t="s">
        <v>174</v>
      </c>
      <c r="U20" t="s">
        <v>175</v>
      </c>
      <c r="V20" t="s">
        <v>60</v>
      </c>
      <c r="W20" t="s">
        <v>176</v>
      </c>
      <c r="X20" t="s">
        <v>177</v>
      </c>
      <c r="Z20" t="b">
        <v>0</v>
      </c>
      <c r="AA20" t="b">
        <v>0</v>
      </c>
      <c r="AB20" t="b">
        <v>1</v>
      </c>
      <c r="AC20" t="b">
        <v>0</v>
      </c>
    </row>
    <row r="21" spans="2:29" x14ac:dyDescent="0.25">
      <c r="B21" t="str">
        <f t="shared" si="0"/>
        <v>422719954</v>
      </c>
      <c r="D21" t="s">
        <v>179</v>
      </c>
      <c r="E21" t="s">
        <v>85</v>
      </c>
      <c r="F21">
        <v>422719954</v>
      </c>
      <c r="G21" t="s">
        <v>77</v>
      </c>
      <c r="H21" t="s">
        <v>180</v>
      </c>
      <c r="K21" t="s">
        <v>181</v>
      </c>
      <c r="L21">
        <v>26001004961</v>
      </c>
      <c r="O21">
        <v>551933911</v>
      </c>
      <c r="P21" t="s">
        <v>182</v>
      </c>
      <c r="Q21" t="s">
        <v>183</v>
      </c>
      <c r="R21">
        <v>42100</v>
      </c>
      <c r="S21">
        <v>1561</v>
      </c>
      <c r="T21" t="s">
        <v>184</v>
      </c>
      <c r="U21" t="s">
        <v>185</v>
      </c>
      <c r="V21" t="s">
        <v>186</v>
      </c>
      <c r="W21" t="s">
        <v>187</v>
      </c>
      <c r="X21" t="s">
        <v>188</v>
      </c>
      <c r="Z21" t="b">
        <v>0</v>
      </c>
      <c r="AA21" t="b">
        <v>0</v>
      </c>
      <c r="AB21" t="b">
        <v>1</v>
      </c>
      <c r="AC21" t="b">
        <v>0</v>
      </c>
    </row>
    <row r="22" spans="2:29" x14ac:dyDescent="0.25">
      <c r="B22" t="str">
        <f t="shared" si="0"/>
        <v>437060412</v>
      </c>
      <c r="D22" t="s">
        <v>179</v>
      </c>
      <c r="E22" t="s">
        <v>85</v>
      </c>
      <c r="F22">
        <v>437060412</v>
      </c>
      <c r="G22" t="s">
        <v>77</v>
      </c>
      <c r="H22" t="s">
        <v>190</v>
      </c>
      <c r="I22" t="s">
        <v>191</v>
      </c>
      <c r="K22" t="s">
        <v>192</v>
      </c>
      <c r="L22">
        <v>19001073630</v>
      </c>
      <c r="O22">
        <v>555227256</v>
      </c>
      <c r="P22" t="s">
        <v>193</v>
      </c>
      <c r="Q22" t="s">
        <v>194</v>
      </c>
      <c r="R22">
        <v>41256</v>
      </c>
      <c r="S22">
        <v>1075</v>
      </c>
      <c r="T22" t="s">
        <v>195</v>
      </c>
      <c r="U22" t="s">
        <v>196</v>
      </c>
      <c r="V22" t="s">
        <v>186</v>
      </c>
      <c r="W22" t="s">
        <v>187</v>
      </c>
      <c r="X22" t="s">
        <v>188</v>
      </c>
      <c r="Z22" t="b">
        <v>0</v>
      </c>
      <c r="AA22" t="b">
        <v>0</v>
      </c>
      <c r="AB22" t="b">
        <v>1</v>
      </c>
      <c r="AC22" t="b">
        <v>0</v>
      </c>
    </row>
    <row r="23" spans="2:29" x14ac:dyDescent="0.25">
      <c r="B23" t="str">
        <f t="shared" si="0"/>
        <v>236097772</v>
      </c>
      <c r="D23" t="s">
        <v>179</v>
      </c>
      <c r="E23" t="s">
        <v>85</v>
      </c>
      <c r="F23">
        <v>236097772</v>
      </c>
      <c r="G23" t="s">
        <v>77</v>
      </c>
      <c r="H23" t="s">
        <v>198</v>
      </c>
      <c r="K23" t="s">
        <v>199</v>
      </c>
      <c r="L23">
        <v>1024001265</v>
      </c>
      <c r="O23">
        <v>599659090</v>
      </c>
      <c r="P23" t="s">
        <v>200</v>
      </c>
      <c r="Q23" t="s">
        <v>201</v>
      </c>
      <c r="R23">
        <v>39743</v>
      </c>
      <c r="S23">
        <v>1428</v>
      </c>
      <c r="T23" t="s">
        <v>202</v>
      </c>
      <c r="U23" t="s">
        <v>203</v>
      </c>
      <c r="V23" t="s">
        <v>186</v>
      </c>
      <c r="W23" t="s">
        <v>187</v>
      </c>
      <c r="X23" t="s">
        <v>188</v>
      </c>
      <c r="Z23" t="b">
        <v>0</v>
      </c>
      <c r="AA23" t="b">
        <v>0</v>
      </c>
      <c r="AB23" t="b">
        <v>1</v>
      </c>
      <c r="AC23" t="b">
        <v>0</v>
      </c>
    </row>
    <row r="24" spans="2:29" x14ac:dyDescent="0.25">
      <c r="B24" t="str">
        <f t="shared" si="0"/>
        <v>404432262</v>
      </c>
      <c r="D24" t="s">
        <v>179</v>
      </c>
      <c r="E24" t="s">
        <v>85</v>
      </c>
      <c r="F24">
        <v>404432262</v>
      </c>
      <c r="G24" t="s">
        <v>77</v>
      </c>
      <c r="H24" t="s">
        <v>205</v>
      </c>
      <c r="I24" t="s">
        <v>206</v>
      </c>
      <c r="K24" t="s">
        <v>207</v>
      </c>
      <c r="L24">
        <v>1018000374</v>
      </c>
      <c r="O24">
        <v>571222222</v>
      </c>
      <c r="P24" t="s">
        <v>208</v>
      </c>
      <c r="Q24" t="s">
        <v>209</v>
      </c>
      <c r="R24">
        <v>41234</v>
      </c>
      <c r="T24" t="s">
        <v>210</v>
      </c>
      <c r="U24" t="s">
        <v>211</v>
      </c>
      <c r="V24" t="s">
        <v>186</v>
      </c>
      <c r="W24" t="s">
        <v>187</v>
      </c>
      <c r="X24" t="s">
        <v>188</v>
      </c>
      <c r="Z24" t="b">
        <v>0</v>
      </c>
      <c r="AA24" t="b">
        <v>0</v>
      </c>
      <c r="AB24" t="b">
        <v>1</v>
      </c>
      <c r="AC24" t="b">
        <v>0</v>
      </c>
    </row>
    <row r="25" spans="2:29" x14ac:dyDescent="0.25">
      <c r="B25" t="str">
        <f t="shared" si="0"/>
        <v>54001002779</v>
      </c>
      <c r="D25" t="s">
        <v>179</v>
      </c>
      <c r="E25" t="s">
        <v>85</v>
      </c>
      <c r="F25">
        <v>54001002779</v>
      </c>
      <c r="G25" t="s">
        <v>77</v>
      </c>
      <c r="H25" t="s">
        <v>213</v>
      </c>
      <c r="P25" t="s">
        <v>214</v>
      </c>
      <c r="R25">
        <v>40036</v>
      </c>
      <c r="S25">
        <v>1496</v>
      </c>
      <c r="T25" t="s">
        <v>215</v>
      </c>
      <c r="U25" t="s">
        <v>216</v>
      </c>
      <c r="V25" t="s">
        <v>186</v>
      </c>
      <c r="W25" t="s">
        <v>187</v>
      </c>
      <c r="X25" t="s">
        <v>188</v>
      </c>
      <c r="Z25" t="b">
        <v>0</v>
      </c>
      <c r="AA25" t="b">
        <v>0</v>
      </c>
      <c r="AB25" t="b">
        <v>1</v>
      </c>
      <c r="AC25" t="b">
        <v>0</v>
      </c>
    </row>
    <row r="26" spans="2:29" x14ac:dyDescent="0.25">
      <c r="B26" t="str">
        <f t="shared" si="0"/>
        <v>331168953</v>
      </c>
      <c r="C26" t="s">
        <v>84</v>
      </c>
      <c r="D26" t="s">
        <v>63</v>
      </c>
      <c r="E26" t="s">
        <v>85</v>
      </c>
      <c r="F26">
        <v>331168953</v>
      </c>
      <c r="G26" t="s">
        <v>77</v>
      </c>
      <c r="H26" t="s">
        <v>218</v>
      </c>
      <c r="I26" t="s">
        <v>219</v>
      </c>
      <c r="O26">
        <v>599584875</v>
      </c>
      <c r="P26" t="s">
        <v>220</v>
      </c>
      <c r="Q26" t="s">
        <v>221</v>
      </c>
      <c r="R26">
        <v>41318</v>
      </c>
      <c r="S26">
        <v>1355</v>
      </c>
      <c r="T26" t="s">
        <v>222</v>
      </c>
      <c r="U26" t="s">
        <v>223</v>
      </c>
      <c r="V26" t="s">
        <v>186</v>
      </c>
      <c r="W26" t="s">
        <v>187</v>
      </c>
      <c r="X26" t="s">
        <v>68</v>
      </c>
      <c r="Z26" t="b">
        <v>0</v>
      </c>
      <c r="AA26" t="b">
        <v>0</v>
      </c>
      <c r="AB26" t="b">
        <v>1</v>
      </c>
      <c r="AC26" t="b">
        <v>0</v>
      </c>
    </row>
    <row r="27" spans="2:29" x14ac:dyDescent="0.25">
      <c r="B27" t="str">
        <f t="shared" si="0"/>
        <v>61004064819</v>
      </c>
      <c r="C27" t="s">
        <v>54</v>
      </c>
      <c r="D27" t="s">
        <v>225</v>
      </c>
      <c r="E27" t="s">
        <v>85</v>
      </c>
      <c r="F27">
        <v>61004064819</v>
      </c>
      <c r="G27" t="s">
        <v>77</v>
      </c>
      <c r="H27" t="s">
        <v>226</v>
      </c>
      <c r="O27">
        <v>555782268</v>
      </c>
      <c r="P27" t="s">
        <v>227</v>
      </c>
      <c r="Q27" t="s">
        <v>228</v>
      </c>
      <c r="R27">
        <v>43388</v>
      </c>
      <c r="S27">
        <v>1359</v>
      </c>
      <c r="T27" t="s">
        <v>229</v>
      </c>
      <c r="U27" t="s">
        <v>230</v>
      </c>
      <c r="V27" t="s">
        <v>186</v>
      </c>
      <c r="W27" t="s">
        <v>187</v>
      </c>
      <c r="X27" t="s">
        <v>231</v>
      </c>
      <c r="Z27" t="b">
        <v>0</v>
      </c>
      <c r="AA27" t="b">
        <v>0</v>
      </c>
      <c r="AB27" t="b">
        <v>1</v>
      </c>
      <c r="AC27" t="b">
        <v>0</v>
      </c>
    </row>
    <row r="28" spans="2:29" x14ac:dyDescent="0.25">
      <c r="B28" t="str">
        <f t="shared" si="0"/>
        <v>306130601</v>
      </c>
      <c r="C28" t="s">
        <v>84</v>
      </c>
      <c r="D28" t="s">
        <v>63</v>
      </c>
      <c r="E28" t="s">
        <v>85</v>
      </c>
      <c r="F28">
        <v>306130601</v>
      </c>
      <c r="G28" t="s">
        <v>77</v>
      </c>
      <c r="H28" t="s">
        <v>233</v>
      </c>
      <c r="P28" t="s">
        <v>234</v>
      </c>
      <c r="Q28" t="s">
        <v>235</v>
      </c>
      <c r="R28">
        <v>41941</v>
      </c>
      <c r="S28">
        <v>866</v>
      </c>
      <c r="T28" t="s">
        <v>236</v>
      </c>
      <c r="U28" t="s">
        <v>237</v>
      </c>
      <c r="V28" t="s">
        <v>186</v>
      </c>
      <c r="W28" t="s">
        <v>187</v>
      </c>
      <c r="X28" t="s">
        <v>68</v>
      </c>
      <c r="Z28" t="b">
        <v>0</v>
      </c>
      <c r="AA28" t="b">
        <v>0</v>
      </c>
      <c r="AB28" t="b">
        <v>1</v>
      </c>
      <c r="AC28" t="b">
        <v>0</v>
      </c>
    </row>
    <row r="29" spans="2:29" x14ac:dyDescent="0.25">
      <c r="B29" t="str">
        <f t="shared" si="0"/>
        <v>300129992</v>
      </c>
      <c r="C29" t="s">
        <v>54</v>
      </c>
      <c r="D29" t="s">
        <v>63</v>
      </c>
      <c r="E29" t="s">
        <v>85</v>
      </c>
      <c r="F29">
        <v>300129992</v>
      </c>
      <c r="G29" t="s">
        <v>77</v>
      </c>
      <c r="H29" t="s">
        <v>239</v>
      </c>
      <c r="P29" t="s">
        <v>240</v>
      </c>
      <c r="Q29" t="s">
        <v>241</v>
      </c>
      <c r="R29">
        <v>41942</v>
      </c>
      <c r="S29">
        <v>615</v>
      </c>
      <c r="T29" t="s">
        <v>242</v>
      </c>
      <c r="U29" t="s">
        <v>243</v>
      </c>
      <c r="V29" t="s">
        <v>186</v>
      </c>
      <c r="W29" t="s">
        <v>187</v>
      </c>
      <c r="X29" t="s">
        <v>68</v>
      </c>
      <c r="Z29" t="b">
        <v>0</v>
      </c>
      <c r="AA29" t="b">
        <v>0</v>
      </c>
      <c r="AB29" t="b">
        <v>1</v>
      </c>
      <c r="AC29" t="b">
        <v>0</v>
      </c>
    </row>
    <row r="30" spans="2:29" x14ac:dyDescent="0.25">
      <c r="B30" t="str">
        <f t="shared" si="0"/>
        <v>316312227</v>
      </c>
      <c r="C30" t="s">
        <v>54</v>
      </c>
      <c r="D30" t="s">
        <v>63</v>
      </c>
      <c r="E30" t="s">
        <v>85</v>
      </c>
      <c r="F30">
        <v>316312227</v>
      </c>
      <c r="G30" t="s">
        <v>77</v>
      </c>
      <c r="H30" t="s">
        <v>245</v>
      </c>
      <c r="P30" t="s">
        <v>246</v>
      </c>
      <c r="Q30" t="s">
        <v>247</v>
      </c>
      <c r="R30">
        <v>41788</v>
      </c>
      <c r="S30">
        <v>573</v>
      </c>
      <c r="T30" t="s">
        <v>248</v>
      </c>
      <c r="U30" t="s">
        <v>249</v>
      </c>
      <c r="V30" t="s">
        <v>186</v>
      </c>
      <c r="W30" t="s">
        <v>187</v>
      </c>
      <c r="X30" t="s">
        <v>68</v>
      </c>
      <c r="Z30" t="b">
        <v>0</v>
      </c>
      <c r="AA30" t="b">
        <v>0</v>
      </c>
      <c r="AB30" t="b">
        <v>1</v>
      </c>
      <c r="AC30" t="b">
        <v>0</v>
      </c>
    </row>
    <row r="31" spans="2:29" x14ac:dyDescent="0.25">
      <c r="B31" t="str">
        <f t="shared" si="0"/>
        <v>445531309</v>
      </c>
      <c r="D31" t="s">
        <v>179</v>
      </c>
      <c r="E31" t="s">
        <v>85</v>
      </c>
      <c r="F31">
        <v>445531309</v>
      </c>
      <c r="G31" t="s">
        <v>77</v>
      </c>
      <c r="H31" t="s">
        <v>250</v>
      </c>
      <c r="K31" t="s">
        <v>251</v>
      </c>
      <c r="L31">
        <v>61006010929</v>
      </c>
      <c r="N31" t="s">
        <v>252</v>
      </c>
      <c r="P31" t="s">
        <v>253</v>
      </c>
      <c r="R31">
        <v>43209</v>
      </c>
      <c r="S31">
        <v>1147</v>
      </c>
      <c r="T31" t="s">
        <v>254</v>
      </c>
      <c r="U31" t="s">
        <v>255</v>
      </c>
      <c r="V31" t="s">
        <v>60</v>
      </c>
      <c r="W31" t="s">
        <v>187</v>
      </c>
      <c r="X31" t="s">
        <v>188</v>
      </c>
      <c r="Y31" t="b">
        <v>1</v>
      </c>
      <c r="Z31" t="b">
        <v>0</v>
      </c>
      <c r="AA31" t="b">
        <v>0</v>
      </c>
      <c r="AB31" t="b">
        <v>1</v>
      </c>
      <c r="AC31" t="b">
        <v>0</v>
      </c>
    </row>
    <row r="32" spans="2:29" x14ac:dyDescent="0.25">
      <c r="B32" t="str">
        <f t="shared" si="0"/>
        <v>445584617</v>
      </c>
      <c r="D32" t="s">
        <v>179</v>
      </c>
      <c r="E32" t="s">
        <v>85</v>
      </c>
      <c r="F32">
        <v>445584617</v>
      </c>
      <c r="G32" t="s">
        <v>77</v>
      </c>
      <c r="H32" t="s">
        <v>257</v>
      </c>
      <c r="I32" t="s">
        <v>258</v>
      </c>
      <c r="K32" t="s">
        <v>259</v>
      </c>
      <c r="L32">
        <v>61006059828</v>
      </c>
      <c r="O32">
        <v>593348442</v>
      </c>
      <c r="P32" t="s">
        <v>260</v>
      </c>
      <c r="Q32" t="s">
        <v>261</v>
      </c>
      <c r="R32">
        <v>44062</v>
      </c>
      <c r="S32">
        <v>1569</v>
      </c>
      <c r="T32" t="s">
        <v>262</v>
      </c>
      <c r="U32" t="s">
        <v>263</v>
      </c>
      <c r="V32" t="s">
        <v>60</v>
      </c>
      <c r="W32" t="s">
        <v>187</v>
      </c>
      <c r="X32" t="s">
        <v>188</v>
      </c>
      <c r="Z32" t="b">
        <v>0</v>
      </c>
      <c r="AA32" t="b">
        <v>0</v>
      </c>
      <c r="AB32" t="b">
        <v>1</v>
      </c>
      <c r="AC32" t="b">
        <v>0</v>
      </c>
    </row>
    <row r="33" spans="2:29" x14ac:dyDescent="0.25">
      <c r="B33" t="str">
        <f t="shared" si="0"/>
        <v>448055407</v>
      </c>
      <c r="D33" t="s">
        <v>179</v>
      </c>
      <c r="E33" t="s">
        <v>85</v>
      </c>
      <c r="F33">
        <v>448055407</v>
      </c>
      <c r="G33" t="s">
        <v>77</v>
      </c>
      <c r="H33" t="s">
        <v>265</v>
      </c>
      <c r="K33" t="s">
        <v>266</v>
      </c>
      <c r="L33">
        <v>61009029241</v>
      </c>
      <c r="O33">
        <v>555030351</v>
      </c>
      <c r="P33" t="s">
        <v>267</v>
      </c>
      <c r="Q33" t="s">
        <v>268</v>
      </c>
      <c r="R33">
        <v>44084</v>
      </c>
      <c r="S33">
        <v>1576</v>
      </c>
      <c r="T33" t="s">
        <v>269</v>
      </c>
      <c r="U33" t="s">
        <v>270</v>
      </c>
      <c r="V33" t="s">
        <v>186</v>
      </c>
      <c r="W33" t="s">
        <v>187</v>
      </c>
      <c r="X33" t="s">
        <v>188</v>
      </c>
      <c r="Z33" t="b">
        <v>0</v>
      </c>
      <c r="AA33" t="b">
        <v>0</v>
      </c>
      <c r="AB33" t="b">
        <v>1</v>
      </c>
      <c r="AC33" t="b">
        <v>0</v>
      </c>
    </row>
    <row r="34" spans="2:29" ht="180" x14ac:dyDescent="0.25">
      <c r="B34" t="str">
        <f t="shared" si="0"/>
        <v>01007007062</v>
      </c>
      <c r="C34" t="s">
        <v>54</v>
      </c>
      <c r="D34" t="s">
        <v>63</v>
      </c>
      <c r="E34" t="s">
        <v>76</v>
      </c>
      <c r="F34">
        <v>1007007062</v>
      </c>
      <c r="G34" t="s">
        <v>77</v>
      </c>
      <c r="H34" s="4" t="s">
        <v>272</v>
      </c>
      <c r="S34">
        <v>1584</v>
      </c>
      <c r="T34" t="s">
        <v>273</v>
      </c>
      <c r="U34" t="s">
        <v>274</v>
      </c>
      <c r="V34" t="s">
        <v>60</v>
      </c>
      <c r="W34" t="s">
        <v>187</v>
      </c>
      <c r="X34" t="s">
        <v>68</v>
      </c>
      <c r="Z34" t="b">
        <v>0</v>
      </c>
      <c r="AA34" t="b">
        <v>0</v>
      </c>
      <c r="AB34" t="b">
        <v>1</v>
      </c>
      <c r="AC34" t="b">
        <v>0</v>
      </c>
    </row>
    <row r="35" spans="2:29" ht="195" x14ac:dyDescent="0.25">
      <c r="B35" t="str">
        <f t="shared" si="0"/>
        <v>14001019960</v>
      </c>
      <c r="C35" t="s">
        <v>54</v>
      </c>
      <c r="D35" t="s">
        <v>63</v>
      </c>
      <c r="E35" t="s">
        <v>76</v>
      </c>
      <c r="F35">
        <v>14001019960</v>
      </c>
      <c r="G35" t="s">
        <v>77</v>
      </c>
      <c r="H35" s="4" t="s">
        <v>276</v>
      </c>
      <c r="R35">
        <v>39307</v>
      </c>
      <c r="S35">
        <v>1602</v>
      </c>
      <c r="T35" t="s">
        <v>277</v>
      </c>
      <c r="U35" t="s">
        <v>278</v>
      </c>
      <c r="V35" t="s">
        <v>60</v>
      </c>
      <c r="W35" t="s">
        <v>187</v>
      </c>
      <c r="X35" t="s">
        <v>68</v>
      </c>
      <c r="Z35" t="b">
        <v>0</v>
      </c>
      <c r="AA35" t="b">
        <v>0</v>
      </c>
      <c r="AB35" t="b">
        <v>1</v>
      </c>
      <c r="AC35" t="b">
        <v>0</v>
      </c>
    </row>
    <row r="36" spans="2:29" x14ac:dyDescent="0.25">
      <c r="B36" t="str">
        <f t="shared" si="0"/>
        <v>400098078</v>
      </c>
      <c r="D36" t="s">
        <v>179</v>
      </c>
      <c r="E36" t="s">
        <v>85</v>
      </c>
      <c r="F36">
        <v>400098078</v>
      </c>
      <c r="G36" t="s">
        <v>77</v>
      </c>
      <c r="H36" t="s">
        <v>280</v>
      </c>
      <c r="K36" t="s">
        <v>281</v>
      </c>
      <c r="L36">
        <v>1007015689</v>
      </c>
      <c r="O36">
        <v>599560300</v>
      </c>
      <c r="P36" t="s">
        <v>282</v>
      </c>
      <c r="Q36" t="s">
        <v>283</v>
      </c>
      <c r="R36">
        <v>41509</v>
      </c>
      <c r="S36">
        <v>1591</v>
      </c>
      <c r="T36" t="s">
        <v>284</v>
      </c>
      <c r="U36" t="s">
        <v>285</v>
      </c>
      <c r="V36" t="s">
        <v>60</v>
      </c>
      <c r="W36" t="s">
        <v>187</v>
      </c>
      <c r="X36" t="s">
        <v>188</v>
      </c>
      <c r="Z36" t="b">
        <v>0</v>
      </c>
      <c r="AA36" t="b">
        <v>0</v>
      </c>
      <c r="AB36" t="b">
        <v>1</v>
      </c>
      <c r="AC36" t="b">
        <v>0</v>
      </c>
    </row>
    <row r="37" spans="2:29" x14ac:dyDescent="0.25">
      <c r="B37" t="str">
        <f t="shared" si="0"/>
        <v>432544767</v>
      </c>
      <c r="D37" t="s">
        <v>179</v>
      </c>
      <c r="E37" t="s">
        <v>85</v>
      </c>
      <c r="F37">
        <v>432544767</v>
      </c>
      <c r="G37" t="s">
        <v>77</v>
      </c>
      <c r="H37" t="s">
        <v>287</v>
      </c>
      <c r="K37" t="s">
        <v>288</v>
      </c>
      <c r="L37">
        <v>1024056477</v>
      </c>
      <c r="O37">
        <v>551886188</v>
      </c>
      <c r="P37" t="s">
        <v>289</v>
      </c>
      <c r="Q37" t="s">
        <v>290</v>
      </c>
      <c r="R37">
        <v>42674</v>
      </c>
      <c r="S37">
        <v>1631</v>
      </c>
      <c r="T37" t="s">
        <v>291</v>
      </c>
      <c r="U37" t="s">
        <v>292</v>
      </c>
      <c r="V37" t="s">
        <v>186</v>
      </c>
      <c r="W37" t="s">
        <v>187</v>
      </c>
      <c r="X37" t="s">
        <v>188</v>
      </c>
      <c r="Z37" t="b">
        <v>0</v>
      </c>
      <c r="AA37" t="b">
        <v>0</v>
      </c>
      <c r="AB37" t="b">
        <v>1</v>
      </c>
      <c r="AC37" t="b">
        <v>0</v>
      </c>
    </row>
    <row r="38" spans="2:29" x14ac:dyDescent="0.25">
      <c r="B38" t="str">
        <f t="shared" si="0"/>
        <v>762917460</v>
      </c>
      <c r="C38" t="s">
        <v>84</v>
      </c>
      <c r="D38" t="s">
        <v>55</v>
      </c>
      <c r="E38" t="s">
        <v>85</v>
      </c>
      <c r="F38">
        <v>762917460</v>
      </c>
      <c r="G38" t="s">
        <v>294</v>
      </c>
      <c r="H38" t="s">
        <v>295</v>
      </c>
      <c r="P38" t="s">
        <v>296</v>
      </c>
      <c r="S38">
        <v>1696</v>
      </c>
      <c r="T38" t="s">
        <v>297</v>
      </c>
      <c r="U38" t="s">
        <v>298</v>
      </c>
      <c r="V38" t="s">
        <v>60</v>
      </c>
      <c r="W38" t="s">
        <v>299</v>
      </c>
      <c r="X38" t="s">
        <v>61</v>
      </c>
      <c r="Z38" t="b">
        <v>0</v>
      </c>
      <c r="AA38" t="b">
        <v>0</v>
      </c>
      <c r="AB38" t="b">
        <v>1</v>
      </c>
      <c r="AC38" t="b">
        <v>0</v>
      </c>
    </row>
    <row r="39" spans="2:29" x14ac:dyDescent="0.25">
      <c r="B39" t="str">
        <f t="shared" si="0"/>
        <v>03187803411</v>
      </c>
      <c r="C39" t="s">
        <v>54</v>
      </c>
      <c r="D39" t="s">
        <v>55</v>
      </c>
      <c r="E39" t="s">
        <v>85</v>
      </c>
      <c r="F39">
        <v>3187803411</v>
      </c>
      <c r="G39" t="s">
        <v>294</v>
      </c>
      <c r="H39" t="s">
        <v>294</v>
      </c>
      <c r="P39" t="s">
        <v>301</v>
      </c>
      <c r="T39" t="s">
        <v>302</v>
      </c>
      <c r="U39" t="s">
        <v>303</v>
      </c>
      <c r="V39" t="s">
        <v>60</v>
      </c>
      <c r="W39" t="e">
        <v>#N/A</v>
      </c>
      <c r="X39" t="e">
        <v>#N/A</v>
      </c>
      <c r="Z39" t="b">
        <v>0</v>
      </c>
      <c r="AA39" t="b">
        <v>0</v>
      </c>
      <c r="AB39" t="b">
        <v>1</v>
      </c>
      <c r="AC39" t="b">
        <v>0</v>
      </c>
    </row>
    <row r="40" spans="2:29" x14ac:dyDescent="0.25">
      <c r="B40" t="str">
        <f t="shared" si="0"/>
        <v>01008033246</v>
      </c>
      <c r="D40" t="s">
        <v>55</v>
      </c>
      <c r="E40" t="s">
        <v>85</v>
      </c>
      <c r="F40">
        <v>1008033246</v>
      </c>
      <c r="G40" t="s">
        <v>77</v>
      </c>
      <c r="H40" t="s">
        <v>305</v>
      </c>
      <c r="P40" t="s">
        <v>306</v>
      </c>
      <c r="S40">
        <v>1626</v>
      </c>
      <c r="T40" t="s">
        <v>307</v>
      </c>
      <c r="U40" t="s">
        <v>308</v>
      </c>
      <c r="V40" t="s">
        <v>60</v>
      </c>
      <c r="W40" t="s">
        <v>187</v>
      </c>
      <c r="X40" t="s">
        <v>61</v>
      </c>
      <c r="Z40" t="b">
        <v>0</v>
      </c>
      <c r="AA40" t="b">
        <v>0</v>
      </c>
      <c r="AB40" t="b">
        <v>1</v>
      </c>
      <c r="AC40" t="b">
        <v>0</v>
      </c>
    </row>
    <row r="41" spans="2:29" x14ac:dyDescent="0.25">
      <c r="B41" t="str">
        <f t="shared" si="0"/>
        <v/>
      </c>
      <c r="C41" t="s">
        <v>54</v>
      </c>
      <c r="D41" t="s">
        <v>55</v>
      </c>
      <c r="E41" t="s">
        <v>85</v>
      </c>
      <c r="G41" t="s">
        <v>310</v>
      </c>
      <c r="H41" t="s">
        <v>311</v>
      </c>
      <c r="P41" t="s">
        <v>312</v>
      </c>
      <c r="T41" t="s">
        <v>313</v>
      </c>
      <c r="U41" t="s">
        <v>314</v>
      </c>
      <c r="V41" t="s">
        <v>60</v>
      </c>
      <c r="W41" t="s">
        <v>315</v>
      </c>
      <c r="X41" t="s">
        <v>61</v>
      </c>
      <c r="Z41" t="b">
        <v>0</v>
      </c>
      <c r="AA41" t="b">
        <v>0</v>
      </c>
      <c r="AB41" t="b">
        <v>1</v>
      </c>
      <c r="AC41" t="b">
        <v>0</v>
      </c>
    </row>
    <row r="42" spans="2:29" x14ac:dyDescent="0.25">
      <c r="B42" t="str">
        <f t="shared" si="0"/>
        <v>1982092803392</v>
      </c>
      <c r="C42" t="s">
        <v>54</v>
      </c>
      <c r="D42" t="s">
        <v>55</v>
      </c>
      <c r="E42" t="s">
        <v>85</v>
      </c>
      <c r="F42">
        <v>1982092803392</v>
      </c>
      <c r="G42" t="s">
        <v>310</v>
      </c>
      <c r="H42" t="s">
        <v>317</v>
      </c>
      <c r="P42" t="s">
        <v>318</v>
      </c>
      <c r="T42" t="s">
        <v>319</v>
      </c>
      <c r="U42" t="s">
        <v>320</v>
      </c>
      <c r="V42" t="s">
        <v>60</v>
      </c>
      <c r="W42" t="s">
        <v>315</v>
      </c>
      <c r="X42" t="s">
        <v>61</v>
      </c>
      <c r="Z42" t="b">
        <v>0</v>
      </c>
      <c r="AA42" t="b">
        <v>0</v>
      </c>
      <c r="AB42" t="b">
        <v>1</v>
      </c>
      <c r="AC42" t="b">
        <v>0</v>
      </c>
    </row>
    <row r="43" spans="2:29" x14ac:dyDescent="0.25">
      <c r="B43" t="str">
        <f t="shared" si="0"/>
        <v>448388995</v>
      </c>
      <c r="D43" t="s">
        <v>179</v>
      </c>
      <c r="E43" t="s">
        <v>85</v>
      </c>
      <c r="F43">
        <v>448388995</v>
      </c>
      <c r="G43" t="s">
        <v>77</v>
      </c>
      <c r="H43" t="s">
        <v>321</v>
      </c>
      <c r="K43" t="s">
        <v>322</v>
      </c>
      <c r="L43">
        <v>61006048869</v>
      </c>
      <c r="P43" t="s">
        <v>323</v>
      </c>
      <c r="R43">
        <v>41360</v>
      </c>
      <c r="S43">
        <v>1805</v>
      </c>
      <c r="T43" t="s">
        <v>324</v>
      </c>
      <c r="U43" t="s">
        <v>325</v>
      </c>
      <c r="V43" t="s">
        <v>186</v>
      </c>
      <c r="W43" t="s">
        <v>187</v>
      </c>
      <c r="X43" t="s">
        <v>188</v>
      </c>
      <c r="Y43" t="b">
        <v>1</v>
      </c>
      <c r="Z43" t="b">
        <v>0</v>
      </c>
      <c r="AA43" t="b">
        <v>0</v>
      </c>
      <c r="AB43" t="b">
        <v>1</v>
      </c>
      <c r="AC43" t="b">
        <v>0</v>
      </c>
    </row>
    <row r="44" spans="2:29" x14ac:dyDescent="0.25">
      <c r="B44" t="str">
        <f t="shared" si="0"/>
        <v>445395796</v>
      </c>
      <c r="D44" t="s">
        <v>179</v>
      </c>
      <c r="E44" t="s">
        <v>85</v>
      </c>
      <c r="F44">
        <v>445395796</v>
      </c>
      <c r="G44" t="s">
        <v>77</v>
      </c>
      <c r="H44" t="s">
        <v>326</v>
      </c>
      <c r="K44" t="s">
        <v>327</v>
      </c>
      <c r="L44">
        <v>61006000601</v>
      </c>
      <c r="P44" t="s">
        <v>328</v>
      </c>
      <c r="R44">
        <v>40633</v>
      </c>
      <c r="S44">
        <v>1803</v>
      </c>
      <c r="T44" t="s">
        <v>329</v>
      </c>
      <c r="U44" t="s">
        <v>330</v>
      </c>
      <c r="V44" t="s">
        <v>186</v>
      </c>
      <c r="W44" t="s">
        <v>187</v>
      </c>
      <c r="X44" t="s">
        <v>188</v>
      </c>
      <c r="Y44" t="b">
        <v>1</v>
      </c>
      <c r="Z44" t="b">
        <v>0</v>
      </c>
      <c r="AA44" t="b">
        <v>0</v>
      </c>
      <c r="AB44" t="b">
        <v>1</v>
      </c>
      <c r="AC44" t="b">
        <v>0</v>
      </c>
    </row>
    <row r="45" spans="2:29" x14ac:dyDescent="0.25">
      <c r="B45" t="str">
        <f t="shared" si="0"/>
        <v/>
      </c>
      <c r="C45" t="s">
        <v>332</v>
      </c>
      <c r="D45" t="s">
        <v>333</v>
      </c>
      <c r="E45" t="s">
        <v>85</v>
      </c>
      <c r="G45" t="s">
        <v>171</v>
      </c>
      <c r="H45" t="s">
        <v>334</v>
      </c>
      <c r="P45" t="s">
        <v>335</v>
      </c>
      <c r="S45">
        <v>1992</v>
      </c>
      <c r="T45" t="s">
        <v>336</v>
      </c>
      <c r="U45" t="s">
        <v>337</v>
      </c>
      <c r="V45" t="s">
        <v>186</v>
      </c>
      <c r="W45" t="s">
        <v>176</v>
      </c>
      <c r="X45" t="s">
        <v>338</v>
      </c>
      <c r="Z45" t="b">
        <v>0</v>
      </c>
      <c r="AA45" t="b">
        <v>0</v>
      </c>
      <c r="AB45" t="b">
        <v>1</v>
      </c>
      <c r="AC45" t="b">
        <v>0</v>
      </c>
    </row>
    <row r="46" spans="2:29" x14ac:dyDescent="0.25">
      <c r="B46" t="str">
        <f t="shared" si="0"/>
        <v/>
      </c>
      <c r="C46" t="s">
        <v>332</v>
      </c>
      <c r="D46" t="s">
        <v>333</v>
      </c>
      <c r="E46" t="s">
        <v>85</v>
      </c>
      <c r="G46" t="s">
        <v>340</v>
      </c>
      <c r="P46" s="3" t="s">
        <v>341</v>
      </c>
      <c r="T46" t="s">
        <v>342</v>
      </c>
      <c r="U46" t="s">
        <v>343</v>
      </c>
      <c r="V46" t="s">
        <v>186</v>
      </c>
      <c r="W46" t="s">
        <v>344</v>
      </c>
      <c r="X46" t="s">
        <v>338</v>
      </c>
      <c r="Z46" t="b">
        <v>0</v>
      </c>
      <c r="AA46" t="b">
        <v>0</v>
      </c>
      <c r="AB46" t="b">
        <v>1</v>
      </c>
      <c r="AC46" t="b">
        <v>0</v>
      </c>
    </row>
    <row r="47" spans="2:29" x14ac:dyDescent="0.25">
      <c r="B47" t="str">
        <f t="shared" si="0"/>
        <v/>
      </c>
      <c r="C47" t="s">
        <v>332</v>
      </c>
      <c r="D47" t="s">
        <v>333</v>
      </c>
      <c r="E47" t="s">
        <v>85</v>
      </c>
      <c r="G47" t="s">
        <v>171</v>
      </c>
      <c r="H47" t="s">
        <v>346</v>
      </c>
      <c r="P47" t="s">
        <v>347</v>
      </c>
      <c r="T47" t="s">
        <v>348</v>
      </c>
      <c r="U47" t="s">
        <v>349</v>
      </c>
      <c r="V47" t="s">
        <v>186</v>
      </c>
      <c r="W47" t="s">
        <v>176</v>
      </c>
      <c r="X47" t="s">
        <v>338</v>
      </c>
      <c r="Z47" t="b">
        <v>0</v>
      </c>
      <c r="AA47" t="b">
        <v>0</v>
      </c>
      <c r="AB47" t="b">
        <v>1</v>
      </c>
      <c r="AC47" t="b">
        <v>0</v>
      </c>
    </row>
    <row r="48" spans="2:29" x14ac:dyDescent="0.25">
      <c r="B48" t="str">
        <f t="shared" si="0"/>
        <v/>
      </c>
      <c r="C48" t="s">
        <v>332</v>
      </c>
      <c r="D48" t="s">
        <v>333</v>
      </c>
      <c r="E48" t="s">
        <v>85</v>
      </c>
      <c r="G48" t="s">
        <v>171</v>
      </c>
      <c r="H48" t="s">
        <v>351</v>
      </c>
      <c r="P48" t="s">
        <v>352</v>
      </c>
      <c r="T48" t="s">
        <v>353</v>
      </c>
      <c r="U48" t="s">
        <v>354</v>
      </c>
      <c r="V48" t="s">
        <v>186</v>
      </c>
      <c r="W48" t="s">
        <v>176</v>
      </c>
      <c r="X48" t="s">
        <v>338</v>
      </c>
      <c r="Z48" t="b">
        <v>0</v>
      </c>
      <c r="AA48" t="b">
        <v>0</v>
      </c>
      <c r="AB48" t="b">
        <v>1</v>
      </c>
      <c r="AC48" t="b">
        <v>0</v>
      </c>
    </row>
    <row r="49" spans="2:29" x14ac:dyDescent="0.25">
      <c r="B49" t="str">
        <f t="shared" si="0"/>
        <v/>
      </c>
      <c r="C49" t="s">
        <v>332</v>
      </c>
      <c r="D49" t="s">
        <v>333</v>
      </c>
      <c r="E49" t="s">
        <v>85</v>
      </c>
      <c r="G49" t="s">
        <v>171</v>
      </c>
      <c r="H49" t="s">
        <v>356</v>
      </c>
      <c r="P49" t="s">
        <v>357</v>
      </c>
      <c r="T49" t="s">
        <v>358</v>
      </c>
      <c r="U49" t="s">
        <v>359</v>
      </c>
      <c r="V49" t="s">
        <v>186</v>
      </c>
      <c r="W49" t="s">
        <v>176</v>
      </c>
      <c r="X49" t="s">
        <v>338</v>
      </c>
      <c r="Z49" t="b">
        <v>0</v>
      </c>
      <c r="AA49" t="b">
        <v>0</v>
      </c>
      <c r="AB49" t="b">
        <v>1</v>
      </c>
      <c r="AC49" t="b">
        <v>0</v>
      </c>
    </row>
    <row r="50" spans="2:29" x14ac:dyDescent="0.25">
      <c r="B50" t="str">
        <f t="shared" si="0"/>
        <v/>
      </c>
      <c r="C50" t="s">
        <v>332</v>
      </c>
      <c r="D50" t="s">
        <v>333</v>
      </c>
      <c r="E50" t="s">
        <v>85</v>
      </c>
      <c r="G50" t="s">
        <v>361</v>
      </c>
      <c r="H50" t="s">
        <v>362</v>
      </c>
      <c r="N50" t="s">
        <v>363</v>
      </c>
      <c r="P50" t="s">
        <v>364</v>
      </c>
      <c r="T50" t="s">
        <v>365</v>
      </c>
      <c r="U50" t="s">
        <v>366</v>
      </c>
      <c r="V50" t="s">
        <v>186</v>
      </c>
      <c r="W50" t="s">
        <v>367</v>
      </c>
      <c r="X50" t="s">
        <v>338</v>
      </c>
      <c r="Z50" t="b">
        <v>0</v>
      </c>
      <c r="AA50" t="b">
        <v>0</v>
      </c>
      <c r="AB50" t="b">
        <v>1</v>
      </c>
      <c r="AC50" t="b">
        <v>0</v>
      </c>
    </row>
    <row r="51" spans="2:29" x14ac:dyDescent="0.25">
      <c r="B51" t="str">
        <f t="shared" si="0"/>
        <v/>
      </c>
      <c r="C51" t="s">
        <v>332</v>
      </c>
      <c r="D51" t="s">
        <v>369</v>
      </c>
      <c r="E51" t="s">
        <v>85</v>
      </c>
      <c r="G51" t="s">
        <v>77</v>
      </c>
      <c r="P51" t="s">
        <v>370</v>
      </c>
      <c r="T51" t="s">
        <v>371</v>
      </c>
      <c r="U51" t="s">
        <v>372</v>
      </c>
      <c r="V51" t="s">
        <v>60</v>
      </c>
      <c r="W51" t="s">
        <v>187</v>
      </c>
      <c r="X51" t="s">
        <v>373</v>
      </c>
      <c r="Z51" t="b">
        <v>0</v>
      </c>
      <c r="AA51" t="b">
        <v>0</v>
      </c>
      <c r="AB51" t="b">
        <v>1</v>
      </c>
      <c r="AC51" t="b">
        <v>0</v>
      </c>
    </row>
    <row r="52" spans="2:29" x14ac:dyDescent="0.25">
      <c r="B52" t="str">
        <f t="shared" si="0"/>
        <v/>
      </c>
      <c r="C52" t="s">
        <v>332</v>
      </c>
      <c r="D52" t="s">
        <v>333</v>
      </c>
      <c r="E52" t="s">
        <v>85</v>
      </c>
      <c r="G52" t="s">
        <v>375</v>
      </c>
      <c r="H52" t="s">
        <v>376</v>
      </c>
      <c r="P52" t="s">
        <v>377</v>
      </c>
      <c r="T52" t="s">
        <v>378</v>
      </c>
      <c r="U52" t="s">
        <v>379</v>
      </c>
      <c r="V52" t="s">
        <v>186</v>
      </c>
      <c r="W52" t="s">
        <v>380</v>
      </c>
      <c r="X52" t="s">
        <v>338</v>
      </c>
      <c r="Z52" t="b">
        <v>0</v>
      </c>
      <c r="AA52" t="b">
        <v>0</v>
      </c>
      <c r="AB52" t="b">
        <v>1</v>
      </c>
      <c r="AC52" t="b">
        <v>0</v>
      </c>
    </row>
    <row r="53" spans="2:29" x14ac:dyDescent="0.25">
      <c r="B53" t="str">
        <f t="shared" si="0"/>
        <v/>
      </c>
      <c r="C53" t="s">
        <v>332</v>
      </c>
      <c r="D53" t="s">
        <v>382</v>
      </c>
      <c r="E53" t="s">
        <v>85</v>
      </c>
      <c r="G53" t="s">
        <v>77</v>
      </c>
      <c r="P53" t="s">
        <v>383</v>
      </c>
      <c r="T53" t="s">
        <v>384</v>
      </c>
      <c r="U53" t="s">
        <v>385</v>
      </c>
      <c r="V53" t="s">
        <v>60</v>
      </c>
      <c r="W53" t="s">
        <v>187</v>
      </c>
      <c r="X53" t="s">
        <v>386</v>
      </c>
      <c r="Z53" t="b">
        <v>0</v>
      </c>
      <c r="AA53" t="b">
        <v>0</v>
      </c>
      <c r="AB53" t="b">
        <v>1</v>
      </c>
      <c r="AC53" t="b">
        <v>0</v>
      </c>
    </row>
    <row r="54" spans="2:29" x14ac:dyDescent="0.25">
      <c r="B54" t="str">
        <f t="shared" si="0"/>
        <v/>
      </c>
      <c r="C54" t="s">
        <v>332</v>
      </c>
      <c r="D54" t="s">
        <v>333</v>
      </c>
      <c r="E54" t="s">
        <v>85</v>
      </c>
      <c r="G54" t="s">
        <v>388</v>
      </c>
      <c r="H54" t="s">
        <v>389</v>
      </c>
      <c r="P54" t="s">
        <v>390</v>
      </c>
      <c r="T54" t="s">
        <v>391</v>
      </c>
      <c r="U54" t="s">
        <v>392</v>
      </c>
      <c r="V54" t="s">
        <v>186</v>
      </c>
      <c r="W54" t="s">
        <v>393</v>
      </c>
      <c r="X54" t="s">
        <v>338</v>
      </c>
      <c r="Z54" t="b">
        <v>0</v>
      </c>
      <c r="AA54" t="b">
        <v>0</v>
      </c>
      <c r="AB54" t="b">
        <v>1</v>
      </c>
      <c r="AC54" t="b">
        <v>0</v>
      </c>
    </row>
    <row r="55" spans="2:29" x14ac:dyDescent="0.25">
      <c r="B55" t="str">
        <f t="shared" si="0"/>
        <v/>
      </c>
      <c r="C55" t="s">
        <v>332</v>
      </c>
      <c r="D55" t="s">
        <v>179</v>
      </c>
      <c r="E55" t="s">
        <v>85</v>
      </c>
      <c r="G55" t="s">
        <v>77</v>
      </c>
      <c r="N55" t="s">
        <v>395</v>
      </c>
      <c r="P55" t="s">
        <v>396</v>
      </c>
      <c r="T55" t="s">
        <v>397</v>
      </c>
      <c r="U55" t="s">
        <v>398</v>
      </c>
      <c r="V55" t="s">
        <v>60</v>
      </c>
      <c r="W55" t="s">
        <v>187</v>
      </c>
      <c r="X55" t="s">
        <v>188</v>
      </c>
      <c r="Z55" t="b">
        <v>0</v>
      </c>
      <c r="AA55" t="b">
        <v>0</v>
      </c>
      <c r="AB55" t="b">
        <v>1</v>
      </c>
      <c r="AC55" t="b">
        <v>0</v>
      </c>
    </row>
    <row r="56" spans="2:29" x14ac:dyDescent="0.25">
      <c r="B56" t="str">
        <f t="shared" si="0"/>
        <v/>
      </c>
      <c r="C56" t="s">
        <v>332</v>
      </c>
      <c r="D56" t="s">
        <v>333</v>
      </c>
      <c r="E56" t="s">
        <v>85</v>
      </c>
      <c r="G56" t="s">
        <v>171</v>
      </c>
      <c r="H56" t="s">
        <v>400</v>
      </c>
      <c r="N56" t="s">
        <v>401</v>
      </c>
      <c r="P56" t="s">
        <v>402</v>
      </c>
      <c r="T56" t="s">
        <v>403</v>
      </c>
      <c r="U56" t="s">
        <v>404</v>
      </c>
      <c r="V56" t="s">
        <v>60</v>
      </c>
      <c r="W56" t="s">
        <v>176</v>
      </c>
      <c r="X56" t="s">
        <v>338</v>
      </c>
      <c r="Z56" t="b">
        <v>0</v>
      </c>
      <c r="AA56" t="b">
        <v>0</v>
      </c>
      <c r="AB56" t="b">
        <v>1</v>
      </c>
      <c r="AC56" t="b">
        <v>0</v>
      </c>
    </row>
    <row r="57" spans="2:29" x14ac:dyDescent="0.25">
      <c r="B57" t="str">
        <f t="shared" si="0"/>
        <v/>
      </c>
      <c r="C57" t="s">
        <v>332</v>
      </c>
      <c r="D57" t="s">
        <v>333</v>
      </c>
      <c r="E57" t="s">
        <v>85</v>
      </c>
      <c r="G57" t="s">
        <v>171</v>
      </c>
      <c r="P57" t="s">
        <v>406</v>
      </c>
      <c r="T57" t="s">
        <v>407</v>
      </c>
      <c r="U57" t="s">
        <v>408</v>
      </c>
      <c r="V57" t="s">
        <v>60</v>
      </c>
      <c r="W57" t="s">
        <v>176</v>
      </c>
      <c r="X57" t="s">
        <v>338</v>
      </c>
      <c r="Z57" t="b">
        <v>0</v>
      </c>
      <c r="AA57" t="b">
        <v>0</v>
      </c>
      <c r="AB57" t="b">
        <v>1</v>
      </c>
      <c r="AC57" t="b">
        <v>0</v>
      </c>
    </row>
    <row r="58" spans="2:29" x14ac:dyDescent="0.25">
      <c r="B58" t="str">
        <f t="shared" si="0"/>
        <v>01017028376</v>
      </c>
      <c r="C58" t="s">
        <v>332</v>
      </c>
      <c r="D58" t="s">
        <v>179</v>
      </c>
      <c r="E58" t="s">
        <v>85</v>
      </c>
      <c r="F58">
        <v>1017028376</v>
      </c>
      <c r="G58" t="s">
        <v>77</v>
      </c>
      <c r="M58" t="s">
        <v>410</v>
      </c>
      <c r="N58" t="s">
        <v>410</v>
      </c>
      <c r="P58" s="3" t="s">
        <v>411</v>
      </c>
      <c r="T58" t="s">
        <v>412</v>
      </c>
      <c r="U58" t="s">
        <v>413</v>
      </c>
      <c r="V58" t="s">
        <v>60</v>
      </c>
      <c r="W58" t="s">
        <v>187</v>
      </c>
      <c r="X58" t="s">
        <v>188</v>
      </c>
      <c r="Z58" t="b">
        <v>0</v>
      </c>
      <c r="AA58" t="b">
        <v>0</v>
      </c>
      <c r="AB58" t="b">
        <v>1</v>
      </c>
      <c r="AC58" t="b">
        <v>0</v>
      </c>
    </row>
    <row r="59" spans="2:29" x14ac:dyDescent="0.25">
      <c r="B59" t="str">
        <f t="shared" si="0"/>
        <v/>
      </c>
      <c r="C59" t="s">
        <v>332</v>
      </c>
      <c r="D59" t="s">
        <v>333</v>
      </c>
      <c r="E59" t="s">
        <v>85</v>
      </c>
      <c r="G59" t="s">
        <v>171</v>
      </c>
      <c r="H59" t="s">
        <v>415</v>
      </c>
      <c r="M59" t="s">
        <v>416</v>
      </c>
      <c r="N59" t="s">
        <v>417</v>
      </c>
      <c r="P59" t="s">
        <v>418</v>
      </c>
      <c r="Q59" t="s">
        <v>419</v>
      </c>
      <c r="T59" t="s">
        <v>420</v>
      </c>
      <c r="U59" t="s">
        <v>421</v>
      </c>
      <c r="V59" t="s">
        <v>186</v>
      </c>
      <c r="W59" t="s">
        <v>176</v>
      </c>
      <c r="X59" t="s">
        <v>338</v>
      </c>
      <c r="Z59" t="b">
        <v>0</v>
      </c>
      <c r="AA59" t="b">
        <v>0</v>
      </c>
      <c r="AB59" t="b">
        <v>1</v>
      </c>
      <c r="AC59" t="b">
        <v>0</v>
      </c>
    </row>
    <row r="60" spans="2:29" x14ac:dyDescent="0.25">
      <c r="B60" t="str">
        <f t="shared" si="0"/>
        <v/>
      </c>
      <c r="C60" t="s">
        <v>332</v>
      </c>
      <c r="D60" t="s">
        <v>333</v>
      </c>
      <c r="E60" t="s">
        <v>85</v>
      </c>
      <c r="G60" t="s">
        <v>423</v>
      </c>
      <c r="H60" t="s">
        <v>424</v>
      </c>
      <c r="P60" t="s">
        <v>425</v>
      </c>
      <c r="T60" t="s">
        <v>426</v>
      </c>
      <c r="U60" t="s">
        <v>427</v>
      </c>
      <c r="V60" t="s">
        <v>186</v>
      </c>
      <c r="W60" t="s">
        <v>428</v>
      </c>
      <c r="X60" t="s">
        <v>338</v>
      </c>
      <c r="Z60" t="b">
        <v>0</v>
      </c>
      <c r="AA60" t="b">
        <v>0</v>
      </c>
      <c r="AB60" t="b">
        <v>1</v>
      </c>
      <c r="AC60" t="b">
        <v>0</v>
      </c>
    </row>
    <row r="61" spans="2:29" x14ac:dyDescent="0.25">
      <c r="B61" t="str">
        <f t="shared" si="0"/>
        <v>345670393</v>
      </c>
      <c r="C61" t="s">
        <v>54</v>
      </c>
      <c r="D61" t="s">
        <v>63</v>
      </c>
      <c r="E61" t="s">
        <v>85</v>
      </c>
      <c r="F61">
        <v>345670393</v>
      </c>
      <c r="G61" t="s">
        <v>77</v>
      </c>
      <c r="N61" t="s">
        <v>430</v>
      </c>
      <c r="P61" t="s">
        <v>431</v>
      </c>
      <c r="S61">
        <v>2263</v>
      </c>
      <c r="T61" t="s">
        <v>432</v>
      </c>
      <c r="U61" t="s">
        <v>433</v>
      </c>
      <c r="V61" t="s">
        <v>60</v>
      </c>
      <c r="W61" t="s">
        <v>187</v>
      </c>
      <c r="X61" t="s">
        <v>68</v>
      </c>
      <c r="Z61" t="b">
        <v>0</v>
      </c>
      <c r="AA61" t="b">
        <v>0</v>
      </c>
      <c r="AB61" t="b">
        <v>1</v>
      </c>
      <c r="AC61" t="b">
        <v>0</v>
      </c>
    </row>
    <row r="62" spans="2:29" x14ac:dyDescent="0.25">
      <c r="B62" t="str">
        <f t="shared" si="0"/>
        <v/>
      </c>
      <c r="C62" t="s">
        <v>332</v>
      </c>
      <c r="D62" t="s">
        <v>333</v>
      </c>
      <c r="E62" t="s">
        <v>85</v>
      </c>
      <c r="G62" t="s">
        <v>435</v>
      </c>
      <c r="H62" t="s">
        <v>436</v>
      </c>
      <c r="P62" t="s">
        <v>437</v>
      </c>
      <c r="T62" t="s">
        <v>438</v>
      </c>
      <c r="U62" t="s">
        <v>439</v>
      </c>
      <c r="V62" t="s">
        <v>186</v>
      </c>
      <c r="W62" t="s">
        <v>440</v>
      </c>
      <c r="X62" t="s">
        <v>338</v>
      </c>
      <c r="Z62" t="b">
        <v>0</v>
      </c>
      <c r="AA62" t="b">
        <v>0</v>
      </c>
      <c r="AB62" t="b">
        <v>1</v>
      </c>
      <c r="AC62" t="b">
        <v>0</v>
      </c>
    </row>
    <row r="63" spans="2:29" x14ac:dyDescent="0.25">
      <c r="B63" t="str">
        <f t="shared" si="0"/>
        <v/>
      </c>
      <c r="C63" t="s">
        <v>332</v>
      </c>
      <c r="D63" t="s">
        <v>333</v>
      </c>
      <c r="E63" t="s">
        <v>85</v>
      </c>
      <c r="G63" t="s">
        <v>171</v>
      </c>
      <c r="H63" t="s">
        <v>442</v>
      </c>
      <c r="P63" t="s">
        <v>443</v>
      </c>
      <c r="T63" t="s">
        <v>444</v>
      </c>
      <c r="U63" t="s">
        <v>445</v>
      </c>
      <c r="V63" t="s">
        <v>186</v>
      </c>
      <c r="W63" t="s">
        <v>176</v>
      </c>
      <c r="X63" t="s">
        <v>338</v>
      </c>
      <c r="Z63" t="b">
        <v>0</v>
      </c>
      <c r="AA63" t="b">
        <v>0</v>
      </c>
      <c r="AB63" t="b">
        <v>1</v>
      </c>
      <c r="AC63" t="b">
        <v>0</v>
      </c>
    </row>
    <row r="64" spans="2:29" x14ac:dyDescent="0.25">
      <c r="B64" t="str">
        <f t="shared" si="0"/>
        <v>PU176995</v>
      </c>
      <c r="C64" t="s">
        <v>54</v>
      </c>
      <c r="D64" t="s">
        <v>55</v>
      </c>
      <c r="E64" t="s">
        <v>85</v>
      </c>
      <c r="F64" t="s">
        <v>447</v>
      </c>
      <c r="G64" t="s">
        <v>77</v>
      </c>
      <c r="P64" t="s">
        <v>448</v>
      </c>
      <c r="T64" t="s">
        <v>449</v>
      </c>
      <c r="U64" t="s">
        <v>450</v>
      </c>
      <c r="V64" t="s">
        <v>186</v>
      </c>
      <c r="W64" t="s">
        <v>187</v>
      </c>
      <c r="X64" t="s">
        <v>61</v>
      </c>
      <c r="Z64" t="b">
        <v>0</v>
      </c>
      <c r="AA64" t="b">
        <v>0</v>
      </c>
      <c r="AB64" t="b">
        <v>1</v>
      </c>
      <c r="AC64" t="b">
        <v>0</v>
      </c>
    </row>
    <row r="65" spans="2:29" x14ac:dyDescent="0.25">
      <c r="B65" t="str">
        <f t="shared" si="0"/>
        <v/>
      </c>
      <c r="C65" t="s">
        <v>332</v>
      </c>
      <c r="D65" t="s">
        <v>452</v>
      </c>
      <c r="E65" t="s">
        <v>85</v>
      </c>
      <c r="G65" t="s">
        <v>77</v>
      </c>
      <c r="H65" t="s">
        <v>453</v>
      </c>
      <c r="K65" t="s">
        <v>454</v>
      </c>
      <c r="L65">
        <v>1019021472</v>
      </c>
      <c r="P65" t="s">
        <v>455</v>
      </c>
      <c r="T65" t="s">
        <v>456</v>
      </c>
      <c r="U65" t="s">
        <v>457</v>
      </c>
      <c r="V65" t="s">
        <v>186</v>
      </c>
      <c r="W65" t="s">
        <v>187</v>
      </c>
      <c r="X65" t="s">
        <v>458</v>
      </c>
      <c r="Z65" t="b">
        <v>0</v>
      </c>
      <c r="AA65" t="b">
        <v>0</v>
      </c>
      <c r="AB65" t="b">
        <v>1</v>
      </c>
      <c r="AC65" t="b">
        <v>0</v>
      </c>
    </row>
    <row r="66" spans="2:29" x14ac:dyDescent="0.25">
      <c r="B66" t="str">
        <f t="shared" si="0"/>
        <v>BA1241322</v>
      </c>
      <c r="C66" t="s">
        <v>54</v>
      </c>
      <c r="D66" t="s">
        <v>55</v>
      </c>
      <c r="E66" t="s">
        <v>85</v>
      </c>
      <c r="F66" t="s">
        <v>460</v>
      </c>
      <c r="G66" t="s">
        <v>375</v>
      </c>
      <c r="N66" t="s">
        <v>461</v>
      </c>
      <c r="P66" s="3" t="s">
        <v>462</v>
      </c>
      <c r="T66" t="s">
        <v>463</v>
      </c>
      <c r="U66" t="s">
        <v>464</v>
      </c>
      <c r="V66" t="s">
        <v>60</v>
      </c>
      <c r="W66" t="s">
        <v>380</v>
      </c>
      <c r="X66" t="s">
        <v>61</v>
      </c>
      <c r="Z66" t="b">
        <v>0</v>
      </c>
      <c r="AA66" t="b">
        <v>0</v>
      </c>
      <c r="AB66" t="b">
        <v>1</v>
      </c>
      <c r="AC66" t="b">
        <v>0</v>
      </c>
    </row>
    <row r="67" spans="2:29" x14ac:dyDescent="0.25">
      <c r="B67" t="str">
        <f t="shared" ref="B67:B130" si="1">IF(LEN(F67)=10,0&amp;F67,""&amp;F67)</f>
        <v/>
      </c>
      <c r="C67" t="s">
        <v>332</v>
      </c>
      <c r="D67" t="s">
        <v>333</v>
      </c>
      <c r="E67" t="s">
        <v>85</v>
      </c>
      <c r="G67" t="s">
        <v>171</v>
      </c>
      <c r="H67" t="s">
        <v>466</v>
      </c>
      <c r="M67" t="s">
        <v>467</v>
      </c>
      <c r="N67" t="s">
        <v>468</v>
      </c>
      <c r="P67" t="s">
        <v>469</v>
      </c>
      <c r="T67" t="s">
        <v>470</v>
      </c>
      <c r="U67" t="s">
        <v>471</v>
      </c>
      <c r="V67" t="s">
        <v>60</v>
      </c>
      <c r="W67" t="s">
        <v>176</v>
      </c>
      <c r="X67" t="s">
        <v>338</v>
      </c>
      <c r="Z67" t="b">
        <v>0</v>
      </c>
      <c r="AA67" t="b">
        <v>0</v>
      </c>
      <c r="AB67" t="b">
        <v>1</v>
      </c>
      <c r="AC67" t="b">
        <v>0</v>
      </c>
    </row>
    <row r="68" spans="2:29" x14ac:dyDescent="0.25">
      <c r="B68" t="str">
        <f t="shared" si="1"/>
        <v> 01202228</v>
      </c>
      <c r="C68" t="s">
        <v>332</v>
      </c>
      <c r="D68" t="s">
        <v>333</v>
      </c>
      <c r="E68" t="s">
        <v>85</v>
      </c>
      <c r="F68" t="s">
        <v>473</v>
      </c>
      <c r="G68" t="s">
        <v>375</v>
      </c>
      <c r="H68" t="s">
        <v>474</v>
      </c>
      <c r="P68" t="s">
        <v>475</v>
      </c>
      <c r="T68" t="s">
        <v>476</v>
      </c>
      <c r="U68" t="s">
        <v>477</v>
      </c>
      <c r="V68" t="s">
        <v>478</v>
      </c>
      <c r="W68" t="s">
        <v>380</v>
      </c>
      <c r="X68" t="s">
        <v>338</v>
      </c>
      <c r="Z68" t="b">
        <v>0</v>
      </c>
      <c r="AA68" t="b">
        <v>0</v>
      </c>
      <c r="AB68" t="b">
        <v>1</v>
      </c>
      <c r="AC68" t="b">
        <v>0</v>
      </c>
    </row>
    <row r="69" spans="2:29" x14ac:dyDescent="0.25">
      <c r="B69" t="str">
        <f t="shared" si="1"/>
        <v>65002012550</v>
      </c>
      <c r="C69" t="s">
        <v>332</v>
      </c>
      <c r="D69" t="s">
        <v>452</v>
      </c>
      <c r="E69" t="s">
        <v>85</v>
      </c>
      <c r="F69">
        <v>65002012550</v>
      </c>
      <c r="G69" t="s">
        <v>77</v>
      </c>
      <c r="H69" t="s">
        <v>480</v>
      </c>
      <c r="P69" t="s">
        <v>481</v>
      </c>
      <c r="S69">
        <v>2276</v>
      </c>
      <c r="T69" t="s">
        <v>482</v>
      </c>
      <c r="U69" t="s">
        <v>483</v>
      </c>
      <c r="V69" t="s">
        <v>478</v>
      </c>
      <c r="W69" t="s">
        <v>187</v>
      </c>
      <c r="X69" t="s">
        <v>458</v>
      </c>
      <c r="Z69" t="b">
        <v>0</v>
      </c>
      <c r="AA69" t="b">
        <v>0</v>
      </c>
      <c r="AB69" t="b">
        <v>1</v>
      </c>
      <c r="AC69" t="b">
        <v>0</v>
      </c>
    </row>
    <row r="70" spans="2:29" x14ac:dyDescent="0.25">
      <c r="B70" t="str">
        <f t="shared" si="1"/>
        <v>230840027493</v>
      </c>
      <c r="C70" t="s">
        <v>332</v>
      </c>
      <c r="D70" t="s">
        <v>333</v>
      </c>
      <c r="E70" t="s">
        <v>85</v>
      </c>
      <c r="F70">
        <v>230840027493</v>
      </c>
      <c r="G70" t="s">
        <v>361</v>
      </c>
      <c r="P70" t="s">
        <v>485</v>
      </c>
      <c r="T70" t="s">
        <v>486</v>
      </c>
      <c r="U70" t="s">
        <v>487</v>
      </c>
      <c r="V70" t="s">
        <v>60</v>
      </c>
      <c r="W70" t="s">
        <v>367</v>
      </c>
      <c r="X70" t="s">
        <v>338</v>
      </c>
      <c r="Z70" t="b">
        <v>0</v>
      </c>
      <c r="AA70" t="b">
        <v>0</v>
      </c>
      <c r="AB70" t="b">
        <v>1</v>
      </c>
      <c r="AC70" t="b">
        <v>0</v>
      </c>
    </row>
    <row r="71" spans="2:29" x14ac:dyDescent="0.25">
      <c r="B71" t="str">
        <f t="shared" si="1"/>
        <v>316362930</v>
      </c>
      <c r="C71" t="s">
        <v>54</v>
      </c>
      <c r="D71" t="s">
        <v>63</v>
      </c>
      <c r="E71" t="s">
        <v>85</v>
      </c>
      <c r="F71">
        <v>316362930</v>
      </c>
      <c r="G71" t="s">
        <v>77</v>
      </c>
      <c r="P71" t="s">
        <v>489</v>
      </c>
      <c r="S71">
        <v>2300</v>
      </c>
      <c r="T71" t="s">
        <v>490</v>
      </c>
      <c r="U71" t="s">
        <v>491</v>
      </c>
      <c r="V71" t="s">
        <v>60</v>
      </c>
      <c r="W71" t="s">
        <v>187</v>
      </c>
      <c r="X71" t="s">
        <v>68</v>
      </c>
      <c r="Z71" t="b">
        <v>0</v>
      </c>
      <c r="AA71" t="b">
        <v>0</v>
      </c>
      <c r="AB71" t="b">
        <v>1</v>
      </c>
      <c r="AC71" t="b">
        <v>0</v>
      </c>
    </row>
    <row r="72" spans="2:29" x14ac:dyDescent="0.25">
      <c r="B72" t="str">
        <f t="shared" si="1"/>
        <v>06090116453</v>
      </c>
      <c r="C72" t="s">
        <v>332</v>
      </c>
      <c r="D72" t="s">
        <v>333</v>
      </c>
      <c r="E72" t="s">
        <v>85</v>
      </c>
      <c r="F72">
        <v>6090116453</v>
      </c>
      <c r="G72" t="s">
        <v>171</v>
      </c>
      <c r="P72" t="s">
        <v>493</v>
      </c>
      <c r="T72" t="s">
        <v>494</v>
      </c>
      <c r="U72" t="s">
        <v>495</v>
      </c>
      <c r="V72" t="s">
        <v>60</v>
      </c>
      <c r="W72" t="s">
        <v>176</v>
      </c>
      <c r="X72" t="s">
        <v>338</v>
      </c>
      <c r="Z72" t="b">
        <v>0</v>
      </c>
      <c r="AA72" t="b">
        <v>0</v>
      </c>
      <c r="AB72" t="b">
        <v>1</v>
      </c>
      <c r="AC72" t="b">
        <v>0</v>
      </c>
    </row>
    <row r="73" spans="2:29" x14ac:dyDescent="0.25">
      <c r="B73" t="str">
        <f t="shared" si="1"/>
        <v/>
      </c>
      <c r="C73" t="s">
        <v>54</v>
      </c>
      <c r="D73" t="s">
        <v>55</v>
      </c>
      <c r="E73" t="s">
        <v>85</v>
      </c>
      <c r="G73" t="s">
        <v>340</v>
      </c>
      <c r="P73" t="s">
        <v>497</v>
      </c>
      <c r="T73" t="s">
        <v>498</v>
      </c>
      <c r="U73" t="s">
        <v>499</v>
      </c>
      <c r="V73" t="s">
        <v>60</v>
      </c>
      <c r="W73" t="s">
        <v>344</v>
      </c>
      <c r="X73" t="s">
        <v>61</v>
      </c>
      <c r="Z73" t="b">
        <v>0</v>
      </c>
      <c r="AA73" t="b">
        <v>0</v>
      </c>
      <c r="AB73" t="b">
        <v>1</v>
      </c>
      <c r="AC73" t="b">
        <v>0</v>
      </c>
    </row>
    <row r="74" spans="2:29" x14ac:dyDescent="0.25">
      <c r="B74" t="str">
        <f t="shared" si="1"/>
        <v>0AS00084143</v>
      </c>
      <c r="C74" t="s">
        <v>54</v>
      </c>
      <c r="D74" t="s">
        <v>55</v>
      </c>
      <c r="E74" t="s">
        <v>85</v>
      </c>
      <c r="F74" t="s">
        <v>501</v>
      </c>
      <c r="G74" t="s">
        <v>502</v>
      </c>
      <c r="N74" t="s">
        <v>503</v>
      </c>
      <c r="P74" t="s">
        <v>504</v>
      </c>
      <c r="T74" t="s">
        <v>505</v>
      </c>
      <c r="U74" t="s">
        <v>506</v>
      </c>
      <c r="V74" t="s">
        <v>60</v>
      </c>
      <c r="W74" t="s">
        <v>507</v>
      </c>
      <c r="X74" t="s">
        <v>61</v>
      </c>
      <c r="Z74" t="b">
        <v>0</v>
      </c>
      <c r="AA74" t="b">
        <v>0</v>
      </c>
      <c r="AB74" t="b">
        <v>1</v>
      </c>
      <c r="AC74" t="b">
        <v>0</v>
      </c>
    </row>
    <row r="75" spans="2:29" x14ac:dyDescent="0.25">
      <c r="B75" t="str">
        <f t="shared" si="1"/>
        <v>A0794794</v>
      </c>
      <c r="C75" t="s">
        <v>54</v>
      </c>
      <c r="D75" t="s">
        <v>55</v>
      </c>
      <c r="E75" t="s">
        <v>85</v>
      </c>
      <c r="F75" t="s">
        <v>509</v>
      </c>
      <c r="G75" t="s">
        <v>510</v>
      </c>
      <c r="N75" t="s">
        <v>511</v>
      </c>
      <c r="P75" t="s">
        <v>512</v>
      </c>
      <c r="T75" t="s">
        <v>513</v>
      </c>
      <c r="U75" t="s">
        <v>514</v>
      </c>
      <c r="V75" t="s">
        <v>60</v>
      </c>
      <c r="W75" t="s">
        <v>515</v>
      </c>
      <c r="X75" t="s">
        <v>61</v>
      </c>
      <c r="Z75" t="b">
        <v>0</v>
      </c>
      <c r="AA75" t="b">
        <v>0</v>
      </c>
      <c r="AB75" t="b">
        <v>1</v>
      </c>
      <c r="AC75" t="b">
        <v>0</v>
      </c>
    </row>
    <row r="76" spans="2:29" x14ac:dyDescent="0.25">
      <c r="B76" t="str">
        <f t="shared" si="1"/>
        <v>4SYA2U6</v>
      </c>
      <c r="C76" t="s">
        <v>54</v>
      </c>
      <c r="D76" t="s">
        <v>55</v>
      </c>
      <c r="E76" t="s">
        <v>85</v>
      </c>
      <c r="F76" t="s">
        <v>517</v>
      </c>
      <c r="G76" t="s">
        <v>518</v>
      </c>
      <c r="N76" t="s">
        <v>519</v>
      </c>
      <c r="P76" t="s">
        <v>520</v>
      </c>
      <c r="T76" t="s">
        <v>521</v>
      </c>
      <c r="U76" t="s">
        <v>522</v>
      </c>
      <c r="V76" t="s">
        <v>60</v>
      </c>
      <c r="W76" t="s">
        <v>523</v>
      </c>
      <c r="X76" t="s">
        <v>61</v>
      </c>
      <c r="Z76" t="b">
        <v>0</v>
      </c>
      <c r="AA76" t="b">
        <v>0</v>
      </c>
      <c r="AB76" t="b">
        <v>1</v>
      </c>
      <c r="AC76" t="b">
        <v>0</v>
      </c>
    </row>
    <row r="77" spans="2:29" x14ac:dyDescent="0.25">
      <c r="B77" t="str">
        <f t="shared" si="1"/>
        <v>A2109077</v>
      </c>
      <c r="C77" t="s">
        <v>54</v>
      </c>
      <c r="D77" t="s">
        <v>55</v>
      </c>
      <c r="E77" t="s">
        <v>85</v>
      </c>
      <c r="F77" t="s">
        <v>525</v>
      </c>
      <c r="G77" t="s">
        <v>77</v>
      </c>
      <c r="P77" t="s">
        <v>526</v>
      </c>
      <c r="T77" t="s">
        <v>527</v>
      </c>
      <c r="U77" t="s">
        <v>528</v>
      </c>
      <c r="V77" t="s">
        <v>60</v>
      </c>
      <c r="W77" t="s">
        <v>187</v>
      </c>
      <c r="X77" t="s">
        <v>61</v>
      </c>
      <c r="Z77" t="b">
        <v>0</v>
      </c>
      <c r="AA77" t="b">
        <v>0</v>
      </c>
      <c r="AB77" t="b">
        <v>1</v>
      </c>
      <c r="AC77" t="b">
        <v>0</v>
      </c>
    </row>
    <row r="78" spans="2:29" x14ac:dyDescent="0.25">
      <c r="B78" t="str">
        <f t="shared" si="1"/>
        <v>0AB00013837</v>
      </c>
      <c r="C78" t="s">
        <v>54</v>
      </c>
      <c r="D78" t="s">
        <v>55</v>
      </c>
      <c r="E78" t="s">
        <v>85</v>
      </c>
      <c r="F78" t="s">
        <v>530</v>
      </c>
      <c r="G78" t="s">
        <v>77</v>
      </c>
      <c r="N78" t="s">
        <v>531</v>
      </c>
      <c r="P78" t="s">
        <v>532</v>
      </c>
      <c r="T78" t="s">
        <v>533</v>
      </c>
      <c r="U78" t="s">
        <v>534</v>
      </c>
      <c r="V78" t="s">
        <v>60</v>
      </c>
      <c r="W78" t="s">
        <v>187</v>
      </c>
      <c r="X78" t="s">
        <v>61</v>
      </c>
      <c r="Z78" t="b">
        <v>0</v>
      </c>
      <c r="AA78" t="b">
        <v>0</v>
      </c>
      <c r="AB78" t="b">
        <v>1</v>
      </c>
      <c r="AC78" t="b">
        <v>0</v>
      </c>
    </row>
    <row r="79" spans="2:29" x14ac:dyDescent="0.25">
      <c r="B79" t="str">
        <f t="shared" si="1"/>
        <v>500563837</v>
      </c>
      <c r="C79" t="s">
        <v>54</v>
      </c>
      <c r="D79" t="s">
        <v>63</v>
      </c>
      <c r="E79" t="s">
        <v>76</v>
      </c>
      <c r="F79">
        <v>500563837</v>
      </c>
      <c r="G79" t="s">
        <v>77</v>
      </c>
      <c r="N79" t="s">
        <v>536</v>
      </c>
      <c r="P79" t="s">
        <v>537</v>
      </c>
      <c r="T79" t="s">
        <v>538</v>
      </c>
      <c r="U79" t="s">
        <v>539</v>
      </c>
      <c r="V79" t="s">
        <v>60</v>
      </c>
      <c r="W79" t="s">
        <v>187</v>
      </c>
      <c r="X79" t="s">
        <v>68</v>
      </c>
      <c r="Z79" t="b">
        <v>0</v>
      </c>
      <c r="AA79" t="b">
        <v>0</v>
      </c>
      <c r="AB79" t="b">
        <v>1</v>
      </c>
      <c r="AC79" t="b">
        <v>0</v>
      </c>
    </row>
    <row r="80" spans="2:29" x14ac:dyDescent="0.25">
      <c r="B80" t="str">
        <f t="shared" si="1"/>
        <v>345690754</v>
      </c>
      <c r="C80" t="s">
        <v>54</v>
      </c>
      <c r="D80" t="s">
        <v>63</v>
      </c>
      <c r="E80" t="s">
        <v>85</v>
      </c>
      <c r="F80">
        <v>345690754</v>
      </c>
      <c r="G80" t="s">
        <v>77</v>
      </c>
      <c r="P80" t="s">
        <v>541</v>
      </c>
      <c r="S80">
        <v>2605</v>
      </c>
      <c r="T80" t="s">
        <v>542</v>
      </c>
      <c r="U80" t="s">
        <v>543</v>
      </c>
      <c r="V80" t="s">
        <v>60</v>
      </c>
      <c r="W80" t="s">
        <v>187</v>
      </c>
      <c r="X80" t="s">
        <v>68</v>
      </c>
      <c r="Z80" t="b">
        <v>0</v>
      </c>
      <c r="AA80" t="b">
        <v>0</v>
      </c>
      <c r="AB80" t="b">
        <v>1</v>
      </c>
      <c r="AC80" t="b">
        <v>0</v>
      </c>
    </row>
    <row r="81" spans="2:29" x14ac:dyDescent="0.25">
      <c r="B81" t="str">
        <f t="shared" si="1"/>
        <v>NV0C25JD1</v>
      </c>
      <c r="C81" t="s">
        <v>84</v>
      </c>
      <c r="D81" t="s">
        <v>55</v>
      </c>
      <c r="E81" t="s">
        <v>85</v>
      </c>
      <c r="F81" t="s">
        <v>545</v>
      </c>
      <c r="G81" t="s">
        <v>77</v>
      </c>
      <c r="P81" t="s">
        <v>546</v>
      </c>
      <c r="T81" t="s">
        <v>547</v>
      </c>
      <c r="U81" t="s">
        <v>548</v>
      </c>
      <c r="V81" t="s">
        <v>549</v>
      </c>
      <c r="W81" t="s">
        <v>187</v>
      </c>
      <c r="X81" t="s">
        <v>61</v>
      </c>
      <c r="Z81" t="b">
        <v>0</v>
      </c>
      <c r="AA81" t="b">
        <v>0</v>
      </c>
      <c r="AB81" t="b">
        <v>1</v>
      </c>
      <c r="AC81" t="b">
        <v>0</v>
      </c>
    </row>
    <row r="82" spans="2:29" x14ac:dyDescent="0.25">
      <c r="B82" t="str">
        <f t="shared" si="1"/>
        <v>AU0401237</v>
      </c>
      <c r="C82" t="s">
        <v>54</v>
      </c>
      <c r="D82" t="s">
        <v>55</v>
      </c>
      <c r="E82" t="s">
        <v>85</v>
      </c>
      <c r="F82" t="s">
        <v>551</v>
      </c>
      <c r="G82" t="s">
        <v>375</v>
      </c>
      <c r="N82" t="s">
        <v>552</v>
      </c>
      <c r="P82" t="s">
        <v>553</v>
      </c>
      <c r="T82" t="s">
        <v>554</v>
      </c>
      <c r="U82" t="s">
        <v>555</v>
      </c>
      <c r="V82" t="s">
        <v>60</v>
      </c>
      <c r="W82" t="s">
        <v>380</v>
      </c>
      <c r="X82" t="s">
        <v>61</v>
      </c>
      <c r="Z82" t="b">
        <v>0</v>
      </c>
      <c r="AA82" t="b">
        <v>0</v>
      </c>
      <c r="AB82" t="b">
        <v>1</v>
      </c>
      <c r="AC82" t="b">
        <v>0</v>
      </c>
    </row>
    <row r="83" spans="2:29" x14ac:dyDescent="0.25">
      <c r="B83" t="str">
        <f t="shared" si="1"/>
        <v>45001002659</v>
      </c>
      <c r="C83" t="s">
        <v>54</v>
      </c>
      <c r="D83" t="s">
        <v>225</v>
      </c>
      <c r="E83" t="s">
        <v>76</v>
      </c>
      <c r="F83">
        <v>45001002659</v>
      </c>
      <c r="G83" t="s">
        <v>77</v>
      </c>
      <c r="N83" t="s">
        <v>557</v>
      </c>
      <c r="P83" t="s">
        <v>558</v>
      </c>
      <c r="S83">
        <v>2698</v>
      </c>
      <c r="T83" t="s">
        <v>559</v>
      </c>
      <c r="U83" t="s">
        <v>560</v>
      </c>
      <c r="V83" t="s">
        <v>60</v>
      </c>
      <c r="W83" t="s">
        <v>187</v>
      </c>
      <c r="X83" t="s">
        <v>231</v>
      </c>
      <c r="Z83" t="b">
        <v>0</v>
      </c>
      <c r="AA83" t="b">
        <v>0</v>
      </c>
      <c r="AB83" t="b">
        <v>1</v>
      </c>
      <c r="AC83" t="b">
        <v>0</v>
      </c>
    </row>
    <row r="84" spans="2:29" x14ac:dyDescent="0.25">
      <c r="B84" t="str">
        <f t="shared" si="1"/>
        <v>305300509</v>
      </c>
      <c r="C84" t="s">
        <v>54</v>
      </c>
      <c r="D84" t="s">
        <v>63</v>
      </c>
      <c r="E84" t="s">
        <v>85</v>
      </c>
      <c r="F84">
        <v>305300509</v>
      </c>
      <c r="G84" t="s">
        <v>77</v>
      </c>
      <c r="P84" t="s">
        <v>562</v>
      </c>
      <c r="T84" t="s">
        <v>563</v>
      </c>
      <c r="U84" t="s">
        <v>564</v>
      </c>
      <c r="V84" t="s">
        <v>549</v>
      </c>
      <c r="W84" t="s">
        <v>187</v>
      </c>
      <c r="X84" t="s">
        <v>68</v>
      </c>
      <c r="Z84" t="b">
        <v>0</v>
      </c>
      <c r="AA84" t="b">
        <v>0</v>
      </c>
      <c r="AB84" t="b">
        <v>1</v>
      </c>
      <c r="AC84" t="b">
        <v>0</v>
      </c>
    </row>
    <row r="85" spans="2:29" x14ac:dyDescent="0.25">
      <c r="B85" t="str">
        <f t="shared" si="1"/>
        <v/>
      </c>
      <c r="C85" t="s">
        <v>332</v>
      </c>
      <c r="D85" t="s">
        <v>333</v>
      </c>
      <c r="E85" t="s">
        <v>85</v>
      </c>
      <c r="G85" t="s">
        <v>375</v>
      </c>
      <c r="P85" t="s">
        <v>566</v>
      </c>
      <c r="T85" t="s">
        <v>567</v>
      </c>
      <c r="U85" t="s">
        <v>568</v>
      </c>
      <c r="V85" t="s">
        <v>549</v>
      </c>
      <c r="W85" t="s">
        <v>380</v>
      </c>
      <c r="X85" t="s">
        <v>338</v>
      </c>
      <c r="Z85" t="b">
        <v>0</v>
      </c>
      <c r="AA85" t="b">
        <v>0</v>
      </c>
      <c r="AB85" t="b">
        <v>1</v>
      </c>
      <c r="AC85" t="b">
        <v>0</v>
      </c>
    </row>
    <row r="86" spans="2:29" x14ac:dyDescent="0.25">
      <c r="B86" t="str">
        <f t="shared" si="1"/>
        <v/>
      </c>
      <c r="C86" t="s">
        <v>332</v>
      </c>
      <c r="D86" t="s">
        <v>333</v>
      </c>
      <c r="E86" t="s">
        <v>85</v>
      </c>
      <c r="G86" t="s">
        <v>375</v>
      </c>
      <c r="P86" t="s">
        <v>570</v>
      </c>
      <c r="T86" t="s">
        <v>571</v>
      </c>
      <c r="U86" t="s">
        <v>572</v>
      </c>
      <c r="V86" t="s">
        <v>549</v>
      </c>
      <c r="W86" t="s">
        <v>380</v>
      </c>
      <c r="X86" t="s">
        <v>338</v>
      </c>
      <c r="Z86" t="b">
        <v>0</v>
      </c>
      <c r="AA86" t="b">
        <v>0</v>
      </c>
      <c r="AB86" t="b">
        <v>1</v>
      </c>
      <c r="AC86" t="b">
        <v>0</v>
      </c>
    </row>
    <row r="87" spans="2:29" x14ac:dyDescent="0.25">
      <c r="B87" t="str">
        <f t="shared" si="1"/>
        <v/>
      </c>
      <c r="C87" t="s">
        <v>332</v>
      </c>
      <c r="D87" t="s">
        <v>333</v>
      </c>
      <c r="E87" t="s">
        <v>85</v>
      </c>
      <c r="G87" t="s">
        <v>171</v>
      </c>
      <c r="P87" t="s">
        <v>574</v>
      </c>
      <c r="T87" t="s">
        <v>575</v>
      </c>
      <c r="U87" t="s">
        <v>576</v>
      </c>
      <c r="V87" t="s">
        <v>549</v>
      </c>
      <c r="W87" t="s">
        <v>176</v>
      </c>
      <c r="X87" t="s">
        <v>338</v>
      </c>
      <c r="Z87" t="b">
        <v>0</v>
      </c>
      <c r="AA87" t="b">
        <v>0</v>
      </c>
      <c r="AB87" t="b">
        <v>1</v>
      </c>
      <c r="AC87" t="b">
        <v>0</v>
      </c>
    </row>
    <row r="88" spans="2:29" x14ac:dyDescent="0.25">
      <c r="B88" t="str">
        <f t="shared" si="1"/>
        <v/>
      </c>
      <c r="C88" t="s">
        <v>332</v>
      </c>
      <c r="D88" t="s">
        <v>333</v>
      </c>
      <c r="E88" t="s">
        <v>85</v>
      </c>
      <c r="G88" t="s">
        <v>171</v>
      </c>
      <c r="P88" t="s">
        <v>578</v>
      </c>
      <c r="T88" t="s">
        <v>579</v>
      </c>
      <c r="U88" t="s">
        <v>580</v>
      </c>
      <c r="V88" t="s">
        <v>549</v>
      </c>
      <c r="W88" t="s">
        <v>176</v>
      </c>
      <c r="X88" t="s">
        <v>338</v>
      </c>
      <c r="Z88" t="b">
        <v>0</v>
      </c>
      <c r="AA88" t="b">
        <v>0</v>
      </c>
      <c r="AB88" t="b">
        <v>1</v>
      </c>
      <c r="AC88" t="b">
        <v>0</v>
      </c>
    </row>
    <row r="89" spans="2:29" x14ac:dyDescent="0.25">
      <c r="B89" t="str">
        <f t="shared" si="1"/>
        <v/>
      </c>
      <c r="C89" t="s">
        <v>332</v>
      </c>
      <c r="D89" t="s">
        <v>333</v>
      </c>
      <c r="E89" t="s">
        <v>85</v>
      </c>
      <c r="G89" t="s">
        <v>171</v>
      </c>
      <c r="P89" t="s">
        <v>582</v>
      </c>
      <c r="T89" t="s">
        <v>583</v>
      </c>
      <c r="U89" t="s">
        <v>584</v>
      </c>
      <c r="V89" t="s">
        <v>549</v>
      </c>
      <c r="W89" t="s">
        <v>176</v>
      </c>
      <c r="X89" t="s">
        <v>338</v>
      </c>
      <c r="Z89" t="b">
        <v>0</v>
      </c>
      <c r="AA89" t="b">
        <v>0</v>
      </c>
      <c r="AB89" t="b">
        <v>1</v>
      </c>
      <c r="AC89" t="b">
        <v>0</v>
      </c>
    </row>
    <row r="90" spans="2:29" x14ac:dyDescent="0.25">
      <c r="B90" t="str">
        <f t="shared" si="1"/>
        <v/>
      </c>
      <c r="C90" t="s">
        <v>332</v>
      </c>
      <c r="D90" t="s">
        <v>333</v>
      </c>
      <c r="E90" t="s">
        <v>85</v>
      </c>
      <c r="G90" t="s">
        <v>171</v>
      </c>
      <c r="P90" t="s">
        <v>586</v>
      </c>
      <c r="T90" t="s">
        <v>587</v>
      </c>
      <c r="U90" t="s">
        <v>588</v>
      </c>
      <c r="V90" t="s">
        <v>549</v>
      </c>
      <c r="W90" t="s">
        <v>176</v>
      </c>
      <c r="X90" t="s">
        <v>338</v>
      </c>
      <c r="Z90" t="b">
        <v>0</v>
      </c>
      <c r="AA90" t="b">
        <v>0</v>
      </c>
      <c r="AB90" t="b">
        <v>1</v>
      </c>
      <c r="AC90" t="b">
        <v>0</v>
      </c>
    </row>
    <row r="91" spans="2:29" x14ac:dyDescent="0.25">
      <c r="B91" t="str">
        <f t="shared" si="1"/>
        <v/>
      </c>
      <c r="C91" t="s">
        <v>332</v>
      </c>
      <c r="D91" t="s">
        <v>333</v>
      </c>
      <c r="E91" t="s">
        <v>85</v>
      </c>
      <c r="G91" t="s">
        <v>171</v>
      </c>
      <c r="P91" t="s">
        <v>590</v>
      </c>
      <c r="T91" t="s">
        <v>591</v>
      </c>
      <c r="U91" t="s">
        <v>592</v>
      </c>
      <c r="V91" t="s">
        <v>549</v>
      </c>
      <c r="W91" t="s">
        <v>176</v>
      </c>
      <c r="X91" t="s">
        <v>338</v>
      </c>
      <c r="Z91" t="b">
        <v>0</v>
      </c>
      <c r="AA91" t="b">
        <v>0</v>
      </c>
      <c r="AB91" t="b">
        <v>1</v>
      </c>
      <c r="AC91" t="b">
        <v>0</v>
      </c>
    </row>
    <row r="92" spans="2:29" x14ac:dyDescent="0.25">
      <c r="B92" t="str">
        <f t="shared" si="1"/>
        <v/>
      </c>
      <c r="C92" t="s">
        <v>332</v>
      </c>
      <c r="D92" t="s">
        <v>333</v>
      </c>
      <c r="E92" t="s">
        <v>85</v>
      </c>
      <c r="G92" t="s">
        <v>171</v>
      </c>
      <c r="P92" t="s">
        <v>594</v>
      </c>
      <c r="T92" t="s">
        <v>595</v>
      </c>
      <c r="U92" t="s">
        <v>596</v>
      </c>
      <c r="V92" t="s">
        <v>549</v>
      </c>
      <c r="W92" t="s">
        <v>176</v>
      </c>
      <c r="X92" t="s">
        <v>338</v>
      </c>
      <c r="Z92" t="b">
        <v>0</v>
      </c>
      <c r="AA92" t="b">
        <v>0</v>
      </c>
      <c r="AB92" t="b">
        <v>1</v>
      </c>
      <c r="AC92" t="b">
        <v>0</v>
      </c>
    </row>
    <row r="93" spans="2:29" x14ac:dyDescent="0.25">
      <c r="B93" t="str">
        <f t="shared" si="1"/>
        <v/>
      </c>
      <c r="C93" t="s">
        <v>332</v>
      </c>
      <c r="D93" t="s">
        <v>333</v>
      </c>
      <c r="E93" t="s">
        <v>85</v>
      </c>
      <c r="G93" t="s">
        <v>171</v>
      </c>
      <c r="P93" t="s">
        <v>598</v>
      </c>
      <c r="T93" t="s">
        <v>599</v>
      </c>
      <c r="U93" t="s">
        <v>600</v>
      </c>
      <c r="V93" t="s">
        <v>549</v>
      </c>
      <c r="W93" t="s">
        <v>176</v>
      </c>
      <c r="X93" t="s">
        <v>338</v>
      </c>
      <c r="Z93" t="b">
        <v>0</v>
      </c>
      <c r="AA93" t="b">
        <v>0</v>
      </c>
      <c r="AB93" t="b">
        <v>1</v>
      </c>
      <c r="AC93" t="b">
        <v>0</v>
      </c>
    </row>
    <row r="94" spans="2:29" x14ac:dyDescent="0.25">
      <c r="B94" t="str">
        <f t="shared" si="1"/>
        <v/>
      </c>
      <c r="C94" t="s">
        <v>332</v>
      </c>
      <c r="D94" t="s">
        <v>333</v>
      </c>
      <c r="E94" t="s">
        <v>85</v>
      </c>
      <c r="G94" t="s">
        <v>171</v>
      </c>
      <c r="P94" t="s">
        <v>602</v>
      </c>
      <c r="T94" t="s">
        <v>603</v>
      </c>
      <c r="U94" t="s">
        <v>604</v>
      </c>
      <c r="V94" t="s">
        <v>549</v>
      </c>
      <c r="W94" t="s">
        <v>176</v>
      </c>
      <c r="X94" t="s">
        <v>338</v>
      </c>
      <c r="Z94" t="b">
        <v>0</v>
      </c>
      <c r="AA94" t="b">
        <v>0</v>
      </c>
      <c r="AB94" t="b">
        <v>1</v>
      </c>
      <c r="AC94" t="b">
        <v>0</v>
      </c>
    </row>
    <row r="95" spans="2:29" x14ac:dyDescent="0.25">
      <c r="B95" t="str">
        <f t="shared" si="1"/>
        <v/>
      </c>
      <c r="C95" t="s">
        <v>332</v>
      </c>
      <c r="D95" t="s">
        <v>333</v>
      </c>
      <c r="E95" t="s">
        <v>85</v>
      </c>
      <c r="G95" t="s">
        <v>171</v>
      </c>
      <c r="P95" t="s">
        <v>606</v>
      </c>
      <c r="T95" t="s">
        <v>607</v>
      </c>
      <c r="U95" t="s">
        <v>608</v>
      </c>
      <c r="V95" t="s">
        <v>549</v>
      </c>
      <c r="W95" t="s">
        <v>176</v>
      </c>
      <c r="X95" t="s">
        <v>338</v>
      </c>
      <c r="Z95" t="b">
        <v>0</v>
      </c>
      <c r="AA95" t="b">
        <v>0</v>
      </c>
      <c r="AB95" t="b">
        <v>1</v>
      </c>
      <c r="AC95" t="b">
        <v>0</v>
      </c>
    </row>
    <row r="96" spans="2:29" x14ac:dyDescent="0.25">
      <c r="B96" t="str">
        <f t="shared" si="1"/>
        <v/>
      </c>
      <c r="C96" t="s">
        <v>332</v>
      </c>
      <c r="D96" t="s">
        <v>333</v>
      </c>
      <c r="E96" t="s">
        <v>85</v>
      </c>
      <c r="G96" t="s">
        <v>610</v>
      </c>
      <c r="P96" t="s">
        <v>611</v>
      </c>
      <c r="T96" t="s">
        <v>612</v>
      </c>
      <c r="U96" t="s">
        <v>613</v>
      </c>
      <c r="V96" t="s">
        <v>549</v>
      </c>
      <c r="W96" t="s">
        <v>614</v>
      </c>
      <c r="X96" t="s">
        <v>338</v>
      </c>
      <c r="Z96" t="b">
        <v>0</v>
      </c>
      <c r="AA96" t="b">
        <v>0</v>
      </c>
      <c r="AB96" t="b">
        <v>1</v>
      </c>
      <c r="AC96" t="b">
        <v>0</v>
      </c>
    </row>
    <row r="97" spans="2:29" x14ac:dyDescent="0.25">
      <c r="B97" t="str">
        <f t="shared" si="1"/>
        <v/>
      </c>
      <c r="C97" t="s">
        <v>332</v>
      </c>
      <c r="D97" t="s">
        <v>333</v>
      </c>
      <c r="E97" t="s">
        <v>85</v>
      </c>
      <c r="G97" t="s">
        <v>171</v>
      </c>
      <c r="P97" t="s">
        <v>616</v>
      </c>
      <c r="T97" t="s">
        <v>617</v>
      </c>
      <c r="U97" t="s">
        <v>618</v>
      </c>
      <c r="V97" t="s">
        <v>549</v>
      </c>
      <c r="W97" t="s">
        <v>176</v>
      </c>
      <c r="X97" t="s">
        <v>338</v>
      </c>
      <c r="Z97" t="b">
        <v>0</v>
      </c>
      <c r="AA97" t="b">
        <v>0</v>
      </c>
      <c r="AB97" t="b">
        <v>1</v>
      </c>
      <c r="AC97" t="b">
        <v>0</v>
      </c>
    </row>
    <row r="98" spans="2:29" x14ac:dyDescent="0.25">
      <c r="B98" t="str">
        <f t="shared" si="1"/>
        <v/>
      </c>
      <c r="C98" t="s">
        <v>332</v>
      </c>
      <c r="D98" t="s">
        <v>333</v>
      </c>
      <c r="E98" t="s">
        <v>85</v>
      </c>
      <c r="G98" t="s">
        <v>171</v>
      </c>
      <c r="P98" t="s">
        <v>620</v>
      </c>
      <c r="T98" t="s">
        <v>621</v>
      </c>
      <c r="U98" t="s">
        <v>622</v>
      </c>
      <c r="V98" t="s">
        <v>549</v>
      </c>
      <c r="W98" t="s">
        <v>176</v>
      </c>
      <c r="X98" t="s">
        <v>338</v>
      </c>
      <c r="Z98" t="b">
        <v>0</v>
      </c>
      <c r="AA98" t="b">
        <v>0</v>
      </c>
      <c r="AB98" t="b">
        <v>1</v>
      </c>
      <c r="AC98" t="b">
        <v>0</v>
      </c>
    </row>
    <row r="99" spans="2:29" x14ac:dyDescent="0.25">
      <c r="B99" t="str">
        <f t="shared" si="1"/>
        <v/>
      </c>
      <c r="C99" t="s">
        <v>332</v>
      </c>
      <c r="D99" t="s">
        <v>333</v>
      </c>
      <c r="E99" t="s">
        <v>85</v>
      </c>
      <c r="G99" t="s">
        <v>171</v>
      </c>
      <c r="P99" t="s">
        <v>624</v>
      </c>
      <c r="T99" t="s">
        <v>625</v>
      </c>
      <c r="U99" t="s">
        <v>626</v>
      </c>
      <c r="V99" t="s">
        <v>549</v>
      </c>
      <c r="W99" t="s">
        <v>176</v>
      </c>
      <c r="X99" t="s">
        <v>338</v>
      </c>
      <c r="Z99" t="b">
        <v>0</v>
      </c>
      <c r="AA99" t="b">
        <v>0</v>
      </c>
      <c r="AB99" t="b">
        <v>1</v>
      </c>
      <c r="AC99" t="b">
        <v>0</v>
      </c>
    </row>
    <row r="100" spans="2:29" x14ac:dyDescent="0.25">
      <c r="B100" t="str">
        <f t="shared" si="1"/>
        <v/>
      </c>
      <c r="C100" t="s">
        <v>332</v>
      </c>
      <c r="D100" t="s">
        <v>333</v>
      </c>
      <c r="E100" t="s">
        <v>85</v>
      </c>
      <c r="G100" t="s">
        <v>171</v>
      </c>
      <c r="P100" t="s">
        <v>628</v>
      </c>
      <c r="T100" t="s">
        <v>629</v>
      </c>
      <c r="U100" t="s">
        <v>630</v>
      </c>
      <c r="V100" t="s">
        <v>549</v>
      </c>
      <c r="W100" t="s">
        <v>176</v>
      </c>
      <c r="X100" t="s">
        <v>338</v>
      </c>
      <c r="Z100" t="b">
        <v>0</v>
      </c>
      <c r="AA100" t="b">
        <v>0</v>
      </c>
      <c r="AB100" t="b">
        <v>1</v>
      </c>
      <c r="AC100" t="b">
        <v>0</v>
      </c>
    </row>
    <row r="101" spans="2:29" x14ac:dyDescent="0.25">
      <c r="B101" t="str">
        <f t="shared" si="1"/>
        <v/>
      </c>
      <c r="C101" t="s">
        <v>332</v>
      </c>
      <c r="D101" t="s">
        <v>333</v>
      </c>
      <c r="E101" t="s">
        <v>85</v>
      </c>
      <c r="G101" t="s">
        <v>171</v>
      </c>
      <c r="P101" t="s">
        <v>632</v>
      </c>
      <c r="T101" t="s">
        <v>633</v>
      </c>
      <c r="U101" t="s">
        <v>634</v>
      </c>
      <c r="V101" t="s">
        <v>549</v>
      </c>
      <c r="W101" t="s">
        <v>176</v>
      </c>
      <c r="X101" t="s">
        <v>338</v>
      </c>
      <c r="Z101" t="b">
        <v>0</v>
      </c>
      <c r="AA101" t="b">
        <v>0</v>
      </c>
      <c r="AB101" t="b">
        <v>1</v>
      </c>
      <c r="AC101" t="b">
        <v>0</v>
      </c>
    </row>
    <row r="102" spans="2:29" x14ac:dyDescent="0.25">
      <c r="B102" t="str">
        <f t="shared" si="1"/>
        <v/>
      </c>
      <c r="C102" t="s">
        <v>54</v>
      </c>
      <c r="D102" t="s">
        <v>55</v>
      </c>
      <c r="E102" t="s">
        <v>85</v>
      </c>
      <c r="G102" t="s">
        <v>423</v>
      </c>
      <c r="P102" t="s">
        <v>636</v>
      </c>
      <c r="T102" t="s">
        <v>637</v>
      </c>
      <c r="U102" t="s">
        <v>638</v>
      </c>
      <c r="V102" t="s">
        <v>549</v>
      </c>
      <c r="W102" t="s">
        <v>428</v>
      </c>
      <c r="X102" t="s">
        <v>61</v>
      </c>
      <c r="Z102" t="b">
        <v>0</v>
      </c>
      <c r="AA102" t="b">
        <v>0</v>
      </c>
      <c r="AB102" t="b">
        <v>1</v>
      </c>
      <c r="AC102" t="b">
        <v>0</v>
      </c>
    </row>
    <row r="103" spans="2:29" x14ac:dyDescent="0.25">
      <c r="B103" t="str">
        <f t="shared" si="1"/>
        <v>756863414</v>
      </c>
      <c r="C103" t="s">
        <v>332</v>
      </c>
      <c r="D103" t="s">
        <v>55</v>
      </c>
      <c r="E103" t="s">
        <v>85</v>
      </c>
      <c r="F103">
        <v>756863414</v>
      </c>
      <c r="G103" t="s">
        <v>423</v>
      </c>
      <c r="P103" t="s">
        <v>640</v>
      </c>
      <c r="S103">
        <v>2537</v>
      </c>
      <c r="T103" t="s">
        <v>641</v>
      </c>
      <c r="U103" t="s">
        <v>642</v>
      </c>
      <c r="V103" t="s">
        <v>549</v>
      </c>
      <c r="W103" t="s">
        <v>428</v>
      </c>
      <c r="X103" t="s">
        <v>61</v>
      </c>
      <c r="Z103" t="b">
        <v>0</v>
      </c>
      <c r="AA103" t="b">
        <v>0</v>
      </c>
      <c r="AB103" t="b">
        <v>1</v>
      </c>
      <c r="AC103" t="b">
        <v>0</v>
      </c>
    </row>
    <row r="104" spans="2:29" x14ac:dyDescent="0.25">
      <c r="B104" t="str">
        <f t="shared" si="1"/>
        <v>761253063</v>
      </c>
      <c r="C104" t="s">
        <v>54</v>
      </c>
      <c r="D104" t="s">
        <v>55</v>
      </c>
      <c r="E104" t="s">
        <v>85</v>
      </c>
      <c r="F104">
        <v>761253063</v>
      </c>
      <c r="G104" t="s">
        <v>423</v>
      </c>
      <c r="P104" t="s">
        <v>644</v>
      </c>
      <c r="S104">
        <v>2404</v>
      </c>
      <c r="T104" t="s">
        <v>645</v>
      </c>
      <c r="U104" t="s">
        <v>646</v>
      </c>
      <c r="V104" t="s">
        <v>549</v>
      </c>
      <c r="W104" t="s">
        <v>428</v>
      </c>
      <c r="X104" t="s">
        <v>61</v>
      </c>
      <c r="Z104" t="b">
        <v>0</v>
      </c>
      <c r="AA104" t="b">
        <v>0</v>
      </c>
      <c r="AB104" t="b">
        <v>1</v>
      </c>
      <c r="AC104" t="b">
        <v>0</v>
      </c>
    </row>
    <row r="105" spans="2:29" x14ac:dyDescent="0.25">
      <c r="B105" t="str">
        <f t="shared" si="1"/>
        <v>LV5293430</v>
      </c>
      <c r="C105" t="s">
        <v>332</v>
      </c>
      <c r="D105" t="s">
        <v>55</v>
      </c>
      <c r="E105" t="s">
        <v>85</v>
      </c>
      <c r="F105" t="s">
        <v>648</v>
      </c>
      <c r="G105" t="s">
        <v>423</v>
      </c>
      <c r="P105" t="s">
        <v>649</v>
      </c>
      <c r="S105">
        <v>2682</v>
      </c>
      <c r="T105" t="s">
        <v>650</v>
      </c>
      <c r="U105" t="s">
        <v>651</v>
      </c>
      <c r="V105" t="s">
        <v>549</v>
      </c>
      <c r="W105" t="s">
        <v>428</v>
      </c>
      <c r="X105" t="s">
        <v>61</v>
      </c>
      <c r="Z105" t="b">
        <v>0</v>
      </c>
      <c r="AA105" t="b">
        <v>0</v>
      </c>
      <c r="AB105" t="b">
        <v>1</v>
      </c>
      <c r="AC105" t="b">
        <v>0</v>
      </c>
    </row>
    <row r="106" spans="2:29" x14ac:dyDescent="0.25">
      <c r="B106" t="str">
        <f t="shared" si="1"/>
        <v>345720703</v>
      </c>
      <c r="C106" t="s">
        <v>54</v>
      </c>
      <c r="D106" t="s">
        <v>63</v>
      </c>
      <c r="E106" t="s">
        <v>85</v>
      </c>
      <c r="F106">
        <v>345720703</v>
      </c>
      <c r="G106" t="s">
        <v>77</v>
      </c>
      <c r="P106" t="s">
        <v>653</v>
      </c>
      <c r="S106">
        <v>2702</v>
      </c>
      <c r="T106" t="s">
        <v>654</v>
      </c>
      <c r="U106" t="s">
        <v>655</v>
      </c>
      <c r="V106" t="s">
        <v>549</v>
      </c>
      <c r="W106" t="s">
        <v>187</v>
      </c>
      <c r="X106" t="s">
        <v>68</v>
      </c>
      <c r="Z106" t="b">
        <v>0</v>
      </c>
      <c r="AA106" t="b">
        <v>0</v>
      </c>
      <c r="AB106" t="b">
        <v>1</v>
      </c>
      <c r="AC106" t="b">
        <v>0</v>
      </c>
    </row>
    <row r="107" spans="2:29" x14ac:dyDescent="0.25">
      <c r="B107" t="str">
        <f t="shared" si="1"/>
        <v>LR1331828</v>
      </c>
      <c r="C107" t="s">
        <v>332</v>
      </c>
      <c r="D107" t="s">
        <v>55</v>
      </c>
      <c r="E107" t="s">
        <v>85</v>
      </c>
      <c r="F107" t="s">
        <v>657</v>
      </c>
      <c r="G107" t="s">
        <v>423</v>
      </c>
      <c r="P107" t="s">
        <v>658</v>
      </c>
      <c r="S107">
        <v>2707</v>
      </c>
      <c r="T107" t="s">
        <v>659</v>
      </c>
      <c r="U107" t="s">
        <v>660</v>
      </c>
      <c r="V107" t="s">
        <v>549</v>
      </c>
      <c r="W107" t="s">
        <v>428</v>
      </c>
      <c r="X107" t="s">
        <v>61</v>
      </c>
      <c r="Z107" t="b">
        <v>0</v>
      </c>
      <c r="AA107" t="b">
        <v>0</v>
      </c>
      <c r="AB107" t="b">
        <v>1</v>
      </c>
      <c r="AC107" t="b">
        <v>0</v>
      </c>
    </row>
    <row r="108" spans="2:29" x14ac:dyDescent="0.25">
      <c r="B108" t="str">
        <f t="shared" si="1"/>
        <v/>
      </c>
      <c r="C108" t="s">
        <v>332</v>
      </c>
      <c r="D108" t="s">
        <v>55</v>
      </c>
      <c r="E108" t="s">
        <v>85</v>
      </c>
      <c r="G108" t="s">
        <v>662</v>
      </c>
      <c r="P108" t="s">
        <v>663</v>
      </c>
      <c r="T108" t="s">
        <v>664</v>
      </c>
      <c r="U108" t="s">
        <v>665</v>
      </c>
      <c r="V108" t="s">
        <v>549</v>
      </c>
      <c r="W108" t="s">
        <v>666</v>
      </c>
      <c r="X108" t="s">
        <v>61</v>
      </c>
      <c r="Z108" t="b">
        <v>0</v>
      </c>
      <c r="AA108" t="b">
        <v>0</v>
      </c>
      <c r="AB108" t="b">
        <v>1</v>
      </c>
      <c r="AC108" t="b">
        <v>0</v>
      </c>
    </row>
    <row r="109" spans="2:29" x14ac:dyDescent="0.25">
      <c r="B109" t="str">
        <f t="shared" si="1"/>
        <v/>
      </c>
      <c r="C109" t="s">
        <v>332</v>
      </c>
      <c r="D109" t="s">
        <v>179</v>
      </c>
      <c r="E109" t="s">
        <v>85</v>
      </c>
      <c r="G109" t="s">
        <v>388</v>
      </c>
      <c r="P109" t="s">
        <v>668</v>
      </c>
      <c r="T109" t="s">
        <v>669</v>
      </c>
      <c r="U109" t="s">
        <v>670</v>
      </c>
      <c r="V109" t="s">
        <v>549</v>
      </c>
      <c r="W109" t="s">
        <v>393</v>
      </c>
      <c r="X109" t="s">
        <v>188</v>
      </c>
      <c r="Z109" t="b">
        <v>0</v>
      </c>
      <c r="AA109" t="b">
        <v>0</v>
      </c>
      <c r="AB109" t="b">
        <v>1</v>
      </c>
      <c r="AC109" t="b">
        <v>0</v>
      </c>
    </row>
    <row r="110" spans="2:29" x14ac:dyDescent="0.25">
      <c r="B110" t="str">
        <f t="shared" si="1"/>
        <v/>
      </c>
      <c r="C110" t="s">
        <v>332</v>
      </c>
      <c r="D110" t="s">
        <v>179</v>
      </c>
      <c r="E110" t="s">
        <v>85</v>
      </c>
      <c r="G110" t="s">
        <v>77</v>
      </c>
      <c r="P110" t="s">
        <v>672</v>
      </c>
      <c r="T110" t="s">
        <v>673</v>
      </c>
      <c r="U110" t="s">
        <v>674</v>
      </c>
      <c r="V110" t="s">
        <v>549</v>
      </c>
      <c r="W110" t="s">
        <v>187</v>
      </c>
      <c r="X110" t="s">
        <v>188</v>
      </c>
      <c r="Z110" t="b">
        <v>0</v>
      </c>
      <c r="AA110" t="b">
        <v>0</v>
      </c>
      <c r="AB110" t="b">
        <v>1</v>
      </c>
      <c r="AC110" t="b">
        <v>0</v>
      </c>
    </row>
    <row r="111" spans="2:29" x14ac:dyDescent="0.25">
      <c r="B111" t="str">
        <f t="shared" si="1"/>
        <v/>
      </c>
      <c r="C111" t="s">
        <v>332</v>
      </c>
      <c r="D111" t="s">
        <v>55</v>
      </c>
      <c r="E111" t="s">
        <v>76</v>
      </c>
      <c r="G111" t="s">
        <v>77</v>
      </c>
      <c r="P111" t="s">
        <v>676</v>
      </c>
      <c r="T111" t="s">
        <v>677</v>
      </c>
      <c r="U111" t="s">
        <v>678</v>
      </c>
      <c r="V111" t="s">
        <v>549</v>
      </c>
      <c r="W111" t="s">
        <v>187</v>
      </c>
      <c r="X111" t="s">
        <v>61</v>
      </c>
      <c r="Z111" t="b">
        <v>0</v>
      </c>
      <c r="AA111" t="b">
        <v>0</v>
      </c>
      <c r="AB111" t="b">
        <v>1</v>
      </c>
      <c r="AC111" t="b">
        <v>0</v>
      </c>
    </row>
    <row r="112" spans="2:29" x14ac:dyDescent="0.25">
      <c r="B112" t="str">
        <f t="shared" si="1"/>
        <v/>
      </c>
      <c r="C112" t="s">
        <v>332</v>
      </c>
      <c r="D112" t="s">
        <v>179</v>
      </c>
      <c r="E112" t="s">
        <v>85</v>
      </c>
      <c r="G112" t="s">
        <v>171</v>
      </c>
      <c r="P112" t="s">
        <v>680</v>
      </c>
      <c r="T112" t="s">
        <v>681</v>
      </c>
      <c r="U112" t="s">
        <v>682</v>
      </c>
      <c r="V112" t="s">
        <v>549</v>
      </c>
      <c r="W112" t="s">
        <v>176</v>
      </c>
      <c r="X112" t="s">
        <v>188</v>
      </c>
      <c r="Z112" t="b">
        <v>0</v>
      </c>
      <c r="AA112" t="b">
        <v>0</v>
      </c>
      <c r="AB112" t="b">
        <v>1</v>
      </c>
      <c r="AC112" t="b">
        <v>0</v>
      </c>
    </row>
    <row r="113" spans="2:29" x14ac:dyDescent="0.25">
      <c r="B113" t="str">
        <f t="shared" si="1"/>
        <v/>
      </c>
      <c r="C113" t="s">
        <v>332</v>
      </c>
      <c r="D113" t="s">
        <v>179</v>
      </c>
      <c r="E113" t="s">
        <v>85</v>
      </c>
      <c r="G113" t="s">
        <v>518</v>
      </c>
      <c r="P113" t="s">
        <v>684</v>
      </c>
      <c r="T113" t="s">
        <v>685</v>
      </c>
      <c r="U113" t="s">
        <v>686</v>
      </c>
      <c r="V113" t="s">
        <v>549</v>
      </c>
      <c r="W113" t="s">
        <v>523</v>
      </c>
      <c r="X113" t="s">
        <v>188</v>
      </c>
      <c r="Z113" t="b">
        <v>0</v>
      </c>
      <c r="AA113" t="b">
        <v>0</v>
      </c>
      <c r="AB113" t="b">
        <v>1</v>
      </c>
      <c r="AC113" t="b">
        <v>0</v>
      </c>
    </row>
    <row r="114" spans="2:29" x14ac:dyDescent="0.25">
      <c r="B114" t="str">
        <f t="shared" si="1"/>
        <v/>
      </c>
      <c r="C114" t="s">
        <v>332</v>
      </c>
      <c r="D114" t="s">
        <v>179</v>
      </c>
      <c r="E114" t="s">
        <v>85</v>
      </c>
      <c r="G114" t="s">
        <v>171</v>
      </c>
      <c r="P114" t="s">
        <v>688</v>
      </c>
      <c r="T114" t="s">
        <v>689</v>
      </c>
      <c r="U114" t="s">
        <v>690</v>
      </c>
      <c r="V114" t="s">
        <v>549</v>
      </c>
      <c r="W114" t="s">
        <v>176</v>
      </c>
      <c r="X114" t="s">
        <v>188</v>
      </c>
      <c r="Z114" t="b">
        <v>0</v>
      </c>
      <c r="AA114" t="b">
        <v>0</v>
      </c>
      <c r="AB114" t="b">
        <v>1</v>
      </c>
      <c r="AC114" t="b">
        <v>0</v>
      </c>
    </row>
    <row r="115" spans="2:29" x14ac:dyDescent="0.25">
      <c r="B115" t="str">
        <f t="shared" si="1"/>
        <v/>
      </c>
      <c r="C115" t="s">
        <v>332</v>
      </c>
      <c r="D115" t="s">
        <v>179</v>
      </c>
      <c r="E115" t="s">
        <v>85</v>
      </c>
      <c r="G115" t="s">
        <v>171</v>
      </c>
      <c r="P115" t="s">
        <v>692</v>
      </c>
      <c r="T115" t="s">
        <v>693</v>
      </c>
      <c r="U115" t="s">
        <v>694</v>
      </c>
      <c r="V115" t="s">
        <v>549</v>
      </c>
      <c r="W115" t="s">
        <v>176</v>
      </c>
      <c r="X115" t="s">
        <v>188</v>
      </c>
      <c r="Z115" t="b">
        <v>0</v>
      </c>
      <c r="AA115" t="b">
        <v>0</v>
      </c>
      <c r="AB115" t="b">
        <v>1</v>
      </c>
      <c r="AC115" t="b">
        <v>0</v>
      </c>
    </row>
    <row r="116" spans="2:29" x14ac:dyDescent="0.25">
      <c r="B116" t="str">
        <f t="shared" si="1"/>
        <v/>
      </c>
      <c r="C116" t="s">
        <v>332</v>
      </c>
      <c r="D116" t="s">
        <v>179</v>
      </c>
      <c r="E116" t="s">
        <v>85</v>
      </c>
      <c r="G116" t="s">
        <v>375</v>
      </c>
      <c r="P116" t="s">
        <v>696</v>
      </c>
      <c r="T116" t="s">
        <v>697</v>
      </c>
      <c r="U116" t="s">
        <v>698</v>
      </c>
      <c r="V116" t="s">
        <v>549</v>
      </c>
      <c r="W116" t="s">
        <v>380</v>
      </c>
      <c r="X116" t="s">
        <v>188</v>
      </c>
      <c r="Z116" t="b">
        <v>0</v>
      </c>
      <c r="AA116" t="b">
        <v>0</v>
      </c>
      <c r="AB116" t="b">
        <v>1</v>
      </c>
      <c r="AC116" t="b">
        <v>0</v>
      </c>
    </row>
    <row r="117" spans="2:29" x14ac:dyDescent="0.25">
      <c r="B117" t="str">
        <f t="shared" si="1"/>
        <v/>
      </c>
      <c r="C117" t="s">
        <v>332</v>
      </c>
      <c r="D117" t="s">
        <v>179</v>
      </c>
      <c r="E117" t="s">
        <v>85</v>
      </c>
      <c r="G117" t="s">
        <v>171</v>
      </c>
      <c r="P117" t="s">
        <v>700</v>
      </c>
      <c r="T117" t="s">
        <v>701</v>
      </c>
      <c r="U117" t="s">
        <v>702</v>
      </c>
      <c r="V117" t="s">
        <v>549</v>
      </c>
      <c r="W117" t="s">
        <v>176</v>
      </c>
      <c r="X117" t="s">
        <v>188</v>
      </c>
      <c r="Z117" t="b">
        <v>0</v>
      </c>
      <c r="AA117" t="b">
        <v>0</v>
      </c>
      <c r="AB117" t="b">
        <v>1</v>
      </c>
      <c r="AC117" t="b">
        <v>0</v>
      </c>
    </row>
    <row r="118" spans="2:29" x14ac:dyDescent="0.25">
      <c r="B118" t="str">
        <f t="shared" si="1"/>
        <v/>
      </c>
      <c r="C118" t="s">
        <v>332</v>
      </c>
      <c r="D118" t="s">
        <v>179</v>
      </c>
      <c r="E118" t="s">
        <v>85</v>
      </c>
      <c r="G118" t="s">
        <v>171</v>
      </c>
      <c r="P118" t="s">
        <v>704</v>
      </c>
      <c r="T118" t="s">
        <v>705</v>
      </c>
      <c r="U118" t="s">
        <v>706</v>
      </c>
      <c r="V118" t="s">
        <v>549</v>
      </c>
      <c r="W118" t="s">
        <v>176</v>
      </c>
      <c r="X118" t="s">
        <v>188</v>
      </c>
      <c r="Z118" t="b">
        <v>0</v>
      </c>
      <c r="AA118" t="b">
        <v>0</v>
      </c>
      <c r="AB118" t="b">
        <v>1</v>
      </c>
      <c r="AC118" t="b">
        <v>0</v>
      </c>
    </row>
    <row r="119" spans="2:29" x14ac:dyDescent="0.25">
      <c r="B119" t="str">
        <f t="shared" si="1"/>
        <v/>
      </c>
      <c r="C119" t="s">
        <v>332</v>
      </c>
      <c r="D119" t="s">
        <v>179</v>
      </c>
      <c r="E119" t="s">
        <v>85</v>
      </c>
      <c r="G119" t="s">
        <v>171</v>
      </c>
      <c r="P119" t="s">
        <v>708</v>
      </c>
      <c r="T119" t="s">
        <v>709</v>
      </c>
      <c r="U119" t="s">
        <v>710</v>
      </c>
      <c r="V119" t="s">
        <v>549</v>
      </c>
      <c r="W119" t="s">
        <v>176</v>
      </c>
      <c r="X119" t="s">
        <v>188</v>
      </c>
      <c r="Z119" t="b">
        <v>0</v>
      </c>
      <c r="AA119" t="b">
        <v>0</v>
      </c>
      <c r="AB119" t="b">
        <v>1</v>
      </c>
      <c r="AC119" t="b">
        <v>0</v>
      </c>
    </row>
    <row r="120" spans="2:29" x14ac:dyDescent="0.25">
      <c r="B120" t="str">
        <f t="shared" si="1"/>
        <v/>
      </c>
      <c r="C120" t="s">
        <v>332</v>
      </c>
      <c r="D120" t="s">
        <v>179</v>
      </c>
      <c r="E120" t="s">
        <v>85</v>
      </c>
      <c r="G120" t="s">
        <v>171</v>
      </c>
      <c r="P120" t="s">
        <v>712</v>
      </c>
      <c r="T120" t="s">
        <v>713</v>
      </c>
      <c r="U120" t="s">
        <v>714</v>
      </c>
      <c r="V120" t="s">
        <v>549</v>
      </c>
      <c r="W120" t="s">
        <v>176</v>
      </c>
      <c r="X120" t="s">
        <v>188</v>
      </c>
      <c r="Z120" t="b">
        <v>0</v>
      </c>
      <c r="AA120" t="b">
        <v>0</v>
      </c>
      <c r="AB120" t="b">
        <v>1</v>
      </c>
      <c r="AC120" t="b">
        <v>0</v>
      </c>
    </row>
    <row r="121" spans="2:29" x14ac:dyDescent="0.25">
      <c r="B121" t="str">
        <f t="shared" si="1"/>
        <v/>
      </c>
      <c r="C121" t="s">
        <v>332</v>
      </c>
      <c r="D121" t="s">
        <v>179</v>
      </c>
      <c r="E121" t="s">
        <v>85</v>
      </c>
      <c r="G121" t="s">
        <v>171</v>
      </c>
      <c r="P121" t="s">
        <v>716</v>
      </c>
      <c r="T121" t="s">
        <v>717</v>
      </c>
      <c r="U121" t="s">
        <v>718</v>
      </c>
      <c r="V121" t="s">
        <v>549</v>
      </c>
      <c r="W121" t="s">
        <v>176</v>
      </c>
      <c r="X121" t="s">
        <v>188</v>
      </c>
      <c r="Z121" t="b">
        <v>0</v>
      </c>
      <c r="AA121" t="b">
        <v>0</v>
      </c>
      <c r="AB121" t="b">
        <v>1</v>
      </c>
      <c r="AC121" t="b">
        <v>0</v>
      </c>
    </row>
    <row r="122" spans="2:29" x14ac:dyDescent="0.25">
      <c r="B122" t="str">
        <f t="shared" si="1"/>
        <v/>
      </c>
      <c r="C122" t="s">
        <v>332</v>
      </c>
      <c r="D122" t="s">
        <v>179</v>
      </c>
      <c r="E122" t="s">
        <v>85</v>
      </c>
      <c r="G122" t="s">
        <v>171</v>
      </c>
      <c r="P122" t="s">
        <v>720</v>
      </c>
      <c r="T122" t="s">
        <v>721</v>
      </c>
      <c r="U122" t="s">
        <v>722</v>
      </c>
      <c r="V122" t="s">
        <v>549</v>
      </c>
      <c r="W122" t="s">
        <v>176</v>
      </c>
      <c r="X122" t="s">
        <v>188</v>
      </c>
      <c r="Z122" t="b">
        <v>0</v>
      </c>
      <c r="AA122" t="b">
        <v>0</v>
      </c>
      <c r="AB122" t="b">
        <v>1</v>
      </c>
      <c r="AC122" t="b">
        <v>0</v>
      </c>
    </row>
    <row r="123" spans="2:29" x14ac:dyDescent="0.25">
      <c r="B123" t="str">
        <f t="shared" si="1"/>
        <v/>
      </c>
      <c r="C123" t="s">
        <v>332</v>
      </c>
      <c r="D123" t="s">
        <v>179</v>
      </c>
      <c r="E123" t="s">
        <v>85</v>
      </c>
      <c r="G123" t="s">
        <v>423</v>
      </c>
      <c r="P123" t="s">
        <v>724</v>
      </c>
      <c r="T123" t="s">
        <v>725</v>
      </c>
      <c r="U123" t="s">
        <v>726</v>
      </c>
      <c r="V123" t="s">
        <v>549</v>
      </c>
      <c r="W123" t="s">
        <v>428</v>
      </c>
      <c r="X123" t="s">
        <v>188</v>
      </c>
      <c r="Z123" t="b">
        <v>0</v>
      </c>
      <c r="AA123" t="b">
        <v>0</v>
      </c>
      <c r="AB123" t="b">
        <v>1</v>
      </c>
      <c r="AC123" t="b">
        <v>0</v>
      </c>
    </row>
    <row r="124" spans="2:29" x14ac:dyDescent="0.25">
      <c r="B124" t="str">
        <f t="shared" si="1"/>
        <v/>
      </c>
      <c r="C124" t="s">
        <v>332</v>
      </c>
      <c r="D124" t="s">
        <v>179</v>
      </c>
      <c r="E124" t="s">
        <v>85</v>
      </c>
      <c r="G124" t="s">
        <v>171</v>
      </c>
      <c r="P124" t="s">
        <v>728</v>
      </c>
      <c r="T124" t="s">
        <v>729</v>
      </c>
      <c r="U124" t="s">
        <v>730</v>
      </c>
      <c r="V124" t="s">
        <v>549</v>
      </c>
      <c r="W124" t="s">
        <v>176</v>
      </c>
      <c r="X124" t="s">
        <v>188</v>
      </c>
      <c r="Z124" t="b">
        <v>0</v>
      </c>
      <c r="AA124" t="b">
        <v>0</v>
      </c>
      <c r="AB124" t="b">
        <v>1</v>
      </c>
      <c r="AC124" t="b">
        <v>0</v>
      </c>
    </row>
    <row r="125" spans="2:29" x14ac:dyDescent="0.25">
      <c r="B125" t="str">
        <f t="shared" si="1"/>
        <v/>
      </c>
      <c r="C125" t="s">
        <v>332</v>
      </c>
      <c r="D125" t="s">
        <v>179</v>
      </c>
      <c r="E125" t="s">
        <v>85</v>
      </c>
      <c r="G125" t="s">
        <v>171</v>
      </c>
      <c r="P125" t="s">
        <v>732</v>
      </c>
      <c r="T125" t="s">
        <v>733</v>
      </c>
      <c r="U125" t="s">
        <v>734</v>
      </c>
      <c r="V125" t="s">
        <v>549</v>
      </c>
      <c r="W125" t="s">
        <v>176</v>
      </c>
      <c r="X125" t="s">
        <v>188</v>
      </c>
      <c r="Z125" t="b">
        <v>0</v>
      </c>
      <c r="AA125" t="b">
        <v>0</v>
      </c>
      <c r="AB125" t="b">
        <v>1</v>
      </c>
      <c r="AC125" t="b">
        <v>0</v>
      </c>
    </row>
    <row r="126" spans="2:29" x14ac:dyDescent="0.25">
      <c r="B126" t="str">
        <f t="shared" si="1"/>
        <v/>
      </c>
      <c r="C126" t="s">
        <v>332</v>
      </c>
      <c r="D126" t="s">
        <v>179</v>
      </c>
      <c r="E126" t="s">
        <v>85</v>
      </c>
      <c r="G126" t="s">
        <v>171</v>
      </c>
      <c r="P126" t="s">
        <v>736</v>
      </c>
      <c r="T126" t="s">
        <v>737</v>
      </c>
      <c r="U126" t="s">
        <v>738</v>
      </c>
      <c r="V126" t="s">
        <v>549</v>
      </c>
      <c r="W126" t="s">
        <v>176</v>
      </c>
      <c r="X126" t="s">
        <v>188</v>
      </c>
      <c r="Z126" t="b">
        <v>0</v>
      </c>
      <c r="AA126" t="b">
        <v>0</v>
      </c>
      <c r="AB126" t="b">
        <v>1</v>
      </c>
      <c r="AC126" t="b">
        <v>0</v>
      </c>
    </row>
    <row r="127" spans="2:29" x14ac:dyDescent="0.25">
      <c r="B127" t="str">
        <f t="shared" si="1"/>
        <v/>
      </c>
      <c r="C127" t="s">
        <v>332</v>
      </c>
      <c r="D127" t="s">
        <v>179</v>
      </c>
      <c r="E127" t="s">
        <v>85</v>
      </c>
      <c r="G127" t="s">
        <v>171</v>
      </c>
      <c r="P127" t="s">
        <v>740</v>
      </c>
      <c r="T127" t="s">
        <v>741</v>
      </c>
      <c r="U127" t="s">
        <v>742</v>
      </c>
      <c r="V127" t="s">
        <v>549</v>
      </c>
      <c r="W127" t="s">
        <v>176</v>
      </c>
      <c r="X127" t="s">
        <v>188</v>
      </c>
      <c r="Z127" t="b">
        <v>0</v>
      </c>
      <c r="AA127" t="b">
        <v>0</v>
      </c>
      <c r="AB127" t="b">
        <v>1</v>
      </c>
      <c r="AC127" t="b">
        <v>0</v>
      </c>
    </row>
    <row r="128" spans="2:29" x14ac:dyDescent="0.25">
      <c r="B128" t="str">
        <f t="shared" si="1"/>
        <v/>
      </c>
      <c r="C128" t="s">
        <v>332</v>
      </c>
      <c r="D128" t="s">
        <v>179</v>
      </c>
      <c r="E128" t="s">
        <v>85</v>
      </c>
      <c r="G128" t="s">
        <v>171</v>
      </c>
      <c r="P128" t="s">
        <v>744</v>
      </c>
      <c r="T128" t="s">
        <v>745</v>
      </c>
      <c r="U128" t="s">
        <v>746</v>
      </c>
      <c r="V128" t="s">
        <v>549</v>
      </c>
      <c r="W128" t="s">
        <v>176</v>
      </c>
      <c r="X128" t="s">
        <v>188</v>
      </c>
      <c r="Z128" t="b">
        <v>0</v>
      </c>
      <c r="AA128" t="b">
        <v>0</v>
      </c>
      <c r="AB128" t="b">
        <v>1</v>
      </c>
      <c r="AC128" t="b">
        <v>0</v>
      </c>
    </row>
    <row r="129" spans="2:29" x14ac:dyDescent="0.25">
      <c r="B129" t="str">
        <f t="shared" si="1"/>
        <v/>
      </c>
      <c r="C129" t="s">
        <v>332</v>
      </c>
      <c r="D129" t="s">
        <v>179</v>
      </c>
      <c r="E129" t="s">
        <v>85</v>
      </c>
      <c r="G129" t="s">
        <v>171</v>
      </c>
      <c r="P129" t="s">
        <v>748</v>
      </c>
      <c r="T129" t="s">
        <v>749</v>
      </c>
      <c r="U129" t="s">
        <v>750</v>
      </c>
      <c r="V129" t="s">
        <v>549</v>
      </c>
      <c r="W129" t="s">
        <v>176</v>
      </c>
      <c r="X129" t="s">
        <v>188</v>
      </c>
      <c r="Z129" t="b">
        <v>0</v>
      </c>
      <c r="AA129" t="b">
        <v>0</v>
      </c>
      <c r="AB129" t="b">
        <v>1</v>
      </c>
      <c r="AC129" t="b">
        <v>0</v>
      </c>
    </row>
    <row r="130" spans="2:29" x14ac:dyDescent="0.25">
      <c r="B130" t="str">
        <f t="shared" si="1"/>
        <v/>
      </c>
      <c r="C130" t="s">
        <v>332</v>
      </c>
      <c r="D130" t="s">
        <v>179</v>
      </c>
      <c r="E130" t="s">
        <v>85</v>
      </c>
      <c r="G130" t="s">
        <v>171</v>
      </c>
      <c r="P130" t="s">
        <v>752</v>
      </c>
      <c r="T130" t="s">
        <v>753</v>
      </c>
      <c r="U130" t="s">
        <v>754</v>
      </c>
      <c r="V130" t="s">
        <v>549</v>
      </c>
      <c r="W130" t="s">
        <v>176</v>
      </c>
      <c r="X130" t="s">
        <v>188</v>
      </c>
      <c r="Z130" t="b">
        <v>0</v>
      </c>
      <c r="AA130" t="b">
        <v>0</v>
      </c>
      <c r="AB130" t="b">
        <v>1</v>
      </c>
      <c r="AC130" t="b">
        <v>0</v>
      </c>
    </row>
    <row r="131" spans="2:29" x14ac:dyDescent="0.25">
      <c r="B131" t="str">
        <f t="shared" ref="B131:B194" si="2">IF(LEN(F131)=10,0&amp;F131,""&amp;F131)</f>
        <v/>
      </c>
      <c r="C131" t="s">
        <v>332</v>
      </c>
      <c r="D131" t="s">
        <v>179</v>
      </c>
      <c r="E131" t="s">
        <v>85</v>
      </c>
      <c r="G131" t="s">
        <v>171</v>
      </c>
      <c r="P131" t="s">
        <v>756</v>
      </c>
      <c r="T131" t="s">
        <v>757</v>
      </c>
      <c r="U131" t="s">
        <v>758</v>
      </c>
      <c r="V131" t="s">
        <v>549</v>
      </c>
      <c r="W131" t="s">
        <v>176</v>
      </c>
      <c r="X131" t="s">
        <v>188</v>
      </c>
      <c r="Z131" t="b">
        <v>0</v>
      </c>
      <c r="AA131" t="b">
        <v>0</v>
      </c>
      <c r="AB131" t="b">
        <v>1</v>
      </c>
      <c r="AC131" t="b">
        <v>0</v>
      </c>
    </row>
    <row r="132" spans="2:29" x14ac:dyDescent="0.25">
      <c r="B132" t="str">
        <f t="shared" si="2"/>
        <v/>
      </c>
      <c r="C132" t="s">
        <v>332</v>
      </c>
      <c r="D132" t="s">
        <v>179</v>
      </c>
      <c r="E132" t="s">
        <v>85</v>
      </c>
      <c r="G132" t="s">
        <v>171</v>
      </c>
      <c r="P132" t="s">
        <v>760</v>
      </c>
      <c r="T132" t="s">
        <v>761</v>
      </c>
      <c r="U132" t="s">
        <v>762</v>
      </c>
      <c r="V132" t="s">
        <v>549</v>
      </c>
      <c r="W132" t="s">
        <v>176</v>
      </c>
      <c r="X132" t="s">
        <v>188</v>
      </c>
      <c r="Z132" t="b">
        <v>0</v>
      </c>
      <c r="AA132" t="b">
        <v>0</v>
      </c>
      <c r="AB132" t="b">
        <v>1</v>
      </c>
      <c r="AC132" t="b">
        <v>0</v>
      </c>
    </row>
    <row r="133" spans="2:29" x14ac:dyDescent="0.25">
      <c r="B133" t="str">
        <f t="shared" si="2"/>
        <v/>
      </c>
      <c r="C133" t="s">
        <v>332</v>
      </c>
      <c r="D133" t="s">
        <v>179</v>
      </c>
      <c r="E133" t="s">
        <v>85</v>
      </c>
      <c r="G133" t="s">
        <v>171</v>
      </c>
      <c r="P133" t="s">
        <v>764</v>
      </c>
      <c r="T133" t="s">
        <v>765</v>
      </c>
      <c r="U133" t="s">
        <v>766</v>
      </c>
      <c r="V133" t="s">
        <v>549</v>
      </c>
      <c r="W133" t="s">
        <v>176</v>
      </c>
      <c r="X133" t="s">
        <v>188</v>
      </c>
      <c r="Z133" t="b">
        <v>0</v>
      </c>
      <c r="AA133" t="b">
        <v>0</v>
      </c>
      <c r="AB133" t="b">
        <v>1</v>
      </c>
      <c r="AC133" t="b">
        <v>0</v>
      </c>
    </row>
    <row r="134" spans="2:29" x14ac:dyDescent="0.25">
      <c r="B134" t="str">
        <f t="shared" si="2"/>
        <v/>
      </c>
      <c r="C134" t="s">
        <v>332</v>
      </c>
      <c r="D134" t="s">
        <v>179</v>
      </c>
      <c r="E134" t="s">
        <v>85</v>
      </c>
      <c r="G134" t="s">
        <v>171</v>
      </c>
      <c r="P134" t="s">
        <v>768</v>
      </c>
      <c r="T134" t="s">
        <v>769</v>
      </c>
      <c r="U134" t="s">
        <v>770</v>
      </c>
      <c r="V134" t="s">
        <v>549</v>
      </c>
      <c r="W134" t="s">
        <v>176</v>
      </c>
      <c r="X134" t="s">
        <v>188</v>
      </c>
      <c r="Z134" t="b">
        <v>0</v>
      </c>
      <c r="AA134" t="b">
        <v>0</v>
      </c>
      <c r="AB134" t="b">
        <v>1</v>
      </c>
      <c r="AC134" t="b">
        <v>0</v>
      </c>
    </row>
    <row r="135" spans="2:29" x14ac:dyDescent="0.25">
      <c r="B135" t="str">
        <f t="shared" si="2"/>
        <v/>
      </c>
      <c r="C135" t="s">
        <v>332</v>
      </c>
      <c r="D135" t="s">
        <v>179</v>
      </c>
      <c r="E135" t="s">
        <v>85</v>
      </c>
      <c r="G135" t="s">
        <v>772</v>
      </c>
      <c r="P135" t="s">
        <v>773</v>
      </c>
      <c r="T135" t="s">
        <v>774</v>
      </c>
      <c r="U135" t="s">
        <v>775</v>
      </c>
      <c r="V135" t="s">
        <v>549</v>
      </c>
      <c r="W135" t="s">
        <v>776</v>
      </c>
      <c r="X135" t="s">
        <v>188</v>
      </c>
      <c r="Z135" t="b">
        <v>0</v>
      </c>
      <c r="AA135" t="b">
        <v>0</v>
      </c>
      <c r="AB135" t="b">
        <v>1</v>
      </c>
      <c r="AC135" t="b">
        <v>0</v>
      </c>
    </row>
    <row r="136" spans="2:29" x14ac:dyDescent="0.25">
      <c r="B136" t="str">
        <f t="shared" si="2"/>
        <v/>
      </c>
      <c r="C136" t="s">
        <v>332</v>
      </c>
      <c r="D136" t="s">
        <v>179</v>
      </c>
      <c r="E136" t="s">
        <v>85</v>
      </c>
      <c r="G136" t="s">
        <v>171</v>
      </c>
      <c r="P136" t="s">
        <v>778</v>
      </c>
      <c r="T136" t="s">
        <v>779</v>
      </c>
      <c r="U136" t="s">
        <v>780</v>
      </c>
      <c r="V136" t="s">
        <v>549</v>
      </c>
      <c r="W136" t="s">
        <v>176</v>
      </c>
      <c r="X136" t="s">
        <v>188</v>
      </c>
      <c r="Z136" t="b">
        <v>0</v>
      </c>
      <c r="AA136" t="b">
        <v>0</v>
      </c>
      <c r="AB136" t="b">
        <v>1</v>
      </c>
      <c r="AC136" t="b">
        <v>0</v>
      </c>
    </row>
    <row r="137" spans="2:29" x14ac:dyDescent="0.25">
      <c r="B137" t="str">
        <f t="shared" si="2"/>
        <v/>
      </c>
      <c r="C137" t="s">
        <v>332</v>
      </c>
      <c r="D137" t="s">
        <v>179</v>
      </c>
      <c r="E137" t="s">
        <v>85</v>
      </c>
      <c r="G137" t="s">
        <v>171</v>
      </c>
      <c r="P137" t="s">
        <v>782</v>
      </c>
      <c r="T137" t="s">
        <v>783</v>
      </c>
      <c r="U137" t="s">
        <v>784</v>
      </c>
      <c r="V137" t="s">
        <v>549</v>
      </c>
      <c r="W137" t="s">
        <v>176</v>
      </c>
      <c r="X137" t="s">
        <v>188</v>
      </c>
      <c r="Z137" t="b">
        <v>0</v>
      </c>
      <c r="AA137" t="b">
        <v>0</v>
      </c>
      <c r="AB137" t="b">
        <v>1</v>
      </c>
      <c r="AC137" t="b">
        <v>0</v>
      </c>
    </row>
    <row r="138" spans="2:29" x14ac:dyDescent="0.25">
      <c r="B138" t="str">
        <f t="shared" si="2"/>
        <v/>
      </c>
      <c r="C138" t="s">
        <v>332</v>
      </c>
      <c r="D138" t="s">
        <v>179</v>
      </c>
      <c r="E138" t="s">
        <v>85</v>
      </c>
      <c r="G138" t="s">
        <v>171</v>
      </c>
      <c r="P138" t="s">
        <v>786</v>
      </c>
      <c r="T138" t="s">
        <v>787</v>
      </c>
      <c r="U138" t="s">
        <v>788</v>
      </c>
      <c r="V138" t="s">
        <v>549</v>
      </c>
      <c r="W138" t="s">
        <v>176</v>
      </c>
      <c r="X138" t="s">
        <v>188</v>
      </c>
      <c r="Z138" t="b">
        <v>0</v>
      </c>
      <c r="AA138" t="b">
        <v>0</v>
      </c>
      <c r="AB138" t="b">
        <v>1</v>
      </c>
      <c r="AC138" t="b">
        <v>0</v>
      </c>
    </row>
    <row r="139" spans="2:29" x14ac:dyDescent="0.25">
      <c r="B139" t="str">
        <f t="shared" si="2"/>
        <v/>
      </c>
      <c r="C139" t="s">
        <v>332</v>
      </c>
      <c r="D139" t="s">
        <v>55</v>
      </c>
      <c r="E139" t="s">
        <v>76</v>
      </c>
      <c r="G139" t="s">
        <v>77</v>
      </c>
      <c r="P139" t="s">
        <v>790</v>
      </c>
      <c r="T139" t="s">
        <v>791</v>
      </c>
      <c r="U139" t="s">
        <v>792</v>
      </c>
      <c r="V139" t="s">
        <v>549</v>
      </c>
      <c r="W139" t="s">
        <v>187</v>
      </c>
      <c r="X139" t="s">
        <v>61</v>
      </c>
      <c r="Z139" t="b">
        <v>0</v>
      </c>
      <c r="AA139" t="b">
        <v>0</v>
      </c>
      <c r="AB139" t="b">
        <v>1</v>
      </c>
      <c r="AC139" t="b">
        <v>0</v>
      </c>
    </row>
    <row r="140" spans="2:29" x14ac:dyDescent="0.25">
      <c r="B140" t="str">
        <f t="shared" si="2"/>
        <v/>
      </c>
      <c r="C140" t="s">
        <v>332</v>
      </c>
      <c r="D140" t="s">
        <v>55</v>
      </c>
      <c r="E140" t="s">
        <v>76</v>
      </c>
      <c r="G140" t="s">
        <v>423</v>
      </c>
      <c r="P140" t="s">
        <v>794</v>
      </c>
      <c r="T140" t="s">
        <v>795</v>
      </c>
      <c r="U140" t="s">
        <v>796</v>
      </c>
      <c r="V140" t="s">
        <v>549</v>
      </c>
      <c r="W140" t="s">
        <v>428</v>
      </c>
      <c r="X140" t="s">
        <v>61</v>
      </c>
      <c r="Z140" t="b">
        <v>0</v>
      </c>
      <c r="AA140" t="b">
        <v>0</v>
      </c>
      <c r="AB140" t="b">
        <v>1</v>
      </c>
      <c r="AC140" t="b">
        <v>0</v>
      </c>
    </row>
    <row r="141" spans="2:29" x14ac:dyDescent="0.25">
      <c r="B141" t="str">
        <f t="shared" si="2"/>
        <v/>
      </c>
      <c r="C141" t="s">
        <v>332</v>
      </c>
      <c r="D141" t="s">
        <v>179</v>
      </c>
      <c r="E141" t="s">
        <v>85</v>
      </c>
      <c r="G141" t="s">
        <v>388</v>
      </c>
      <c r="P141" t="s">
        <v>798</v>
      </c>
      <c r="T141" t="s">
        <v>799</v>
      </c>
      <c r="U141" t="s">
        <v>800</v>
      </c>
      <c r="V141" t="s">
        <v>549</v>
      </c>
      <c r="W141" t="s">
        <v>393</v>
      </c>
      <c r="X141" t="s">
        <v>188</v>
      </c>
      <c r="Z141" t="b">
        <v>0</v>
      </c>
      <c r="AA141" t="b">
        <v>0</v>
      </c>
      <c r="AB141" t="b">
        <v>1</v>
      </c>
      <c r="AC141" t="b">
        <v>0</v>
      </c>
    </row>
    <row r="142" spans="2:29" x14ac:dyDescent="0.25">
      <c r="B142" t="str">
        <f t="shared" si="2"/>
        <v>2885818</v>
      </c>
      <c r="C142" t="s">
        <v>332</v>
      </c>
      <c r="D142" t="s">
        <v>333</v>
      </c>
      <c r="E142" t="s">
        <v>85</v>
      </c>
      <c r="F142">
        <v>2885818</v>
      </c>
      <c r="G142" t="s">
        <v>375</v>
      </c>
      <c r="P142" t="s">
        <v>802</v>
      </c>
      <c r="T142" t="s">
        <v>803</v>
      </c>
      <c r="U142" t="s">
        <v>804</v>
      </c>
      <c r="V142" t="s">
        <v>549</v>
      </c>
      <c r="W142" t="s">
        <v>380</v>
      </c>
      <c r="X142" t="s">
        <v>338</v>
      </c>
      <c r="Z142" t="b">
        <v>0</v>
      </c>
      <c r="AA142" t="b">
        <v>0</v>
      </c>
      <c r="AB142" t="b">
        <v>1</v>
      </c>
      <c r="AC142" t="b">
        <v>0</v>
      </c>
    </row>
    <row r="143" spans="2:29" x14ac:dyDescent="0.25">
      <c r="B143" t="str">
        <f t="shared" si="2"/>
        <v>62004004363</v>
      </c>
      <c r="C143" t="s">
        <v>332</v>
      </c>
      <c r="D143" t="s">
        <v>179</v>
      </c>
      <c r="E143" t="s">
        <v>85</v>
      </c>
      <c r="F143">
        <v>62004004363</v>
      </c>
      <c r="G143" t="s">
        <v>77</v>
      </c>
      <c r="N143" t="s">
        <v>806</v>
      </c>
      <c r="P143" t="s">
        <v>807</v>
      </c>
      <c r="T143" t="s">
        <v>808</v>
      </c>
      <c r="U143" t="s">
        <v>809</v>
      </c>
      <c r="V143" t="s">
        <v>549</v>
      </c>
      <c r="W143" t="s">
        <v>187</v>
      </c>
      <c r="X143" t="s">
        <v>188</v>
      </c>
      <c r="Z143" t="b">
        <v>0</v>
      </c>
      <c r="AA143" t="b">
        <v>0</v>
      </c>
      <c r="AB143" t="b">
        <v>1</v>
      </c>
      <c r="AC143" t="b">
        <v>0</v>
      </c>
    </row>
    <row r="144" spans="2:29" x14ac:dyDescent="0.25">
      <c r="B144" t="str">
        <f t="shared" si="2"/>
        <v>18001068242</v>
      </c>
      <c r="C144" t="s">
        <v>332</v>
      </c>
      <c r="D144" t="s">
        <v>55</v>
      </c>
      <c r="E144" t="s">
        <v>76</v>
      </c>
      <c r="F144">
        <v>18001068242</v>
      </c>
      <c r="G144" t="s">
        <v>77</v>
      </c>
      <c r="N144" t="s">
        <v>811</v>
      </c>
      <c r="P144" t="s">
        <v>812</v>
      </c>
      <c r="T144" t="s">
        <v>813</v>
      </c>
      <c r="U144" t="s">
        <v>814</v>
      </c>
      <c r="V144" t="s">
        <v>549</v>
      </c>
      <c r="W144" t="s">
        <v>187</v>
      </c>
      <c r="X144" t="s">
        <v>61</v>
      </c>
      <c r="Z144" t="b">
        <v>0</v>
      </c>
      <c r="AA144" t="b">
        <v>0</v>
      </c>
      <c r="AB144" t="b">
        <v>1</v>
      </c>
      <c r="AC144" t="b">
        <v>0</v>
      </c>
    </row>
    <row r="145" spans="2:29" x14ac:dyDescent="0.25">
      <c r="B145" t="str">
        <f t="shared" si="2"/>
        <v/>
      </c>
      <c r="C145" t="s">
        <v>332</v>
      </c>
      <c r="D145" t="s">
        <v>55</v>
      </c>
      <c r="E145" t="s">
        <v>76</v>
      </c>
      <c r="G145" t="s">
        <v>77</v>
      </c>
      <c r="N145" t="s">
        <v>816</v>
      </c>
      <c r="P145" t="s">
        <v>817</v>
      </c>
      <c r="T145" t="s">
        <v>818</v>
      </c>
      <c r="U145" t="s">
        <v>819</v>
      </c>
      <c r="V145" t="s">
        <v>549</v>
      </c>
      <c r="W145" t="s">
        <v>187</v>
      </c>
      <c r="X145" t="s">
        <v>61</v>
      </c>
      <c r="Z145" t="b">
        <v>0</v>
      </c>
      <c r="AA145" t="b">
        <v>0</v>
      </c>
      <c r="AB145" t="b">
        <v>1</v>
      </c>
      <c r="AC145" t="b">
        <v>0</v>
      </c>
    </row>
    <row r="146" spans="2:29" x14ac:dyDescent="0.25">
      <c r="B146" t="str">
        <f t="shared" si="2"/>
        <v/>
      </c>
      <c r="C146" t="s">
        <v>332</v>
      </c>
      <c r="D146" t="s">
        <v>55</v>
      </c>
      <c r="E146" t="s">
        <v>76</v>
      </c>
      <c r="G146" t="s">
        <v>77</v>
      </c>
      <c r="N146" t="s">
        <v>821</v>
      </c>
      <c r="P146" t="s">
        <v>822</v>
      </c>
      <c r="T146" t="s">
        <v>823</v>
      </c>
      <c r="U146" t="s">
        <v>824</v>
      </c>
      <c r="V146" t="s">
        <v>549</v>
      </c>
      <c r="W146" t="s">
        <v>187</v>
      </c>
      <c r="X146" t="s">
        <v>61</v>
      </c>
      <c r="Z146" t="b">
        <v>0</v>
      </c>
      <c r="AA146" t="b">
        <v>0</v>
      </c>
      <c r="AB146" t="b">
        <v>1</v>
      </c>
      <c r="AC146" t="b">
        <v>0</v>
      </c>
    </row>
    <row r="147" spans="2:29" x14ac:dyDescent="0.25">
      <c r="B147" t="str">
        <f t="shared" si="2"/>
        <v>N5006084</v>
      </c>
      <c r="C147" t="s">
        <v>332</v>
      </c>
      <c r="D147" t="s">
        <v>55</v>
      </c>
      <c r="E147" t="s">
        <v>76</v>
      </c>
      <c r="F147" t="s">
        <v>826</v>
      </c>
      <c r="G147" t="s">
        <v>77</v>
      </c>
      <c r="N147" t="s">
        <v>827</v>
      </c>
      <c r="P147" t="s">
        <v>828</v>
      </c>
      <c r="T147" t="s">
        <v>829</v>
      </c>
      <c r="U147" t="s">
        <v>830</v>
      </c>
      <c r="V147" t="s">
        <v>549</v>
      </c>
      <c r="W147" t="s">
        <v>187</v>
      </c>
      <c r="X147" t="s">
        <v>61</v>
      </c>
      <c r="Z147" t="b">
        <v>0</v>
      </c>
      <c r="AA147" t="b">
        <v>0</v>
      </c>
      <c r="AB147" t="b">
        <v>1</v>
      </c>
      <c r="AC147" t="b">
        <v>0</v>
      </c>
    </row>
    <row r="148" spans="2:29" x14ac:dyDescent="0.25">
      <c r="B148" t="str">
        <f t="shared" si="2"/>
        <v>13001003771</v>
      </c>
      <c r="C148" t="s">
        <v>332</v>
      </c>
      <c r="D148" t="s">
        <v>55</v>
      </c>
      <c r="E148" t="s">
        <v>76</v>
      </c>
      <c r="F148">
        <v>13001003771</v>
      </c>
      <c r="G148" t="s">
        <v>77</v>
      </c>
      <c r="N148" t="s">
        <v>832</v>
      </c>
      <c r="P148" t="s">
        <v>833</v>
      </c>
      <c r="T148" t="s">
        <v>834</v>
      </c>
      <c r="U148" t="s">
        <v>835</v>
      </c>
      <c r="V148" t="s">
        <v>549</v>
      </c>
      <c r="W148" t="s">
        <v>187</v>
      </c>
      <c r="X148" t="s">
        <v>61</v>
      </c>
      <c r="Z148" t="b">
        <v>0</v>
      </c>
      <c r="AA148" t="b">
        <v>0</v>
      </c>
      <c r="AB148" t="b">
        <v>1</v>
      </c>
      <c r="AC148" t="b">
        <v>0</v>
      </c>
    </row>
    <row r="149" spans="2:29" x14ac:dyDescent="0.25">
      <c r="B149" t="str">
        <f t="shared" si="2"/>
        <v>17001022397</v>
      </c>
      <c r="C149" t="s">
        <v>332</v>
      </c>
      <c r="D149" t="s">
        <v>55</v>
      </c>
      <c r="E149" t="s">
        <v>76</v>
      </c>
      <c r="F149">
        <v>17001022397</v>
      </c>
      <c r="G149" t="s">
        <v>77</v>
      </c>
      <c r="N149" t="s">
        <v>837</v>
      </c>
      <c r="P149" t="s">
        <v>838</v>
      </c>
      <c r="T149" t="s">
        <v>839</v>
      </c>
      <c r="U149" t="s">
        <v>840</v>
      </c>
      <c r="V149" t="s">
        <v>549</v>
      </c>
      <c r="W149" t="s">
        <v>187</v>
      </c>
      <c r="X149" t="s">
        <v>61</v>
      </c>
      <c r="Z149" t="b">
        <v>0</v>
      </c>
      <c r="AA149" t="b">
        <v>0</v>
      </c>
      <c r="AB149" t="b">
        <v>1</v>
      </c>
      <c r="AC149" t="b">
        <v>0</v>
      </c>
    </row>
    <row r="150" spans="2:29" x14ac:dyDescent="0.25">
      <c r="B150" t="str">
        <f t="shared" si="2"/>
        <v/>
      </c>
      <c r="C150" t="s">
        <v>332</v>
      </c>
      <c r="D150" t="s">
        <v>55</v>
      </c>
      <c r="E150" t="s">
        <v>76</v>
      </c>
      <c r="G150" t="s">
        <v>77</v>
      </c>
      <c r="N150" t="s">
        <v>842</v>
      </c>
      <c r="P150" t="s">
        <v>843</v>
      </c>
      <c r="T150" t="s">
        <v>844</v>
      </c>
      <c r="U150" t="s">
        <v>845</v>
      </c>
      <c r="V150" t="s">
        <v>549</v>
      </c>
      <c r="W150" t="s">
        <v>187</v>
      </c>
      <c r="X150" t="s">
        <v>61</v>
      </c>
      <c r="Z150" t="b">
        <v>0</v>
      </c>
      <c r="AA150" t="b">
        <v>0</v>
      </c>
      <c r="AB150" t="b">
        <v>1</v>
      </c>
      <c r="AC150" t="b">
        <v>0</v>
      </c>
    </row>
    <row r="151" spans="2:29" x14ac:dyDescent="0.25">
      <c r="B151" t="str">
        <f t="shared" si="2"/>
        <v>16001001163</v>
      </c>
      <c r="C151" t="s">
        <v>332</v>
      </c>
      <c r="D151" t="s">
        <v>55</v>
      </c>
      <c r="E151" t="s">
        <v>76</v>
      </c>
      <c r="F151">
        <v>16001001163</v>
      </c>
      <c r="G151" t="s">
        <v>77</v>
      </c>
      <c r="N151" t="s">
        <v>847</v>
      </c>
      <c r="P151" t="s">
        <v>848</v>
      </c>
      <c r="T151" t="s">
        <v>849</v>
      </c>
      <c r="U151" t="s">
        <v>850</v>
      </c>
      <c r="V151" t="s">
        <v>549</v>
      </c>
      <c r="W151" t="s">
        <v>187</v>
      </c>
      <c r="X151" t="s">
        <v>61</v>
      </c>
      <c r="Z151" t="b">
        <v>0</v>
      </c>
      <c r="AA151" t="b">
        <v>0</v>
      </c>
      <c r="AB151" t="b">
        <v>1</v>
      </c>
      <c r="AC151" t="b">
        <v>0</v>
      </c>
    </row>
    <row r="152" spans="2:29" x14ac:dyDescent="0.25">
      <c r="B152" t="str">
        <f t="shared" si="2"/>
        <v>18901073256</v>
      </c>
      <c r="C152" t="s">
        <v>332</v>
      </c>
      <c r="D152" t="s">
        <v>55</v>
      </c>
      <c r="E152" t="s">
        <v>76</v>
      </c>
      <c r="F152">
        <v>18901073256</v>
      </c>
      <c r="G152" t="s">
        <v>77</v>
      </c>
      <c r="N152" t="s">
        <v>852</v>
      </c>
      <c r="P152" t="s">
        <v>853</v>
      </c>
      <c r="T152" t="s">
        <v>854</v>
      </c>
      <c r="U152" t="s">
        <v>855</v>
      </c>
      <c r="V152" t="s">
        <v>549</v>
      </c>
      <c r="W152" t="s">
        <v>187</v>
      </c>
      <c r="X152" t="s">
        <v>61</v>
      </c>
      <c r="Z152" t="b">
        <v>0</v>
      </c>
      <c r="AA152" t="b">
        <v>0</v>
      </c>
      <c r="AB152" t="b">
        <v>1</v>
      </c>
      <c r="AC152" t="b">
        <v>0</v>
      </c>
    </row>
    <row r="153" spans="2:29" x14ac:dyDescent="0.25">
      <c r="B153" t="str">
        <f t="shared" si="2"/>
        <v/>
      </c>
      <c r="C153" t="s">
        <v>332</v>
      </c>
      <c r="D153" t="s">
        <v>55</v>
      </c>
      <c r="E153" t="s">
        <v>76</v>
      </c>
      <c r="G153" t="s">
        <v>77</v>
      </c>
      <c r="P153" t="s">
        <v>857</v>
      </c>
      <c r="T153" t="s">
        <v>858</v>
      </c>
      <c r="U153" t="s">
        <v>859</v>
      </c>
      <c r="V153" t="s">
        <v>549</v>
      </c>
      <c r="W153" t="s">
        <v>187</v>
      </c>
      <c r="X153" t="s">
        <v>61</v>
      </c>
      <c r="Z153" t="b">
        <v>0</v>
      </c>
      <c r="AA153" t="b">
        <v>0</v>
      </c>
      <c r="AB153" t="b">
        <v>1</v>
      </c>
      <c r="AC153" t="b">
        <v>0</v>
      </c>
    </row>
    <row r="154" spans="2:29" x14ac:dyDescent="0.25">
      <c r="B154" t="str">
        <f t="shared" si="2"/>
        <v/>
      </c>
      <c r="C154" t="s">
        <v>332</v>
      </c>
      <c r="D154" t="s">
        <v>179</v>
      </c>
      <c r="E154" t="s">
        <v>85</v>
      </c>
      <c r="G154" t="s">
        <v>361</v>
      </c>
      <c r="N154" t="s">
        <v>861</v>
      </c>
      <c r="P154" t="s">
        <v>862</v>
      </c>
      <c r="T154" t="s">
        <v>863</v>
      </c>
      <c r="U154" t="s">
        <v>864</v>
      </c>
      <c r="V154" t="s">
        <v>549</v>
      </c>
      <c r="W154" t="s">
        <v>367</v>
      </c>
      <c r="X154" t="s">
        <v>188</v>
      </c>
      <c r="Z154" t="b">
        <v>0</v>
      </c>
      <c r="AA154" t="b">
        <v>0</v>
      </c>
      <c r="AB154" t="b">
        <v>1</v>
      </c>
      <c r="AC154" t="b">
        <v>0</v>
      </c>
    </row>
    <row r="155" spans="2:29" x14ac:dyDescent="0.25">
      <c r="B155" t="str">
        <f t="shared" si="2"/>
        <v/>
      </c>
      <c r="C155" t="s">
        <v>332</v>
      </c>
      <c r="D155" t="s">
        <v>55</v>
      </c>
      <c r="E155" t="s">
        <v>85</v>
      </c>
      <c r="G155" t="s">
        <v>340</v>
      </c>
      <c r="N155" t="s">
        <v>866</v>
      </c>
      <c r="P155" t="s">
        <v>867</v>
      </c>
      <c r="T155" t="s">
        <v>868</v>
      </c>
      <c r="U155" t="s">
        <v>869</v>
      </c>
      <c r="V155" t="s">
        <v>549</v>
      </c>
      <c r="W155" t="s">
        <v>344</v>
      </c>
      <c r="X155" t="s">
        <v>61</v>
      </c>
      <c r="Z155" t="b">
        <v>0</v>
      </c>
      <c r="AA155" t="b">
        <v>0</v>
      </c>
      <c r="AB155" t="b">
        <v>1</v>
      </c>
      <c r="AC155" t="b">
        <v>0</v>
      </c>
    </row>
    <row r="156" spans="2:29" x14ac:dyDescent="0.25">
      <c r="B156" t="str">
        <f t="shared" si="2"/>
        <v>445686080</v>
      </c>
      <c r="C156" t="s">
        <v>332</v>
      </c>
      <c r="D156" t="s">
        <v>179</v>
      </c>
      <c r="E156" t="s">
        <v>85</v>
      </c>
      <c r="F156">
        <v>445686080</v>
      </c>
      <c r="G156" t="s">
        <v>77</v>
      </c>
      <c r="P156" t="s">
        <v>871</v>
      </c>
      <c r="T156" t="s">
        <v>872</v>
      </c>
      <c r="U156" t="s">
        <v>873</v>
      </c>
      <c r="V156" t="s">
        <v>549</v>
      </c>
      <c r="W156" t="s">
        <v>187</v>
      </c>
      <c r="X156" t="s">
        <v>188</v>
      </c>
      <c r="Z156" t="b">
        <v>0</v>
      </c>
      <c r="AA156" t="b">
        <v>0</v>
      </c>
      <c r="AB156" t="b">
        <v>1</v>
      </c>
      <c r="AC156" t="b">
        <v>0</v>
      </c>
    </row>
    <row r="157" spans="2:29" x14ac:dyDescent="0.25">
      <c r="B157" t="str">
        <f t="shared" si="2"/>
        <v>447861494</v>
      </c>
      <c r="C157" t="s">
        <v>332</v>
      </c>
      <c r="D157" t="s">
        <v>179</v>
      </c>
      <c r="E157" t="s">
        <v>85</v>
      </c>
      <c r="F157">
        <v>447861494</v>
      </c>
      <c r="G157" t="s">
        <v>77</v>
      </c>
      <c r="P157" t="s">
        <v>875</v>
      </c>
      <c r="T157" t="s">
        <v>876</v>
      </c>
      <c r="U157" t="s">
        <v>877</v>
      </c>
      <c r="V157" t="s">
        <v>549</v>
      </c>
      <c r="W157" t="s">
        <v>187</v>
      </c>
      <c r="X157" t="s">
        <v>188</v>
      </c>
      <c r="Z157" t="b">
        <v>0</v>
      </c>
      <c r="AA157" t="b">
        <v>0</v>
      </c>
      <c r="AB157" t="b">
        <v>1</v>
      </c>
      <c r="AC157" t="b">
        <v>0</v>
      </c>
    </row>
    <row r="158" spans="2:29" x14ac:dyDescent="0.25">
      <c r="B158" t="str">
        <f t="shared" si="2"/>
        <v>406349786</v>
      </c>
      <c r="C158" t="s">
        <v>332</v>
      </c>
      <c r="D158" t="s">
        <v>179</v>
      </c>
      <c r="E158" t="s">
        <v>85</v>
      </c>
      <c r="F158">
        <v>406349786</v>
      </c>
      <c r="G158" t="s">
        <v>77</v>
      </c>
      <c r="N158" t="s">
        <v>879</v>
      </c>
      <c r="P158" t="s">
        <v>880</v>
      </c>
      <c r="T158" t="s">
        <v>881</v>
      </c>
      <c r="U158" t="s">
        <v>882</v>
      </c>
      <c r="V158" t="s">
        <v>549</v>
      </c>
      <c r="W158" t="s">
        <v>187</v>
      </c>
      <c r="X158" t="s">
        <v>188</v>
      </c>
      <c r="Z158" t="b">
        <v>0</v>
      </c>
      <c r="AA158" t="b">
        <v>0</v>
      </c>
      <c r="AB158" t="b">
        <v>1</v>
      </c>
      <c r="AC158" t="b">
        <v>0</v>
      </c>
    </row>
    <row r="159" spans="2:29" x14ac:dyDescent="0.25">
      <c r="B159" t="str">
        <f t="shared" si="2"/>
        <v>448410425</v>
      </c>
      <c r="C159" t="s">
        <v>332</v>
      </c>
      <c r="D159" t="s">
        <v>179</v>
      </c>
      <c r="E159" t="s">
        <v>85</v>
      </c>
      <c r="F159">
        <v>448410425</v>
      </c>
      <c r="G159" t="s">
        <v>77</v>
      </c>
      <c r="P159" t="s">
        <v>884</v>
      </c>
      <c r="T159" t="s">
        <v>885</v>
      </c>
      <c r="U159" t="s">
        <v>886</v>
      </c>
      <c r="V159" t="s">
        <v>549</v>
      </c>
      <c r="W159" t="s">
        <v>187</v>
      </c>
      <c r="X159" t="s">
        <v>188</v>
      </c>
      <c r="Z159" t="b">
        <v>0</v>
      </c>
      <c r="AA159" t="b">
        <v>0</v>
      </c>
      <c r="AB159" t="b">
        <v>1</v>
      </c>
      <c r="AC159" t="b">
        <v>0</v>
      </c>
    </row>
    <row r="160" spans="2:29" x14ac:dyDescent="0.25">
      <c r="B160" t="str">
        <f t="shared" si="2"/>
        <v>62001010355</v>
      </c>
      <c r="C160" t="s">
        <v>54</v>
      </c>
      <c r="D160" t="s">
        <v>63</v>
      </c>
      <c r="E160" t="s">
        <v>85</v>
      </c>
      <c r="F160">
        <v>62001010355</v>
      </c>
      <c r="G160" t="s">
        <v>77</v>
      </c>
      <c r="N160" t="s">
        <v>888</v>
      </c>
      <c r="P160" t="s">
        <v>889</v>
      </c>
      <c r="T160" t="s">
        <v>890</v>
      </c>
      <c r="U160" t="s">
        <v>891</v>
      </c>
      <c r="V160" t="s">
        <v>549</v>
      </c>
      <c r="W160" t="s">
        <v>187</v>
      </c>
      <c r="X160" t="s">
        <v>68</v>
      </c>
      <c r="Z160" t="b">
        <v>0</v>
      </c>
      <c r="AA160" t="b">
        <v>0</v>
      </c>
      <c r="AB160" t="b">
        <v>1</v>
      </c>
      <c r="AC160" t="b">
        <v>0</v>
      </c>
    </row>
    <row r="161" spans="2:29" x14ac:dyDescent="0.25">
      <c r="B161" t="str">
        <f t="shared" si="2"/>
        <v>405476872</v>
      </c>
      <c r="C161" t="s">
        <v>332</v>
      </c>
      <c r="D161" t="s">
        <v>179</v>
      </c>
      <c r="E161" t="s">
        <v>85</v>
      </c>
      <c r="F161">
        <v>405476872</v>
      </c>
      <c r="G161" t="s">
        <v>77</v>
      </c>
      <c r="N161" t="s">
        <v>893</v>
      </c>
      <c r="P161" t="s">
        <v>894</v>
      </c>
      <c r="T161" t="s">
        <v>895</v>
      </c>
      <c r="U161" t="s">
        <v>896</v>
      </c>
      <c r="V161" t="s">
        <v>549</v>
      </c>
      <c r="W161" t="s">
        <v>187</v>
      </c>
      <c r="X161" t="s">
        <v>188</v>
      </c>
      <c r="Z161" t="b">
        <v>0</v>
      </c>
      <c r="AA161" t="b">
        <v>0</v>
      </c>
      <c r="AB161" t="b">
        <v>1</v>
      </c>
      <c r="AC161" t="b">
        <v>0</v>
      </c>
    </row>
    <row r="162" spans="2:29" x14ac:dyDescent="0.25">
      <c r="B162" t="str">
        <f t="shared" si="2"/>
        <v>01024070871</v>
      </c>
      <c r="C162" t="s">
        <v>332</v>
      </c>
      <c r="D162" t="s">
        <v>55</v>
      </c>
      <c r="E162" t="s">
        <v>76</v>
      </c>
      <c r="F162">
        <v>1024070871</v>
      </c>
      <c r="G162" t="s">
        <v>77</v>
      </c>
      <c r="N162" t="s">
        <v>898</v>
      </c>
      <c r="P162" t="s">
        <v>899</v>
      </c>
      <c r="T162" t="s">
        <v>900</v>
      </c>
      <c r="U162" t="s">
        <v>901</v>
      </c>
      <c r="V162" t="s">
        <v>549</v>
      </c>
      <c r="W162" t="s">
        <v>187</v>
      </c>
      <c r="X162" t="s">
        <v>61</v>
      </c>
      <c r="Z162" t="b">
        <v>0</v>
      </c>
      <c r="AA162" t="b">
        <v>0</v>
      </c>
      <c r="AB162" t="b">
        <v>1</v>
      </c>
      <c r="AC162" t="b">
        <v>0</v>
      </c>
    </row>
    <row r="163" spans="2:29" x14ac:dyDescent="0.25">
      <c r="B163" t="str">
        <f t="shared" si="2"/>
        <v>01208065101</v>
      </c>
      <c r="C163" t="s">
        <v>332</v>
      </c>
      <c r="D163" t="s">
        <v>55</v>
      </c>
      <c r="E163" t="s">
        <v>76</v>
      </c>
      <c r="F163">
        <v>1208065101</v>
      </c>
      <c r="G163" t="s">
        <v>77</v>
      </c>
      <c r="N163" t="s">
        <v>903</v>
      </c>
      <c r="P163" t="s">
        <v>904</v>
      </c>
      <c r="T163" t="s">
        <v>905</v>
      </c>
      <c r="U163" t="s">
        <v>906</v>
      </c>
      <c r="V163" t="s">
        <v>549</v>
      </c>
      <c r="W163" t="s">
        <v>187</v>
      </c>
      <c r="X163" t="s">
        <v>61</v>
      </c>
      <c r="Z163" t="b">
        <v>0</v>
      </c>
      <c r="AA163" t="b">
        <v>0</v>
      </c>
      <c r="AB163" t="b">
        <v>1</v>
      </c>
      <c r="AC163" t="b">
        <v>0</v>
      </c>
    </row>
    <row r="164" spans="2:29" x14ac:dyDescent="0.25">
      <c r="B164" t="str">
        <f t="shared" si="2"/>
        <v>01024032465</v>
      </c>
      <c r="C164" t="s">
        <v>332</v>
      </c>
      <c r="D164" t="s">
        <v>55</v>
      </c>
      <c r="E164" t="s">
        <v>76</v>
      </c>
      <c r="F164">
        <v>1024032465</v>
      </c>
      <c r="G164" t="s">
        <v>77</v>
      </c>
      <c r="P164" t="s">
        <v>908</v>
      </c>
      <c r="T164" t="s">
        <v>909</v>
      </c>
      <c r="U164" t="s">
        <v>910</v>
      </c>
      <c r="V164" t="s">
        <v>549</v>
      </c>
      <c r="W164" t="s">
        <v>187</v>
      </c>
      <c r="X164" t="s">
        <v>61</v>
      </c>
      <c r="Z164" t="b">
        <v>0</v>
      </c>
      <c r="AA164" t="b">
        <v>0</v>
      </c>
      <c r="AB164" t="b">
        <v>1</v>
      </c>
      <c r="AC164" t="b">
        <v>0</v>
      </c>
    </row>
    <row r="165" spans="2:29" x14ac:dyDescent="0.25">
      <c r="B165" t="str">
        <f t="shared" si="2"/>
        <v>402337404</v>
      </c>
      <c r="C165" t="s">
        <v>332</v>
      </c>
      <c r="D165" t="s">
        <v>179</v>
      </c>
      <c r="E165" t="s">
        <v>85</v>
      </c>
      <c r="F165">
        <v>402337404</v>
      </c>
      <c r="G165" t="s">
        <v>77</v>
      </c>
      <c r="N165" t="s">
        <v>912</v>
      </c>
      <c r="P165" t="s">
        <v>913</v>
      </c>
      <c r="T165" t="s">
        <v>914</v>
      </c>
      <c r="U165" t="s">
        <v>915</v>
      </c>
      <c r="V165" t="s">
        <v>549</v>
      </c>
      <c r="W165" t="s">
        <v>187</v>
      </c>
      <c r="X165" t="s">
        <v>188</v>
      </c>
      <c r="Z165" t="b">
        <v>0</v>
      </c>
      <c r="AA165" t="b">
        <v>0</v>
      </c>
      <c r="AB165" t="b">
        <v>1</v>
      </c>
      <c r="AC165" t="b">
        <v>0</v>
      </c>
    </row>
    <row r="166" spans="2:29" x14ac:dyDescent="0.25">
      <c r="B166" t="str">
        <f t="shared" si="2"/>
        <v>01024029046</v>
      </c>
      <c r="C166" t="s">
        <v>332</v>
      </c>
      <c r="D166" t="s">
        <v>55</v>
      </c>
      <c r="E166" t="s">
        <v>76</v>
      </c>
      <c r="F166">
        <v>1024029046</v>
      </c>
      <c r="G166" t="s">
        <v>77</v>
      </c>
      <c r="N166" t="s">
        <v>917</v>
      </c>
      <c r="P166" t="s">
        <v>918</v>
      </c>
      <c r="T166" t="s">
        <v>919</v>
      </c>
      <c r="U166" t="s">
        <v>920</v>
      </c>
      <c r="V166" t="s">
        <v>549</v>
      </c>
      <c r="W166" t="s">
        <v>187</v>
      </c>
      <c r="X166" t="s">
        <v>61</v>
      </c>
      <c r="Z166" t="b">
        <v>0</v>
      </c>
      <c r="AA166" t="b">
        <v>0</v>
      </c>
      <c r="AB166" t="b">
        <v>1</v>
      </c>
      <c r="AC166" t="b">
        <v>0</v>
      </c>
    </row>
    <row r="167" spans="2:29" x14ac:dyDescent="0.25">
      <c r="B167" t="str">
        <f t="shared" si="2"/>
        <v>400436444</v>
      </c>
      <c r="C167" t="s">
        <v>332</v>
      </c>
      <c r="D167" t="s">
        <v>179</v>
      </c>
      <c r="E167" t="s">
        <v>85</v>
      </c>
      <c r="F167">
        <v>400436444</v>
      </c>
      <c r="G167" t="s">
        <v>77</v>
      </c>
      <c r="N167" t="s">
        <v>922</v>
      </c>
      <c r="P167" t="s">
        <v>923</v>
      </c>
      <c r="T167" t="s">
        <v>924</v>
      </c>
      <c r="U167" t="s">
        <v>925</v>
      </c>
      <c r="V167" t="s">
        <v>549</v>
      </c>
      <c r="W167" t="s">
        <v>187</v>
      </c>
      <c r="X167" t="s">
        <v>188</v>
      </c>
      <c r="Z167" t="b">
        <v>0</v>
      </c>
      <c r="AA167" t="b">
        <v>0</v>
      </c>
      <c r="AB167" t="b">
        <v>1</v>
      </c>
      <c r="AC167" t="b">
        <v>0</v>
      </c>
    </row>
    <row r="168" spans="2:29" x14ac:dyDescent="0.25">
      <c r="B168" t="str">
        <f t="shared" si="2"/>
        <v>01006013944</v>
      </c>
      <c r="C168" t="s">
        <v>54</v>
      </c>
      <c r="D168" t="s">
        <v>63</v>
      </c>
      <c r="E168" t="s">
        <v>76</v>
      </c>
      <c r="F168">
        <v>1006013944</v>
      </c>
      <c r="G168" t="s">
        <v>77</v>
      </c>
      <c r="N168" t="s">
        <v>927</v>
      </c>
      <c r="P168" t="s">
        <v>928</v>
      </c>
      <c r="T168" t="s">
        <v>929</v>
      </c>
      <c r="U168" t="s">
        <v>930</v>
      </c>
      <c r="V168" t="s">
        <v>549</v>
      </c>
      <c r="W168" t="s">
        <v>187</v>
      </c>
      <c r="X168" t="s">
        <v>68</v>
      </c>
      <c r="Z168" t="b">
        <v>0</v>
      </c>
      <c r="AA168" t="b">
        <v>0</v>
      </c>
      <c r="AB168" t="b">
        <v>1</v>
      </c>
      <c r="AC168" t="b">
        <v>0</v>
      </c>
    </row>
    <row r="169" spans="2:29" x14ac:dyDescent="0.25">
      <c r="B169" t="str">
        <f t="shared" si="2"/>
        <v>01001076629</v>
      </c>
      <c r="C169" t="s">
        <v>54</v>
      </c>
      <c r="D169" t="s">
        <v>63</v>
      </c>
      <c r="E169" t="s">
        <v>76</v>
      </c>
      <c r="F169">
        <v>1001076629</v>
      </c>
      <c r="G169" t="s">
        <v>77</v>
      </c>
      <c r="P169" t="s">
        <v>932</v>
      </c>
      <c r="T169" t="s">
        <v>933</v>
      </c>
      <c r="U169" t="s">
        <v>934</v>
      </c>
      <c r="V169" t="s">
        <v>549</v>
      </c>
      <c r="W169" t="s">
        <v>187</v>
      </c>
      <c r="X169" t="s">
        <v>68</v>
      </c>
      <c r="Z169" t="b">
        <v>0</v>
      </c>
      <c r="AA169" t="b">
        <v>0</v>
      </c>
      <c r="AB169" t="b">
        <v>1</v>
      </c>
      <c r="AC169" t="b">
        <v>0</v>
      </c>
    </row>
    <row r="170" spans="2:29" x14ac:dyDescent="0.25">
      <c r="B170" t="str">
        <f t="shared" si="2"/>
        <v>01019016071</v>
      </c>
      <c r="C170" t="s">
        <v>332</v>
      </c>
      <c r="D170" t="s">
        <v>55</v>
      </c>
      <c r="E170" t="s">
        <v>76</v>
      </c>
      <c r="F170">
        <v>1019016071</v>
      </c>
      <c r="G170" t="s">
        <v>77</v>
      </c>
      <c r="P170" t="s">
        <v>936</v>
      </c>
      <c r="T170" t="s">
        <v>937</v>
      </c>
      <c r="U170" t="s">
        <v>938</v>
      </c>
      <c r="V170" t="s">
        <v>549</v>
      </c>
      <c r="W170" t="s">
        <v>187</v>
      </c>
      <c r="X170" t="s">
        <v>61</v>
      </c>
      <c r="Z170" t="b">
        <v>0</v>
      </c>
      <c r="AA170" t="b">
        <v>0</v>
      </c>
      <c r="AB170" t="b">
        <v>1</v>
      </c>
      <c r="AC170" t="b">
        <v>0</v>
      </c>
    </row>
    <row r="171" spans="2:29" x14ac:dyDescent="0.25">
      <c r="B171" t="str">
        <f t="shared" si="2"/>
        <v>400263889</v>
      </c>
      <c r="C171" t="s">
        <v>332</v>
      </c>
      <c r="D171" t="s">
        <v>179</v>
      </c>
      <c r="E171" t="s">
        <v>85</v>
      </c>
      <c r="F171">
        <v>400263889</v>
      </c>
      <c r="G171" t="s">
        <v>77</v>
      </c>
      <c r="N171" t="s">
        <v>940</v>
      </c>
      <c r="P171" t="s">
        <v>941</v>
      </c>
      <c r="T171" t="s">
        <v>942</v>
      </c>
      <c r="U171" t="s">
        <v>943</v>
      </c>
      <c r="V171" t="s">
        <v>549</v>
      </c>
      <c r="W171" t="s">
        <v>187</v>
      </c>
      <c r="X171" t="s">
        <v>188</v>
      </c>
      <c r="Z171" t="b">
        <v>0</v>
      </c>
      <c r="AA171" t="b">
        <v>0</v>
      </c>
      <c r="AB171" t="b">
        <v>1</v>
      </c>
      <c r="AC171" t="b">
        <v>0</v>
      </c>
    </row>
    <row r="172" spans="2:29" x14ac:dyDescent="0.25">
      <c r="B172" t="str">
        <f t="shared" si="2"/>
        <v/>
      </c>
      <c r="C172" t="s">
        <v>332</v>
      </c>
      <c r="D172" t="s">
        <v>179</v>
      </c>
      <c r="E172" t="s">
        <v>85</v>
      </c>
      <c r="G172" t="s">
        <v>388</v>
      </c>
      <c r="N172">
        <v>8.1103140126007204E+18</v>
      </c>
      <c r="P172" t="s">
        <v>945</v>
      </c>
      <c r="T172" t="s">
        <v>946</v>
      </c>
      <c r="U172" t="s">
        <v>947</v>
      </c>
      <c r="V172" t="s">
        <v>549</v>
      </c>
      <c r="W172" t="s">
        <v>393</v>
      </c>
      <c r="X172" t="s">
        <v>188</v>
      </c>
      <c r="Z172" t="b">
        <v>0</v>
      </c>
      <c r="AA172" t="b">
        <v>0</v>
      </c>
      <c r="AB172" t="b">
        <v>1</v>
      </c>
      <c r="AC172" t="b">
        <v>0</v>
      </c>
    </row>
    <row r="173" spans="2:29" x14ac:dyDescent="0.25">
      <c r="B173" t="str">
        <f t="shared" si="2"/>
        <v>3LFL9W7</v>
      </c>
      <c r="C173" t="s">
        <v>332</v>
      </c>
      <c r="D173" t="s">
        <v>55</v>
      </c>
      <c r="E173" t="s">
        <v>85</v>
      </c>
      <c r="F173" t="s">
        <v>949</v>
      </c>
      <c r="G173" t="s">
        <v>518</v>
      </c>
      <c r="N173" t="s">
        <v>950</v>
      </c>
      <c r="P173" t="s">
        <v>951</v>
      </c>
      <c r="T173" t="s">
        <v>952</v>
      </c>
      <c r="U173" t="s">
        <v>953</v>
      </c>
      <c r="V173" t="s">
        <v>549</v>
      </c>
      <c r="W173" t="s">
        <v>523</v>
      </c>
      <c r="X173" t="s">
        <v>61</v>
      </c>
      <c r="Z173" t="b">
        <v>0</v>
      </c>
      <c r="AA173" t="b">
        <v>0</v>
      </c>
      <c r="AB173" t="b">
        <v>1</v>
      </c>
      <c r="AC173" t="b">
        <v>0</v>
      </c>
    </row>
    <row r="174" spans="2:29" x14ac:dyDescent="0.25">
      <c r="B174" t="str">
        <f t="shared" si="2"/>
        <v>38001013055</v>
      </c>
      <c r="C174" t="s">
        <v>54</v>
      </c>
      <c r="D174" t="s">
        <v>55</v>
      </c>
      <c r="E174" t="s">
        <v>76</v>
      </c>
      <c r="F174">
        <v>38001013055</v>
      </c>
      <c r="G174" t="s">
        <v>77</v>
      </c>
      <c r="N174" t="s">
        <v>955</v>
      </c>
      <c r="P174" t="s">
        <v>956</v>
      </c>
      <c r="T174" t="s">
        <v>957</v>
      </c>
      <c r="U174" t="s">
        <v>958</v>
      </c>
      <c r="V174" t="s">
        <v>60</v>
      </c>
      <c r="W174" t="s">
        <v>187</v>
      </c>
      <c r="X174" t="s">
        <v>61</v>
      </c>
      <c r="Z174" t="b">
        <v>0</v>
      </c>
      <c r="AA174" t="b">
        <v>0</v>
      </c>
      <c r="AB174" t="b">
        <v>1</v>
      </c>
      <c r="AC174" t="b">
        <v>0</v>
      </c>
    </row>
    <row r="175" spans="2:29" x14ac:dyDescent="0.25">
      <c r="B175" t="str">
        <f t="shared" si="2"/>
        <v>61001043662</v>
      </c>
      <c r="C175" t="s">
        <v>54</v>
      </c>
      <c r="D175" t="s">
        <v>55</v>
      </c>
      <c r="E175" t="s">
        <v>76</v>
      </c>
      <c r="F175">
        <v>61001043662</v>
      </c>
      <c r="G175" t="s">
        <v>77</v>
      </c>
      <c r="N175" t="s">
        <v>960</v>
      </c>
      <c r="P175" t="s">
        <v>961</v>
      </c>
      <c r="T175" t="s">
        <v>962</v>
      </c>
      <c r="U175" t="s">
        <v>963</v>
      </c>
      <c r="V175" t="s">
        <v>60</v>
      </c>
      <c r="W175" t="s">
        <v>187</v>
      </c>
      <c r="X175" t="s">
        <v>61</v>
      </c>
      <c r="Z175" t="b">
        <v>0</v>
      </c>
      <c r="AA175" t="b">
        <v>0</v>
      </c>
      <c r="AB175" t="b">
        <v>1</v>
      </c>
      <c r="AC175" t="b">
        <v>0</v>
      </c>
    </row>
    <row r="176" spans="2:29" x14ac:dyDescent="0.25">
      <c r="B176" t="str">
        <f t="shared" si="2"/>
        <v>26001002401</v>
      </c>
      <c r="C176" t="s">
        <v>54</v>
      </c>
      <c r="D176" t="s">
        <v>55</v>
      </c>
      <c r="E176" t="s">
        <v>76</v>
      </c>
      <c r="F176">
        <v>26001002401</v>
      </c>
      <c r="G176" t="s">
        <v>77</v>
      </c>
      <c r="N176" t="s">
        <v>965</v>
      </c>
      <c r="P176" t="s">
        <v>966</v>
      </c>
      <c r="T176" t="s">
        <v>967</v>
      </c>
      <c r="U176" t="s">
        <v>968</v>
      </c>
      <c r="V176" t="s">
        <v>60</v>
      </c>
      <c r="W176" t="s">
        <v>187</v>
      </c>
      <c r="X176" t="s">
        <v>61</v>
      </c>
      <c r="Z176" t="b">
        <v>0</v>
      </c>
      <c r="AA176" t="b">
        <v>0</v>
      </c>
      <c r="AB176" t="b">
        <v>1</v>
      </c>
      <c r="AC176" t="b">
        <v>0</v>
      </c>
    </row>
    <row r="177" spans="2:29" x14ac:dyDescent="0.25">
      <c r="B177" t="str">
        <f t="shared" si="2"/>
        <v>01002021002</v>
      </c>
      <c r="C177" t="s">
        <v>54</v>
      </c>
      <c r="D177" t="s">
        <v>55</v>
      </c>
      <c r="E177" t="s">
        <v>76</v>
      </c>
      <c r="F177">
        <v>1002021002</v>
      </c>
      <c r="G177" t="s">
        <v>77</v>
      </c>
      <c r="N177" t="s">
        <v>970</v>
      </c>
      <c r="P177" t="s">
        <v>971</v>
      </c>
      <c r="T177" t="s">
        <v>972</v>
      </c>
      <c r="U177" t="s">
        <v>973</v>
      </c>
      <c r="V177" t="s">
        <v>60</v>
      </c>
      <c r="W177" t="s">
        <v>187</v>
      </c>
      <c r="X177" t="s">
        <v>61</v>
      </c>
      <c r="Z177" t="b">
        <v>0</v>
      </c>
      <c r="AA177" t="b">
        <v>0</v>
      </c>
      <c r="AB177" t="b">
        <v>1</v>
      </c>
      <c r="AC177" t="b">
        <v>0</v>
      </c>
    </row>
    <row r="178" spans="2:29" x14ac:dyDescent="0.25">
      <c r="B178" t="str">
        <f t="shared" si="2"/>
        <v>35001127620</v>
      </c>
      <c r="C178" t="s">
        <v>54</v>
      </c>
      <c r="D178" t="s">
        <v>55</v>
      </c>
      <c r="E178" t="s">
        <v>76</v>
      </c>
      <c r="F178">
        <v>35001127620</v>
      </c>
      <c r="G178" t="s">
        <v>77</v>
      </c>
      <c r="N178" t="s">
        <v>975</v>
      </c>
      <c r="P178" t="s">
        <v>976</v>
      </c>
      <c r="T178" t="s">
        <v>977</v>
      </c>
      <c r="U178" t="s">
        <v>978</v>
      </c>
      <c r="V178" t="s">
        <v>60</v>
      </c>
      <c r="W178" t="s">
        <v>187</v>
      </c>
      <c r="X178" t="s">
        <v>61</v>
      </c>
      <c r="Z178" t="b">
        <v>0</v>
      </c>
      <c r="AA178" t="b">
        <v>0</v>
      </c>
      <c r="AB178" t="b">
        <v>1</v>
      </c>
      <c r="AC178" t="b">
        <v>0</v>
      </c>
    </row>
    <row r="179" spans="2:29" x14ac:dyDescent="0.25">
      <c r="B179" t="str">
        <f t="shared" si="2"/>
        <v>01005026741</v>
      </c>
      <c r="C179" t="s">
        <v>84</v>
      </c>
      <c r="D179" t="s">
        <v>55</v>
      </c>
      <c r="E179" t="s">
        <v>76</v>
      </c>
      <c r="F179">
        <v>1005026741</v>
      </c>
      <c r="G179" t="s">
        <v>77</v>
      </c>
      <c r="N179" t="s">
        <v>980</v>
      </c>
      <c r="P179" t="s">
        <v>981</v>
      </c>
      <c r="T179" t="s">
        <v>982</v>
      </c>
      <c r="U179" t="s">
        <v>983</v>
      </c>
      <c r="V179" t="s">
        <v>60</v>
      </c>
      <c r="W179" t="s">
        <v>187</v>
      </c>
      <c r="X179" t="s">
        <v>61</v>
      </c>
      <c r="Z179" t="b">
        <v>0</v>
      </c>
      <c r="AA179" t="b">
        <v>0</v>
      </c>
      <c r="AB179" t="b">
        <v>1</v>
      </c>
      <c r="AC179" t="b">
        <v>0</v>
      </c>
    </row>
    <row r="180" spans="2:29" x14ac:dyDescent="0.25">
      <c r="B180" t="str">
        <f t="shared" si="2"/>
        <v>61004007129</v>
      </c>
      <c r="C180" t="s">
        <v>332</v>
      </c>
      <c r="D180" t="s">
        <v>55</v>
      </c>
      <c r="E180" t="s">
        <v>85</v>
      </c>
      <c r="F180">
        <v>61004007129</v>
      </c>
      <c r="G180" t="s">
        <v>77</v>
      </c>
      <c r="P180" t="s">
        <v>985</v>
      </c>
      <c r="T180" t="s">
        <v>986</v>
      </c>
      <c r="U180" t="s">
        <v>987</v>
      </c>
      <c r="V180" t="s">
        <v>549</v>
      </c>
      <c r="W180" t="s">
        <v>187</v>
      </c>
      <c r="X180" t="s">
        <v>61</v>
      </c>
      <c r="Z180" t="b">
        <v>0</v>
      </c>
      <c r="AA180" t="b">
        <v>0</v>
      </c>
      <c r="AB180" t="b">
        <v>1</v>
      </c>
      <c r="AC180" t="b">
        <v>0</v>
      </c>
    </row>
    <row r="181" spans="2:29" x14ac:dyDescent="0.25">
      <c r="B181" t="str">
        <f t="shared" si="2"/>
        <v/>
      </c>
      <c r="C181" t="s">
        <v>332</v>
      </c>
      <c r="D181" t="s">
        <v>452</v>
      </c>
      <c r="E181" t="s">
        <v>85</v>
      </c>
      <c r="G181" t="s">
        <v>77</v>
      </c>
      <c r="P181" t="s">
        <v>989</v>
      </c>
      <c r="T181" t="s">
        <v>990</v>
      </c>
      <c r="U181" t="s">
        <v>991</v>
      </c>
      <c r="V181" t="s">
        <v>549</v>
      </c>
      <c r="W181" t="s">
        <v>187</v>
      </c>
      <c r="X181" t="s">
        <v>458</v>
      </c>
      <c r="Z181" t="b">
        <v>0</v>
      </c>
      <c r="AA181" t="b">
        <v>0</v>
      </c>
      <c r="AB181" t="b">
        <v>1</v>
      </c>
      <c r="AC181" t="b">
        <v>0</v>
      </c>
    </row>
    <row r="182" spans="2:29" x14ac:dyDescent="0.25">
      <c r="B182" t="str">
        <f t="shared" si="2"/>
        <v>C01764919</v>
      </c>
      <c r="C182" t="s">
        <v>54</v>
      </c>
      <c r="D182" t="s">
        <v>55</v>
      </c>
      <c r="E182" t="s">
        <v>85</v>
      </c>
      <c r="F182" t="s">
        <v>993</v>
      </c>
      <c r="G182" t="s">
        <v>518</v>
      </c>
      <c r="N182" t="s">
        <v>994</v>
      </c>
      <c r="P182" s="3" t="s">
        <v>995</v>
      </c>
      <c r="T182" t="s">
        <v>996</v>
      </c>
      <c r="U182" t="s">
        <v>997</v>
      </c>
      <c r="V182" t="s">
        <v>60</v>
      </c>
      <c r="W182" t="s">
        <v>523</v>
      </c>
      <c r="X182" t="s">
        <v>61</v>
      </c>
      <c r="Z182" t="b">
        <v>0</v>
      </c>
      <c r="AA182" t="b">
        <v>0</v>
      </c>
      <c r="AB182" t="b">
        <v>1</v>
      </c>
      <c r="AC182" t="b">
        <v>0</v>
      </c>
    </row>
    <row r="183" spans="2:29" x14ac:dyDescent="0.25">
      <c r="B183" t="str">
        <f t="shared" si="2"/>
        <v>59001059301</v>
      </c>
      <c r="C183" t="s">
        <v>332</v>
      </c>
      <c r="D183" t="s">
        <v>55</v>
      </c>
      <c r="E183" t="s">
        <v>76</v>
      </c>
      <c r="F183">
        <v>59001059301</v>
      </c>
      <c r="G183" t="s">
        <v>77</v>
      </c>
      <c r="N183" t="s">
        <v>999</v>
      </c>
      <c r="P183" t="s">
        <v>1000</v>
      </c>
      <c r="T183" t="s">
        <v>1001</v>
      </c>
      <c r="U183" t="s">
        <v>1002</v>
      </c>
      <c r="V183" t="s">
        <v>549</v>
      </c>
      <c r="W183" t="s">
        <v>187</v>
      </c>
      <c r="X183" t="s">
        <v>61</v>
      </c>
      <c r="Z183" t="b">
        <v>0</v>
      </c>
      <c r="AA183" t="b">
        <v>0</v>
      </c>
      <c r="AB183" t="b">
        <v>1</v>
      </c>
      <c r="AC183" t="b">
        <v>0</v>
      </c>
    </row>
    <row r="184" spans="2:29" x14ac:dyDescent="0.25">
      <c r="B184" t="str">
        <f t="shared" si="2"/>
        <v>418479890</v>
      </c>
      <c r="C184" t="s">
        <v>332</v>
      </c>
      <c r="D184" t="s">
        <v>179</v>
      </c>
      <c r="E184" t="s">
        <v>85</v>
      </c>
      <c r="F184">
        <v>418479890</v>
      </c>
      <c r="G184" t="s">
        <v>77</v>
      </c>
      <c r="N184" t="s">
        <v>1004</v>
      </c>
      <c r="P184" t="s">
        <v>1005</v>
      </c>
      <c r="T184" t="s">
        <v>1006</v>
      </c>
      <c r="U184" t="s">
        <v>1007</v>
      </c>
      <c r="V184" t="s">
        <v>549</v>
      </c>
      <c r="W184" t="s">
        <v>187</v>
      </c>
      <c r="X184" t="s">
        <v>188</v>
      </c>
      <c r="Z184" t="b">
        <v>0</v>
      </c>
      <c r="AA184" t="b">
        <v>0</v>
      </c>
      <c r="AB184" t="b">
        <v>1</v>
      </c>
      <c r="AC184" t="b">
        <v>0</v>
      </c>
    </row>
    <row r="185" spans="2:29" x14ac:dyDescent="0.25">
      <c r="B185" t="str">
        <f t="shared" si="2"/>
        <v>01004004039</v>
      </c>
      <c r="C185" t="s">
        <v>332</v>
      </c>
      <c r="D185" t="s">
        <v>55</v>
      </c>
      <c r="E185" t="s">
        <v>76</v>
      </c>
      <c r="F185">
        <v>1004004039</v>
      </c>
      <c r="G185" t="s">
        <v>77</v>
      </c>
      <c r="N185" t="s">
        <v>1009</v>
      </c>
      <c r="P185" t="s">
        <v>1010</v>
      </c>
      <c r="T185" t="s">
        <v>1011</v>
      </c>
      <c r="U185" t="s">
        <v>1012</v>
      </c>
      <c r="V185" t="s">
        <v>549</v>
      </c>
      <c r="W185" t="s">
        <v>187</v>
      </c>
      <c r="X185" t="s">
        <v>61</v>
      </c>
      <c r="Z185" t="b">
        <v>0</v>
      </c>
      <c r="AA185" t="b">
        <v>0</v>
      </c>
      <c r="AB185" t="b">
        <v>1</v>
      </c>
      <c r="AC185" t="b">
        <v>0</v>
      </c>
    </row>
    <row r="186" spans="2:29" x14ac:dyDescent="0.25">
      <c r="B186" t="str">
        <f t="shared" si="2"/>
        <v>448423643</v>
      </c>
      <c r="C186" t="s">
        <v>332</v>
      </c>
      <c r="D186" t="s">
        <v>179</v>
      </c>
      <c r="E186" t="s">
        <v>85</v>
      </c>
      <c r="F186">
        <v>448423643</v>
      </c>
      <c r="G186" t="s">
        <v>77</v>
      </c>
      <c r="P186" t="s">
        <v>1014</v>
      </c>
      <c r="T186" t="s">
        <v>1015</v>
      </c>
      <c r="U186" t="s">
        <v>1016</v>
      </c>
      <c r="V186" t="s">
        <v>549</v>
      </c>
      <c r="W186" t="s">
        <v>187</v>
      </c>
      <c r="X186" t="s">
        <v>188</v>
      </c>
      <c r="Z186" t="b">
        <v>0</v>
      </c>
      <c r="AA186" t="b">
        <v>0</v>
      </c>
      <c r="AB186" t="b">
        <v>1</v>
      </c>
      <c r="AC186" t="b">
        <v>0</v>
      </c>
    </row>
    <row r="187" spans="2:29" x14ac:dyDescent="0.25">
      <c r="B187" t="str">
        <f t="shared" si="2"/>
        <v>16001006251</v>
      </c>
      <c r="C187" t="s">
        <v>332</v>
      </c>
      <c r="D187" t="s">
        <v>55</v>
      </c>
      <c r="E187" t="s">
        <v>76</v>
      </c>
      <c r="F187">
        <v>16001006251</v>
      </c>
      <c r="G187" t="s">
        <v>77</v>
      </c>
      <c r="N187" t="s">
        <v>1018</v>
      </c>
      <c r="P187" t="s">
        <v>1019</v>
      </c>
      <c r="T187" t="s">
        <v>1020</v>
      </c>
      <c r="U187" t="s">
        <v>1021</v>
      </c>
      <c r="V187" t="s">
        <v>549</v>
      </c>
      <c r="W187" t="s">
        <v>187</v>
      </c>
      <c r="X187" t="s">
        <v>61</v>
      </c>
      <c r="Z187" t="b">
        <v>0</v>
      </c>
      <c r="AA187" t="b">
        <v>0</v>
      </c>
      <c r="AB187" t="b">
        <v>1</v>
      </c>
      <c r="AC187" t="b">
        <v>0</v>
      </c>
    </row>
    <row r="188" spans="2:29" x14ac:dyDescent="0.25">
      <c r="B188" t="str">
        <f t="shared" si="2"/>
        <v>405678538</v>
      </c>
      <c r="C188" t="s">
        <v>332</v>
      </c>
      <c r="D188" t="s">
        <v>179</v>
      </c>
      <c r="E188" t="s">
        <v>85</v>
      </c>
      <c r="F188">
        <v>405678538</v>
      </c>
      <c r="G188" t="s">
        <v>77</v>
      </c>
      <c r="N188" t="s">
        <v>1023</v>
      </c>
      <c r="P188" t="s">
        <v>1024</v>
      </c>
      <c r="T188" t="s">
        <v>1025</v>
      </c>
      <c r="U188" t="s">
        <v>1026</v>
      </c>
      <c r="V188" t="s">
        <v>549</v>
      </c>
      <c r="W188" t="s">
        <v>187</v>
      </c>
      <c r="X188" t="s">
        <v>188</v>
      </c>
      <c r="Z188" t="b">
        <v>0</v>
      </c>
      <c r="AA188" t="b">
        <v>0</v>
      </c>
      <c r="AB188" t="b">
        <v>1</v>
      </c>
      <c r="AC188" t="b">
        <v>0</v>
      </c>
    </row>
    <row r="189" spans="2:29" x14ac:dyDescent="0.25">
      <c r="B189" t="str">
        <f t="shared" si="2"/>
        <v>01024021607</v>
      </c>
      <c r="C189" t="s">
        <v>332</v>
      </c>
      <c r="D189" t="s">
        <v>55</v>
      </c>
      <c r="E189" t="s">
        <v>76</v>
      </c>
      <c r="F189">
        <v>1024021607</v>
      </c>
      <c r="G189" t="s">
        <v>77</v>
      </c>
      <c r="N189" t="s">
        <v>1028</v>
      </c>
      <c r="P189" t="s">
        <v>1029</v>
      </c>
      <c r="T189" t="s">
        <v>1030</v>
      </c>
      <c r="U189" t="s">
        <v>1031</v>
      </c>
      <c r="V189" t="s">
        <v>549</v>
      </c>
      <c r="W189" t="s">
        <v>187</v>
      </c>
      <c r="X189" t="s">
        <v>61</v>
      </c>
      <c r="Z189" t="b">
        <v>0</v>
      </c>
      <c r="AA189" t="b">
        <v>0</v>
      </c>
      <c r="AB189" t="b">
        <v>1</v>
      </c>
      <c r="AC189" t="b">
        <v>0</v>
      </c>
    </row>
    <row r="190" spans="2:29" x14ac:dyDescent="0.25">
      <c r="B190" t="str">
        <f t="shared" si="2"/>
        <v>405390964</v>
      </c>
      <c r="C190" t="s">
        <v>332</v>
      </c>
      <c r="D190" t="s">
        <v>179</v>
      </c>
      <c r="E190" t="s">
        <v>85</v>
      </c>
      <c r="F190">
        <v>405390964</v>
      </c>
      <c r="G190" t="s">
        <v>77</v>
      </c>
      <c r="N190" t="s">
        <v>1033</v>
      </c>
      <c r="P190" t="s">
        <v>1034</v>
      </c>
      <c r="T190" t="s">
        <v>1035</v>
      </c>
      <c r="U190" t="s">
        <v>1036</v>
      </c>
      <c r="V190" t="s">
        <v>549</v>
      </c>
      <c r="W190" t="s">
        <v>187</v>
      </c>
      <c r="X190" t="s">
        <v>188</v>
      </c>
      <c r="Z190" t="b">
        <v>0</v>
      </c>
      <c r="AA190" t="b">
        <v>0</v>
      </c>
      <c r="AB190" t="b">
        <v>1</v>
      </c>
      <c r="AC190" t="b">
        <v>0</v>
      </c>
    </row>
    <row r="191" spans="2:29" x14ac:dyDescent="0.25">
      <c r="B191" t="str">
        <f t="shared" si="2"/>
        <v>405475926</v>
      </c>
      <c r="C191" t="s">
        <v>332</v>
      </c>
      <c r="D191" t="s">
        <v>179</v>
      </c>
      <c r="E191" t="s">
        <v>85</v>
      </c>
      <c r="F191">
        <v>405475926</v>
      </c>
      <c r="G191" t="s">
        <v>77</v>
      </c>
      <c r="N191" t="s">
        <v>1038</v>
      </c>
      <c r="P191" t="s">
        <v>1039</v>
      </c>
      <c r="T191" t="s">
        <v>1040</v>
      </c>
      <c r="U191" t="s">
        <v>1041</v>
      </c>
      <c r="V191" t="s">
        <v>549</v>
      </c>
      <c r="W191" t="s">
        <v>187</v>
      </c>
      <c r="X191" t="s">
        <v>188</v>
      </c>
      <c r="Z191" t="b">
        <v>0</v>
      </c>
      <c r="AA191" t="b">
        <v>0</v>
      </c>
      <c r="AB191" t="b">
        <v>1</v>
      </c>
      <c r="AC191" t="b">
        <v>0</v>
      </c>
    </row>
    <row r="192" spans="2:29" x14ac:dyDescent="0.25">
      <c r="B192" t="str">
        <f t="shared" si="2"/>
        <v>40204766</v>
      </c>
      <c r="C192" t="s">
        <v>332</v>
      </c>
      <c r="D192" t="s">
        <v>55</v>
      </c>
      <c r="E192" t="s">
        <v>85</v>
      </c>
      <c r="F192">
        <v>40204766</v>
      </c>
      <c r="G192" t="s">
        <v>423</v>
      </c>
      <c r="N192" t="s">
        <v>1043</v>
      </c>
      <c r="P192" t="s">
        <v>1044</v>
      </c>
      <c r="T192" t="s">
        <v>1045</v>
      </c>
      <c r="U192" t="s">
        <v>1046</v>
      </c>
      <c r="V192" t="s">
        <v>549</v>
      </c>
      <c r="W192" t="s">
        <v>428</v>
      </c>
      <c r="X192" t="s">
        <v>61</v>
      </c>
      <c r="Z192" t="b">
        <v>0</v>
      </c>
      <c r="AA192" t="b">
        <v>0</v>
      </c>
      <c r="AB192" t="b">
        <v>1</v>
      </c>
      <c r="AC192" t="b">
        <v>0</v>
      </c>
    </row>
    <row r="193" spans="2:29" x14ac:dyDescent="0.25">
      <c r="B193" t="str">
        <f t="shared" si="2"/>
        <v>18001008498</v>
      </c>
      <c r="C193" t="s">
        <v>332</v>
      </c>
      <c r="D193" t="s">
        <v>55</v>
      </c>
      <c r="E193" t="s">
        <v>85</v>
      </c>
      <c r="F193">
        <v>18001008498</v>
      </c>
      <c r="G193" t="s">
        <v>77</v>
      </c>
      <c r="N193" t="s">
        <v>1048</v>
      </c>
      <c r="P193" t="s">
        <v>1049</v>
      </c>
      <c r="T193" t="s">
        <v>1050</v>
      </c>
      <c r="U193" t="s">
        <v>1051</v>
      </c>
      <c r="V193" t="s">
        <v>549</v>
      </c>
      <c r="W193" t="s">
        <v>187</v>
      </c>
      <c r="X193" t="s">
        <v>61</v>
      </c>
      <c r="Z193" t="b">
        <v>0</v>
      </c>
      <c r="AA193" t="b">
        <v>0</v>
      </c>
      <c r="AB193" t="b">
        <v>1</v>
      </c>
      <c r="AC193" t="b">
        <v>0</v>
      </c>
    </row>
    <row r="194" spans="2:29" x14ac:dyDescent="0.25">
      <c r="B194" t="str">
        <f t="shared" si="2"/>
        <v>445733065</v>
      </c>
      <c r="C194" t="s">
        <v>332</v>
      </c>
      <c r="D194" t="s">
        <v>179</v>
      </c>
      <c r="E194" t="s">
        <v>85</v>
      </c>
      <c r="F194">
        <v>445733065</v>
      </c>
      <c r="G194" t="s">
        <v>77</v>
      </c>
      <c r="N194" t="s">
        <v>1053</v>
      </c>
      <c r="P194" t="s">
        <v>1054</v>
      </c>
      <c r="T194" t="s">
        <v>1055</v>
      </c>
      <c r="U194" t="s">
        <v>1056</v>
      </c>
      <c r="V194" t="s">
        <v>549</v>
      </c>
      <c r="W194" t="s">
        <v>187</v>
      </c>
      <c r="X194" t="s">
        <v>188</v>
      </c>
      <c r="Z194" t="b">
        <v>0</v>
      </c>
      <c r="AA194" t="b">
        <v>0</v>
      </c>
      <c r="AB194" t="b">
        <v>1</v>
      </c>
      <c r="AC194" t="b">
        <v>0</v>
      </c>
    </row>
    <row r="195" spans="2:29" x14ac:dyDescent="0.25">
      <c r="B195" t="str">
        <f t="shared" ref="B195:B258" si="3">IF(LEN(F195)=10,0&amp;F195,""&amp;F195)</f>
        <v>01391050221</v>
      </c>
      <c r="C195" t="s">
        <v>54</v>
      </c>
      <c r="D195" t="s">
        <v>55</v>
      </c>
      <c r="E195" t="s">
        <v>85</v>
      </c>
      <c r="F195">
        <v>1391050221</v>
      </c>
      <c r="G195" t="s">
        <v>518</v>
      </c>
      <c r="N195" t="s">
        <v>1058</v>
      </c>
      <c r="P195" t="s">
        <v>1059</v>
      </c>
      <c r="T195" t="s">
        <v>1060</v>
      </c>
      <c r="U195" t="s">
        <v>1061</v>
      </c>
      <c r="V195" t="s">
        <v>60</v>
      </c>
      <c r="W195" t="s">
        <v>523</v>
      </c>
      <c r="X195" t="s">
        <v>61</v>
      </c>
      <c r="Z195" t="b">
        <v>0</v>
      </c>
      <c r="AA195" t="b">
        <v>0</v>
      </c>
      <c r="AB195" t="b">
        <v>1</v>
      </c>
      <c r="AC195" t="b">
        <v>0</v>
      </c>
    </row>
    <row r="196" spans="2:29" x14ac:dyDescent="0.25">
      <c r="B196" t="str">
        <f t="shared" si="3"/>
        <v>35001114981</v>
      </c>
      <c r="C196" t="s">
        <v>54</v>
      </c>
      <c r="D196" t="s">
        <v>55</v>
      </c>
      <c r="E196" t="s">
        <v>76</v>
      </c>
      <c r="F196">
        <v>35001114981</v>
      </c>
      <c r="G196" t="s">
        <v>77</v>
      </c>
      <c r="N196" t="s">
        <v>1063</v>
      </c>
      <c r="P196" t="s">
        <v>1064</v>
      </c>
      <c r="T196" t="s">
        <v>1065</v>
      </c>
      <c r="U196" t="s">
        <v>1066</v>
      </c>
      <c r="V196" t="s">
        <v>60</v>
      </c>
      <c r="W196" t="s">
        <v>187</v>
      </c>
      <c r="X196" t="s">
        <v>61</v>
      </c>
      <c r="Z196" t="b">
        <v>0</v>
      </c>
      <c r="AA196" t="b">
        <v>0</v>
      </c>
      <c r="AB196" t="b">
        <v>1</v>
      </c>
      <c r="AC196" t="b">
        <v>0</v>
      </c>
    </row>
    <row r="197" spans="2:29" x14ac:dyDescent="0.25">
      <c r="B197" t="str">
        <f t="shared" si="3"/>
        <v>31001008769</v>
      </c>
      <c r="C197" t="s">
        <v>54</v>
      </c>
      <c r="D197" t="s">
        <v>55</v>
      </c>
      <c r="E197" t="s">
        <v>76</v>
      </c>
      <c r="F197">
        <v>31001008769</v>
      </c>
      <c r="G197" t="s">
        <v>77</v>
      </c>
      <c r="N197" t="s">
        <v>1068</v>
      </c>
      <c r="P197" t="s">
        <v>1069</v>
      </c>
      <c r="T197" t="s">
        <v>1070</v>
      </c>
      <c r="U197" t="s">
        <v>1071</v>
      </c>
      <c r="V197" t="s">
        <v>60</v>
      </c>
      <c r="W197" t="s">
        <v>187</v>
      </c>
      <c r="X197" t="s">
        <v>61</v>
      </c>
      <c r="Z197" t="b">
        <v>0</v>
      </c>
      <c r="AA197" t="b">
        <v>0</v>
      </c>
      <c r="AB197" t="b">
        <v>1</v>
      </c>
      <c r="AC197" t="b">
        <v>0</v>
      </c>
    </row>
    <row r="198" spans="2:29" x14ac:dyDescent="0.25">
      <c r="B198" t="str">
        <f t="shared" si="3"/>
        <v>45001033384</v>
      </c>
      <c r="C198" t="s">
        <v>54</v>
      </c>
      <c r="D198" t="s">
        <v>55</v>
      </c>
      <c r="E198" t="s">
        <v>76</v>
      </c>
      <c r="F198">
        <v>45001033384</v>
      </c>
      <c r="G198" t="s">
        <v>77</v>
      </c>
      <c r="N198" t="s">
        <v>1073</v>
      </c>
      <c r="P198" t="s">
        <v>1074</v>
      </c>
      <c r="T198" t="s">
        <v>1075</v>
      </c>
      <c r="U198" t="s">
        <v>1076</v>
      </c>
      <c r="V198" t="s">
        <v>60</v>
      </c>
      <c r="W198" t="s">
        <v>187</v>
      </c>
      <c r="X198" t="s">
        <v>61</v>
      </c>
      <c r="Z198" t="b">
        <v>0</v>
      </c>
      <c r="AA198" t="b">
        <v>0</v>
      </c>
      <c r="AB198" t="b">
        <v>1</v>
      </c>
      <c r="AC198" t="b">
        <v>0</v>
      </c>
    </row>
    <row r="199" spans="2:29" x14ac:dyDescent="0.25">
      <c r="B199" t="str">
        <f t="shared" si="3"/>
        <v>25001026683</v>
      </c>
      <c r="C199" t="s">
        <v>54</v>
      </c>
      <c r="D199" t="s">
        <v>55</v>
      </c>
      <c r="E199" t="s">
        <v>76</v>
      </c>
      <c r="F199">
        <v>25001026683</v>
      </c>
      <c r="G199" t="s">
        <v>77</v>
      </c>
      <c r="N199" t="s">
        <v>1078</v>
      </c>
      <c r="P199" t="s">
        <v>1079</v>
      </c>
      <c r="T199" t="s">
        <v>1080</v>
      </c>
      <c r="U199" t="s">
        <v>1081</v>
      </c>
      <c r="V199" t="s">
        <v>60</v>
      </c>
      <c r="W199" t="s">
        <v>187</v>
      </c>
      <c r="X199" t="s">
        <v>61</v>
      </c>
      <c r="Z199" t="b">
        <v>0</v>
      </c>
      <c r="AA199" t="b">
        <v>0</v>
      </c>
      <c r="AB199" t="b">
        <v>1</v>
      </c>
      <c r="AC199" t="b">
        <v>0</v>
      </c>
    </row>
    <row r="200" spans="2:29" x14ac:dyDescent="0.25">
      <c r="B200" t="str">
        <f t="shared" si="3"/>
        <v>405535915</v>
      </c>
      <c r="C200" t="s">
        <v>54</v>
      </c>
      <c r="D200" t="s">
        <v>179</v>
      </c>
      <c r="E200" t="s">
        <v>76</v>
      </c>
      <c r="F200">
        <v>405535915</v>
      </c>
      <c r="G200" t="s">
        <v>77</v>
      </c>
      <c r="N200" t="s">
        <v>1083</v>
      </c>
      <c r="P200" t="s">
        <v>1084</v>
      </c>
      <c r="T200" t="s">
        <v>1085</v>
      </c>
      <c r="U200" t="s">
        <v>1086</v>
      </c>
      <c r="V200" t="s">
        <v>60</v>
      </c>
      <c r="W200" t="s">
        <v>187</v>
      </c>
      <c r="X200" t="s">
        <v>188</v>
      </c>
      <c r="Z200" t="b">
        <v>0</v>
      </c>
      <c r="AA200" t="b">
        <v>0</v>
      </c>
      <c r="AB200" t="b">
        <v>1</v>
      </c>
      <c r="AC200" t="b">
        <v>0</v>
      </c>
    </row>
    <row r="201" spans="2:29" x14ac:dyDescent="0.25">
      <c r="B201" t="str">
        <f t="shared" si="3"/>
        <v>01724094366</v>
      </c>
      <c r="C201" t="s">
        <v>54</v>
      </c>
      <c r="D201" t="s">
        <v>55</v>
      </c>
      <c r="E201" t="s">
        <v>76</v>
      </c>
      <c r="F201">
        <v>1724094366</v>
      </c>
      <c r="G201" t="s">
        <v>77</v>
      </c>
      <c r="N201" t="s">
        <v>1088</v>
      </c>
      <c r="P201" t="s">
        <v>1089</v>
      </c>
      <c r="T201" t="s">
        <v>1090</v>
      </c>
      <c r="U201" t="s">
        <v>1091</v>
      </c>
      <c r="V201" t="s">
        <v>60</v>
      </c>
      <c r="W201" t="s">
        <v>187</v>
      </c>
      <c r="X201" t="s">
        <v>61</v>
      </c>
      <c r="Z201" t="b">
        <v>0</v>
      </c>
      <c r="AA201" t="b">
        <v>0</v>
      </c>
      <c r="AB201" t="b">
        <v>1</v>
      </c>
      <c r="AC201" t="b">
        <v>0</v>
      </c>
    </row>
    <row r="202" spans="2:29" x14ac:dyDescent="0.25">
      <c r="B202" t="str">
        <f t="shared" si="3"/>
        <v>01011068661</v>
      </c>
      <c r="C202" t="s">
        <v>54</v>
      </c>
      <c r="D202" t="s">
        <v>55</v>
      </c>
      <c r="E202" t="s">
        <v>76</v>
      </c>
      <c r="F202">
        <v>1011068661</v>
      </c>
      <c r="G202" t="s">
        <v>77</v>
      </c>
      <c r="N202" t="s">
        <v>1093</v>
      </c>
      <c r="P202" t="s">
        <v>1094</v>
      </c>
      <c r="T202" t="s">
        <v>1095</v>
      </c>
      <c r="U202" t="s">
        <v>1096</v>
      </c>
      <c r="V202" t="s">
        <v>60</v>
      </c>
      <c r="W202" t="s">
        <v>187</v>
      </c>
      <c r="X202" t="s">
        <v>61</v>
      </c>
      <c r="Z202" t="b">
        <v>0</v>
      </c>
      <c r="AA202" t="b">
        <v>0</v>
      </c>
      <c r="AB202" t="b">
        <v>1</v>
      </c>
      <c r="AC202" t="b">
        <v>0</v>
      </c>
    </row>
    <row r="203" spans="2:29" x14ac:dyDescent="0.25">
      <c r="B203" t="str">
        <f t="shared" si="3"/>
        <v>01024085074</v>
      </c>
      <c r="C203" t="s">
        <v>54</v>
      </c>
      <c r="D203" t="s">
        <v>55</v>
      </c>
      <c r="E203" t="s">
        <v>76</v>
      </c>
      <c r="F203">
        <v>1024085074</v>
      </c>
      <c r="G203" t="s">
        <v>77</v>
      </c>
      <c r="N203" t="s">
        <v>1098</v>
      </c>
      <c r="P203" t="s">
        <v>1099</v>
      </c>
      <c r="T203" t="s">
        <v>1100</v>
      </c>
      <c r="U203" t="s">
        <v>1101</v>
      </c>
      <c r="V203" t="s">
        <v>60</v>
      </c>
      <c r="W203" t="s">
        <v>187</v>
      </c>
      <c r="X203" t="s">
        <v>61</v>
      </c>
      <c r="Z203" t="b">
        <v>0</v>
      </c>
      <c r="AA203" t="b">
        <v>0</v>
      </c>
      <c r="AB203" t="b">
        <v>1</v>
      </c>
      <c r="AC203" t="b">
        <v>0</v>
      </c>
    </row>
    <row r="204" spans="2:29" x14ac:dyDescent="0.25">
      <c r="B204" t="str">
        <f t="shared" si="3"/>
        <v>01021002449</v>
      </c>
      <c r="C204" t="s">
        <v>54</v>
      </c>
      <c r="D204" t="s">
        <v>55</v>
      </c>
      <c r="E204" t="s">
        <v>85</v>
      </c>
      <c r="F204">
        <v>1021002449</v>
      </c>
      <c r="G204" t="s">
        <v>77</v>
      </c>
      <c r="N204" t="s">
        <v>1103</v>
      </c>
      <c r="P204" t="s">
        <v>1104</v>
      </c>
      <c r="T204" t="s">
        <v>1105</v>
      </c>
      <c r="U204" t="s">
        <v>1106</v>
      </c>
      <c r="V204" t="s">
        <v>60</v>
      </c>
      <c r="W204" t="s">
        <v>187</v>
      </c>
      <c r="X204" t="s">
        <v>61</v>
      </c>
      <c r="Z204" t="b">
        <v>0</v>
      </c>
      <c r="AA204" t="b">
        <v>0</v>
      </c>
      <c r="AB204" t="b">
        <v>1</v>
      </c>
      <c r="AC204" t="b">
        <v>0</v>
      </c>
    </row>
    <row r="205" spans="2:29" x14ac:dyDescent="0.25">
      <c r="B205" t="str">
        <f t="shared" si="3"/>
        <v>01011038686</v>
      </c>
      <c r="C205" t="s">
        <v>54</v>
      </c>
      <c r="D205" t="s">
        <v>55</v>
      </c>
      <c r="E205" t="s">
        <v>76</v>
      </c>
      <c r="F205">
        <v>1011038686</v>
      </c>
      <c r="G205" t="s">
        <v>77</v>
      </c>
      <c r="N205" t="s">
        <v>1108</v>
      </c>
      <c r="P205" t="s">
        <v>1109</v>
      </c>
      <c r="T205" t="s">
        <v>1110</v>
      </c>
      <c r="U205" t="s">
        <v>1111</v>
      </c>
      <c r="V205" t="s">
        <v>60</v>
      </c>
      <c r="W205" t="s">
        <v>187</v>
      </c>
      <c r="X205" t="s">
        <v>61</v>
      </c>
      <c r="Z205" t="b">
        <v>0</v>
      </c>
      <c r="AA205" t="b">
        <v>0</v>
      </c>
      <c r="AB205" t="b">
        <v>1</v>
      </c>
      <c r="AC205" t="b">
        <v>0</v>
      </c>
    </row>
    <row r="206" spans="2:29" x14ac:dyDescent="0.25">
      <c r="B206" t="str">
        <f t="shared" si="3"/>
        <v>61008019270</v>
      </c>
      <c r="C206" t="s">
        <v>54</v>
      </c>
      <c r="D206" t="s">
        <v>55</v>
      </c>
      <c r="E206" t="s">
        <v>76</v>
      </c>
      <c r="F206">
        <v>61008019270</v>
      </c>
      <c r="G206" t="s">
        <v>77</v>
      </c>
      <c r="N206" t="s">
        <v>1113</v>
      </c>
      <c r="P206" t="s">
        <v>1114</v>
      </c>
      <c r="T206" t="s">
        <v>1115</v>
      </c>
      <c r="U206" t="s">
        <v>1116</v>
      </c>
      <c r="V206" t="s">
        <v>60</v>
      </c>
      <c r="W206" t="s">
        <v>187</v>
      </c>
      <c r="X206" t="s">
        <v>61</v>
      </c>
      <c r="Z206" t="b">
        <v>0</v>
      </c>
      <c r="AA206" t="b">
        <v>0</v>
      </c>
      <c r="AB206" t="b">
        <v>1</v>
      </c>
      <c r="AC206" t="b">
        <v>0</v>
      </c>
    </row>
    <row r="207" spans="2:29" x14ac:dyDescent="0.25">
      <c r="B207" t="str">
        <f t="shared" si="3"/>
        <v/>
      </c>
      <c r="C207" t="s">
        <v>332</v>
      </c>
      <c r="D207" t="s">
        <v>179</v>
      </c>
      <c r="E207" t="s">
        <v>85</v>
      </c>
      <c r="G207" t="s">
        <v>388</v>
      </c>
      <c r="N207">
        <v>8.6611003101420995E+19</v>
      </c>
      <c r="P207" t="s">
        <v>1118</v>
      </c>
      <c r="T207" t="s">
        <v>1119</v>
      </c>
      <c r="U207" t="s">
        <v>1120</v>
      </c>
      <c r="V207" t="s">
        <v>549</v>
      </c>
      <c r="W207" t="s">
        <v>393</v>
      </c>
      <c r="X207" t="s">
        <v>188</v>
      </c>
      <c r="Z207" t="b">
        <v>0</v>
      </c>
      <c r="AA207" t="b">
        <v>0</v>
      </c>
      <c r="AB207" t="b">
        <v>1</v>
      </c>
      <c r="AC207" t="b">
        <v>0</v>
      </c>
    </row>
    <row r="208" spans="2:29" x14ac:dyDescent="0.25">
      <c r="B208" t="str">
        <f t="shared" si="3"/>
        <v/>
      </c>
      <c r="C208" t="s">
        <v>332</v>
      </c>
      <c r="D208" t="s">
        <v>179</v>
      </c>
      <c r="E208" t="s">
        <v>85</v>
      </c>
      <c r="G208" t="s">
        <v>171</v>
      </c>
      <c r="N208" t="s">
        <v>1122</v>
      </c>
      <c r="P208" t="s">
        <v>1123</v>
      </c>
      <c r="T208" t="s">
        <v>1124</v>
      </c>
      <c r="U208" t="s">
        <v>1125</v>
      </c>
      <c r="V208" t="s">
        <v>549</v>
      </c>
      <c r="W208" t="s">
        <v>176</v>
      </c>
      <c r="X208" t="s">
        <v>188</v>
      </c>
      <c r="Z208" t="b">
        <v>0</v>
      </c>
      <c r="AA208" t="b">
        <v>0</v>
      </c>
      <c r="AB208" t="b">
        <v>1</v>
      </c>
      <c r="AC208" t="b">
        <v>0</v>
      </c>
    </row>
    <row r="209" spans="2:29" x14ac:dyDescent="0.25">
      <c r="B209" t="str">
        <f t="shared" si="3"/>
        <v>401959225</v>
      </c>
      <c r="C209" t="s">
        <v>332</v>
      </c>
      <c r="D209" t="s">
        <v>179</v>
      </c>
      <c r="E209" t="s">
        <v>85</v>
      </c>
      <c r="F209">
        <v>401959225</v>
      </c>
      <c r="G209" t="s">
        <v>77</v>
      </c>
      <c r="N209" t="s">
        <v>1127</v>
      </c>
      <c r="P209" t="s">
        <v>1128</v>
      </c>
      <c r="T209" t="s">
        <v>1129</v>
      </c>
      <c r="U209" t="s">
        <v>1130</v>
      </c>
      <c r="V209" t="s">
        <v>549</v>
      </c>
      <c r="W209" t="s">
        <v>187</v>
      </c>
      <c r="X209" t="s">
        <v>188</v>
      </c>
      <c r="Z209" t="b">
        <v>0</v>
      </c>
      <c r="AA209" t="b">
        <v>0</v>
      </c>
      <c r="AB209" t="b">
        <v>1</v>
      </c>
      <c r="AC209" t="b">
        <v>0</v>
      </c>
    </row>
    <row r="210" spans="2:29" x14ac:dyDescent="0.25">
      <c r="B210" t="str">
        <f t="shared" si="3"/>
        <v>444959369</v>
      </c>
      <c r="C210" t="s">
        <v>332</v>
      </c>
      <c r="D210" t="s">
        <v>179</v>
      </c>
      <c r="E210" t="s">
        <v>85</v>
      </c>
      <c r="F210">
        <v>444959369</v>
      </c>
      <c r="G210" t="s">
        <v>77</v>
      </c>
      <c r="N210" t="s">
        <v>1132</v>
      </c>
      <c r="P210" t="s">
        <v>1133</v>
      </c>
      <c r="T210" t="s">
        <v>1134</v>
      </c>
      <c r="U210" t="s">
        <v>1135</v>
      </c>
      <c r="V210" t="s">
        <v>549</v>
      </c>
      <c r="W210" t="s">
        <v>187</v>
      </c>
      <c r="X210" t="s">
        <v>188</v>
      </c>
      <c r="Z210" t="b">
        <v>0</v>
      </c>
      <c r="AA210" t="b">
        <v>0</v>
      </c>
      <c r="AB210" t="b">
        <v>1</v>
      </c>
      <c r="AC210" t="b">
        <v>0</v>
      </c>
    </row>
    <row r="211" spans="2:29" x14ac:dyDescent="0.25">
      <c r="B211" t="str">
        <f t="shared" si="3"/>
        <v>402313091</v>
      </c>
      <c r="C211" t="s">
        <v>332</v>
      </c>
      <c r="D211" t="s">
        <v>179</v>
      </c>
      <c r="E211" t="s">
        <v>85</v>
      </c>
      <c r="F211">
        <v>402313091</v>
      </c>
      <c r="G211" t="s">
        <v>77</v>
      </c>
      <c r="N211" t="s">
        <v>1137</v>
      </c>
      <c r="P211" t="s">
        <v>1138</v>
      </c>
      <c r="T211" t="s">
        <v>1139</v>
      </c>
      <c r="U211" t="s">
        <v>1140</v>
      </c>
      <c r="V211" t="s">
        <v>549</v>
      </c>
      <c r="W211" t="s">
        <v>187</v>
      </c>
      <c r="X211" t="s">
        <v>188</v>
      </c>
      <c r="Z211" t="b">
        <v>0</v>
      </c>
      <c r="AA211" t="b">
        <v>0</v>
      </c>
      <c r="AB211" t="b">
        <v>1</v>
      </c>
      <c r="AC211" t="b">
        <v>0</v>
      </c>
    </row>
    <row r="212" spans="2:29" x14ac:dyDescent="0.25">
      <c r="B212" t="str">
        <f t="shared" si="3"/>
        <v>405459098</v>
      </c>
      <c r="C212" t="s">
        <v>332</v>
      </c>
      <c r="D212" t="s">
        <v>179</v>
      </c>
      <c r="E212" t="s">
        <v>85</v>
      </c>
      <c r="F212">
        <v>405459098</v>
      </c>
      <c r="G212" t="s">
        <v>77</v>
      </c>
      <c r="N212" t="s">
        <v>1142</v>
      </c>
      <c r="P212" t="s">
        <v>1143</v>
      </c>
      <c r="T212" t="s">
        <v>1144</v>
      </c>
      <c r="U212" t="s">
        <v>1145</v>
      </c>
      <c r="V212" t="s">
        <v>549</v>
      </c>
      <c r="W212" t="s">
        <v>187</v>
      </c>
      <c r="X212" t="s">
        <v>188</v>
      </c>
      <c r="Z212" t="b">
        <v>0</v>
      </c>
      <c r="AA212" t="b">
        <v>0</v>
      </c>
      <c r="AB212" t="b">
        <v>1</v>
      </c>
      <c r="AC212" t="b">
        <v>0</v>
      </c>
    </row>
    <row r="213" spans="2:29" x14ac:dyDescent="0.25">
      <c r="B213" t="str">
        <f t="shared" si="3"/>
        <v>53001043329</v>
      </c>
      <c r="C213" t="s">
        <v>332</v>
      </c>
      <c r="D213" t="s">
        <v>55</v>
      </c>
      <c r="E213" t="s">
        <v>85</v>
      </c>
      <c r="F213">
        <v>53001043329</v>
      </c>
      <c r="G213" t="s">
        <v>77</v>
      </c>
      <c r="N213" t="s">
        <v>1147</v>
      </c>
      <c r="P213" t="s">
        <v>1148</v>
      </c>
      <c r="T213" t="s">
        <v>1149</v>
      </c>
      <c r="U213" t="s">
        <v>1150</v>
      </c>
      <c r="V213" t="s">
        <v>549</v>
      </c>
      <c r="W213" t="s">
        <v>187</v>
      </c>
      <c r="X213" t="s">
        <v>61</v>
      </c>
      <c r="Z213" t="b">
        <v>0</v>
      </c>
      <c r="AA213" t="b">
        <v>0</v>
      </c>
      <c r="AB213" t="b">
        <v>1</v>
      </c>
      <c r="AC213" t="b">
        <v>0</v>
      </c>
    </row>
    <row r="214" spans="2:29" x14ac:dyDescent="0.25">
      <c r="B214" t="str">
        <f t="shared" si="3"/>
        <v>433655546</v>
      </c>
      <c r="C214" t="s">
        <v>332</v>
      </c>
      <c r="D214" t="s">
        <v>179</v>
      </c>
      <c r="E214" t="s">
        <v>85</v>
      </c>
      <c r="F214">
        <v>433655546</v>
      </c>
      <c r="G214" t="s">
        <v>77</v>
      </c>
      <c r="N214" t="s">
        <v>1152</v>
      </c>
      <c r="P214" t="s">
        <v>1153</v>
      </c>
      <c r="T214" t="s">
        <v>1154</v>
      </c>
      <c r="U214" t="s">
        <v>1155</v>
      </c>
      <c r="V214" t="s">
        <v>549</v>
      </c>
      <c r="W214" t="s">
        <v>187</v>
      </c>
      <c r="X214" t="s">
        <v>188</v>
      </c>
      <c r="Z214" t="b">
        <v>0</v>
      </c>
      <c r="AA214" t="b">
        <v>0</v>
      </c>
      <c r="AB214" t="b">
        <v>1</v>
      </c>
      <c r="AC214" t="b">
        <v>0</v>
      </c>
    </row>
    <row r="215" spans="2:29" x14ac:dyDescent="0.25">
      <c r="B215" t="str">
        <f t="shared" si="3"/>
        <v>405063942</v>
      </c>
      <c r="C215" t="s">
        <v>332</v>
      </c>
      <c r="D215" t="s">
        <v>179</v>
      </c>
      <c r="E215" t="s">
        <v>85</v>
      </c>
      <c r="F215">
        <v>405063942</v>
      </c>
      <c r="G215" t="s">
        <v>77</v>
      </c>
      <c r="N215" t="s">
        <v>1157</v>
      </c>
      <c r="P215" t="s">
        <v>1158</v>
      </c>
      <c r="T215" t="s">
        <v>1159</v>
      </c>
      <c r="U215" t="s">
        <v>1160</v>
      </c>
      <c r="V215" t="s">
        <v>549</v>
      </c>
      <c r="W215" t="s">
        <v>187</v>
      </c>
      <c r="X215" t="s">
        <v>188</v>
      </c>
      <c r="Z215" t="b">
        <v>0</v>
      </c>
      <c r="AA215" t="b">
        <v>0</v>
      </c>
      <c r="AB215" t="b">
        <v>1</v>
      </c>
      <c r="AC215" t="b">
        <v>0</v>
      </c>
    </row>
    <row r="216" spans="2:29" x14ac:dyDescent="0.25">
      <c r="B216" t="str">
        <f t="shared" si="3"/>
        <v>445400913</v>
      </c>
      <c r="C216" t="s">
        <v>332</v>
      </c>
      <c r="D216" t="s">
        <v>179</v>
      </c>
      <c r="E216" t="s">
        <v>85</v>
      </c>
      <c r="F216">
        <v>445400913</v>
      </c>
      <c r="G216" t="s">
        <v>77</v>
      </c>
      <c r="N216" t="s">
        <v>1162</v>
      </c>
      <c r="P216" t="s">
        <v>1163</v>
      </c>
      <c r="T216" t="s">
        <v>1164</v>
      </c>
      <c r="U216" t="s">
        <v>1165</v>
      </c>
      <c r="V216" t="s">
        <v>549</v>
      </c>
      <c r="W216" t="s">
        <v>187</v>
      </c>
      <c r="X216" t="s">
        <v>188</v>
      </c>
      <c r="Z216" t="b">
        <v>0</v>
      </c>
      <c r="AA216" t="b">
        <v>0</v>
      </c>
      <c r="AB216" t="b">
        <v>1</v>
      </c>
      <c r="AC216" t="b">
        <v>0</v>
      </c>
    </row>
    <row r="217" spans="2:29" x14ac:dyDescent="0.25">
      <c r="B217" t="str">
        <f t="shared" si="3"/>
        <v>206201929</v>
      </c>
      <c r="C217" t="s">
        <v>332</v>
      </c>
      <c r="D217" t="s">
        <v>179</v>
      </c>
      <c r="E217" t="s">
        <v>85</v>
      </c>
      <c r="F217">
        <v>206201929</v>
      </c>
      <c r="G217" t="s">
        <v>77</v>
      </c>
      <c r="N217" t="s">
        <v>1167</v>
      </c>
      <c r="P217" t="s">
        <v>1168</v>
      </c>
      <c r="T217" t="s">
        <v>1169</v>
      </c>
      <c r="U217" t="s">
        <v>1170</v>
      </c>
      <c r="V217" t="s">
        <v>549</v>
      </c>
      <c r="W217" t="s">
        <v>187</v>
      </c>
      <c r="X217" t="s">
        <v>188</v>
      </c>
      <c r="Z217" t="b">
        <v>0</v>
      </c>
      <c r="AA217" t="b">
        <v>0</v>
      </c>
      <c r="AB217" t="b">
        <v>1</v>
      </c>
      <c r="AC217" t="b">
        <v>0</v>
      </c>
    </row>
    <row r="218" spans="2:29" x14ac:dyDescent="0.25">
      <c r="B218" t="str">
        <f t="shared" si="3"/>
        <v>445725831</v>
      </c>
      <c r="C218" t="s">
        <v>332</v>
      </c>
      <c r="D218" t="s">
        <v>179</v>
      </c>
      <c r="E218" t="s">
        <v>85</v>
      </c>
      <c r="F218">
        <v>445725831</v>
      </c>
      <c r="G218" t="s">
        <v>77</v>
      </c>
      <c r="N218" t="s">
        <v>1172</v>
      </c>
      <c r="P218" t="s">
        <v>1173</v>
      </c>
      <c r="T218" t="s">
        <v>1174</v>
      </c>
      <c r="U218" t="s">
        <v>1175</v>
      </c>
      <c r="V218" t="s">
        <v>549</v>
      </c>
      <c r="W218" t="s">
        <v>187</v>
      </c>
      <c r="X218" t="s">
        <v>188</v>
      </c>
      <c r="Z218" t="b">
        <v>0</v>
      </c>
      <c r="AA218" t="b">
        <v>0</v>
      </c>
      <c r="AB218" t="b">
        <v>1</v>
      </c>
      <c r="AC218" t="b">
        <v>0</v>
      </c>
    </row>
    <row r="219" spans="2:29" x14ac:dyDescent="0.25">
      <c r="B219" t="str">
        <f t="shared" si="3"/>
        <v>405291786</v>
      </c>
      <c r="C219" t="s">
        <v>332</v>
      </c>
      <c r="D219" t="s">
        <v>179</v>
      </c>
      <c r="E219" t="s">
        <v>85</v>
      </c>
      <c r="F219">
        <v>405291786</v>
      </c>
      <c r="G219" t="s">
        <v>77</v>
      </c>
      <c r="P219" t="s">
        <v>1177</v>
      </c>
      <c r="T219" t="s">
        <v>1178</v>
      </c>
      <c r="U219" t="s">
        <v>1179</v>
      </c>
      <c r="V219" t="s">
        <v>549</v>
      </c>
      <c r="W219" t="s">
        <v>187</v>
      </c>
      <c r="X219" t="s">
        <v>188</v>
      </c>
      <c r="Z219" t="b">
        <v>0</v>
      </c>
      <c r="AA219" t="b">
        <v>0</v>
      </c>
      <c r="AB219" t="b">
        <v>1</v>
      </c>
      <c r="AC219" t="b">
        <v>0</v>
      </c>
    </row>
    <row r="220" spans="2:29" x14ac:dyDescent="0.25">
      <c r="B220" t="str">
        <f t="shared" si="3"/>
        <v>429651165</v>
      </c>
      <c r="C220" t="s">
        <v>332</v>
      </c>
      <c r="D220" t="s">
        <v>179</v>
      </c>
      <c r="E220" t="s">
        <v>85</v>
      </c>
      <c r="F220">
        <v>429651165</v>
      </c>
      <c r="G220" t="s">
        <v>77</v>
      </c>
      <c r="P220" t="s">
        <v>1181</v>
      </c>
      <c r="T220" t="s">
        <v>1182</v>
      </c>
      <c r="U220" t="s">
        <v>1183</v>
      </c>
      <c r="V220" t="s">
        <v>549</v>
      </c>
      <c r="W220" t="s">
        <v>187</v>
      </c>
      <c r="X220" t="s">
        <v>188</v>
      </c>
      <c r="Z220" t="b">
        <v>0</v>
      </c>
      <c r="AA220" t="b">
        <v>0</v>
      </c>
      <c r="AB220" t="b">
        <v>1</v>
      </c>
      <c r="AC220" t="b">
        <v>0</v>
      </c>
    </row>
    <row r="221" spans="2:29" x14ac:dyDescent="0.25">
      <c r="B221" t="str">
        <f t="shared" si="3"/>
        <v>404715803</v>
      </c>
      <c r="C221" t="s">
        <v>332</v>
      </c>
      <c r="D221" t="s">
        <v>179</v>
      </c>
      <c r="E221" t="s">
        <v>85</v>
      </c>
      <c r="F221">
        <v>404715803</v>
      </c>
      <c r="G221" t="s">
        <v>77</v>
      </c>
      <c r="N221" t="s">
        <v>1185</v>
      </c>
      <c r="P221" t="s">
        <v>1186</v>
      </c>
      <c r="T221" t="s">
        <v>1187</v>
      </c>
      <c r="U221" t="s">
        <v>1188</v>
      </c>
      <c r="V221" t="s">
        <v>549</v>
      </c>
      <c r="W221" t="s">
        <v>187</v>
      </c>
      <c r="X221" t="s">
        <v>188</v>
      </c>
      <c r="Z221" t="b">
        <v>0</v>
      </c>
      <c r="AA221" t="b">
        <v>0</v>
      </c>
      <c r="AB221" t="b">
        <v>1</v>
      </c>
      <c r="AC221" t="b">
        <v>0</v>
      </c>
    </row>
    <row r="222" spans="2:29" x14ac:dyDescent="0.25">
      <c r="B222" t="str">
        <f t="shared" si="3"/>
        <v>205198481</v>
      </c>
      <c r="C222" t="s">
        <v>332</v>
      </c>
      <c r="D222" t="s">
        <v>179</v>
      </c>
      <c r="E222" t="s">
        <v>85</v>
      </c>
      <c r="F222">
        <v>205198481</v>
      </c>
      <c r="G222" t="s">
        <v>77</v>
      </c>
      <c r="N222" t="s">
        <v>1190</v>
      </c>
      <c r="P222" t="s">
        <v>1191</v>
      </c>
      <c r="T222" t="s">
        <v>1192</v>
      </c>
      <c r="U222" t="s">
        <v>1193</v>
      </c>
      <c r="V222" t="s">
        <v>549</v>
      </c>
      <c r="W222" t="s">
        <v>187</v>
      </c>
      <c r="X222" t="s">
        <v>188</v>
      </c>
      <c r="Z222" t="b">
        <v>0</v>
      </c>
      <c r="AA222" t="b">
        <v>0</v>
      </c>
      <c r="AB222" t="b">
        <v>1</v>
      </c>
      <c r="AC222" t="b">
        <v>0</v>
      </c>
    </row>
    <row r="223" spans="2:29" x14ac:dyDescent="0.25">
      <c r="B223" t="str">
        <f t="shared" si="3"/>
        <v>45001033331</v>
      </c>
      <c r="C223" t="s">
        <v>54</v>
      </c>
      <c r="D223" t="s">
        <v>55</v>
      </c>
      <c r="E223" t="s">
        <v>76</v>
      </c>
      <c r="F223">
        <v>45001033331</v>
      </c>
      <c r="G223" t="s">
        <v>77</v>
      </c>
      <c r="N223" t="s">
        <v>1195</v>
      </c>
      <c r="P223" t="s">
        <v>1196</v>
      </c>
      <c r="T223" t="s">
        <v>1197</v>
      </c>
      <c r="U223" t="s">
        <v>1198</v>
      </c>
      <c r="V223" t="s">
        <v>60</v>
      </c>
      <c r="W223" t="s">
        <v>187</v>
      </c>
      <c r="X223" t="s">
        <v>61</v>
      </c>
      <c r="Z223" t="b">
        <v>0</v>
      </c>
      <c r="AA223" t="b">
        <v>0</v>
      </c>
      <c r="AB223" t="b">
        <v>1</v>
      </c>
      <c r="AC223" t="b">
        <v>0</v>
      </c>
    </row>
    <row r="224" spans="2:29" x14ac:dyDescent="0.25">
      <c r="B224" t="str">
        <f t="shared" si="3"/>
        <v>01008045519</v>
      </c>
      <c r="C224" t="s">
        <v>332</v>
      </c>
      <c r="D224" t="s">
        <v>55</v>
      </c>
      <c r="E224" t="s">
        <v>85</v>
      </c>
      <c r="F224">
        <v>1008045519</v>
      </c>
      <c r="G224" t="s">
        <v>77</v>
      </c>
      <c r="N224" t="s">
        <v>1200</v>
      </c>
      <c r="P224" t="s">
        <v>1201</v>
      </c>
      <c r="T224" t="s">
        <v>1202</v>
      </c>
      <c r="U224" t="s">
        <v>1203</v>
      </c>
      <c r="V224" t="s">
        <v>549</v>
      </c>
      <c r="W224" t="s">
        <v>187</v>
      </c>
      <c r="X224" t="s">
        <v>61</v>
      </c>
      <c r="Z224" t="b">
        <v>0</v>
      </c>
      <c r="AA224" t="b">
        <v>0</v>
      </c>
      <c r="AB224" t="b">
        <v>1</v>
      </c>
      <c r="AC224" t="b">
        <v>0</v>
      </c>
    </row>
    <row r="225" spans="2:29" x14ac:dyDescent="0.25">
      <c r="B225" t="str">
        <f t="shared" si="3"/>
        <v>404778870</v>
      </c>
      <c r="C225" t="s">
        <v>332</v>
      </c>
      <c r="D225" t="s">
        <v>179</v>
      </c>
      <c r="E225" t="s">
        <v>85</v>
      </c>
      <c r="F225">
        <v>404778870</v>
      </c>
      <c r="G225" t="s">
        <v>77</v>
      </c>
      <c r="N225" t="s">
        <v>1205</v>
      </c>
      <c r="P225" t="s">
        <v>1206</v>
      </c>
      <c r="T225" t="s">
        <v>1207</v>
      </c>
      <c r="U225" t="s">
        <v>1208</v>
      </c>
      <c r="V225" t="s">
        <v>549</v>
      </c>
      <c r="W225" t="s">
        <v>187</v>
      </c>
      <c r="X225" t="s">
        <v>188</v>
      </c>
      <c r="Z225" t="b">
        <v>0</v>
      </c>
      <c r="AA225" t="b">
        <v>0</v>
      </c>
      <c r="AB225" t="b">
        <v>1</v>
      </c>
      <c r="AC225" t="b">
        <v>0</v>
      </c>
    </row>
    <row r="226" spans="2:29" x14ac:dyDescent="0.25">
      <c r="B226" t="str">
        <f t="shared" si="3"/>
        <v>01018006047</v>
      </c>
      <c r="C226" t="s">
        <v>54</v>
      </c>
      <c r="D226" t="s">
        <v>63</v>
      </c>
      <c r="E226" t="s">
        <v>76</v>
      </c>
      <c r="F226">
        <v>1018006047</v>
      </c>
      <c r="G226" t="s">
        <v>77</v>
      </c>
      <c r="N226" t="s">
        <v>1210</v>
      </c>
      <c r="P226" t="s">
        <v>1211</v>
      </c>
      <c r="T226" t="s">
        <v>1212</v>
      </c>
      <c r="U226" t="s">
        <v>1213</v>
      </c>
      <c r="V226" t="s">
        <v>549</v>
      </c>
      <c r="W226" t="s">
        <v>187</v>
      </c>
      <c r="X226" t="s">
        <v>68</v>
      </c>
      <c r="Z226" t="b">
        <v>0</v>
      </c>
      <c r="AA226" t="b">
        <v>0</v>
      </c>
      <c r="AB226" t="b">
        <v>1</v>
      </c>
      <c r="AC226" t="b">
        <v>0</v>
      </c>
    </row>
    <row r="227" spans="2:29" x14ac:dyDescent="0.25">
      <c r="B227" t="str">
        <f t="shared" si="3"/>
        <v>61010015059</v>
      </c>
      <c r="C227" t="s">
        <v>332</v>
      </c>
      <c r="D227" t="s">
        <v>55</v>
      </c>
      <c r="E227" t="s">
        <v>85</v>
      </c>
      <c r="F227">
        <v>61010015059</v>
      </c>
      <c r="G227" t="s">
        <v>77</v>
      </c>
      <c r="N227" t="s">
        <v>1215</v>
      </c>
      <c r="P227" t="s">
        <v>1216</v>
      </c>
      <c r="T227" t="s">
        <v>1217</v>
      </c>
      <c r="U227" t="s">
        <v>1218</v>
      </c>
      <c r="V227" t="s">
        <v>549</v>
      </c>
      <c r="W227" t="s">
        <v>187</v>
      </c>
      <c r="X227" t="s">
        <v>61</v>
      </c>
      <c r="Z227" t="b">
        <v>0</v>
      </c>
      <c r="AA227" t="b">
        <v>0</v>
      </c>
      <c r="AB227" t="b">
        <v>1</v>
      </c>
      <c r="AC227" t="b">
        <v>0</v>
      </c>
    </row>
    <row r="228" spans="2:29" x14ac:dyDescent="0.25">
      <c r="B228" t="str">
        <f t="shared" si="3"/>
        <v>551432769</v>
      </c>
      <c r="C228" t="s">
        <v>332</v>
      </c>
      <c r="D228" t="s">
        <v>55</v>
      </c>
      <c r="E228" t="s">
        <v>85</v>
      </c>
      <c r="F228">
        <v>551432769</v>
      </c>
      <c r="G228" t="s">
        <v>77</v>
      </c>
      <c r="N228" t="s">
        <v>1220</v>
      </c>
      <c r="P228" t="s">
        <v>1221</v>
      </c>
      <c r="T228" t="s">
        <v>1222</v>
      </c>
      <c r="U228" t="s">
        <v>1223</v>
      </c>
      <c r="V228" t="s">
        <v>549</v>
      </c>
      <c r="W228" t="s">
        <v>187</v>
      </c>
      <c r="X228" t="s">
        <v>61</v>
      </c>
      <c r="Z228" t="b">
        <v>0</v>
      </c>
      <c r="AA228" t="b">
        <v>0</v>
      </c>
      <c r="AB228" t="b">
        <v>1</v>
      </c>
      <c r="AC228" t="b">
        <v>0</v>
      </c>
    </row>
    <row r="229" spans="2:29" x14ac:dyDescent="0.25">
      <c r="B229" t="str">
        <f t="shared" si="3"/>
        <v/>
      </c>
      <c r="C229" t="s">
        <v>332</v>
      </c>
      <c r="D229" t="s">
        <v>179</v>
      </c>
      <c r="E229" t="s">
        <v>85</v>
      </c>
      <c r="G229" t="s">
        <v>388</v>
      </c>
      <c r="N229">
        <v>15000111405133</v>
      </c>
      <c r="P229" t="s">
        <v>1225</v>
      </c>
      <c r="T229" t="s">
        <v>1226</v>
      </c>
      <c r="U229" t="s">
        <v>1227</v>
      </c>
      <c r="V229" t="s">
        <v>549</v>
      </c>
      <c r="W229" t="s">
        <v>393</v>
      </c>
      <c r="X229" t="s">
        <v>188</v>
      </c>
      <c r="Z229" t="b">
        <v>0</v>
      </c>
      <c r="AA229" t="b">
        <v>0</v>
      </c>
      <c r="AB229" t="b">
        <v>1</v>
      </c>
      <c r="AC229" t="b">
        <v>0</v>
      </c>
    </row>
    <row r="230" spans="2:29" x14ac:dyDescent="0.25">
      <c r="B230" t="str">
        <f t="shared" si="3"/>
        <v>18001058845</v>
      </c>
      <c r="C230" t="s">
        <v>332</v>
      </c>
      <c r="D230" t="s">
        <v>55</v>
      </c>
      <c r="E230" t="s">
        <v>76</v>
      </c>
      <c r="F230">
        <v>18001058845</v>
      </c>
      <c r="G230" t="s">
        <v>77</v>
      </c>
      <c r="N230" t="s">
        <v>1229</v>
      </c>
      <c r="P230" t="s">
        <v>1230</v>
      </c>
      <c r="T230" t="s">
        <v>1231</v>
      </c>
      <c r="U230" t="s">
        <v>1232</v>
      </c>
      <c r="V230" t="s">
        <v>549</v>
      </c>
      <c r="W230" t="s">
        <v>187</v>
      </c>
      <c r="X230" t="s">
        <v>61</v>
      </c>
      <c r="Z230" t="b">
        <v>0</v>
      </c>
      <c r="AA230" t="b">
        <v>0</v>
      </c>
      <c r="AB230" t="b">
        <v>1</v>
      </c>
      <c r="AC230" t="b">
        <v>0</v>
      </c>
    </row>
    <row r="231" spans="2:29" x14ac:dyDescent="0.25">
      <c r="B231" t="str">
        <f t="shared" si="3"/>
        <v>10401073712</v>
      </c>
      <c r="C231" t="s">
        <v>54</v>
      </c>
      <c r="D231" t="s">
        <v>63</v>
      </c>
      <c r="E231" t="s">
        <v>85</v>
      </c>
      <c r="F231">
        <v>10401073712</v>
      </c>
      <c r="G231" t="s">
        <v>77</v>
      </c>
      <c r="N231" t="s">
        <v>1234</v>
      </c>
      <c r="P231" t="s">
        <v>1235</v>
      </c>
      <c r="T231" t="s">
        <v>1236</v>
      </c>
      <c r="U231" t="s">
        <v>1237</v>
      </c>
      <c r="V231" t="s">
        <v>549</v>
      </c>
      <c r="W231" t="s">
        <v>187</v>
      </c>
      <c r="X231" t="s">
        <v>68</v>
      </c>
      <c r="Z231" t="b">
        <v>0</v>
      </c>
      <c r="AA231" t="b">
        <v>0</v>
      </c>
      <c r="AB231" t="b">
        <v>1</v>
      </c>
      <c r="AC231" t="b">
        <v>0</v>
      </c>
    </row>
    <row r="232" spans="2:29" x14ac:dyDescent="0.25">
      <c r="B232" t="str">
        <f t="shared" si="3"/>
        <v>12001012499</v>
      </c>
      <c r="C232" t="s">
        <v>54</v>
      </c>
      <c r="D232" t="s">
        <v>63</v>
      </c>
      <c r="E232" t="s">
        <v>85</v>
      </c>
      <c r="F232">
        <v>12001012499</v>
      </c>
      <c r="G232" t="s">
        <v>77</v>
      </c>
      <c r="N232" t="s">
        <v>1239</v>
      </c>
      <c r="P232" t="s">
        <v>1240</v>
      </c>
      <c r="T232" t="s">
        <v>1241</v>
      </c>
      <c r="U232" t="s">
        <v>1242</v>
      </c>
      <c r="V232" t="s">
        <v>549</v>
      </c>
      <c r="W232" t="s">
        <v>187</v>
      </c>
      <c r="X232" t="s">
        <v>68</v>
      </c>
      <c r="Z232" t="b">
        <v>0</v>
      </c>
      <c r="AA232" t="b">
        <v>0</v>
      </c>
      <c r="AB232" t="b">
        <v>1</v>
      </c>
      <c r="AC232" t="b">
        <v>0</v>
      </c>
    </row>
    <row r="233" spans="2:29" x14ac:dyDescent="0.25">
      <c r="B233" t="str">
        <f t="shared" si="3"/>
        <v>59501134029</v>
      </c>
      <c r="C233" t="s">
        <v>332</v>
      </c>
      <c r="D233" t="s">
        <v>55</v>
      </c>
      <c r="E233" t="s">
        <v>76</v>
      </c>
      <c r="F233">
        <v>59501134029</v>
      </c>
      <c r="G233" t="s">
        <v>77</v>
      </c>
      <c r="N233" t="s">
        <v>1244</v>
      </c>
      <c r="P233" t="s">
        <v>1245</v>
      </c>
      <c r="T233" t="s">
        <v>1246</v>
      </c>
      <c r="U233" t="s">
        <v>1247</v>
      </c>
      <c r="V233" t="s">
        <v>549</v>
      </c>
      <c r="W233" t="s">
        <v>187</v>
      </c>
      <c r="X233" t="s">
        <v>61</v>
      </c>
      <c r="Z233" t="b">
        <v>0</v>
      </c>
      <c r="AA233" t="b">
        <v>0</v>
      </c>
      <c r="AB233" t="b">
        <v>1</v>
      </c>
      <c r="AC233" t="b">
        <v>0</v>
      </c>
    </row>
    <row r="234" spans="2:29" x14ac:dyDescent="0.25">
      <c r="B234" t="str">
        <f t="shared" si="3"/>
        <v>01020002426</v>
      </c>
      <c r="C234" t="s">
        <v>332</v>
      </c>
      <c r="D234" t="s">
        <v>55</v>
      </c>
      <c r="E234" t="s">
        <v>76</v>
      </c>
      <c r="F234">
        <v>1020002426</v>
      </c>
      <c r="G234" t="s">
        <v>77</v>
      </c>
      <c r="N234" t="s">
        <v>1249</v>
      </c>
      <c r="P234" t="s">
        <v>1250</v>
      </c>
      <c r="T234" t="s">
        <v>1251</v>
      </c>
      <c r="U234" t="s">
        <v>1252</v>
      </c>
      <c r="V234" t="s">
        <v>549</v>
      </c>
      <c r="W234" t="s">
        <v>187</v>
      </c>
      <c r="X234" t="s">
        <v>61</v>
      </c>
      <c r="Z234" t="b">
        <v>0</v>
      </c>
      <c r="AA234" t="b">
        <v>0</v>
      </c>
      <c r="AB234" t="b">
        <v>1</v>
      </c>
      <c r="AC234" t="b">
        <v>0</v>
      </c>
    </row>
    <row r="235" spans="2:29" x14ac:dyDescent="0.25">
      <c r="B235" t="str">
        <f t="shared" si="3"/>
        <v>404627524</v>
      </c>
      <c r="C235" t="s">
        <v>332</v>
      </c>
      <c r="D235" t="s">
        <v>179</v>
      </c>
      <c r="E235" t="s">
        <v>85</v>
      </c>
      <c r="F235">
        <v>404627524</v>
      </c>
      <c r="G235" t="s">
        <v>77</v>
      </c>
      <c r="N235" t="s">
        <v>1254</v>
      </c>
      <c r="P235" t="s">
        <v>1255</v>
      </c>
      <c r="T235" t="s">
        <v>1256</v>
      </c>
      <c r="U235" t="s">
        <v>1257</v>
      </c>
      <c r="V235" t="s">
        <v>549</v>
      </c>
      <c r="W235" t="s">
        <v>187</v>
      </c>
      <c r="X235" t="s">
        <v>188</v>
      </c>
      <c r="Z235" t="b">
        <v>0</v>
      </c>
      <c r="AA235" t="b">
        <v>0</v>
      </c>
      <c r="AB235" t="b">
        <v>1</v>
      </c>
      <c r="AC235" t="b">
        <v>0</v>
      </c>
    </row>
    <row r="236" spans="2:29" x14ac:dyDescent="0.25">
      <c r="B236" t="str">
        <f t="shared" si="3"/>
        <v>402128149</v>
      </c>
      <c r="C236" t="s">
        <v>332</v>
      </c>
      <c r="D236" t="s">
        <v>179</v>
      </c>
      <c r="E236" t="s">
        <v>85</v>
      </c>
      <c r="F236">
        <v>402128149</v>
      </c>
      <c r="G236" t="s">
        <v>77</v>
      </c>
      <c r="N236" t="s">
        <v>1259</v>
      </c>
      <c r="P236" t="s">
        <v>1260</v>
      </c>
      <c r="T236" t="s">
        <v>1261</v>
      </c>
      <c r="U236" t="s">
        <v>1262</v>
      </c>
      <c r="V236" t="s">
        <v>549</v>
      </c>
      <c r="W236" t="s">
        <v>187</v>
      </c>
      <c r="X236" t="s">
        <v>188</v>
      </c>
      <c r="Z236" t="b">
        <v>0</v>
      </c>
      <c r="AA236" t="b">
        <v>0</v>
      </c>
      <c r="AB236" t="b">
        <v>1</v>
      </c>
      <c r="AC236" t="b">
        <v>0</v>
      </c>
    </row>
    <row r="237" spans="2:29" x14ac:dyDescent="0.25">
      <c r="B237" t="str">
        <f t="shared" si="3"/>
        <v>61006007831</v>
      </c>
      <c r="C237" t="s">
        <v>84</v>
      </c>
      <c r="D237" t="s">
        <v>55</v>
      </c>
      <c r="E237" t="s">
        <v>76</v>
      </c>
      <c r="F237">
        <v>61006007831</v>
      </c>
      <c r="G237" t="s">
        <v>77</v>
      </c>
      <c r="N237" t="s">
        <v>1264</v>
      </c>
      <c r="P237" t="s">
        <v>1265</v>
      </c>
      <c r="T237" t="s">
        <v>1266</v>
      </c>
      <c r="U237" t="s">
        <v>1267</v>
      </c>
      <c r="V237" t="s">
        <v>60</v>
      </c>
      <c r="W237" t="s">
        <v>187</v>
      </c>
      <c r="X237" t="s">
        <v>61</v>
      </c>
      <c r="Z237" t="b">
        <v>0</v>
      </c>
      <c r="AA237" t="b">
        <v>0</v>
      </c>
      <c r="AB237" t="b">
        <v>1</v>
      </c>
      <c r="AC237" t="b">
        <v>0</v>
      </c>
    </row>
    <row r="238" spans="2:29" x14ac:dyDescent="0.25">
      <c r="B238" t="str">
        <f t="shared" si="3"/>
        <v>61006059686</v>
      </c>
      <c r="C238" t="s">
        <v>332</v>
      </c>
      <c r="D238" t="s">
        <v>55</v>
      </c>
      <c r="E238" t="s">
        <v>76</v>
      </c>
      <c r="F238">
        <v>61006059686</v>
      </c>
      <c r="G238" t="s">
        <v>77</v>
      </c>
      <c r="N238" t="s">
        <v>1269</v>
      </c>
      <c r="P238" t="s">
        <v>1270</v>
      </c>
      <c r="T238" t="s">
        <v>1271</v>
      </c>
      <c r="U238" t="s">
        <v>1272</v>
      </c>
      <c r="V238" t="s">
        <v>549</v>
      </c>
      <c r="W238" t="s">
        <v>187</v>
      </c>
      <c r="X238" t="s">
        <v>61</v>
      </c>
      <c r="Z238" t="b">
        <v>0</v>
      </c>
      <c r="AA238" t="b">
        <v>0</v>
      </c>
      <c r="AB238" t="b">
        <v>1</v>
      </c>
      <c r="AC238" t="b">
        <v>0</v>
      </c>
    </row>
    <row r="239" spans="2:29" x14ac:dyDescent="0.25">
      <c r="B239" t="str">
        <f t="shared" si="3"/>
        <v>445762835</v>
      </c>
      <c r="C239" t="s">
        <v>332</v>
      </c>
      <c r="D239" t="s">
        <v>179</v>
      </c>
      <c r="E239" t="s">
        <v>85</v>
      </c>
      <c r="F239">
        <v>445762835</v>
      </c>
      <c r="G239" t="s">
        <v>77</v>
      </c>
      <c r="P239" t="s">
        <v>1274</v>
      </c>
      <c r="T239" t="s">
        <v>1275</v>
      </c>
      <c r="U239" t="s">
        <v>1276</v>
      </c>
      <c r="V239" t="s">
        <v>549</v>
      </c>
      <c r="W239" t="s">
        <v>187</v>
      </c>
      <c r="X239" t="s">
        <v>188</v>
      </c>
      <c r="Z239" t="b">
        <v>0</v>
      </c>
      <c r="AA239" t="b">
        <v>0</v>
      </c>
      <c r="AB239" t="b">
        <v>1</v>
      </c>
      <c r="AC239" t="b">
        <v>0</v>
      </c>
    </row>
    <row r="240" spans="2:29" x14ac:dyDescent="0.25">
      <c r="B240" t="str">
        <f t="shared" si="3"/>
        <v>59001085608</v>
      </c>
      <c r="C240" t="s">
        <v>332</v>
      </c>
      <c r="D240" t="s">
        <v>55</v>
      </c>
      <c r="E240" t="s">
        <v>85</v>
      </c>
      <c r="F240">
        <v>59001085608</v>
      </c>
      <c r="G240" t="s">
        <v>77</v>
      </c>
      <c r="N240" t="s">
        <v>1278</v>
      </c>
      <c r="P240" t="s">
        <v>1279</v>
      </c>
      <c r="T240" t="s">
        <v>1280</v>
      </c>
      <c r="U240" t="s">
        <v>1281</v>
      </c>
      <c r="V240" t="s">
        <v>549</v>
      </c>
      <c r="W240" t="s">
        <v>187</v>
      </c>
      <c r="X240" t="s">
        <v>61</v>
      </c>
      <c r="Z240" t="b">
        <v>0</v>
      </c>
      <c r="AA240" t="b">
        <v>0</v>
      </c>
      <c r="AB240" t="b">
        <v>1</v>
      </c>
      <c r="AC240" t="b">
        <v>0</v>
      </c>
    </row>
    <row r="241" spans="2:29" x14ac:dyDescent="0.25">
      <c r="B241" t="str">
        <f t="shared" si="3"/>
        <v>38001019720</v>
      </c>
      <c r="C241" t="s">
        <v>54</v>
      </c>
      <c r="D241" t="s">
        <v>63</v>
      </c>
      <c r="E241" t="s">
        <v>76</v>
      </c>
      <c r="F241">
        <v>38001019720</v>
      </c>
      <c r="G241" t="s">
        <v>77</v>
      </c>
      <c r="N241" t="s">
        <v>1283</v>
      </c>
      <c r="P241" t="s">
        <v>1284</v>
      </c>
      <c r="T241" t="s">
        <v>1285</v>
      </c>
      <c r="U241" t="s">
        <v>1286</v>
      </c>
      <c r="V241" t="s">
        <v>549</v>
      </c>
      <c r="W241" t="s">
        <v>187</v>
      </c>
      <c r="X241" t="s">
        <v>68</v>
      </c>
      <c r="Z241" t="b">
        <v>0</v>
      </c>
      <c r="AA241" t="b">
        <v>0</v>
      </c>
      <c r="AB241" t="b">
        <v>1</v>
      </c>
      <c r="AC241" t="b">
        <v>0</v>
      </c>
    </row>
    <row r="242" spans="2:29" x14ac:dyDescent="0.25">
      <c r="B242" t="str">
        <f t="shared" si="3"/>
        <v>211398245</v>
      </c>
      <c r="C242" t="s">
        <v>332</v>
      </c>
      <c r="D242" t="s">
        <v>179</v>
      </c>
      <c r="E242" t="s">
        <v>85</v>
      </c>
      <c r="F242">
        <v>211398245</v>
      </c>
      <c r="G242" t="s">
        <v>77</v>
      </c>
      <c r="N242" t="s">
        <v>1288</v>
      </c>
      <c r="P242" t="s">
        <v>1289</v>
      </c>
      <c r="T242" t="s">
        <v>1290</v>
      </c>
      <c r="U242" t="s">
        <v>1291</v>
      </c>
      <c r="V242" t="s">
        <v>549</v>
      </c>
      <c r="W242" t="s">
        <v>187</v>
      </c>
      <c r="X242" t="s">
        <v>188</v>
      </c>
      <c r="Z242" t="b">
        <v>0</v>
      </c>
      <c r="AA242" t="b">
        <v>0</v>
      </c>
      <c r="AB242" t="b">
        <v>1</v>
      </c>
      <c r="AC242" t="b">
        <v>0</v>
      </c>
    </row>
    <row r="243" spans="2:29" x14ac:dyDescent="0.25">
      <c r="B243" t="str">
        <f t="shared" si="3"/>
        <v>59001116483</v>
      </c>
      <c r="C243" t="s">
        <v>84</v>
      </c>
      <c r="D243" t="s">
        <v>55</v>
      </c>
      <c r="E243" t="s">
        <v>76</v>
      </c>
      <c r="F243">
        <v>59001116483</v>
      </c>
      <c r="G243" t="s">
        <v>77</v>
      </c>
      <c r="N243" t="s">
        <v>1293</v>
      </c>
      <c r="P243" t="s">
        <v>1294</v>
      </c>
      <c r="T243" t="s">
        <v>1295</v>
      </c>
      <c r="U243" t="s">
        <v>1296</v>
      </c>
      <c r="V243" t="s">
        <v>60</v>
      </c>
      <c r="W243" t="s">
        <v>187</v>
      </c>
      <c r="X243" t="s">
        <v>61</v>
      </c>
      <c r="Z243" t="b">
        <v>0</v>
      </c>
      <c r="AA243" t="b">
        <v>0</v>
      </c>
      <c r="AB243" t="b">
        <v>1</v>
      </c>
      <c r="AC243" t="b">
        <v>0</v>
      </c>
    </row>
    <row r="244" spans="2:29" x14ac:dyDescent="0.25">
      <c r="B244" t="str">
        <f t="shared" si="3"/>
        <v/>
      </c>
      <c r="C244" t="s">
        <v>332</v>
      </c>
      <c r="D244" t="s">
        <v>55</v>
      </c>
      <c r="E244" t="s">
        <v>85</v>
      </c>
      <c r="G244" t="s">
        <v>518</v>
      </c>
      <c r="N244" t="s">
        <v>1298</v>
      </c>
      <c r="P244" t="s">
        <v>1299</v>
      </c>
      <c r="T244" t="s">
        <v>1300</v>
      </c>
      <c r="U244" t="s">
        <v>1301</v>
      </c>
      <c r="V244" t="s">
        <v>549</v>
      </c>
      <c r="W244" t="s">
        <v>523</v>
      </c>
      <c r="X244" t="s">
        <v>61</v>
      </c>
      <c r="Z244" t="b">
        <v>0</v>
      </c>
      <c r="AA244" t="b">
        <v>0</v>
      </c>
      <c r="AB244" t="b">
        <v>1</v>
      </c>
      <c r="AC244" t="b">
        <v>0</v>
      </c>
    </row>
    <row r="245" spans="2:29" x14ac:dyDescent="0.25">
      <c r="B245" t="str">
        <f t="shared" si="3"/>
        <v>35001114922</v>
      </c>
      <c r="C245" t="s">
        <v>332</v>
      </c>
      <c r="D245" t="s">
        <v>55</v>
      </c>
      <c r="E245" t="s">
        <v>85</v>
      </c>
      <c r="F245">
        <v>35001114922</v>
      </c>
      <c r="G245" t="s">
        <v>77</v>
      </c>
      <c r="N245" t="s">
        <v>1303</v>
      </c>
      <c r="P245" t="s">
        <v>1304</v>
      </c>
      <c r="T245" t="s">
        <v>1305</v>
      </c>
      <c r="U245" t="s">
        <v>1306</v>
      </c>
      <c r="V245" t="s">
        <v>549</v>
      </c>
      <c r="W245" t="s">
        <v>187</v>
      </c>
      <c r="X245" t="s">
        <v>61</v>
      </c>
      <c r="Z245" t="b">
        <v>0</v>
      </c>
      <c r="AA245" t="b">
        <v>0</v>
      </c>
      <c r="AB245" t="b">
        <v>1</v>
      </c>
      <c r="AC245" t="b">
        <v>0</v>
      </c>
    </row>
    <row r="246" spans="2:29" x14ac:dyDescent="0.25">
      <c r="B246" t="str">
        <f t="shared" si="3"/>
        <v>12001092820</v>
      </c>
      <c r="C246" t="s">
        <v>332</v>
      </c>
      <c r="D246" t="s">
        <v>55</v>
      </c>
      <c r="E246" t="s">
        <v>85</v>
      </c>
      <c r="F246">
        <v>12001092820</v>
      </c>
      <c r="G246" t="s">
        <v>77</v>
      </c>
      <c r="N246" t="s">
        <v>1308</v>
      </c>
      <c r="P246" t="s">
        <v>1309</v>
      </c>
      <c r="T246" t="s">
        <v>1310</v>
      </c>
      <c r="U246" t="s">
        <v>1311</v>
      </c>
      <c r="V246" t="s">
        <v>549</v>
      </c>
      <c r="W246" t="s">
        <v>187</v>
      </c>
      <c r="X246" t="s">
        <v>61</v>
      </c>
      <c r="Z246" t="b">
        <v>0</v>
      </c>
      <c r="AA246" t="b">
        <v>0</v>
      </c>
      <c r="AB246" t="b">
        <v>1</v>
      </c>
      <c r="AC246" t="b">
        <v>0</v>
      </c>
    </row>
    <row r="247" spans="2:29" x14ac:dyDescent="0.25">
      <c r="B247" t="str">
        <f t="shared" si="3"/>
        <v>E65936840</v>
      </c>
      <c r="C247" t="s">
        <v>54</v>
      </c>
      <c r="D247" t="s">
        <v>55</v>
      </c>
      <c r="E247" t="s">
        <v>85</v>
      </c>
      <c r="F247" t="s">
        <v>1313</v>
      </c>
      <c r="G247" t="s">
        <v>388</v>
      </c>
      <c r="N247" t="s">
        <v>1314</v>
      </c>
      <c r="P247" t="s">
        <v>1315</v>
      </c>
      <c r="T247" t="s">
        <v>1316</v>
      </c>
      <c r="U247" t="s">
        <v>1317</v>
      </c>
      <c r="V247" t="s">
        <v>60</v>
      </c>
      <c r="W247" t="s">
        <v>393</v>
      </c>
      <c r="X247" t="s">
        <v>61</v>
      </c>
      <c r="Z247" t="b">
        <v>0</v>
      </c>
      <c r="AA247" t="b">
        <v>0</v>
      </c>
      <c r="AB247" t="b">
        <v>1</v>
      </c>
      <c r="AC247" t="b">
        <v>0</v>
      </c>
    </row>
    <row r="248" spans="2:29" x14ac:dyDescent="0.25">
      <c r="B248" t="str">
        <f t="shared" si="3"/>
        <v>44001000188</v>
      </c>
      <c r="C248" t="s">
        <v>332</v>
      </c>
      <c r="D248" t="s">
        <v>55</v>
      </c>
      <c r="E248" t="s">
        <v>76</v>
      </c>
      <c r="F248">
        <v>44001000188</v>
      </c>
      <c r="G248" t="s">
        <v>77</v>
      </c>
      <c r="N248" t="s">
        <v>1319</v>
      </c>
      <c r="P248" t="s">
        <v>1320</v>
      </c>
      <c r="T248" t="s">
        <v>1321</v>
      </c>
      <c r="U248" t="s">
        <v>1322</v>
      </c>
      <c r="V248" t="s">
        <v>549</v>
      </c>
      <c r="W248" t="s">
        <v>187</v>
      </c>
      <c r="X248" t="s">
        <v>61</v>
      </c>
      <c r="Z248" t="b">
        <v>0</v>
      </c>
      <c r="AA248" t="b">
        <v>0</v>
      </c>
      <c r="AB248" t="b">
        <v>1</v>
      </c>
      <c r="AC248" t="b">
        <v>0</v>
      </c>
    </row>
    <row r="249" spans="2:29" x14ac:dyDescent="0.25">
      <c r="B249" t="str">
        <f t="shared" si="3"/>
        <v>400259894</v>
      </c>
      <c r="C249" t="s">
        <v>332</v>
      </c>
      <c r="D249" t="s">
        <v>179</v>
      </c>
      <c r="E249" t="s">
        <v>85</v>
      </c>
      <c r="F249">
        <v>400259894</v>
      </c>
      <c r="G249" t="s">
        <v>77</v>
      </c>
      <c r="N249" t="s">
        <v>1324</v>
      </c>
      <c r="P249" t="s">
        <v>1325</v>
      </c>
      <c r="T249" t="s">
        <v>1326</v>
      </c>
      <c r="U249" t="s">
        <v>1327</v>
      </c>
      <c r="V249" t="s">
        <v>549</v>
      </c>
      <c r="W249" t="s">
        <v>187</v>
      </c>
      <c r="X249" t="s">
        <v>188</v>
      </c>
      <c r="Z249" t="b">
        <v>0</v>
      </c>
      <c r="AA249" t="b">
        <v>0</v>
      </c>
      <c r="AB249" t="b">
        <v>1</v>
      </c>
      <c r="AC249" t="b">
        <v>0</v>
      </c>
    </row>
    <row r="250" spans="2:29" x14ac:dyDescent="0.25">
      <c r="B250" t="str">
        <f t="shared" si="3"/>
        <v>26001036727</v>
      </c>
      <c r="C250" t="s">
        <v>332</v>
      </c>
      <c r="D250" t="s">
        <v>55</v>
      </c>
      <c r="E250" t="s">
        <v>76</v>
      </c>
      <c r="F250">
        <v>26001036727</v>
      </c>
      <c r="G250" t="s">
        <v>77</v>
      </c>
      <c r="N250" t="s">
        <v>1329</v>
      </c>
      <c r="P250" t="s">
        <v>1330</v>
      </c>
      <c r="T250" t="s">
        <v>1331</v>
      </c>
      <c r="U250" t="s">
        <v>1332</v>
      </c>
      <c r="V250" t="s">
        <v>549</v>
      </c>
      <c r="W250" t="s">
        <v>187</v>
      </c>
      <c r="X250" t="s">
        <v>61</v>
      </c>
      <c r="Z250" t="b">
        <v>0</v>
      </c>
      <c r="AA250" t="b">
        <v>0</v>
      </c>
      <c r="AB250" t="b">
        <v>1</v>
      </c>
      <c r="AC250" t="b">
        <v>0</v>
      </c>
    </row>
    <row r="251" spans="2:29" x14ac:dyDescent="0.25">
      <c r="B251" t="str">
        <f t="shared" si="3"/>
        <v/>
      </c>
      <c r="C251" t="s">
        <v>332</v>
      </c>
      <c r="D251" t="s">
        <v>452</v>
      </c>
      <c r="E251" t="s">
        <v>85</v>
      </c>
      <c r="G251" t="s">
        <v>77</v>
      </c>
      <c r="N251" t="s">
        <v>1334</v>
      </c>
      <c r="P251" t="s">
        <v>1335</v>
      </c>
      <c r="T251" t="s">
        <v>1336</v>
      </c>
      <c r="U251" t="s">
        <v>1337</v>
      </c>
      <c r="V251" t="s">
        <v>549</v>
      </c>
      <c r="W251" t="s">
        <v>187</v>
      </c>
      <c r="X251" t="s">
        <v>458</v>
      </c>
      <c r="Z251" t="b">
        <v>0</v>
      </c>
      <c r="AA251" t="b">
        <v>0</v>
      </c>
      <c r="AB251" t="b">
        <v>1</v>
      </c>
      <c r="AC251" t="b">
        <v>0</v>
      </c>
    </row>
    <row r="252" spans="2:29" x14ac:dyDescent="0.25">
      <c r="B252" t="str">
        <f t="shared" si="3"/>
        <v>401987374</v>
      </c>
      <c r="C252" t="s">
        <v>332</v>
      </c>
      <c r="D252" t="s">
        <v>179</v>
      </c>
      <c r="E252" t="s">
        <v>85</v>
      </c>
      <c r="F252">
        <v>401987374</v>
      </c>
      <c r="G252" t="s">
        <v>77</v>
      </c>
      <c r="N252" t="s">
        <v>1339</v>
      </c>
      <c r="P252" t="s">
        <v>1340</v>
      </c>
      <c r="T252" t="s">
        <v>1341</v>
      </c>
      <c r="U252" t="s">
        <v>1342</v>
      </c>
      <c r="V252" t="s">
        <v>549</v>
      </c>
      <c r="W252" t="s">
        <v>187</v>
      </c>
      <c r="X252" t="s">
        <v>188</v>
      </c>
      <c r="Z252" t="b">
        <v>0</v>
      </c>
      <c r="AA252" t="b">
        <v>0</v>
      </c>
      <c r="AB252" t="b">
        <v>1</v>
      </c>
      <c r="AC252" t="b">
        <v>0</v>
      </c>
    </row>
    <row r="253" spans="2:29" x14ac:dyDescent="0.25">
      <c r="B253" t="str">
        <f t="shared" si="3"/>
        <v>35001059957</v>
      </c>
      <c r="C253" t="s">
        <v>54</v>
      </c>
      <c r="D253" t="s">
        <v>55</v>
      </c>
      <c r="E253" t="s">
        <v>76</v>
      </c>
      <c r="F253">
        <v>35001059957</v>
      </c>
      <c r="G253" t="s">
        <v>77</v>
      </c>
      <c r="N253" t="s">
        <v>1344</v>
      </c>
      <c r="P253" t="s">
        <v>1345</v>
      </c>
      <c r="T253" t="s">
        <v>1346</v>
      </c>
      <c r="U253" t="s">
        <v>1347</v>
      </c>
      <c r="V253" t="s">
        <v>60</v>
      </c>
      <c r="W253" t="s">
        <v>187</v>
      </c>
      <c r="X253" t="s">
        <v>61</v>
      </c>
      <c r="Z253" t="b">
        <v>0</v>
      </c>
      <c r="AA253" t="b">
        <v>0</v>
      </c>
      <c r="AB253" t="b">
        <v>1</v>
      </c>
      <c r="AC253" t="b">
        <v>0</v>
      </c>
    </row>
    <row r="254" spans="2:29" x14ac:dyDescent="0.25">
      <c r="B254" t="str">
        <f t="shared" si="3"/>
        <v>61004067189</v>
      </c>
      <c r="C254" t="s">
        <v>54</v>
      </c>
      <c r="D254" t="s">
        <v>55</v>
      </c>
      <c r="E254" t="s">
        <v>76</v>
      </c>
      <c r="F254">
        <v>61004067189</v>
      </c>
      <c r="G254" t="s">
        <v>77</v>
      </c>
      <c r="N254" t="s">
        <v>1349</v>
      </c>
      <c r="P254" t="s">
        <v>1350</v>
      </c>
      <c r="T254" t="s">
        <v>1351</v>
      </c>
      <c r="U254" t="s">
        <v>1352</v>
      </c>
      <c r="V254" t="s">
        <v>60</v>
      </c>
      <c r="W254" t="s">
        <v>187</v>
      </c>
      <c r="X254" t="s">
        <v>61</v>
      </c>
      <c r="Z254" t="b">
        <v>0</v>
      </c>
      <c r="AA254" t="b">
        <v>0</v>
      </c>
      <c r="AB254" t="b">
        <v>1</v>
      </c>
      <c r="AC254" t="b">
        <v>0</v>
      </c>
    </row>
    <row r="255" spans="2:29" x14ac:dyDescent="0.25">
      <c r="B255" t="str">
        <f t="shared" si="3"/>
        <v>61006065553</v>
      </c>
      <c r="C255" t="s">
        <v>54</v>
      </c>
      <c r="D255" t="s">
        <v>55</v>
      </c>
      <c r="E255" t="s">
        <v>76</v>
      </c>
      <c r="F255">
        <v>61006065553</v>
      </c>
      <c r="G255" t="s">
        <v>77</v>
      </c>
      <c r="N255" t="s">
        <v>1354</v>
      </c>
      <c r="P255" t="s">
        <v>1355</v>
      </c>
      <c r="T255" t="s">
        <v>1356</v>
      </c>
      <c r="U255" t="s">
        <v>1357</v>
      </c>
      <c r="V255" t="s">
        <v>60</v>
      </c>
      <c r="W255" t="s">
        <v>187</v>
      </c>
      <c r="X255" t="s">
        <v>61</v>
      </c>
      <c r="Z255" t="b">
        <v>0</v>
      </c>
      <c r="AA255" t="b">
        <v>0</v>
      </c>
      <c r="AB255" t="b">
        <v>1</v>
      </c>
      <c r="AC255" t="b">
        <v>0</v>
      </c>
    </row>
    <row r="256" spans="2:29" x14ac:dyDescent="0.25">
      <c r="B256" t="str">
        <f t="shared" si="3"/>
        <v>01024007906</v>
      </c>
      <c r="C256" t="s">
        <v>54</v>
      </c>
      <c r="D256" t="s">
        <v>55</v>
      </c>
      <c r="E256" t="s">
        <v>76</v>
      </c>
      <c r="F256">
        <v>1024007906</v>
      </c>
      <c r="G256" t="s">
        <v>77</v>
      </c>
      <c r="N256" t="s">
        <v>1359</v>
      </c>
      <c r="P256" t="s">
        <v>1360</v>
      </c>
      <c r="T256" t="s">
        <v>1361</v>
      </c>
      <c r="U256" t="s">
        <v>1362</v>
      </c>
      <c r="V256" t="s">
        <v>60</v>
      </c>
      <c r="W256" t="s">
        <v>187</v>
      </c>
      <c r="X256" t="s">
        <v>61</v>
      </c>
      <c r="Z256" t="b">
        <v>0</v>
      </c>
      <c r="AA256" t="b">
        <v>0</v>
      </c>
      <c r="AB256" t="b">
        <v>1</v>
      </c>
      <c r="AC256" t="b">
        <v>0</v>
      </c>
    </row>
    <row r="257" spans="2:29" x14ac:dyDescent="0.25">
      <c r="B257" t="str">
        <f t="shared" si="3"/>
        <v>10001058207</v>
      </c>
      <c r="C257" t="s">
        <v>84</v>
      </c>
      <c r="D257" t="s">
        <v>55</v>
      </c>
      <c r="E257" t="s">
        <v>76</v>
      </c>
      <c r="F257">
        <v>10001058207</v>
      </c>
      <c r="G257" t="s">
        <v>77</v>
      </c>
      <c r="N257" t="s">
        <v>1364</v>
      </c>
      <c r="P257" t="s">
        <v>1365</v>
      </c>
      <c r="T257" t="s">
        <v>1366</v>
      </c>
      <c r="U257" t="s">
        <v>1367</v>
      </c>
      <c r="V257" t="s">
        <v>60</v>
      </c>
      <c r="W257" t="s">
        <v>187</v>
      </c>
      <c r="X257" t="s">
        <v>61</v>
      </c>
      <c r="Z257" t="b">
        <v>0</v>
      </c>
      <c r="AA257" t="b">
        <v>0</v>
      </c>
      <c r="AB257" t="b">
        <v>1</v>
      </c>
      <c r="AC257" t="b">
        <v>0</v>
      </c>
    </row>
    <row r="258" spans="2:29" x14ac:dyDescent="0.25">
      <c r="B258" t="str">
        <f t="shared" si="3"/>
        <v>445790047</v>
      </c>
      <c r="C258" t="s">
        <v>332</v>
      </c>
      <c r="D258" t="s">
        <v>179</v>
      </c>
      <c r="E258" t="s">
        <v>85</v>
      </c>
      <c r="F258">
        <v>445790047</v>
      </c>
      <c r="G258" t="s">
        <v>77</v>
      </c>
      <c r="P258" t="s">
        <v>1369</v>
      </c>
      <c r="T258" t="s">
        <v>1370</v>
      </c>
      <c r="U258" t="s">
        <v>1371</v>
      </c>
      <c r="V258" t="s">
        <v>60</v>
      </c>
      <c r="W258" t="s">
        <v>187</v>
      </c>
      <c r="X258" t="s">
        <v>188</v>
      </c>
      <c r="Z258" t="b">
        <v>0</v>
      </c>
      <c r="AA258" t="b">
        <v>0</v>
      </c>
      <c r="AB258" t="b">
        <v>1</v>
      </c>
      <c r="AC258" t="b">
        <v>0</v>
      </c>
    </row>
    <row r="259" spans="2:29" x14ac:dyDescent="0.25">
      <c r="B259" t="str">
        <f t="shared" ref="B259:B280" si="4">IF(LEN(F259)=10,0&amp;F259,""&amp;F259)</f>
        <v>13001002163</v>
      </c>
      <c r="C259" t="s">
        <v>54</v>
      </c>
      <c r="D259" t="s">
        <v>63</v>
      </c>
      <c r="E259" t="s">
        <v>85</v>
      </c>
      <c r="F259">
        <v>13001002163</v>
      </c>
      <c r="G259" t="s">
        <v>77</v>
      </c>
      <c r="P259" t="s">
        <v>1373</v>
      </c>
      <c r="T259" t="s">
        <v>1374</v>
      </c>
      <c r="U259" t="s">
        <v>1375</v>
      </c>
      <c r="V259" t="s">
        <v>60</v>
      </c>
      <c r="W259" t="s">
        <v>187</v>
      </c>
      <c r="X259" t="s">
        <v>68</v>
      </c>
      <c r="Z259" t="b">
        <v>0</v>
      </c>
      <c r="AA259" t="b">
        <v>0</v>
      </c>
      <c r="AB259" t="b">
        <v>1</v>
      </c>
      <c r="AC259" t="b">
        <v>0</v>
      </c>
    </row>
    <row r="260" spans="2:29" x14ac:dyDescent="0.25">
      <c r="B260" t="str">
        <f t="shared" si="4"/>
        <v>61001058764</v>
      </c>
      <c r="C260" t="s">
        <v>54</v>
      </c>
      <c r="D260" t="s">
        <v>63</v>
      </c>
      <c r="E260" t="s">
        <v>85</v>
      </c>
      <c r="F260">
        <v>61001058764</v>
      </c>
      <c r="G260" t="s">
        <v>77</v>
      </c>
      <c r="P260" t="s">
        <v>1377</v>
      </c>
      <c r="T260" t="s">
        <v>1378</v>
      </c>
      <c r="U260" t="s">
        <v>1379</v>
      </c>
      <c r="V260" t="s">
        <v>60</v>
      </c>
      <c r="W260" t="s">
        <v>187</v>
      </c>
      <c r="X260" t="s">
        <v>68</v>
      </c>
      <c r="Z260" t="b">
        <v>0</v>
      </c>
      <c r="AA260" t="b">
        <v>0</v>
      </c>
      <c r="AB260" t="b">
        <v>1</v>
      </c>
      <c r="AC260" t="b">
        <v>0</v>
      </c>
    </row>
    <row r="261" spans="2:29" x14ac:dyDescent="0.25">
      <c r="B261" t="str">
        <f t="shared" si="4"/>
        <v>206328918</v>
      </c>
      <c r="C261" t="s">
        <v>332</v>
      </c>
      <c r="D261" t="s">
        <v>179</v>
      </c>
      <c r="E261" t="s">
        <v>85</v>
      </c>
      <c r="F261">
        <v>206328918</v>
      </c>
      <c r="G261" t="s">
        <v>77</v>
      </c>
      <c r="P261" t="s">
        <v>1381</v>
      </c>
      <c r="T261" t="s">
        <v>1382</v>
      </c>
      <c r="U261" t="s">
        <v>1383</v>
      </c>
      <c r="V261" t="s">
        <v>60</v>
      </c>
      <c r="W261" t="s">
        <v>187</v>
      </c>
      <c r="X261" t="s">
        <v>188</v>
      </c>
      <c r="Z261" t="b">
        <v>0</v>
      </c>
      <c r="AA261" t="b">
        <v>0</v>
      </c>
      <c r="AB261" t="b">
        <v>1</v>
      </c>
      <c r="AC261" t="b">
        <v>0</v>
      </c>
    </row>
    <row r="262" spans="2:29" x14ac:dyDescent="0.25">
      <c r="B262" t="str">
        <f t="shared" si="4"/>
        <v>39001033779</v>
      </c>
      <c r="C262" t="s">
        <v>54</v>
      </c>
      <c r="D262" t="s">
        <v>63</v>
      </c>
      <c r="E262" t="s">
        <v>85</v>
      </c>
      <c r="F262">
        <v>39001033779</v>
      </c>
      <c r="G262" t="s">
        <v>77</v>
      </c>
      <c r="P262" t="s">
        <v>1385</v>
      </c>
      <c r="T262" t="s">
        <v>1386</v>
      </c>
      <c r="U262" t="s">
        <v>1387</v>
      </c>
      <c r="V262" t="s">
        <v>60</v>
      </c>
      <c r="W262" t="s">
        <v>187</v>
      </c>
      <c r="X262" t="s">
        <v>68</v>
      </c>
      <c r="Z262" t="b">
        <v>0</v>
      </c>
      <c r="AA262" t="b">
        <v>0</v>
      </c>
      <c r="AB262" t="b">
        <v>1</v>
      </c>
      <c r="AC262" t="b">
        <v>0</v>
      </c>
    </row>
    <row r="263" spans="2:29" x14ac:dyDescent="0.25">
      <c r="B263" t="str">
        <f t="shared" si="4"/>
        <v>405565446</v>
      </c>
      <c r="C263" t="s">
        <v>332</v>
      </c>
      <c r="D263" t="s">
        <v>179</v>
      </c>
      <c r="E263" t="s">
        <v>85</v>
      </c>
      <c r="F263">
        <v>405565446</v>
      </c>
      <c r="G263" t="s">
        <v>77</v>
      </c>
      <c r="P263" t="s">
        <v>1389</v>
      </c>
      <c r="T263" t="s">
        <v>1390</v>
      </c>
      <c r="U263" t="s">
        <v>1391</v>
      </c>
      <c r="V263" t="s">
        <v>60</v>
      </c>
      <c r="W263" t="s">
        <v>187</v>
      </c>
      <c r="X263" t="s">
        <v>188</v>
      </c>
      <c r="Z263" t="b">
        <v>0</v>
      </c>
      <c r="AA263" t="b">
        <v>0</v>
      </c>
      <c r="AB263" t="b">
        <v>1</v>
      </c>
      <c r="AC263" t="b">
        <v>0</v>
      </c>
    </row>
    <row r="264" spans="2:29" x14ac:dyDescent="0.25">
      <c r="B264" t="str">
        <f t="shared" si="4"/>
        <v>445532228</v>
      </c>
      <c r="C264" t="s">
        <v>332</v>
      </c>
      <c r="D264" t="s">
        <v>179</v>
      </c>
      <c r="E264" t="s">
        <v>85</v>
      </c>
      <c r="F264">
        <v>445532228</v>
      </c>
      <c r="G264" t="s">
        <v>77</v>
      </c>
      <c r="P264" t="s">
        <v>1393</v>
      </c>
      <c r="T264" t="s">
        <v>1394</v>
      </c>
      <c r="U264" t="s">
        <v>1395</v>
      </c>
      <c r="V264" t="s">
        <v>60</v>
      </c>
      <c r="W264" t="s">
        <v>187</v>
      </c>
      <c r="X264" t="s">
        <v>188</v>
      </c>
      <c r="Z264" t="b">
        <v>0</v>
      </c>
      <c r="AA264" t="b">
        <v>0</v>
      </c>
      <c r="AB264" t="b">
        <v>1</v>
      </c>
      <c r="AC264" t="b">
        <v>0</v>
      </c>
    </row>
    <row r="265" spans="2:29" x14ac:dyDescent="0.25">
      <c r="B265" t="str">
        <f t="shared" si="4"/>
        <v>406270823</v>
      </c>
      <c r="C265" t="s">
        <v>332</v>
      </c>
      <c r="D265" t="s">
        <v>179</v>
      </c>
      <c r="E265" t="s">
        <v>85</v>
      </c>
      <c r="F265">
        <v>406270823</v>
      </c>
      <c r="G265" t="s">
        <v>77</v>
      </c>
      <c r="P265" t="s">
        <v>1397</v>
      </c>
      <c r="T265" t="s">
        <v>1398</v>
      </c>
      <c r="U265" t="s">
        <v>1399</v>
      </c>
      <c r="V265" t="s">
        <v>60</v>
      </c>
      <c r="W265" t="s">
        <v>187</v>
      </c>
      <c r="X265" t="s">
        <v>188</v>
      </c>
      <c r="Z265" t="b">
        <v>0</v>
      </c>
      <c r="AA265" t="b">
        <v>0</v>
      </c>
      <c r="AB265" t="b">
        <v>1</v>
      </c>
      <c r="AC265" t="b">
        <v>0</v>
      </c>
    </row>
    <row r="266" spans="2:29" x14ac:dyDescent="0.25">
      <c r="B266" t="str">
        <f t="shared" si="4"/>
        <v>406492291</v>
      </c>
      <c r="C266" t="s">
        <v>332</v>
      </c>
      <c r="D266" t="s">
        <v>179</v>
      </c>
      <c r="E266" t="s">
        <v>85</v>
      </c>
      <c r="F266">
        <v>406492291</v>
      </c>
      <c r="G266" t="s">
        <v>77</v>
      </c>
      <c r="P266" t="s">
        <v>1401</v>
      </c>
      <c r="T266" t="s">
        <v>1402</v>
      </c>
      <c r="U266" t="s">
        <v>1403</v>
      </c>
      <c r="V266" t="s">
        <v>60</v>
      </c>
      <c r="W266" t="s">
        <v>187</v>
      </c>
      <c r="X266" t="s">
        <v>188</v>
      </c>
      <c r="Z266" t="b">
        <v>0</v>
      </c>
      <c r="AA266" t="b">
        <v>0</v>
      </c>
      <c r="AB266" t="b">
        <v>1</v>
      </c>
      <c r="AC266" t="b">
        <v>0</v>
      </c>
    </row>
    <row r="267" spans="2:29" x14ac:dyDescent="0.25">
      <c r="B267" t="str">
        <f t="shared" si="4"/>
        <v>206258182</v>
      </c>
      <c r="C267" t="s">
        <v>332</v>
      </c>
      <c r="D267" t="s">
        <v>179</v>
      </c>
      <c r="E267" t="s">
        <v>85</v>
      </c>
      <c r="F267">
        <v>206258182</v>
      </c>
      <c r="G267" t="s">
        <v>77</v>
      </c>
      <c r="P267" t="s">
        <v>1405</v>
      </c>
      <c r="T267" t="s">
        <v>1406</v>
      </c>
      <c r="U267" t="s">
        <v>1407</v>
      </c>
      <c r="V267" t="s">
        <v>60</v>
      </c>
      <c r="W267" t="s">
        <v>187</v>
      </c>
      <c r="X267" t="s">
        <v>188</v>
      </c>
      <c r="Z267" t="b">
        <v>0</v>
      </c>
      <c r="AA267" t="b">
        <v>0</v>
      </c>
      <c r="AB267" t="b">
        <v>1</v>
      </c>
      <c r="AC267" t="b">
        <v>0</v>
      </c>
    </row>
    <row r="268" spans="2:29" x14ac:dyDescent="0.25">
      <c r="B268" t="str">
        <f t="shared" si="4"/>
        <v>401953775</v>
      </c>
      <c r="C268" t="s">
        <v>332</v>
      </c>
      <c r="D268" t="s">
        <v>179</v>
      </c>
      <c r="E268" t="s">
        <v>85</v>
      </c>
      <c r="F268">
        <v>401953775</v>
      </c>
      <c r="G268" t="s">
        <v>77</v>
      </c>
      <c r="P268" t="s">
        <v>1409</v>
      </c>
      <c r="T268" t="s">
        <v>1410</v>
      </c>
      <c r="U268" t="s">
        <v>1411</v>
      </c>
      <c r="V268" t="s">
        <v>60</v>
      </c>
      <c r="W268" t="s">
        <v>187</v>
      </c>
      <c r="X268" t="s">
        <v>188</v>
      </c>
      <c r="Z268" t="b">
        <v>0</v>
      </c>
      <c r="AA268" t="b">
        <v>0</v>
      </c>
      <c r="AB268" t="b">
        <v>1</v>
      </c>
      <c r="AC268" t="b">
        <v>0</v>
      </c>
    </row>
    <row r="269" spans="2:29" x14ac:dyDescent="0.25">
      <c r="B269" t="str">
        <f t="shared" si="4"/>
        <v>405659416</v>
      </c>
      <c r="C269" t="s">
        <v>332</v>
      </c>
      <c r="D269" t="s">
        <v>179</v>
      </c>
      <c r="E269" t="s">
        <v>85</v>
      </c>
      <c r="F269">
        <v>405659416</v>
      </c>
      <c r="G269" t="s">
        <v>77</v>
      </c>
      <c r="P269" t="s">
        <v>1413</v>
      </c>
      <c r="T269" t="s">
        <v>1414</v>
      </c>
      <c r="U269" t="s">
        <v>1415</v>
      </c>
      <c r="V269" t="s">
        <v>60</v>
      </c>
      <c r="W269" t="s">
        <v>187</v>
      </c>
      <c r="X269" t="s">
        <v>188</v>
      </c>
      <c r="Z269" t="b">
        <v>0</v>
      </c>
      <c r="AA269" t="b">
        <v>0</v>
      </c>
      <c r="AB269" t="b">
        <v>1</v>
      </c>
      <c r="AC269" t="b">
        <v>0</v>
      </c>
    </row>
    <row r="270" spans="2:29" x14ac:dyDescent="0.25">
      <c r="B270" t="str">
        <f t="shared" si="4"/>
        <v>445547169</v>
      </c>
      <c r="C270" t="s">
        <v>332</v>
      </c>
      <c r="D270" t="s">
        <v>179</v>
      </c>
      <c r="E270" t="s">
        <v>85</v>
      </c>
      <c r="F270">
        <v>445547169</v>
      </c>
      <c r="G270" t="s">
        <v>77</v>
      </c>
      <c r="P270" t="s">
        <v>1417</v>
      </c>
      <c r="T270" t="s">
        <v>1418</v>
      </c>
      <c r="U270" t="s">
        <v>1419</v>
      </c>
      <c r="V270" t="s">
        <v>60</v>
      </c>
      <c r="W270" t="s">
        <v>187</v>
      </c>
      <c r="X270" t="s">
        <v>188</v>
      </c>
      <c r="Z270" t="b">
        <v>0</v>
      </c>
      <c r="AA270" t="b">
        <v>0</v>
      </c>
      <c r="AB270" t="b">
        <v>1</v>
      </c>
      <c r="AC270" t="b">
        <v>0</v>
      </c>
    </row>
    <row r="271" spans="2:29" x14ac:dyDescent="0.25">
      <c r="B271" t="str">
        <f t="shared" si="4"/>
        <v>35001075653</v>
      </c>
      <c r="C271" t="s">
        <v>84</v>
      </c>
      <c r="D271" t="s">
        <v>63</v>
      </c>
      <c r="E271" t="s">
        <v>85</v>
      </c>
      <c r="F271">
        <v>35001075653</v>
      </c>
      <c r="G271" t="s">
        <v>77</v>
      </c>
      <c r="P271" t="s">
        <v>1421</v>
      </c>
      <c r="T271" t="s">
        <v>1422</v>
      </c>
      <c r="U271" t="s">
        <v>1423</v>
      </c>
      <c r="V271" t="s">
        <v>60</v>
      </c>
      <c r="W271" t="s">
        <v>187</v>
      </c>
      <c r="X271" t="s">
        <v>68</v>
      </c>
      <c r="Z271" t="b">
        <v>0</v>
      </c>
      <c r="AA271" t="b">
        <v>0</v>
      </c>
      <c r="AB271" t="b">
        <v>1</v>
      </c>
      <c r="AC271" t="b">
        <v>0</v>
      </c>
    </row>
    <row r="272" spans="2:29" x14ac:dyDescent="0.25">
      <c r="B272" t="str">
        <f t="shared" si="4"/>
        <v>401963915</v>
      </c>
      <c r="C272" t="s">
        <v>332</v>
      </c>
      <c r="D272" t="s">
        <v>179</v>
      </c>
      <c r="E272" t="s">
        <v>85</v>
      </c>
      <c r="F272">
        <v>401963915</v>
      </c>
      <c r="G272" t="s">
        <v>77</v>
      </c>
      <c r="P272" t="s">
        <v>1425</v>
      </c>
      <c r="T272" t="s">
        <v>1426</v>
      </c>
      <c r="U272" t="s">
        <v>1427</v>
      </c>
      <c r="V272" t="s">
        <v>60</v>
      </c>
      <c r="W272" t="s">
        <v>187</v>
      </c>
      <c r="X272" t="s">
        <v>188</v>
      </c>
      <c r="Z272" t="b">
        <v>0</v>
      </c>
      <c r="AA272" t="b">
        <v>0</v>
      </c>
      <c r="AB272" t="b">
        <v>1</v>
      </c>
      <c r="AC272" t="b">
        <v>0</v>
      </c>
    </row>
    <row r="273" spans="2:29" x14ac:dyDescent="0.25">
      <c r="B273" t="str">
        <f t="shared" si="4"/>
        <v>16001007258</v>
      </c>
      <c r="C273" t="s">
        <v>54</v>
      </c>
      <c r="D273" t="s">
        <v>63</v>
      </c>
      <c r="E273" t="s">
        <v>85</v>
      </c>
      <c r="F273">
        <v>16001007258</v>
      </c>
      <c r="G273" t="s">
        <v>77</v>
      </c>
      <c r="P273" t="s">
        <v>1429</v>
      </c>
      <c r="T273" t="s">
        <v>1430</v>
      </c>
      <c r="U273" t="s">
        <v>1431</v>
      </c>
      <c r="V273" t="s">
        <v>60</v>
      </c>
      <c r="W273" t="s">
        <v>187</v>
      </c>
      <c r="X273" t="s">
        <v>68</v>
      </c>
      <c r="Z273" t="b">
        <v>0</v>
      </c>
      <c r="AA273" t="b">
        <v>0</v>
      </c>
      <c r="AB273" t="b">
        <v>1</v>
      </c>
      <c r="AC273" t="b">
        <v>0</v>
      </c>
    </row>
    <row r="274" spans="2:29" x14ac:dyDescent="0.25">
      <c r="B274" t="str">
        <f t="shared" si="4"/>
        <v>431184504</v>
      </c>
      <c r="C274" t="s">
        <v>332</v>
      </c>
      <c r="D274" t="s">
        <v>179</v>
      </c>
      <c r="E274" t="s">
        <v>85</v>
      </c>
      <c r="F274">
        <v>431184504</v>
      </c>
      <c r="G274" t="s">
        <v>77</v>
      </c>
      <c r="P274" t="s">
        <v>1433</v>
      </c>
      <c r="T274" t="s">
        <v>1434</v>
      </c>
      <c r="U274" t="s">
        <v>1435</v>
      </c>
      <c r="V274" t="s">
        <v>60</v>
      </c>
      <c r="W274" t="s">
        <v>187</v>
      </c>
      <c r="X274" t="s">
        <v>188</v>
      </c>
      <c r="Z274" t="b">
        <v>0</v>
      </c>
      <c r="AA274" t="b">
        <v>0</v>
      </c>
      <c r="AB274" t="b">
        <v>1</v>
      </c>
      <c r="AC274" t="b">
        <v>0</v>
      </c>
    </row>
    <row r="275" spans="2:29" x14ac:dyDescent="0.25">
      <c r="B275" t="str">
        <f t="shared" si="4"/>
        <v>426523979</v>
      </c>
      <c r="C275" t="s">
        <v>332</v>
      </c>
      <c r="D275" t="s">
        <v>179</v>
      </c>
      <c r="E275" t="s">
        <v>85</v>
      </c>
      <c r="F275">
        <v>426523979</v>
      </c>
      <c r="G275" t="s">
        <v>77</v>
      </c>
      <c r="P275" t="s">
        <v>1437</v>
      </c>
      <c r="T275" t="s">
        <v>1438</v>
      </c>
      <c r="U275" t="s">
        <v>1439</v>
      </c>
      <c r="V275" t="s">
        <v>60</v>
      </c>
      <c r="W275" t="s">
        <v>187</v>
      </c>
      <c r="X275" t="s">
        <v>188</v>
      </c>
      <c r="Z275" t="b">
        <v>0</v>
      </c>
      <c r="AA275" t="b">
        <v>0</v>
      </c>
      <c r="AB275" t="b">
        <v>1</v>
      </c>
      <c r="AC275" t="b">
        <v>0</v>
      </c>
    </row>
    <row r="276" spans="2:29" x14ac:dyDescent="0.25">
      <c r="B276" t="str">
        <f t="shared" si="4"/>
        <v>445394920</v>
      </c>
      <c r="C276" t="s">
        <v>332</v>
      </c>
      <c r="D276" t="s">
        <v>179</v>
      </c>
      <c r="E276" t="s">
        <v>85</v>
      </c>
      <c r="F276">
        <v>445394920</v>
      </c>
      <c r="G276" t="s">
        <v>77</v>
      </c>
      <c r="P276" t="s">
        <v>1441</v>
      </c>
      <c r="T276" t="s">
        <v>1442</v>
      </c>
      <c r="U276" t="s">
        <v>1443</v>
      </c>
      <c r="V276" t="s">
        <v>60</v>
      </c>
      <c r="W276" t="s">
        <v>187</v>
      </c>
      <c r="X276" t="s">
        <v>188</v>
      </c>
      <c r="Z276" t="b">
        <v>0</v>
      </c>
      <c r="AA276" t="b">
        <v>0</v>
      </c>
      <c r="AB276" t="b">
        <v>1</v>
      </c>
      <c r="AC276" t="b">
        <v>0</v>
      </c>
    </row>
    <row r="277" spans="2:29" x14ac:dyDescent="0.25">
      <c r="B277" t="str">
        <f t="shared" si="4"/>
        <v>61007005095</v>
      </c>
      <c r="C277" t="s">
        <v>54</v>
      </c>
      <c r="D277" t="s">
        <v>63</v>
      </c>
      <c r="E277" t="s">
        <v>85</v>
      </c>
      <c r="F277">
        <v>61007005095</v>
      </c>
      <c r="G277" t="s">
        <v>77</v>
      </c>
      <c r="P277" t="s">
        <v>1445</v>
      </c>
      <c r="T277" t="s">
        <v>1446</v>
      </c>
      <c r="U277" t="s">
        <v>1447</v>
      </c>
      <c r="V277" t="s">
        <v>60</v>
      </c>
      <c r="W277" t="s">
        <v>187</v>
      </c>
      <c r="X277" t="s">
        <v>68</v>
      </c>
      <c r="Z277" t="b">
        <v>0</v>
      </c>
      <c r="AA277" t="b">
        <v>0</v>
      </c>
      <c r="AB277" t="b">
        <v>1</v>
      </c>
      <c r="AC277" t="b">
        <v>0</v>
      </c>
    </row>
    <row r="278" spans="2:29" x14ac:dyDescent="0.25">
      <c r="B278" t="str">
        <f t="shared" si="4"/>
        <v>402172527</v>
      </c>
      <c r="C278" t="s">
        <v>332</v>
      </c>
      <c r="D278" t="s">
        <v>179</v>
      </c>
      <c r="E278" t="s">
        <v>85</v>
      </c>
      <c r="F278">
        <v>402172527</v>
      </c>
      <c r="G278" t="s">
        <v>77</v>
      </c>
      <c r="P278" t="s">
        <v>1449</v>
      </c>
      <c r="T278" t="s">
        <v>1450</v>
      </c>
      <c r="U278" t="s">
        <v>1451</v>
      </c>
      <c r="V278" t="s">
        <v>60</v>
      </c>
      <c r="W278" t="s">
        <v>187</v>
      </c>
      <c r="X278" t="s">
        <v>188</v>
      </c>
      <c r="Z278" t="b">
        <v>0</v>
      </c>
      <c r="AA278" t="b">
        <v>0</v>
      </c>
      <c r="AB278" t="b">
        <v>1</v>
      </c>
      <c r="AC278" t="b">
        <v>0</v>
      </c>
    </row>
    <row r="279" spans="2:29" x14ac:dyDescent="0.25">
      <c r="B279" t="str">
        <f t="shared" si="4"/>
        <v>61007008168</v>
      </c>
      <c r="C279" t="s">
        <v>54</v>
      </c>
      <c r="D279" t="s">
        <v>63</v>
      </c>
      <c r="E279" t="s">
        <v>85</v>
      </c>
      <c r="F279">
        <v>61007008168</v>
      </c>
      <c r="G279" t="s">
        <v>77</v>
      </c>
      <c r="P279" t="s">
        <v>1453</v>
      </c>
      <c r="T279" t="s">
        <v>1454</v>
      </c>
      <c r="U279" t="s">
        <v>1455</v>
      </c>
      <c r="V279" t="s">
        <v>60</v>
      </c>
      <c r="W279" t="s">
        <v>187</v>
      </c>
      <c r="X279" t="s">
        <v>68</v>
      </c>
      <c r="Z279" t="b">
        <v>0</v>
      </c>
      <c r="AA279" t="b">
        <v>0</v>
      </c>
      <c r="AB279" t="b">
        <v>1</v>
      </c>
      <c r="AC279" t="b">
        <v>0</v>
      </c>
    </row>
    <row r="280" spans="2:29" x14ac:dyDescent="0.25">
      <c r="B280" t="str">
        <f t="shared" si="4"/>
        <v/>
      </c>
      <c r="C280" t="s">
        <v>332</v>
      </c>
      <c r="D280" t="s">
        <v>452</v>
      </c>
      <c r="E280" t="s">
        <v>85</v>
      </c>
      <c r="G280" t="s">
        <v>77</v>
      </c>
      <c r="P280" t="s">
        <v>1457</v>
      </c>
      <c r="T280" t="s">
        <v>1458</v>
      </c>
      <c r="U280" t="s">
        <v>1459</v>
      </c>
      <c r="V280" t="s">
        <v>549</v>
      </c>
      <c r="W280" t="s">
        <v>187</v>
      </c>
      <c r="X280" t="s">
        <v>458</v>
      </c>
      <c r="Z280" t="b">
        <v>0</v>
      </c>
      <c r="AA280" t="b">
        <v>0</v>
      </c>
      <c r="AB280" t="b">
        <v>1</v>
      </c>
      <c r="AC280" t="b">
        <v>0</v>
      </c>
    </row>
  </sheetData>
  <autoFilter ref="A1:AC280" xr:uid="{95703B2E-EFBA-4FCD-899A-4A1547064D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Counteragent_new</vt:lpstr>
      <vt:lpstr>Counteragent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Giorgi Nikabadze</cp:lastModifiedBy>
  <dcterms:created xsi:type="dcterms:W3CDTF">2025-11-08T23:09:23Z</dcterms:created>
  <dcterms:modified xsi:type="dcterms:W3CDTF">2026-01-29T13:14:52Z</dcterms:modified>
</cp:coreProperties>
</file>