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next-postgres-starter\"/>
    </mc:Choice>
  </mc:AlternateContent>
  <xr:revisionPtr revIDLastSave="0" documentId="13_ncr:1_{76EC226C-4514-4FDC-B70C-4753488A42C2}" xr6:coauthVersionLast="47" xr6:coauthVersionMax="47" xr10:uidLastSave="{00000000-0000-0000-0000-000000000000}"/>
  <bookViews>
    <workbookView xWindow="-120" yWindow="-120" windowWidth="29040" windowHeight="15720" xr2:uid="{00000000-000D-0000-FFFF-FFFF00000000}"/>
  </bookViews>
  <sheets>
    <sheet name="Handover" sheetId="4" r:id="rId1"/>
    <sheet name="Jobs" sheetId="1" r:id="rId2"/>
    <sheet name="Income Payments" sheetId="2" r:id="rId3"/>
    <sheet name="Job Distributions"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7" i="4" l="1" a="1"/>
  <c r="K17" i="4" s="1"/>
  <c r="K64" i="4" s="1"/>
  <c r="J17" i="4" a="1"/>
  <c r="J17" i="4" s="1"/>
  <c r="J64" i="4" s="1"/>
  <c r="I17" i="4" a="1"/>
  <c r="I17" i="4" s="1"/>
  <c r="H17" i="4" a="1"/>
  <c r="H17" i="4" s="1"/>
  <c r="G17" i="4" a="1"/>
  <c r="G17" i="4" s="1"/>
  <c r="F17" i="4" a="1"/>
  <c r="F17" i="4" s="1"/>
  <c r="E17" i="4" a="1"/>
  <c r="E17" i="4" s="1"/>
  <c r="D17" i="4" a="1"/>
  <c r="D17" i="4" s="1"/>
  <c r="C17" i="4" s="1"/>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18" i="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<sst xmlns="http://schemas.openxmlformats.org/spreadsheetml/2006/main" count="330" uniqueCount="93">
  <si>
    <t>Job Name</t>
  </si>
  <si>
    <t>Factory No</t>
  </si>
  <si>
    <t>Brand Name</t>
  </si>
  <si>
    <t>Floors</t>
  </si>
  <si>
    <t>Weight (kg)</t>
  </si>
  <si>
    <t>Selling Price</t>
  </si>
  <si>
    <t>Paid Nominal</t>
  </si>
  <si>
    <t>Paid GEL</t>
  </si>
  <si>
    <t>Debit Nominal</t>
  </si>
  <si>
    <t>Debit GEL</t>
  </si>
  <si>
    <t>Total GEL</t>
  </si>
  <si>
    <t>Type</t>
  </si>
  <si>
    <t>Lift Cert Date</t>
  </si>
  <si>
    <t>Lift Cert Doc No</t>
  </si>
  <si>
    <t>L0001</t>
  </si>
  <si>
    <t>K6NC0632</t>
  </si>
  <si>
    <t>OTIS</t>
  </si>
  <si>
    <t>NOT FF</t>
  </si>
  <si>
    <t>0860-26</t>
  </si>
  <si>
    <t>L0002</t>
  </si>
  <si>
    <t>K6NC0633</t>
  </si>
  <si>
    <t>0861-26</t>
  </si>
  <si>
    <t>L0003</t>
  </si>
  <si>
    <t>K6NC0634</t>
  </si>
  <si>
    <t/>
  </si>
  <si>
    <t>L0004</t>
  </si>
  <si>
    <t>K6NC0635</t>
  </si>
  <si>
    <t>Latest Date</t>
  </si>
  <si>
    <t>Payment ID</t>
  </si>
  <si>
    <t>Financial Code</t>
  </si>
  <si>
    <t>Accrual</t>
  </si>
  <si>
    <t>Order</t>
  </si>
  <si>
    <t>Payment</t>
  </si>
  <si>
    <t>Paid %</t>
  </si>
  <si>
    <t>Due</t>
  </si>
  <si>
    <t>b993e2_ba_b36a2b</t>
  </si>
  <si>
    <t>1.1.1.3. (+) ლიფტების საბაჟოზე შემოსვლის ან დასაწყობების ავანსი</t>
  </si>
  <si>
    <t>a009b1_ec_8a072a</t>
  </si>
  <si>
    <t>1.1.1.5. (+) ლიფტების ჩაბარება</t>
  </si>
  <si>
    <t>51a575_51_bcfcf5</t>
  </si>
  <si>
    <t>1.1.1.2. (+) ლიფტების საქარხნო მზაობის ავანსი</t>
  </si>
  <si>
    <t>4ad91b_a1_8cfceb</t>
  </si>
  <si>
    <t>1.1.1.4. (+) ლიფტების მონტაჟის პროგრესის ავანსი</t>
  </si>
  <si>
    <t>4a7383_56_ac88eb</t>
  </si>
  <si>
    <t>1.1.1.6. (+) ლიფტების თანხის დაკავების გარანტია</t>
  </si>
  <si>
    <t>39dbcb_5e_a9dccc</t>
  </si>
  <si>
    <t>1.1.1.1. (+) ლიფტების ავანსი</t>
  </si>
  <si>
    <t>Date</t>
  </si>
  <si>
    <t>Nominal Amount</t>
  </si>
  <si>
    <t>Nom ISO</t>
  </si>
  <si>
    <t>Amount</t>
  </si>
  <si>
    <t>Batch ID</t>
  </si>
  <si>
    <t>Description</t>
  </si>
  <si>
    <t>ID1</t>
  </si>
  <si>
    <t>ID2</t>
  </si>
  <si>
    <t>Allocation %</t>
  </si>
  <si>
    <t>Distributed Amount</t>
  </si>
  <si>
    <t>Distributed Amount (Account Curr)</t>
  </si>
  <si>
    <t>USD</t>
  </si>
  <si>
    <t>პროდუქციის ღირებულება (ლიფტი) | შპს ლაქი ქონსთრაქშენი, 405370708, TBCBGE22, GE26TB7944936080100008</t>
  </si>
  <si>
    <t>13661157049</t>
  </si>
  <si>
    <t>1727188775</t>
  </si>
  <si>
    <t>ავანსი თანახმად ხელშეკრულებისა 05.02.2024 (14,869.80 აშშ დოლარის ექვივალენტი 2.8001) | შპს ლაქი ქონსთრაქშენი, 405370708, TBCBGE22, GE26TB7944936080100008</t>
  </si>
  <si>
    <t>12810368560</t>
  </si>
  <si>
    <t>1719168807</t>
  </si>
  <si>
    <t>BTC_DEC51D_4E_5A5046</t>
  </si>
  <si>
    <t>12775547609</t>
  </si>
  <si>
    <t>1718865385</t>
  </si>
  <si>
    <t>BTC_B8F991_9A_E5EE4F</t>
  </si>
  <si>
    <t>ავანსი თანახმად ხელშეკრულებისა 05.02.2024 (80,000 აშშ დოლარის ექვივალენტი 2.6720) | შპს ლაქი ქონსთრაქშენი, 405370708, TBCBGE22, GE26TB7944936080100008</t>
  </si>
  <si>
    <t>12175599131</t>
  </si>
  <si>
    <t>1712923332</t>
  </si>
  <si>
    <t>ავანსი თანახმად ხელშეკრულებისა 05.02.2024 (80,000 აშშ დოლარის ექვივალენტი 2.6688) | შპს ლაქი ქონსთრაქშენი, 405370708, TBCBGE22, GE26TB7944936080100008</t>
  </si>
  <si>
    <t>11620991216</t>
  </si>
  <si>
    <t>1707145575</t>
  </si>
  <si>
    <t>მიღება-ჩაბარების აქტი</t>
  </si>
  <si>
    <t>Comment: if project department = Batumi, then "ქ. ბათუმი", if project department = Batumi, then "ქ. თბილისი"</t>
  </si>
  <si>
    <t xml:space="preserve"> 	"ერთი მხრივ" + project.counteragent.entity_type.Name_Geo +  project.counteragent.Name +" -  წარმოდგენილი დირექტორის" + project.counteragent.Director_name+" (შემდგომში „დამკვეთი“)". მისამართი: "+  project.counteragent.address + " საიდენტიფიკაციო ნომერი: " + project.counteragent.id.
             "მეორე მხრივ, შპს „აი-სი-ი“ წარმოდგენილი დირექტორის  გიორგი ბახტაძის სახით (შემდგომში „კონტრაქტორი“). მისამართი: ქ. თბილისი,ვაკის რაიონი, ზურაბ ანჯაფარიძის I შესახვევი N 4, საიდენტიფიკაციო ნომერი:  400017245."
              "ვადგენთ წინამდებარე აქტს მასზედ, რომ შემსრულებელმა მიაწოდა, ხოლო დამკვეთმა მიიღო," +  if (project department = Batumi, then "ქ. ბათუმში", if project department = Tbuilisi, then "ქ. თბილიში," + Project.address + "-ში    „დამკვეთის“ სამშენებლო ტერიტორიაზე შემდეგი ლიფტები:</t>
  </si>
  <si>
    <t>#</t>
  </si>
  <si>
    <t>მწარმოებელი</t>
  </si>
  <si>
    <t>თანხა + symbol lookup for the nominal  currency, if it is USD than $, is</t>
  </si>
  <si>
    <t>თანხა ₾</t>
  </si>
  <si>
    <t>Comment : Certificate Date in format dd თვე სრულად ქართულად yyyy წელი (the handover should depict only one date at once, so if there are multiple dates in certificates users should celect a date and only that day's certified jobs should persist in the handover act) for this example I will use 27.05.2026</t>
  </si>
  <si>
    <t>ჯამი</t>
  </si>
  <si>
    <t>კონტ. #</t>
  </si>
  <si>
    <t>საქარხნო 
ნომერი</t>
  </si>
  <si>
    <t>სართ.</t>
  </si>
  <si>
    <t>ამწეობა
 (კგ)</t>
  </si>
  <si>
    <t>სერტიფიკატის #</t>
  </si>
  <si>
    <t>ცხრილში მოცემული თანხები მოცემულია მონტაჟის ღირებულების და დღგ-ს ჩათვლით.
1. მხარეები აცხადებენ, რომ ამ თარიღისთვის ხელშეკრულებით ნაკისრი ვალდებულებავ შემსრულებლის მიერ გაწეულია სრულად და ჯეროვნად. 
2. წინამდებარე აქტზე ხელის მოწერით მხარეები ადასტურებენ, რომ ერთმანეთის მიმართ პრეტენზია არ გააჩნიათ.
3. წინამდებარე აქტი შედგენილია თანაბარი იურიდიული ძალის მქონე 2 (ორი) ეგზემპლარად, ერთი ეგზემპლარი გადაეცემა დამკვეთს, ხოლო ერთი - შემსრულებელს.</t>
  </si>
  <si>
    <t xml:space="preserve"> 
project.counteragent.entity_type.Name_Geo +  project.counteragent.Name 
(დამკვეთი)
----------------------------------
დირექტორი 
project.counteragent.Director_name
</t>
  </si>
  <si>
    <t xml:space="preserve">  
            შპს აი-სი-ი
        (შემსრულებელი)
           --------------------------------
           დირექტორი
           გიორგი ბახტაძე</t>
  </si>
  <si>
    <t>თარიღი: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</si>
</sst>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5" formatCode="dd\.mm\.yyyy"/>
    <numFmt numFmtId="171" formatCode="dd\.mm\.yyyy;@"/>
  </numFmts>
  <fonts count="4" x14ac:knownFonts="1">
    <font>
      <sz val="12"/>
      <color theme="1"/>
      <name val="Calibri"/>
      <family val="2"/>
      <scheme val="minor"/>
    </font>
    <font>
      <sz val="12"/>
      <color theme="1"/>
      <name val="Calibri"/>
      <family val="2"/>
      <scheme val="minor"/>
    </font>
    <font>
      <b/>
      <sz val="12"/>
      <color theme="1"/>
      <name val="Calibri"/>
      <family val="2"/>
      <scheme val="minor"/>
    </font>
    <font>
      <sz val="11"/>
      <color theme="1"/>
      <name val="Sylfaen"/>
      <family val="1"/>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2">
    <xf numFmtId="0" fontId="0" fillId="0" borderId="0" xfId="0" applyNumberFormat="1"/>
    <xf numFmtId="4" fontId="0" fillId="0" borderId="0" xfId="0" applyNumberFormat="1"/>
    <xf numFmtId="165" fontId="0" fillId="0" borderId="0" xfId="0" applyNumberFormat="1"/>
    <xf numFmtId="10" fontId="0" fillId="0" borderId="0" xfId="0" applyNumberFormat="1"/>
    <xf numFmtId="0" fontId="0" fillId="0" borderId="0" xfId="0" applyNumberFormat="1" applyAlignment="1">
      <alignment horizontal="center"/>
    </xf>
    <xf numFmtId="0" fontId="0" fillId="0" borderId="0" xfId="0" applyNumberFormat="1" applyAlignment="1">
      <alignment horizontal="center"/>
    </xf>
    <xf numFmtId="0" fontId="2" fillId="0" borderId="0" xfId="0" applyNumberFormat="1" applyFont="1" applyAlignment="1">
      <alignment horizontal="center"/>
    </xf>
    <xf numFmtId="0" fontId="0" fillId="0" borderId="0" xfId="0" applyNumberFormat="1" applyAlignment="1"/>
    <xf numFmtId="0" fontId="0" fillId="0" borderId="0" xfId="0" applyNumberFormat="1" applyAlignment="1">
      <alignment horizontal="center" wrapText="1"/>
    </xf>
    <xf numFmtId="0" fontId="0" fillId="0" borderId="0" xfId="0" applyNumberFormat="1" applyAlignment="1">
      <alignment horizontal="justify" vertical="justify" wrapText="1"/>
    </xf>
    <xf numFmtId="0" fontId="0" fillId="2" borderId="1" xfId="0" applyNumberFormat="1" applyFill="1" applyBorder="1" applyAlignment="1">
      <alignment horizontal="center"/>
    </xf>
    <xf numFmtId="0" fontId="0" fillId="0" borderId="1" xfId="0" applyNumberFormat="1" applyBorder="1" applyAlignment="1">
      <alignment horizontal="center"/>
    </xf>
    <xf numFmtId="43" fontId="0" fillId="0" borderId="1" xfId="1" applyFont="1" applyBorder="1" applyAlignment="1">
      <alignment horizontal="center"/>
    </xf>
    <xf numFmtId="0" fontId="0" fillId="0" borderId="1" xfId="0" applyNumberFormat="1" applyBorder="1" applyAlignment="1">
      <alignment horizontal="center"/>
    </xf>
    <xf numFmtId="0" fontId="0" fillId="0" borderId="0" xfId="0"/>
    <xf numFmtId="0" fontId="0" fillId="2" borderId="1" xfId="0" applyNumberFormat="1" applyFill="1" applyBorder="1" applyAlignment="1">
      <alignment horizontal="center" wrapText="1"/>
    </xf>
    <xf numFmtId="0" fontId="2" fillId="0" borderId="0" xfId="0" applyNumberFormat="1" applyFont="1" applyAlignment="1">
      <alignment horizontal="center"/>
    </xf>
    <xf numFmtId="0" fontId="3" fillId="0" borderId="0" xfId="0" applyNumberFormat="1" applyFont="1" applyAlignment="1">
      <alignment horizontal="justify" vertical="justify" wrapText="1"/>
    </xf>
    <xf numFmtId="0" fontId="3" fillId="0" borderId="0" xfId="0" applyNumberFormat="1" applyFont="1" applyAlignment="1">
      <alignment horizontal="justify" vertical="justify"/>
    </xf>
    <xf numFmtId="0" fontId="0" fillId="0" borderId="0" xfId="0" applyNumberFormat="1" applyAlignment="1">
      <alignment horizontal="center" vertical="top" wrapText="1"/>
    </xf>
    <xf numFmtId="0" fontId="0" fillId="0" borderId="0" xfId="0" applyNumberFormat="1" applyAlignment="1">
      <alignment horizontal="center" vertical="top"/>
    </xf>
    <xf numFmtId="171" fontId="0" fillId="0" borderId="0" xfId="0" applyNumberFormat="1" applyAlignment="1">
      <alignment horizontal="center"/>
    </xf>
  </cellXfs>
  <cellStyles count="2">
    <cellStyle name="Comma" xfId="1"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7BC11-7207-41CD-A3C8-355D7D7D75EF}">
  <dimension ref="C1:AC85"/>
  <sheetViews>
    <sheetView tabSelected="1" workbookViewId="0">
      <selection activeCell="L17" sqref="L17"/>
    </sheetView>
  </sheetViews>
  <sheetFormatPr defaultColWidth="2.625" defaultRowHeight="15.75" x14ac:dyDescent="0.25"/>
  <cols>
    <col min="3" max="3" width="4.5" customWidth="1"/>
    <col min="4" max="4" width="8.5" customWidth="1"/>
    <col min="5" max="5" width="13.5" bestFit="1" customWidth="1"/>
    <col min="6" max="6" width="9.25" bestFit="1" customWidth="1"/>
    <col min="7" max="7" width="8" bestFit="1" customWidth="1"/>
    <col min="8" max="8" width="6.25" bestFit="1" customWidth="1"/>
    <col min="9" max="9" width="15.625" bestFit="1" customWidth="1"/>
    <col min="10" max="10" width="11.625" customWidth="1"/>
    <col min="11" max="11" width="13.75" customWidth="1"/>
  </cols>
  <sheetData>
    <row r="1" spans="3:29" x14ac:dyDescent="0.25">
      <c r="C1" s="6" t="s">
        <v>75</v>
      </c>
      <c r="D1" s="5"/>
      <c r="E1" s="5"/>
      <c r="F1" s="5"/>
      <c r="G1" s="5"/>
      <c r="H1" s="5"/>
      <c r="I1" s="5"/>
      <c r="J1" s="5"/>
      <c r="K1" s="5"/>
    </row>
    <row r="2" spans="3:29" x14ac:dyDescent="0.25">
      <c r="G2" s="6"/>
      <c r="H2" s="6"/>
      <c r="I2" s="16"/>
    </row>
    <row r="3" spans="3:29" x14ac:dyDescent="0.25">
      <c r="Q3" s="5" t="s">
        <v>92</v>
      </c>
      <c r="R3" s="5"/>
      <c r="S3" s="5"/>
      <c r="T3" s="5"/>
      <c r="U3" s="5"/>
      <c r="V3" s="21">
        <v>46169</v>
      </c>
      <c r="W3" s="21"/>
      <c r="X3" s="21"/>
      <c r="Y3" s="21"/>
      <c r="Z3" s="21"/>
      <c r="AA3" s="21"/>
      <c r="AB3" s="21"/>
      <c r="AC3" s="21"/>
    </row>
    <row r="4" spans="3:29" x14ac:dyDescent="0.25">
      <c r="C4" s="5" t="s">
        <v>76</v>
      </c>
      <c r="D4" s="5"/>
      <c r="E4" s="5"/>
      <c r="J4" s="5" t="s">
        <v>82</v>
      </c>
      <c r="K4" s="5"/>
    </row>
    <row r="6" spans="3:29" ht="24.75" customHeight="1" x14ac:dyDescent="0.25">
      <c r="C6" s="9" t="s">
        <v>77</v>
      </c>
      <c r="D6" s="9"/>
      <c r="E6" s="9"/>
      <c r="F6" s="9"/>
      <c r="G6" s="9"/>
      <c r="H6" s="9"/>
      <c r="I6" s="9"/>
      <c r="J6" s="9"/>
      <c r="K6" s="9"/>
    </row>
    <row r="7" spans="3:29" ht="24.75" customHeight="1" x14ac:dyDescent="0.25">
      <c r="C7" s="9"/>
      <c r="D7" s="9"/>
      <c r="E7" s="9"/>
      <c r="F7" s="9"/>
      <c r="G7" s="9"/>
      <c r="H7" s="9"/>
      <c r="I7" s="9"/>
      <c r="J7" s="9"/>
      <c r="K7" s="9"/>
    </row>
    <row r="8" spans="3:29" ht="24.75" customHeight="1" x14ac:dyDescent="0.25">
      <c r="C8" s="9"/>
      <c r="D8" s="9"/>
      <c r="E8" s="9"/>
      <c r="F8" s="9"/>
      <c r="G8" s="9"/>
      <c r="H8" s="9"/>
      <c r="I8" s="9"/>
      <c r="J8" s="9"/>
      <c r="K8" s="9"/>
    </row>
    <row r="9" spans="3:29" ht="24.75" customHeight="1" x14ac:dyDescent="0.25">
      <c r="C9" s="9"/>
      <c r="D9" s="9"/>
      <c r="E9" s="9"/>
      <c r="F9" s="9"/>
      <c r="G9" s="9"/>
      <c r="H9" s="9"/>
      <c r="I9" s="9"/>
      <c r="J9" s="9"/>
      <c r="K9" s="9"/>
    </row>
    <row r="10" spans="3:29" ht="24.75" customHeight="1" x14ac:dyDescent="0.25">
      <c r="C10" s="9"/>
      <c r="D10" s="9"/>
      <c r="E10" s="9"/>
      <c r="F10" s="9"/>
      <c r="G10" s="9"/>
      <c r="H10" s="9"/>
      <c r="I10" s="9"/>
      <c r="J10" s="9"/>
      <c r="K10" s="9"/>
    </row>
    <row r="11" spans="3:29" ht="24.75" customHeight="1" x14ac:dyDescent="0.25">
      <c r="C11" s="9"/>
      <c r="D11" s="9"/>
      <c r="E11" s="9"/>
      <c r="F11" s="9"/>
      <c r="G11" s="9"/>
      <c r="H11" s="9"/>
      <c r="I11" s="9"/>
      <c r="J11" s="9"/>
      <c r="K11" s="9"/>
    </row>
    <row r="12" spans="3:29" ht="24.75" customHeight="1" x14ac:dyDescent="0.25">
      <c r="C12" s="9"/>
      <c r="D12" s="9"/>
      <c r="E12" s="9"/>
      <c r="F12" s="9"/>
      <c r="G12" s="9"/>
      <c r="H12" s="9"/>
      <c r="I12" s="9"/>
      <c r="J12" s="9"/>
      <c r="K12" s="9"/>
    </row>
    <row r="13" spans="3:29" ht="24.75" customHeight="1" x14ac:dyDescent="0.25">
      <c r="C13" s="9"/>
      <c r="D13" s="9"/>
      <c r="E13" s="9"/>
      <c r="F13" s="9"/>
      <c r="G13" s="9"/>
      <c r="H13" s="9"/>
      <c r="I13" s="9"/>
      <c r="J13" s="9"/>
      <c r="K13" s="9"/>
    </row>
    <row r="14" spans="3:29" ht="24.75" customHeight="1" x14ac:dyDescent="0.25">
      <c r="C14" s="9"/>
      <c r="D14" s="9"/>
      <c r="E14" s="9"/>
      <c r="F14" s="9"/>
      <c r="G14" s="9"/>
      <c r="H14" s="9"/>
      <c r="I14" s="9"/>
      <c r="J14" s="9"/>
      <c r="K14" s="9"/>
    </row>
    <row r="16" spans="3:29" ht="31.5" x14ac:dyDescent="0.25">
      <c r="C16" s="10" t="s">
        <v>78</v>
      </c>
      <c r="D16" s="10" t="s">
        <v>84</v>
      </c>
      <c r="E16" s="10" t="s">
        <v>79</v>
      </c>
      <c r="F16" s="15" t="s">
        <v>85</v>
      </c>
      <c r="G16" s="15" t="s">
        <v>87</v>
      </c>
      <c r="H16" s="10" t="s">
        <v>86</v>
      </c>
      <c r="I16" s="10" t="s">
        <v>88</v>
      </c>
      <c r="J16" s="10" t="s">
        <v>80</v>
      </c>
      <c r="K16" s="10" t="s">
        <v>81</v>
      </c>
    </row>
    <row r="17" spans="3:11" x14ac:dyDescent="0.25">
      <c r="C17" s="11">
        <f>IF(D17&lt;&gt;"",ROW()-16,"")</f>
        <v>1</v>
      </c>
      <c r="D17" s="11" t="str" cm="1">
        <f t="array" ref="D17:D18">_xlfn._xlws.FILTER(Jobs!A:A,Jobs!M:M= V3)</f>
        <v>L0001</v>
      </c>
      <c r="E17" s="11" t="str" cm="1">
        <f t="array" ref="E17:E18">_xlfn._xlws.FILTER( Jobs!C:C,Jobs!M:M= V3)</f>
        <v>OTIS</v>
      </c>
      <c r="F17" s="11" t="str" cm="1">
        <f t="array" ref="F17:F18">_xlfn._xlws.FILTER(   Jobs!B:B,Jobs!M:M= V3)</f>
        <v>K6NC0632</v>
      </c>
      <c r="G17" s="11" t="str" cm="1">
        <f t="array" ref="G17:G18">_xlfn._xlws.FILTER(  Jobs!E:E,Jobs!M:M= V3)&amp;" კგ"</f>
        <v>1000 კგ</v>
      </c>
      <c r="H17" s="11" cm="1">
        <f t="array" ref="H17:H18">_xlfn._xlws.FILTER(   Jobs!D:D,Jobs!M:M= V3)</f>
        <v>13</v>
      </c>
      <c r="I17" s="11" t="str" cm="1">
        <f t="array" ref="I17:I18">_xlfn._xlws.FILTER(    Jobs!N:N,Jobs!M:M= V3)</f>
        <v>0860-26</v>
      </c>
      <c r="J17" s="12" cm="1">
        <f t="array" ref="J17:J18">_xlfn._xlws.FILTER(    Jobs!F:F,Jobs!M:M= V3)</f>
        <v>44088</v>
      </c>
      <c r="K17" s="12" cm="1">
        <f t="array" ref="K17:K18">_xlfn._xlws.FILTER(     Jobs!K:K,Jobs!M:M= V3)</f>
        <v>118268.1</v>
      </c>
    </row>
    <row r="18" spans="3:11" x14ac:dyDescent="0.25">
      <c r="C18" s="11">
        <f t="shared" ref="C18:C63" si="0">IF(D18&lt;&gt;"",ROW()-16,"")</f>
        <v>2</v>
      </c>
      <c r="D18" s="11" t="str">
        <v>L0002</v>
      </c>
      <c r="E18" s="11" t="str">
        <v>OTIS</v>
      </c>
      <c r="F18" s="11" t="str">
        <v>K6NC0633</v>
      </c>
      <c r="G18" s="11" t="str">
        <v>1600 კგ</v>
      </c>
      <c r="H18" s="11">
        <v>13</v>
      </c>
      <c r="I18" s="11" t="str">
        <v>0861-26</v>
      </c>
      <c r="J18" s="12">
        <v>55044</v>
      </c>
      <c r="K18" s="12">
        <v>147664.18</v>
      </c>
    </row>
    <row r="19" spans="3:11" hidden="1" x14ac:dyDescent="0.25">
      <c r="C19" s="11" t="str">
        <f t="shared" si="0"/>
        <v/>
      </c>
      <c r="D19" s="11"/>
      <c r="E19" s="11"/>
      <c r="F19" s="11"/>
      <c r="G19" s="11"/>
      <c r="H19" s="11"/>
      <c r="I19" s="11"/>
      <c r="J19" s="12"/>
      <c r="K19" s="12"/>
    </row>
    <row r="20" spans="3:11" hidden="1" x14ac:dyDescent="0.25">
      <c r="C20" s="11" t="str">
        <f t="shared" si="0"/>
        <v/>
      </c>
      <c r="D20" s="11"/>
      <c r="E20" s="11"/>
      <c r="F20" s="11"/>
      <c r="G20" s="11"/>
      <c r="H20" s="11"/>
      <c r="I20" s="11"/>
      <c r="J20" s="12"/>
      <c r="K20" s="12"/>
    </row>
    <row r="21" spans="3:11" hidden="1" x14ac:dyDescent="0.25">
      <c r="C21" s="11" t="str">
        <f t="shared" si="0"/>
        <v/>
      </c>
      <c r="D21" s="11"/>
      <c r="E21" s="11"/>
      <c r="F21" s="11"/>
      <c r="G21" s="11"/>
      <c r="H21" s="11"/>
      <c r="I21" s="11"/>
      <c r="J21" s="12"/>
      <c r="K21" s="12"/>
    </row>
    <row r="22" spans="3:11" hidden="1" x14ac:dyDescent="0.25">
      <c r="C22" s="11" t="str">
        <f t="shared" si="0"/>
        <v/>
      </c>
      <c r="D22" s="11"/>
      <c r="E22" s="11"/>
      <c r="F22" s="11"/>
      <c r="G22" s="11"/>
      <c r="H22" s="11"/>
      <c r="I22" s="11"/>
      <c r="J22" s="12"/>
      <c r="K22" s="12"/>
    </row>
    <row r="23" spans="3:11" hidden="1" x14ac:dyDescent="0.25">
      <c r="C23" s="11" t="str">
        <f t="shared" si="0"/>
        <v/>
      </c>
      <c r="D23" s="11"/>
      <c r="E23" s="11"/>
      <c r="F23" s="11"/>
      <c r="G23" s="11"/>
      <c r="H23" s="11"/>
      <c r="I23" s="11"/>
      <c r="J23" s="12"/>
      <c r="K23" s="12"/>
    </row>
    <row r="24" spans="3:11" hidden="1" x14ac:dyDescent="0.25">
      <c r="C24" s="11" t="str">
        <f t="shared" si="0"/>
        <v/>
      </c>
      <c r="D24" s="11"/>
      <c r="E24" s="11"/>
      <c r="F24" s="11"/>
      <c r="G24" s="11"/>
      <c r="H24" s="11"/>
      <c r="I24" s="11"/>
      <c r="J24" s="12"/>
      <c r="K24" s="12"/>
    </row>
    <row r="25" spans="3:11" hidden="1" x14ac:dyDescent="0.25">
      <c r="C25" s="11" t="str">
        <f t="shared" si="0"/>
        <v/>
      </c>
      <c r="D25" s="11"/>
      <c r="E25" s="11"/>
      <c r="F25" s="11"/>
      <c r="G25" s="11"/>
      <c r="H25" s="11"/>
      <c r="I25" s="11"/>
      <c r="J25" s="12"/>
      <c r="K25" s="12"/>
    </row>
    <row r="26" spans="3:11" hidden="1" x14ac:dyDescent="0.25">
      <c r="C26" s="11" t="str">
        <f t="shared" si="0"/>
        <v/>
      </c>
      <c r="D26" s="11"/>
      <c r="E26" s="11"/>
      <c r="F26" s="11"/>
      <c r="G26" s="11"/>
      <c r="H26" s="11"/>
      <c r="I26" s="11"/>
      <c r="J26" s="12"/>
      <c r="K26" s="12"/>
    </row>
    <row r="27" spans="3:11" hidden="1" x14ac:dyDescent="0.25">
      <c r="C27" s="11" t="str">
        <f t="shared" si="0"/>
        <v/>
      </c>
      <c r="D27" s="11"/>
      <c r="E27" s="11"/>
      <c r="F27" s="11"/>
      <c r="G27" s="11"/>
      <c r="H27" s="11"/>
      <c r="I27" s="11"/>
      <c r="J27" s="12"/>
      <c r="K27" s="12"/>
    </row>
    <row r="28" spans="3:11" hidden="1" x14ac:dyDescent="0.25">
      <c r="C28" s="11" t="str">
        <f t="shared" si="0"/>
        <v/>
      </c>
      <c r="D28" s="11"/>
      <c r="E28" s="11"/>
      <c r="F28" s="11"/>
      <c r="G28" s="11"/>
      <c r="H28" s="11"/>
      <c r="I28" s="11"/>
      <c r="J28" s="12"/>
      <c r="K28" s="12"/>
    </row>
    <row r="29" spans="3:11" hidden="1" x14ac:dyDescent="0.25">
      <c r="C29" s="11" t="str">
        <f t="shared" si="0"/>
        <v/>
      </c>
      <c r="D29" s="11"/>
      <c r="E29" s="11"/>
      <c r="F29" s="11"/>
      <c r="G29" s="11"/>
      <c r="H29" s="11"/>
      <c r="I29" s="11"/>
      <c r="J29" s="12"/>
      <c r="K29" s="12"/>
    </row>
    <row r="30" spans="3:11" hidden="1" x14ac:dyDescent="0.25">
      <c r="C30" s="11" t="str">
        <f t="shared" si="0"/>
        <v/>
      </c>
      <c r="D30" s="11"/>
      <c r="E30" s="11"/>
      <c r="F30" s="11"/>
      <c r="G30" s="11"/>
      <c r="H30" s="11"/>
      <c r="I30" s="11"/>
      <c r="J30" s="12"/>
      <c r="K30" s="12"/>
    </row>
    <row r="31" spans="3:11" hidden="1" x14ac:dyDescent="0.25">
      <c r="C31" s="11" t="str">
        <f t="shared" si="0"/>
        <v/>
      </c>
      <c r="D31" s="11"/>
      <c r="E31" s="11"/>
      <c r="F31" s="11"/>
      <c r="G31" s="11"/>
      <c r="H31" s="11"/>
      <c r="I31" s="11"/>
      <c r="J31" s="12"/>
      <c r="K31" s="12"/>
    </row>
    <row r="32" spans="3:11" hidden="1" x14ac:dyDescent="0.25">
      <c r="C32" s="11" t="str">
        <f t="shared" si="0"/>
        <v/>
      </c>
      <c r="D32" s="11"/>
      <c r="E32" s="11"/>
      <c r="F32" s="11"/>
      <c r="G32" s="11"/>
      <c r="H32" s="11"/>
      <c r="I32" s="11"/>
      <c r="J32" s="12"/>
      <c r="K32" s="12"/>
    </row>
    <row r="33" spans="3:11" hidden="1" x14ac:dyDescent="0.25">
      <c r="C33" s="11" t="str">
        <f t="shared" si="0"/>
        <v/>
      </c>
      <c r="D33" s="11"/>
      <c r="E33" s="11"/>
      <c r="F33" s="11"/>
      <c r="G33" s="11"/>
      <c r="H33" s="11"/>
      <c r="I33" s="11"/>
      <c r="J33" s="12"/>
      <c r="K33" s="12"/>
    </row>
    <row r="34" spans="3:11" hidden="1" x14ac:dyDescent="0.25">
      <c r="C34" s="11" t="str">
        <f t="shared" si="0"/>
        <v/>
      </c>
      <c r="D34" s="11"/>
      <c r="E34" s="11"/>
      <c r="F34" s="11"/>
      <c r="G34" s="11"/>
      <c r="H34" s="11"/>
      <c r="I34" s="11"/>
      <c r="J34" s="12"/>
      <c r="K34" s="12"/>
    </row>
    <row r="35" spans="3:11" hidden="1" x14ac:dyDescent="0.25">
      <c r="C35" s="11" t="str">
        <f t="shared" si="0"/>
        <v/>
      </c>
      <c r="D35" s="11"/>
      <c r="E35" s="11"/>
      <c r="F35" s="11"/>
      <c r="G35" s="11"/>
      <c r="H35" s="11"/>
      <c r="I35" s="11"/>
      <c r="J35" s="12"/>
      <c r="K35" s="12"/>
    </row>
    <row r="36" spans="3:11" hidden="1" x14ac:dyDescent="0.25">
      <c r="C36" s="11" t="str">
        <f t="shared" si="0"/>
        <v/>
      </c>
      <c r="D36" s="11"/>
      <c r="E36" s="11"/>
      <c r="F36" s="11"/>
      <c r="G36" s="11"/>
      <c r="H36" s="11"/>
      <c r="I36" s="11"/>
      <c r="J36" s="12"/>
      <c r="K36" s="12"/>
    </row>
    <row r="37" spans="3:11" hidden="1" x14ac:dyDescent="0.25">
      <c r="C37" s="11" t="str">
        <f t="shared" si="0"/>
        <v/>
      </c>
      <c r="D37" s="11"/>
      <c r="E37" s="11"/>
      <c r="F37" s="11"/>
      <c r="G37" s="11"/>
      <c r="H37" s="11"/>
      <c r="I37" s="11"/>
      <c r="J37" s="12"/>
      <c r="K37" s="12"/>
    </row>
    <row r="38" spans="3:11" hidden="1" x14ac:dyDescent="0.25">
      <c r="C38" s="11" t="str">
        <f t="shared" si="0"/>
        <v/>
      </c>
      <c r="D38" s="11"/>
      <c r="E38" s="11"/>
      <c r="F38" s="11"/>
      <c r="G38" s="11"/>
      <c r="H38" s="11"/>
      <c r="I38" s="11"/>
      <c r="J38" s="12"/>
      <c r="K38" s="12"/>
    </row>
    <row r="39" spans="3:11" hidden="1" x14ac:dyDescent="0.25">
      <c r="C39" s="11" t="str">
        <f t="shared" si="0"/>
        <v/>
      </c>
      <c r="D39" s="11"/>
      <c r="E39" s="11"/>
      <c r="F39" s="11"/>
      <c r="G39" s="11"/>
      <c r="H39" s="11"/>
      <c r="I39" s="11"/>
      <c r="J39" s="12"/>
      <c r="K39" s="12"/>
    </row>
    <row r="40" spans="3:11" hidden="1" x14ac:dyDescent="0.25">
      <c r="C40" s="11" t="str">
        <f t="shared" si="0"/>
        <v/>
      </c>
      <c r="D40" s="11"/>
      <c r="E40" s="11"/>
      <c r="F40" s="11"/>
      <c r="G40" s="11"/>
      <c r="H40" s="11"/>
      <c r="I40" s="11"/>
      <c r="J40" s="12"/>
      <c r="K40" s="12"/>
    </row>
    <row r="41" spans="3:11" hidden="1" x14ac:dyDescent="0.25">
      <c r="C41" s="11" t="str">
        <f t="shared" si="0"/>
        <v/>
      </c>
      <c r="D41" s="11"/>
      <c r="E41" s="11"/>
      <c r="F41" s="11"/>
      <c r="G41" s="11"/>
      <c r="H41" s="11"/>
      <c r="I41" s="11"/>
      <c r="J41" s="12"/>
      <c r="K41" s="12"/>
    </row>
    <row r="42" spans="3:11" hidden="1" x14ac:dyDescent="0.25">
      <c r="C42" s="11" t="str">
        <f t="shared" si="0"/>
        <v/>
      </c>
      <c r="D42" s="11"/>
      <c r="E42" s="11"/>
      <c r="F42" s="11"/>
      <c r="G42" s="11"/>
      <c r="H42" s="11"/>
      <c r="I42" s="11"/>
      <c r="J42" s="12"/>
      <c r="K42" s="12"/>
    </row>
    <row r="43" spans="3:11" hidden="1" x14ac:dyDescent="0.25">
      <c r="C43" s="11" t="str">
        <f t="shared" si="0"/>
        <v/>
      </c>
      <c r="D43" s="11"/>
      <c r="E43" s="11"/>
      <c r="F43" s="11"/>
      <c r="G43" s="11"/>
      <c r="H43" s="11"/>
      <c r="I43" s="11"/>
      <c r="J43" s="12"/>
      <c r="K43" s="12"/>
    </row>
    <row r="44" spans="3:11" hidden="1" x14ac:dyDescent="0.25">
      <c r="C44" s="11" t="str">
        <f t="shared" si="0"/>
        <v/>
      </c>
      <c r="D44" s="11"/>
      <c r="E44" s="11"/>
      <c r="F44" s="11"/>
      <c r="G44" s="11"/>
      <c r="H44" s="11"/>
      <c r="I44" s="11"/>
      <c r="J44" s="12"/>
      <c r="K44" s="12"/>
    </row>
    <row r="45" spans="3:11" hidden="1" x14ac:dyDescent="0.25">
      <c r="C45" s="11" t="str">
        <f t="shared" si="0"/>
        <v/>
      </c>
      <c r="D45" s="11"/>
      <c r="E45" s="11"/>
      <c r="F45" s="11"/>
      <c r="G45" s="11"/>
      <c r="H45" s="11"/>
      <c r="I45" s="11"/>
      <c r="J45" s="12"/>
      <c r="K45" s="12"/>
    </row>
    <row r="46" spans="3:11" hidden="1" x14ac:dyDescent="0.25">
      <c r="C46" s="11" t="str">
        <f t="shared" si="0"/>
        <v/>
      </c>
      <c r="D46" s="11"/>
      <c r="E46" s="11"/>
      <c r="F46" s="11"/>
      <c r="G46" s="11"/>
      <c r="H46" s="11"/>
      <c r="I46" s="11"/>
      <c r="J46" s="12"/>
      <c r="K46" s="12"/>
    </row>
    <row r="47" spans="3:11" hidden="1" x14ac:dyDescent="0.25">
      <c r="C47" s="11" t="str">
        <f t="shared" si="0"/>
        <v/>
      </c>
      <c r="D47" s="11"/>
      <c r="E47" s="11"/>
      <c r="F47" s="11"/>
      <c r="G47" s="11"/>
      <c r="H47" s="11"/>
      <c r="I47" s="11"/>
      <c r="J47" s="12"/>
      <c r="K47" s="12"/>
    </row>
    <row r="48" spans="3:11" hidden="1" x14ac:dyDescent="0.25">
      <c r="C48" s="11" t="str">
        <f t="shared" si="0"/>
        <v/>
      </c>
      <c r="D48" s="11"/>
      <c r="E48" s="11"/>
      <c r="F48" s="11"/>
      <c r="G48" s="11"/>
      <c r="H48" s="11"/>
      <c r="I48" s="11"/>
      <c r="J48" s="12"/>
      <c r="K48" s="12"/>
    </row>
    <row r="49" spans="3:11" hidden="1" x14ac:dyDescent="0.25">
      <c r="C49" s="11" t="str">
        <f t="shared" si="0"/>
        <v/>
      </c>
      <c r="D49" s="11"/>
      <c r="E49" s="11"/>
      <c r="F49" s="11"/>
      <c r="G49" s="11"/>
      <c r="H49" s="11"/>
      <c r="I49" s="11"/>
      <c r="J49" s="12"/>
      <c r="K49" s="12"/>
    </row>
    <row r="50" spans="3:11" hidden="1" x14ac:dyDescent="0.25">
      <c r="C50" s="11" t="str">
        <f t="shared" si="0"/>
        <v/>
      </c>
      <c r="D50" s="11"/>
      <c r="E50" s="11"/>
      <c r="F50" s="11"/>
      <c r="G50" s="11"/>
      <c r="H50" s="11"/>
      <c r="I50" s="11"/>
      <c r="J50" s="12"/>
      <c r="K50" s="12"/>
    </row>
    <row r="51" spans="3:11" hidden="1" x14ac:dyDescent="0.25">
      <c r="C51" s="11" t="str">
        <f t="shared" si="0"/>
        <v/>
      </c>
      <c r="D51" s="11"/>
      <c r="E51" s="11"/>
      <c r="F51" s="11"/>
      <c r="G51" s="11"/>
      <c r="H51" s="11"/>
      <c r="I51" s="11"/>
      <c r="J51" s="12"/>
      <c r="K51" s="12"/>
    </row>
    <row r="52" spans="3:11" hidden="1" x14ac:dyDescent="0.25">
      <c r="C52" s="11" t="str">
        <f t="shared" si="0"/>
        <v/>
      </c>
      <c r="D52" s="11"/>
      <c r="E52" s="11"/>
      <c r="F52" s="11"/>
      <c r="G52" s="11"/>
      <c r="H52" s="11"/>
      <c r="I52" s="11"/>
      <c r="J52" s="12"/>
      <c r="K52" s="12"/>
    </row>
    <row r="53" spans="3:11" hidden="1" x14ac:dyDescent="0.25">
      <c r="C53" s="11" t="str">
        <f t="shared" si="0"/>
        <v/>
      </c>
      <c r="D53" s="11"/>
      <c r="E53" s="11"/>
      <c r="F53" s="11"/>
      <c r="G53" s="11"/>
      <c r="H53" s="11"/>
      <c r="I53" s="11"/>
      <c r="J53" s="12"/>
      <c r="K53" s="12"/>
    </row>
    <row r="54" spans="3:11" hidden="1" x14ac:dyDescent="0.25">
      <c r="C54" s="11" t="str">
        <f t="shared" si="0"/>
        <v/>
      </c>
      <c r="D54" s="11"/>
      <c r="E54" s="11"/>
      <c r="F54" s="11"/>
      <c r="G54" s="11"/>
      <c r="H54" s="11"/>
      <c r="I54" s="11"/>
      <c r="J54" s="12"/>
      <c r="K54" s="12"/>
    </row>
    <row r="55" spans="3:11" hidden="1" x14ac:dyDescent="0.25">
      <c r="C55" s="11" t="str">
        <f t="shared" si="0"/>
        <v/>
      </c>
      <c r="D55" s="11"/>
      <c r="E55" s="11"/>
      <c r="F55" s="11"/>
      <c r="G55" s="11"/>
      <c r="H55" s="11"/>
      <c r="I55" s="11"/>
      <c r="J55" s="12"/>
      <c r="K55" s="12"/>
    </row>
    <row r="56" spans="3:11" hidden="1" x14ac:dyDescent="0.25">
      <c r="C56" s="11" t="str">
        <f t="shared" si="0"/>
        <v/>
      </c>
      <c r="D56" s="11"/>
      <c r="E56" s="11"/>
      <c r="F56" s="11"/>
      <c r="G56" s="11"/>
      <c r="H56" s="11"/>
      <c r="I56" s="11"/>
      <c r="J56" s="12"/>
      <c r="K56" s="12"/>
    </row>
    <row r="57" spans="3:11" hidden="1" x14ac:dyDescent="0.25">
      <c r="C57" s="11" t="str">
        <f t="shared" si="0"/>
        <v/>
      </c>
      <c r="D57" s="11"/>
      <c r="E57" s="11"/>
      <c r="F57" s="11"/>
      <c r="G57" s="11"/>
      <c r="H57" s="11"/>
      <c r="I57" s="11"/>
      <c r="J57" s="12"/>
      <c r="K57" s="12"/>
    </row>
    <row r="58" spans="3:11" hidden="1" x14ac:dyDescent="0.25">
      <c r="C58" s="11" t="str">
        <f t="shared" si="0"/>
        <v/>
      </c>
      <c r="D58" s="11"/>
      <c r="E58" s="11"/>
      <c r="F58" s="11"/>
      <c r="G58" s="11"/>
      <c r="H58" s="11"/>
      <c r="I58" s="11"/>
      <c r="J58" s="12"/>
      <c r="K58" s="12"/>
    </row>
    <row r="59" spans="3:11" hidden="1" x14ac:dyDescent="0.25">
      <c r="C59" s="11" t="str">
        <f t="shared" si="0"/>
        <v/>
      </c>
      <c r="D59" s="11"/>
      <c r="E59" s="11"/>
      <c r="F59" s="11"/>
      <c r="G59" s="11"/>
      <c r="H59" s="11"/>
      <c r="I59" s="11"/>
      <c r="J59" s="12"/>
      <c r="K59" s="12"/>
    </row>
    <row r="60" spans="3:11" hidden="1" x14ac:dyDescent="0.25">
      <c r="C60" s="11" t="str">
        <f t="shared" si="0"/>
        <v/>
      </c>
      <c r="D60" s="11"/>
      <c r="E60" s="11"/>
      <c r="F60" s="11"/>
      <c r="G60" s="11"/>
      <c r="H60" s="11"/>
      <c r="I60" s="11"/>
      <c r="J60" s="12"/>
      <c r="K60" s="12"/>
    </row>
    <row r="61" spans="3:11" hidden="1" x14ac:dyDescent="0.25">
      <c r="C61" s="11" t="str">
        <f t="shared" si="0"/>
        <v/>
      </c>
      <c r="D61" s="11"/>
      <c r="E61" s="11"/>
      <c r="F61" s="11"/>
      <c r="G61" s="11"/>
      <c r="H61" s="11"/>
      <c r="I61" s="11"/>
      <c r="J61" s="12"/>
      <c r="K61" s="12"/>
    </row>
    <row r="62" spans="3:11" hidden="1" x14ac:dyDescent="0.25">
      <c r="C62" s="11" t="str">
        <f t="shared" si="0"/>
        <v/>
      </c>
      <c r="D62" s="11"/>
      <c r="E62" s="11"/>
      <c r="F62" s="11"/>
      <c r="G62" s="11"/>
      <c r="H62" s="11"/>
      <c r="I62" s="11"/>
      <c r="J62" s="12"/>
      <c r="K62" s="12"/>
    </row>
    <row r="63" spans="3:11" hidden="1" x14ac:dyDescent="0.25">
      <c r="C63" s="11" t="str">
        <f t="shared" si="0"/>
        <v/>
      </c>
      <c r="D63" s="11"/>
      <c r="E63" s="11"/>
      <c r="F63" s="11"/>
      <c r="G63" s="11"/>
      <c r="H63" s="11"/>
      <c r="I63" s="11"/>
      <c r="J63" s="12"/>
      <c r="K63" s="12"/>
    </row>
    <row r="64" spans="3:11" x14ac:dyDescent="0.25">
      <c r="C64" s="13" t="s">
        <v>83</v>
      </c>
      <c r="D64" s="13"/>
      <c r="E64" s="13"/>
      <c r="F64" s="13"/>
      <c r="G64" s="13"/>
      <c r="H64" s="13"/>
      <c r="I64" s="11"/>
      <c r="J64" s="12">
        <f>SUM(J17:J63)</f>
        <v>99132</v>
      </c>
      <c r="K64" s="12">
        <f>SUM(K17:K63)</f>
        <v>265932.28000000003</v>
      </c>
    </row>
    <row r="65" spans="3:12" x14ac:dyDescent="0.25">
      <c r="C65" s="4"/>
      <c r="D65" s="4"/>
    </row>
    <row r="66" spans="3:12" ht="139.5" customHeight="1" x14ac:dyDescent="0.25">
      <c r="C66" s="17" t="s">
        <v>89</v>
      </c>
      <c r="D66" s="18"/>
      <c r="E66" s="18"/>
      <c r="F66" s="18"/>
      <c r="G66" s="18"/>
      <c r="H66" s="18"/>
      <c r="I66" s="18"/>
      <c r="J66" s="18"/>
      <c r="K66" s="18"/>
    </row>
    <row r="67" spans="3:12" x14ac:dyDescent="0.25">
      <c r="C67" s="4"/>
      <c r="D67" s="4"/>
    </row>
    <row r="68" spans="3:12" x14ac:dyDescent="0.25">
      <c r="C68" s="4"/>
      <c r="D68" s="4"/>
    </row>
    <row r="69" spans="3:12" ht="15.75" customHeight="1" x14ac:dyDescent="0.25">
      <c r="C69" s="8" t="s">
        <v>90</v>
      </c>
      <c r="D69" s="5"/>
      <c r="E69" s="5"/>
      <c r="F69" s="5"/>
      <c r="G69" s="5"/>
      <c r="H69" s="19" t="s">
        <v>91</v>
      </c>
      <c r="I69" s="20"/>
      <c r="J69" s="20"/>
      <c r="K69" s="20"/>
      <c r="L69" s="7"/>
    </row>
    <row r="70" spans="3:12" x14ac:dyDescent="0.25">
      <c r="C70" s="5"/>
      <c r="D70" s="5"/>
      <c r="E70" s="5"/>
      <c r="F70" s="5"/>
      <c r="G70" s="5"/>
      <c r="H70" s="20"/>
      <c r="I70" s="20"/>
      <c r="J70" s="20"/>
      <c r="K70" s="20"/>
      <c r="L70" s="7"/>
    </row>
    <row r="71" spans="3:12" x14ac:dyDescent="0.25">
      <c r="C71" s="5"/>
      <c r="D71" s="5"/>
      <c r="E71" s="5"/>
      <c r="F71" s="5"/>
      <c r="G71" s="5"/>
      <c r="H71" s="20"/>
      <c r="I71" s="20"/>
      <c r="J71" s="20"/>
      <c r="K71" s="20"/>
      <c r="L71" s="7"/>
    </row>
    <row r="72" spans="3:12" x14ac:dyDescent="0.25">
      <c r="C72" s="5"/>
      <c r="D72" s="5"/>
      <c r="E72" s="5"/>
      <c r="F72" s="5"/>
      <c r="G72" s="5"/>
      <c r="H72" s="20"/>
      <c r="I72" s="20"/>
      <c r="J72" s="20"/>
      <c r="K72" s="20"/>
      <c r="L72" s="7"/>
    </row>
    <row r="73" spans="3:12" x14ac:dyDescent="0.25">
      <c r="C73" s="5"/>
      <c r="D73" s="5"/>
      <c r="E73" s="5"/>
      <c r="F73" s="5"/>
      <c r="G73" s="5"/>
      <c r="H73" s="20"/>
      <c r="I73" s="20"/>
      <c r="J73" s="20"/>
      <c r="K73" s="20"/>
      <c r="L73" s="7"/>
    </row>
    <row r="74" spans="3:12" x14ac:dyDescent="0.25">
      <c r="C74" s="5"/>
      <c r="D74" s="5"/>
      <c r="E74" s="5"/>
      <c r="F74" s="5"/>
      <c r="G74" s="5"/>
      <c r="H74" s="20"/>
      <c r="I74" s="20"/>
      <c r="J74" s="20"/>
      <c r="K74" s="20"/>
      <c r="L74" s="7"/>
    </row>
    <row r="75" spans="3:12" x14ac:dyDescent="0.25">
      <c r="C75" s="5"/>
      <c r="D75" s="5"/>
      <c r="E75" s="5"/>
      <c r="F75" s="5"/>
      <c r="G75" s="5"/>
      <c r="H75" s="20"/>
      <c r="I75" s="20"/>
      <c r="J75" s="20"/>
      <c r="K75" s="20"/>
      <c r="L75" s="7"/>
    </row>
    <row r="76" spans="3:12" x14ac:dyDescent="0.25">
      <c r="C76" s="5"/>
      <c r="D76" s="5"/>
      <c r="E76" s="5"/>
      <c r="F76" s="5"/>
      <c r="G76" s="5"/>
      <c r="H76" s="20"/>
      <c r="I76" s="20"/>
      <c r="J76" s="20"/>
      <c r="K76" s="20"/>
      <c r="L76" s="7"/>
    </row>
    <row r="77" spans="3:12" x14ac:dyDescent="0.25">
      <c r="C77" s="5"/>
      <c r="D77" s="5"/>
      <c r="E77" s="5"/>
      <c r="F77" s="5"/>
      <c r="G77" s="5"/>
      <c r="H77" s="20"/>
      <c r="I77" s="20"/>
      <c r="J77" s="20"/>
      <c r="K77" s="20"/>
      <c r="L77" s="7"/>
    </row>
    <row r="78" spans="3:12" x14ac:dyDescent="0.25">
      <c r="C78" s="5"/>
      <c r="D78" s="5"/>
      <c r="E78" s="5"/>
      <c r="F78" s="5"/>
      <c r="G78" s="5"/>
      <c r="H78" s="20"/>
      <c r="I78" s="20"/>
      <c r="J78" s="20"/>
      <c r="K78" s="20"/>
      <c r="L78" s="7"/>
    </row>
    <row r="79" spans="3:12" x14ac:dyDescent="0.25">
      <c r="C79" s="5"/>
      <c r="D79" s="5"/>
      <c r="E79" s="5"/>
      <c r="F79" s="5"/>
      <c r="G79" s="5"/>
      <c r="H79" s="20"/>
      <c r="I79" s="20"/>
      <c r="J79" s="20"/>
      <c r="K79" s="20"/>
      <c r="L79" s="7"/>
    </row>
    <row r="80" spans="3:12" x14ac:dyDescent="0.25">
      <c r="C80" s="4"/>
      <c r="D80" s="4"/>
    </row>
    <row r="81" spans="3:4" x14ac:dyDescent="0.25">
      <c r="C81" s="4"/>
      <c r="D81" s="4"/>
    </row>
    <row r="82" spans="3:4" x14ac:dyDescent="0.25">
      <c r="C82" s="4"/>
      <c r="D82" s="4"/>
    </row>
    <row r="83" spans="3:4" x14ac:dyDescent="0.25">
      <c r="C83" s="4"/>
      <c r="D83" s="4"/>
    </row>
    <row r="84" spans="3:4" x14ac:dyDescent="0.25">
      <c r="C84" s="4"/>
      <c r="D84" s="4"/>
    </row>
    <row r="85" spans="3:4" x14ac:dyDescent="0.25">
      <c r="C85" s="4"/>
      <c r="D85" s="4"/>
    </row>
  </sheetData>
  <mergeCells count="11">
    <mergeCell ref="Q3:U3"/>
    <mergeCell ref="V3:AC3"/>
    <mergeCell ref="C6:K14"/>
    <mergeCell ref="C1:K1"/>
    <mergeCell ref="C66:K66"/>
    <mergeCell ref="C69:G79"/>
    <mergeCell ref="H69:K79"/>
    <mergeCell ref="C64:H64"/>
    <mergeCell ref="G2:H2"/>
    <mergeCell ref="C4:E4"/>
    <mergeCell ref="J4:K4"/>
  </mergeCells>
  <printOptions headings="1" gridLines="1"/>
  <pageMargins left="0.25" right="0.25"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675467D-43AF-4C81-932C-5A9EE6AB67C4}">
          <x14:formula1>
            <xm:f>Jobs!$M$2:$M$100</xm:f>
          </x14:formula1>
          <xm:sqref>V3:AC3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
  <sheetViews>
    <sheetView topLeftCell="A7" workbookViewId="0">
      <selection activeCell="Q1" sqref="Q1"/>
    </sheetView>
  </sheetViews>
  <sheetFormatPr defaultRowHeight="15" x14ac:dyDescent="0.25"/>
  <cols>
    <col min="1" max="1" width="8.75" bestFit="1" customWidth="1"/>
    <col min="2" max="2" width="9.5" bestFit="1" customWidth="1"/>
    <col min="3" max="3" width="10.875" bestFit="1" customWidth="1"/>
    <col min="4" max="4" width="5.75" bestFit="1" customWidth="1"/>
    <col min="5" max="5" width="10.375" bestFit="1" customWidth="1"/>
    <col min="6" max="6" width="10.75" bestFit="1" customWidth="1"/>
    <col min="7" max="7" width="11.625" bestFit="1" customWidth="1"/>
    <col min="8" max="8" width="9.875" bestFit="1" customWidth="1"/>
    <col min="9" max="9" width="12.5" bestFit="1" customWidth="1"/>
    <col min="10" max="10" width="8.875" bestFit="1" customWidth="1"/>
    <col min="11" max="11" width="9.875" bestFit="1" customWidth="1"/>
    <col min="12" max="12" width="6.75" bestFit="1" customWidth="1"/>
    <col min="13" max="13" width="11.75" bestFit="1" customWidth="1"/>
    <col min="14" max="14" width="13.875" bestFit="1" customWidth="1"/>
  </cols>
  <sheetData>
    <row r="1" spans="1:14" ht="15.75" x14ac:dyDescent="0.25">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4" ht="15.75" x14ac:dyDescent="0.25">
      <c r="A2" s="14" t="s">
        <v>14</v>
      </c>
      <c r="B2" s="14" t="s">
        <v>15</v>
      </c>
      <c r="C2" s="14" t="s">
        <v>16</v>
      </c>
      <c r="D2" s="14">
        <v>13</v>
      </c>
      <c r="E2" s="14">
        <v>1000</v>
      </c>
      <c r="F2" s="1">
        <v>44088</v>
      </c>
      <c r="G2" s="1">
        <v>41872.75</v>
      </c>
      <c r="H2" s="1">
        <v>112346.29000000001</v>
      </c>
      <c r="I2" s="1">
        <v>2215.25</v>
      </c>
      <c r="J2" s="1">
        <v>5921.81</v>
      </c>
      <c r="K2" s="1">
        <v>118268.1</v>
      </c>
      <c r="L2" s="14" t="s">
        <v>17</v>
      </c>
      <c r="M2" s="2">
        <v>46169</v>
      </c>
      <c r="N2" s="14" t="s">
        <v>18</v>
      </c>
    </row>
    <row r="3" spans="1:14" ht="15.75" x14ac:dyDescent="0.25">
      <c r="A3" s="14" t="s">
        <v>19</v>
      </c>
      <c r="B3" s="14" t="s">
        <v>20</v>
      </c>
      <c r="C3" s="14" t="s">
        <v>16</v>
      </c>
      <c r="D3" s="14">
        <v>13</v>
      </c>
      <c r="E3" s="14">
        <v>1600</v>
      </c>
      <c r="F3" s="1">
        <v>55044</v>
      </c>
      <c r="G3" s="1">
        <v>52291.8</v>
      </c>
      <c r="H3" s="1">
        <v>140307</v>
      </c>
      <c r="I3" s="1">
        <v>2752.1999999999971</v>
      </c>
      <c r="J3" s="1">
        <v>7357.18</v>
      </c>
      <c r="K3" s="1">
        <v>147664.18</v>
      </c>
      <c r="L3" s="14" t="s">
        <v>17</v>
      </c>
      <c r="M3" s="2">
        <v>46169</v>
      </c>
      <c r="N3" s="14" t="s">
        <v>21</v>
      </c>
    </row>
    <row r="4" spans="1:14" ht="15.75" x14ac:dyDescent="0.25">
      <c r="A4" s="14" t="s">
        <v>22</v>
      </c>
      <c r="B4" s="14" t="s">
        <v>23</v>
      </c>
      <c r="C4" s="14" t="s">
        <v>16</v>
      </c>
      <c r="D4" s="14">
        <v>4</v>
      </c>
      <c r="E4" s="14">
        <v>1000</v>
      </c>
      <c r="F4" s="1">
        <v>53783</v>
      </c>
      <c r="G4" s="1">
        <v>51093.85</v>
      </c>
      <c r="H4" s="1">
        <v>137682.66</v>
      </c>
      <c r="I4" s="1">
        <v>2689.1500000000015</v>
      </c>
      <c r="J4" s="1">
        <v>0</v>
      </c>
      <c r="K4" s="1">
        <v>0</v>
      </c>
      <c r="L4" s="14" t="s">
        <v>17</v>
      </c>
      <c r="M4" s="2" t="s">
        <v>24</v>
      </c>
      <c r="N4" s="14" t="s">
        <v>24</v>
      </c>
    </row>
    <row r="5" spans="1:14" ht="15.75" x14ac:dyDescent="0.25">
      <c r="A5" s="14" t="s">
        <v>25</v>
      </c>
      <c r="B5" s="14" t="s">
        <v>26</v>
      </c>
      <c r="C5" s="14" t="s">
        <v>16</v>
      </c>
      <c r="D5" s="14">
        <v>4</v>
      </c>
      <c r="E5" s="14">
        <v>1000</v>
      </c>
      <c r="F5" s="1">
        <v>53783</v>
      </c>
      <c r="G5" s="1">
        <v>51093.85</v>
      </c>
      <c r="H5" s="1">
        <v>137682.65</v>
      </c>
      <c r="I5" s="1">
        <v>2689.1500000000015</v>
      </c>
      <c r="J5" s="1">
        <v>0</v>
      </c>
      <c r="K5" s="1">
        <v>0</v>
      </c>
      <c r="L5" s="14" t="s">
        <v>17</v>
      </c>
      <c r="M5" s="2" t="s">
        <v>24</v>
      </c>
      <c r="N5" s="14" t="s">
        <v>24</v>
      </c>
    </row>
    <row r="6" spans="1:14" ht="15.75" x14ac:dyDescent="0.25">
      <c r="A6" s="14" t="s">
        <v>24</v>
      </c>
      <c r="B6" s="14" t="s">
        <v>24</v>
      </c>
      <c r="C6" s="14" t="s">
        <v>24</v>
      </c>
      <c r="D6" s="14" t="s">
        <v>24</v>
      </c>
      <c r="E6" s="14" t="s">
        <v>24</v>
      </c>
      <c r="F6" s="1">
        <v>206698</v>
      </c>
      <c r="G6" s="1">
        <v>196352.25</v>
      </c>
      <c r="H6" s="1">
        <v>528018.6</v>
      </c>
      <c r="I6" s="1">
        <v>10345.75</v>
      </c>
      <c r="J6" s="1">
        <v>13278.990000000002</v>
      </c>
      <c r="K6" s="1">
        <v>265932.28000000003</v>
      </c>
      <c r="L6" s="14" t="s">
        <v>24</v>
      </c>
      <c r="M6" s="14" t="s">
        <v>24</v>
      </c>
      <c r="N6" s="14"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election activeCell="F2" sqref="F2:F8"/>
    </sheetView>
  </sheetViews>
  <sheetFormatPr defaultRowHeight="15" x14ac:dyDescent="0.25"/>
  <cols>
    <col min="1" max="1" width="10.25" bestFit="1" customWidth="1"/>
    <col min="2" max="2" width="17.125" bestFit="1" customWidth="1"/>
    <col min="3" max="3" width="62.875" bestFit="1" customWidth="1"/>
    <col min="4" max="6" width="8.875" bestFit="1" customWidth="1"/>
    <col min="7" max="7" width="7.75" bestFit="1" customWidth="1"/>
    <col min="8" max="8" width="8.875" bestFit="1" customWidth="1"/>
  </cols>
  <sheetData>
    <row r="1" spans="1:8" ht="15.75" x14ac:dyDescent="0.25">
      <c r="A1" t="s">
        <v>27</v>
      </c>
      <c r="B1" t="s">
        <v>28</v>
      </c>
      <c r="C1" t="s">
        <v>29</v>
      </c>
      <c r="D1" t="s">
        <v>30</v>
      </c>
      <c r="E1" t="s">
        <v>31</v>
      </c>
      <c r="F1" t="s">
        <v>32</v>
      </c>
      <c r="G1" t="s">
        <v>33</v>
      </c>
      <c r="H1" t="s">
        <v>34</v>
      </c>
    </row>
    <row r="2" spans="1:8" ht="15.75" x14ac:dyDescent="0.25">
      <c r="A2" s="2">
        <v>45561</v>
      </c>
      <c r="B2" t="s">
        <v>35</v>
      </c>
      <c r="C2" t="s">
        <v>36</v>
      </c>
      <c r="D2" s="1">
        <v>31004.7</v>
      </c>
      <c r="E2" s="1">
        <v>31004.7</v>
      </c>
      <c r="F2" s="1">
        <v>30993.85</v>
      </c>
      <c r="G2" s="3">
        <v>0.99970000000000003</v>
      </c>
      <c r="H2" s="1">
        <v>10.85</v>
      </c>
    </row>
    <row r="3" spans="1:8" ht="15.75" x14ac:dyDescent="0.25">
      <c r="A3" s="2">
        <v>45567</v>
      </c>
      <c r="B3" t="s">
        <v>37</v>
      </c>
      <c r="C3" t="s">
        <v>38</v>
      </c>
      <c r="D3" s="1">
        <v>10334.9</v>
      </c>
      <c r="E3" s="1">
        <v>10334.9</v>
      </c>
      <c r="F3" s="1">
        <v>0</v>
      </c>
      <c r="G3" s="3">
        <v>0</v>
      </c>
      <c r="H3" s="1">
        <v>10334.9</v>
      </c>
    </row>
    <row r="4" spans="1:8" ht="15.75" x14ac:dyDescent="0.25">
      <c r="A4" s="2">
        <v>45463</v>
      </c>
      <c r="B4" t="s">
        <v>39</v>
      </c>
      <c r="C4" t="s">
        <v>40</v>
      </c>
      <c r="D4" s="1">
        <v>82679.199999999997</v>
      </c>
      <c r="E4" s="1">
        <v>82679.199999999997</v>
      </c>
      <c r="F4" s="1">
        <v>82679.199999999997</v>
      </c>
      <c r="G4" s="3">
        <v>1</v>
      </c>
      <c r="H4" s="1">
        <v>0</v>
      </c>
    </row>
    <row r="5" spans="1:8" ht="15.75" x14ac:dyDescent="0.25">
      <c r="A5" s="2" t="s">
        <v>24</v>
      </c>
      <c r="B5" t="s">
        <v>41</v>
      </c>
      <c r="C5" t="s">
        <v>42</v>
      </c>
      <c r="D5" s="1">
        <v>0</v>
      </c>
      <c r="E5" s="1">
        <v>0</v>
      </c>
      <c r="F5" s="1">
        <v>0</v>
      </c>
      <c r="G5" s="3">
        <v>0</v>
      </c>
      <c r="H5" s="1">
        <v>0</v>
      </c>
    </row>
    <row r="6" spans="1:8" ht="15.75" x14ac:dyDescent="0.25">
      <c r="A6" s="2" t="s">
        <v>24</v>
      </c>
      <c r="B6" t="s">
        <v>43</v>
      </c>
      <c r="C6" t="s">
        <v>44</v>
      </c>
      <c r="D6" s="1">
        <v>0</v>
      </c>
      <c r="E6" s="1">
        <v>0</v>
      </c>
      <c r="F6" s="1">
        <v>0</v>
      </c>
      <c r="G6" s="3">
        <v>0</v>
      </c>
      <c r="H6" s="1">
        <v>0</v>
      </c>
    </row>
    <row r="7" spans="1:8" ht="15.75" x14ac:dyDescent="0.25">
      <c r="A7" s="2">
        <v>45394</v>
      </c>
      <c r="B7" t="s">
        <v>45</v>
      </c>
      <c r="C7" t="s">
        <v>46</v>
      </c>
      <c r="D7" s="1">
        <v>82679.199999999997</v>
      </c>
      <c r="E7" s="1">
        <v>82679.199999999997</v>
      </c>
      <c r="F7" s="1">
        <v>82679.199999999997</v>
      </c>
      <c r="G7" s="3">
        <v>1</v>
      </c>
      <c r="H7" s="1">
        <v>0</v>
      </c>
    </row>
  </sheetData>
  <pageMargins left="0.7" right="0.7" top="0.75" bottom="0.75" header="0.3" footer="0.3"/>
  <ignoredErrors>
    <ignoredError sqref="A1:H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4"/>
  <sheetViews>
    <sheetView workbookViewId="0">
      <selection activeCell="D23" sqref="D23"/>
    </sheetView>
  </sheetViews>
  <sheetFormatPr defaultRowHeight="15" x14ac:dyDescent="0.25"/>
  <cols>
    <col min="1" max="1" width="9.875" bestFit="1" customWidth="1"/>
    <col min="2" max="2" width="14.5" bestFit="1" customWidth="1"/>
    <col min="3" max="3" width="7.875" bestFit="1" customWidth="1"/>
    <col min="4" max="4" width="9.875" bestFit="1" customWidth="1"/>
    <col min="5" max="5" width="62.875" bestFit="1" customWidth="1"/>
    <col min="6" max="6" width="17.125" bestFit="1" customWidth="1"/>
    <col min="7" max="7" width="22.25" bestFit="1" customWidth="1"/>
    <col min="8" max="8" width="153.375" bestFit="1" customWidth="1"/>
    <col min="9" max="9" width="11.875" bestFit="1" customWidth="1"/>
    <col min="10" max="10" width="10.875" bestFit="1" customWidth="1"/>
    <col min="11" max="11" width="8.75" bestFit="1" customWidth="1"/>
    <col min="12" max="12" width="9.5" bestFit="1" customWidth="1"/>
    <col min="13" max="13" width="10.75" bestFit="1" customWidth="1"/>
    <col min="14" max="14" width="10.875" bestFit="1" customWidth="1"/>
    <col min="15" max="15" width="16.75" bestFit="1" customWidth="1"/>
    <col min="16" max="16" width="29.25" bestFit="1" customWidth="1"/>
  </cols>
  <sheetData>
    <row r="1" spans="1:16" ht="15.75" x14ac:dyDescent="0.25">
      <c r="A1" t="s">
        <v>47</v>
      </c>
      <c r="B1" t="s">
        <v>48</v>
      </c>
      <c r="C1" t="s">
        <v>49</v>
      </c>
      <c r="D1" t="s">
        <v>50</v>
      </c>
      <c r="E1" t="s">
        <v>29</v>
      </c>
      <c r="F1" t="s">
        <v>28</v>
      </c>
      <c r="G1" t="s">
        <v>51</v>
      </c>
      <c r="H1" t="s">
        <v>52</v>
      </c>
      <c r="I1" t="s">
        <v>53</v>
      </c>
      <c r="J1" t="s">
        <v>54</v>
      </c>
      <c r="K1" t="s">
        <v>0</v>
      </c>
      <c r="L1" t="s">
        <v>1</v>
      </c>
      <c r="M1" t="s">
        <v>5</v>
      </c>
      <c r="N1" t="s">
        <v>55</v>
      </c>
      <c r="O1" t="s">
        <v>56</v>
      </c>
      <c r="P1" t="s">
        <v>57</v>
      </c>
    </row>
    <row r="2" spans="1:16" ht="15.75" x14ac:dyDescent="0.25">
      <c r="A2" s="2">
        <v>45561</v>
      </c>
      <c r="B2" s="1">
        <v>14784.45</v>
      </c>
      <c r="C2" t="s">
        <v>58</v>
      </c>
      <c r="D2" s="1">
        <v>40315.71</v>
      </c>
      <c r="E2" t="s">
        <v>36</v>
      </c>
      <c r="F2" t="s">
        <v>35</v>
      </c>
      <c r="G2" t="s">
        <v>24</v>
      </c>
      <c r="H2" t="s">
        <v>59</v>
      </c>
      <c r="I2" t="s">
        <v>60</v>
      </c>
      <c r="J2" t="s">
        <v>61</v>
      </c>
      <c r="K2" t="s">
        <v>19</v>
      </c>
      <c r="L2" t="s">
        <v>20</v>
      </c>
      <c r="M2" s="1" t="s">
        <v>24</v>
      </c>
      <c r="N2" s="3">
        <v>0.5534</v>
      </c>
      <c r="O2" s="1">
        <v>8181.7146300000004</v>
      </c>
      <c r="P2" s="1">
        <v>22310.713914</v>
      </c>
    </row>
    <row r="3" spans="1:16" ht="15.75" x14ac:dyDescent="0.25">
      <c r="A3" s="2">
        <v>45561</v>
      </c>
      <c r="B3" s="1">
        <v>14784.45</v>
      </c>
      <c r="C3" t="s">
        <v>58</v>
      </c>
      <c r="D3" s="1">
        <v>40315.71</v>
      </c>
      <c r="E3" t="s">
        <v>36</v>
      </c>
      <c r="F3" t="s">
        <v>35</v>
      </c>
      <c r="G3" t="s">
        <v>24</v>
      </c>
      <c r="H3" t="s">
        <v>59</v>
      </c>
      <c r="I3" t="s">
        <v>60</v>
      </c>
      <c r="J3" t="s">
        <v>61</v>
      </c>
      <c r="K3" t="s">
        <v>14</v>
      </c>
      <c r="L3" t="s">
        <v>15</v>
      </c>
      <c r="M3" s="1" t="s">
        <v>24</v>
      </c>
      <c r="N3" s="3">
        <v>0.44659999999999994</v>
      </c>
      <c r="O3" s="1">
        <v>6602.7353699999994</v>
      </c>
      <c r="P3" s="1">
        <v>18004.996085999996</v>
      </c>
    </row>
    <row r="4" spans="1:16" ht="15.75" x14ac:dyDescent="0.25">
      <c r="A4" s="2">
        <v>45466</v>
      </c>
      <c r="B4" s="1">
        <v>14869.8</v>
      </c>
      <c r="C4" t="s">
        <v>58</v>
      </c>
      <c r="D4" s="1">
        <v>41636.93</v>
      </c>
      <c r="E4" t="s">
        <v>36</v>
      </c>
      <c r="F4" t="s">
        <v>35</v>
      </c>
      <c r="G4" t="s">
        <v>24</v>
      </c>
      <c r="H4" t="s">
        <v>62</v>
      </c>
      <c r="I4" t="s">
        <v>63</v>
      </c>
      <c r="J4" t="s">
        <v>64</v>
      </c>
      <c r="K4" t="s">
        <v>19</v>
      </c>
      <c r="L4" t="s">
        <v>20</v>
      </c>
      <c r="M4" s="1" t="s">
        <v>24</v>
      </c>
      <c r="N4" s="3">
        <v>0.5</v>
      </c>
      <c r="O4" s="1">
        <v>74.349000000000004</v>
      </c>
      <c r="P4" s="1">
        <v>208.18465</v>
      </c>
    </row>
    <row r="5" spans="1:16" ht="15.75" x14ac:dyDescent="0.25">
      <c r="A5" s="2">
        <v>45466</v>
      </c>
      <c r="B5" s="1">
        <v>14869.8</v>
      </c>
      <c r="C5" t="s">
        <v>58</v>
      </c>
      <c r="D5" s="1">
        <v>41636.93</v>
      </c>
      <c r="E5" t="s">
        <v>36</v>
      </c>
      <c r="F5" t="s">
        <v>35</v>
      </c>
      <c r="G5" t="s">
        <v>24</v>
      </c>
      <c r="H5" t="s">
        <v>62</v>
      </c>
      <c r="I5" t="s">
        <v>63</v>
      </c>
      <c r="J5" t="s">
        <v>64</v>
      </c>
      <c r="K5" t="s">
        <v>25</v>
      </c>
      <c r="L5" t="s">
        <v>26</v>
      </c>
      <c r="M5" s="1" t="s">
        <v>24</v>
      </c>
      <c r="N5" s="3">
        <v>0.4975</v>
      </c>
      <c r="O5" s="1">
        <v>7397.7254999999996</v>
      </c>
      <c r="P5" s="1">
        <v>20714.372674999999</v>
      </c>
    </row>
    <row r="6" spans="1:16" ht="15.75" x14ac:dyDescent="0.25">
      <c r="A6" s="2">
        <v>45466</v>
      </c>
      <c r="B6" s="1">
        <v>14869.8</v>
      </c>
      <c r="C6" t="s">
        <v>58</v>
      </c>
      <c r="D6" s="1">
        <v>41636.93</v>
      </c>
      <c r="E6" t="s">
        <v>36</v>
      </c>
      <c r="F6" t="s">
        <v>35</v>
      </c>
      <c r="G6" t="s">
        <v>24</v>
      </c>
      <c r="H6" t="s">
        <v>62</v>
      </c>
      <c r="I6" t="s">
        <v>63</v>
      </c>
      <c r="J6" t="s">
        <v>64</v>
      </c>
      <c r="K6" t="s">
        <v>22</v>
      </c>
      <c r="L6" t="s">
        <v>23</v>
      </c>
      <c r="M6" s="1" t="s">
        <v>24</v>
      </c>
      <c r="N6" s="3">
        <v>0.4975</v>
      </c>
      <c r="O6" s="1">
        <v>7397.7254999999996</v>
      </c>
      <c r="P6" s="1">
        <v>20714.372674999999</v>
      </c>
    </row>
    <row r="7" spans="1:16" ht="15.75" x14ac:dyDescent="0.25">
      <c r="A7" s="2">
        <v>45463</v>
      </c>
      <c r="B7" s="1">
        <v>5358.4</v>
      </c>
      <c r="C7" t="s">
        <v>58</v>
      </c>
      <c r="D7" s="1">
        <v>15041.56</v>
      </c>
      <c r="E7" t="s">
        <v>40</v>
      </c>
      <c r="F7" t="s">
        <v>39</v>
      </c>
      <c r="G7" t="s">
        <v>65</v>
      </c>
      <c r="H7" t="s">
        <v>59</v>
      </c>
      <c r="I7" t="s">
        <v>66</v>
      </c>
      <c r="J7" t="s">
        <v>67</v>
      </c>
      <c r="K7" t="s">
        <v>19</v>
      </c>
      <c r="L7" t="s">
        <v>20</v>
      </c>
      <c r="M7" s="1" t="s">
        <v>24</v>
      </c>
      <c r="N7" s="3">
        <v>0.26629999999999998</v>
      </c>
      <c r="O7" s="1">
        <v>1426.9419199999998</v>
      </c>
      <c r="P7" s="1">
        <v>4005.5674279999994</v>
      </c>
    </row>
    <row r="8" spans="1:16" ht="15.75" x14ac:dyDescent="0.25">
      <c r="A8" s="2">
        <v>45463</v>
      </c>
      <c r="B8" s="1">
        <v>5358.4</v>
      </c>
      <c r="C8" t="s">
        <v>58</v>
      </c>
      <c r="D8" s="1">
        <v>15041.56</v>
      </c>
      <c r="E8" t="s">
        <v>40</v>
      </c>
      <c r="F8" t="s">
        <v>39</v>
      </c>
      <c r="G8" t="s">
        <v>65</v>
      </c>
      <c r="H8" t="s">
        <v>59</v>
      </c>
      <c r="I8" t="s">
        <v>66</v>
      </c>
      <c r="J8" t="s">
        <v>67</v>
      </c>
      <c r="K8" t="s">
        <v>22</v>
      </c>
      <c r="L8" t="s">
        <v>23</v>
      </c>
      <c r="M8" s="1" t="s">
        <v>24</v>
      </c>
      <c r="N8" s="3">
        <v>0.26019999999999999</v>
      </c>
      <c r="O8" s="1">
        <v>1394.2556799999998</v>
      </c>
      <c r="P8" s="1">
        <v>3913.8139119999996</v>
      </c>
    </row>
    <row r="9" spans="1:16" ht="15.75" x14ac:dyDescent="0.25">
      <c r="A9" s="2">
        <v>45463</v>
      </c>
      <c r="B9" s="1">
        <v>5358.4</v>
      </c>
      <c r="C9" t="s">
        <v>58</v>
      </c>
      <c r="D9" s="1">
        <v>15041.56</v>
      </c>
      <c r="E9" t="s">
        <v>40</v>
      </c>
      <c r="F9" t="s">
        <v>39</v>
      </c>
      <c r="G9" t="s">
        <v>65</v>
      </c>
      <c r="H9" t="s">
        <v>59</v>
      </c>
      <c r="I9" t="s">
        <v>66</v>
      </c>
      <c r="J9" t="s">
        <v>67</v>
      </c>
      <c r="K9" t="s">
        <v>25</v>
      </c>
      <c r="L9" t="s">
        <v>26</v>
      </c>
      <c r="M9" s="1" t="s">
        <v>24</v>
      </c>
      <c r="N9" s="3">
        <v>0.26019999999999999</v>
      </c>
      <c r="O9" s="1">
        <v>1394.2556799999998</v>
      </c>
      <c r="P9" s="1">
        <v>3913.8139119999996</v>
      </c>
    </row>
    <row r="10" spans="1:16" ht="15.75" x14ac:dyDescent="0.25">
      <c r="A10" s="2">
        <v>45463</v>
      </c>
      <c r="B10" s="1">
        <v>5358.4</v>
      </c>
      <c r="C10" t="s">
        <v>58</v>
      </c>
      <c r="D10" s="1">
        <v>15041.56</v>
      </c>
      <c r="E10" t="s">
        <v>40</v>
      </c>
      <c r="F10" t="s">
        <v>39</v>
      </c>
      <c r="G10" t="s">
        <v>65</v>
      </c>
      <c r="H10" t="s">
        <v>59</v>
      </c>
      <c r="I10" t="s">
        <v>66</v>
      </c>
      <c r="J10" t="s">
        <v>67</v>
      </c>
      <c r="K10" t="s">
        <v>14</v>
      </c>
      <c r="L10" t="s">
        <v>15</v>
      </c>
      <c r="M10" s="1" t="s">
        <v>24</v>
      </c>
      <c r="N10" s="3">
        <v>0.21329999999999999</v>
      </c>
      <c r="O10" s="1">
        <v>1142.9467199999999</v>
      </c>
      <c r="P10" s="1">
        <v>3208.3647479999995</v>
      </c>
    </row>
    <row r="11" spans="1:16" ht="15.75" x14ac:dyDescent="0.25">
      <c r="A11" s="2">
        <v>45463</v>
      </c>
      <c r="B11" s="1">
        <v>1339.6</v>
      </c>
      <c r="C11" t="s">
        <v>58</v>
      </c>
      <c r="D11" s="1">
        <v>3760.4</v>
      </c>
      <c r="E11" t="s">
        <v>36</v>
      </c>
      <c r="F11" t="s">
        <v>35</v>
      </c>
      <c r="G11" t="s">
        <v>65</v>
      </c>
      <c r="H11" t="s">
        <v>59</v>
      </c>
      <c r="I11" t="s">
        <v>66</v>
      </c>
      <c r="J11" t="s">
        <v>67</v>
      </c>
      <c r="K11" t="s">
        <v>25</v>
      </c>
      <c r="L11" t="s">
        <v>26</v>
      </c>
      <c r="M11" s="1" t="s">
        <v>24</v>
      </c>
      <c r="N11" s="3">
        <v>0.5</v>
      </c>
      <c r="O11" s="1">
        <v>669.8</v>
      </c>
      <c r="P11" s="1">
        <v>1880.2</v>
      </c>
    </row>
    <row r="12" spans="1:16" ht="15.75" x14ac:dyDescent="0.25">
      <c r="A12" s="2">
        <v>45463</v>
      </c>
      <c r="B12" s="1">
        <v>1339.6</v>
      </c>
      <c r="C12" t="s">
        <v>58</v>
      </c>
      <c r="D12" s="1">
        <v>3760.4</v>
      </c>
      <c r="E12" t="s">
        <v>36</v>
      </c>
      <c r="F12" t="s">
        <v>35</v>
      </c>
      <c r="G12" t="s">
        <v>65</v>
      </c>
      <c r="H12" t="s">
        <v>59</v>
      </c>
      <c r="I12" t="s">
        <v>66</v>
      </c>
      <c r="J12" t="s">
        <v>67</v>
      </c>
      <c r="K12" t="s">
        <v>22</v>
      </c>
      <c r="L12" t="s">
        <v>23</v>
      </c>
      <c r="M12" s="1" t="s">
        <v>24</v>
      </c>
      <c r="N12" s="3">
        <v>0.5</v>
      </c>
      <c r="O12" s="1">
        <v>669.8</v>
      </c>
      <c r="P12" s="1">
        <v>1880.2</v>
      </c>
    </row>
    <row r="13" spans="1:16" ht="15.75" x14ac:dyDescent="0.25">
      <c r="A13" s="2">
        <v>45394</v>
      </c>
      <c r="B13" s="1">
        <v>77320.800000000003</v>
      </c>
      <c r="C13" t="s">
        <v>58</v>
      </c>
      <c r="D13" s="1">
        <v>206601.18</v>
      </c>
      <c r="E13" t="s">
        <v>40</v>
      </c>
      <c r="F13" t="s">
        <v>39</v>
      </c>
      <c r="G13" t="s">
        <v>68</v>
      </c>
      <c r="H13" t="s">
        <v>69</v>
      </c>
      <c r="I13" t="s">
        <v>70</v>
      </c>
      <c r="J13" t="s">
        <v>71</v>
      </c>
      <c r="K13" t="s">
        <v>25</v>
      </c>
      <c r="L13" t="s">
        <v>26</v>
      </c>
      <c r="M13" s="1" t="s">
        <v>24</v>
      </c>
      <c r="N13" s="3">
        <v>0.26019999999999999</v>
      </c>
      <c r="O13" s="1">
        <v>20118.872159999999</v>
      </c>
      <c r="P13" s="1">
        <v>53757.627035999998</v>
      </c>
    </row>
    <row r="14" spans="1:16" ht="15.75" x14ac:dyDescent="0.25">
      <c r="A14" s="2">
        <v>45394</v>
      </c>
      <c r="B14" s="1">
        <v>77320.800000000003</v>
      </c>
      <c r="C14" t="s">
        <v>58</v>
      </c>
      <c r="D14" s="1">
        <v>206601.18</v>
      </c>
      <c r="E14" t="s">
        <v>40</v>
      </c>
      <c r="F14" t="s">
        <v>39</v>
      </c>
      <c r="G14" t="s">
        <v>68</v>
      </c>
      <c r="H14" t="s">
        <v>69</v>
      </c>
      <c r="I14" t="s">
        <v>70</v>
      </c>
      <c r="J14" t="s">
        <v>71</v>
      </c>
      <c r="K14" t="s">
        <v>14</v>
      </c>
      <c r="L14" t="s">
        <v>15</v>
      </c>
      <c r="M14" s="1" t="s">
        <v>24</v>
      </c>
      <c r="N14" s="3">
        <v>0.21329999999999999</v>
      </c>
      <c r="O14" s="1">
        <v>16492.52664</v>
      </c>
      <c r="P14" s="1">
        <v>44068.031693999998</v>
      </c>
    </row>
    <row r="15" spans="1:16" ht="15.75" x14ac:dyDescent="0.25">
      <c r="A15" s="2">
        <v>45394</v>
      </c>
      <c r="B15" s="1">
        <v>77320.800000000003</v>
      </c>
      <c r="C15" t="s">
        <v>58</v>
      </c>
      <c r="D15" s="1">
        <v>206601.18</v>
      </c>
      <c r="E15" t="s">
        <v>40</v>
      </c>
      <c r="F15" t="s">
        <v>39</v>
      </c>
      <c r="G15" t="s">
        <v>68</v>
      </c>
      <c r="H15" t="s">
        <v>69</v>
      </c>
      <c r="I15" t="s">
        <v>70</v>
      </c>
      <c r="J15" t="s">
        <v>71</v>
      </c>
      <c r="K15" t="s">
        <v>19</v>
      </c>
      <c r="L15" t="s">
        <v>20</v>
      </c>
      <c r="M15" s="1" t="s">
        <v>24</v>
      </c>
      <c r="N15" s="3">
        <v>0.26629999999999998</v>
      </c>
      <c r="O15" s="1">
        <v>20590.529039999998</v>
      </c>
      <c r="P15" s="1">
        <v>55017.894233999992</v>
      </c>
    </row>
    <row r="16" spans="1:16" ht="15.75" x14ac:dyDescent="0.25">
      <c r="A16" s="2">
        <v>45394</v>
      </c>
      <c r="B16" s="1">
        <v>77320.800000000003</v>
      </c>
      <c r="C16" t="s">
        <v>58</v>
      </c>
      <c r="D16" s="1">
        <v>206601.18</v>
      </c>
      <c r="E16" t="s">
        <v>40</v>
      </c>
      <c r="F16" t="s">
        <v>39</v>
      </c>
      <c r="G16" t="s">
        <v>68</v>
      </c>
      <c r="H16" t="s">
        <v>69</v>
      </c>
      <c r="I16" t="s">
        <v>70</v>
      </c>
      <c r="J16" t="s">
        <v>71</v>
      </c>
      <c r="K16" t="s">
        <v>22</v>
      </c>
      <c r="L16" t="s">
        <v>23</v>
      </c>
      <c r="M16" s="1" t="s">
        <v>24</v>
      </c>
      <c r="N16" s="3">
        <v>0.26019999999999999</v>
      </c>
      <c r="O16" s="1">
        <v>20118.872159999999</v>
      </c>
      <c r="P16" s="1">
        <v>53757.627035999998</v>
      </c>
    </row>
    <row r="17" spans="1:16" ht="15.75" x14ac:dyDescent="0.25">
      <c r="A17" s="2">
        <v>45394</v>
      </c>
      <c r="B17" s="1">
        <v>2679.2</v>
      </c>
      <c r="C17" t="s">
        <v>58</v>
      </c>
      <c r="D17" s="1">
        <v>7158.82</v>
      </c>
      <c r="E17" t="s">
        <v>46</v>
      </c>
      <c r="F17" t="s">
        <v>45</v>
      </c>
      <c r="G17" t="s">
        <v>68</v>
      </c>
      <c r="H17" t="s">
        <v>69</v>
      </c>
      <c r="I17" t="s">
        <v>70</v>
      </c>
      <c r="J17" t="s">
        <v>71</v>
      </c>
      <c r="K17" t="s">
        <v>25</v>
      </c>
      <c r="L17" t="s">
        <v>26</v>
      </c>
      <c r="M17" s="1" t="s">
        <v>24</v>
      </c>
      <c r="N17" s="3">
        <v>0.26019999999999999</v>
      </c>
      <c r="O17" s="1">
        <v>697.12783999999988</v>
      </c>
      <c r="P17" s="1">
        <v>1862.7249639999998</v>
      </c>
    </row>
    <row r="18" spans="1:16" ht="15.75" x14ac:dyDescent="0.25">
      <c r="A18" s="2">
        <v>45394</v>
      </c>
      <c r="B18" s="1">
        <v>2679.2</v>
      </c>
      <c r="C18" t="s">
        <v>58</v>
      </c>
      <c r="D18" s="1">
        <v>7158.82</v>
      </c>
      <c r="E18" t="s">
        <v>46</v>
      </c>
      <c r="F18" t="s">
        <v>45</v>
      </c>
      <c r="G18" t="s">
        <v>68</v>
      </c>
      <c r="H18" t="s">
        <v>69</v>
      </c>
      <c r="I18" t="s">
        <v>70</v>
      </c>
      <c r="J18" t="s">
        <v>71</v>
      </c>
      <c r="K18" t="s">
        <v>14</v>
      </c>
      <c r="L18" t="s">
        <v>15</v>
      </c>
      <c r="M18" s="1" t="s">
        <v>24</v>
      </c>
      <c r="N18" s="3">
        <v>0.21329999999999999</v>
      </c>
      <c r="O18" s="1">
        <v>571.47335999999996</v>
      </c>
      <c r="P18" s="1">
        <v>1526.9763059999998</v>
      </c>
    </row>
    <row r="19" spans="1:16" ht="15.75" x14ac:dyDescent="0.25">
      <c r="A19" s="2">
        <v>45394</v>
      </c>
      <c r="B19" s="1">
        <v>2679.2</v>
      </c>
      <c r="C19" t="s">
        <v>58</v>
      </c>
      <c r="D19" s="1">
        <v>7158.82</v>
      </c>
      <c r="E19" t="s">
        <v>46</v>
      </c>
      <c r="F19" t="s">
        <v>45</v>
      </c>
      <c r="G19" t="s">
        <v>68</v>
      </c>
      <c r="H19" t="s">
        <v>69</v>
      </c>
      <c r="I19" t="s">
        <v>70</v>
      </c>
      <c r="J19" t="s">
        <v>71</v>
      </c>
      <c r="K19" t="s">
        <v>19</v>
      </c>
      <c r="L19" t="s">
        <v>20</v>
      </c>
      <c r="M19" s="1" t="s">
        <v>24</v>
      </c>
      <c r="N19" s="3">
        <v>0.26629999999999998</v>
      </c>
      <c r="O19" s="1">
        <v>713.47095999999988</v>
      </c>
      <c r="P19" s="1">
        <v>1906.3937659999997</v>
      </c>
    </row>
    <row r="20" spans="1:16" ht="15.75" x14ac:dyDescent="0.25">
      <c r="A20" s="2">
        <v>45394</v>
      </c>
      <c r="B20" s="1">
        <v>2679.2</v>
      </c>
      <c r="C20" t="s">
        <v>58</v>
      </c>
      <c r="D20" s="1">
        <v>7158.82</v>
      </c>
      <c r="E20" t="s">
        <v>46</v>
      </c>
      <c r="F20" t="s">
        <v>45</v>
      </c>
      <c r="G20" t="s">
        <v>68</v>
      </c>
      <c r="H20" t="s">
        <v>69</v>
      </c>
      <c r="I20" t="s">
        <v>70</v>
      </c>
      <c r="J20" t="s">
        <v>71</v>
      </c>
      <c r="K20" t="s">
        <v>22</v>
      </c>
      <c r="L20" t="s">
        <v>23</v>
      </c>
      <c r="M20" s="1" t="s">
        <v>24</v>
      </c>
      <c r="N20" s="3">
        <v>0.26019999999999999</v>
      </c>
      <c r="O20" s="1">
        <v>697.12783999999988</v>
      </c>
      <c r="P20" s="1">
        <v>1862.7249639999998</v>
      </c>
    </row>
    <row r="21" spans="1:16" ht="15.75" x14ac:dyDescent="0.25">
      <c r="A21" s="2">
        <v>45327</v>
      </c>
      <c r="B21" s="1">
        <v>80000</v>
      </c>
      <c r="C21" t="s">
        <v>58</v>
      </c>
      <c r="D21" s="1">
        <v>213504</v>
      </c>
      <c r="E21" t="s">
        <v>46</v>
      </c>
      <c r="F21" t="s">
        <v>45</v>
      </c>
      <c r="G21" t="s">
        <v>24</v>
      </c>
      <c r="H21" t="s">
        <v>72</v>
      </c>
      <c r="I21" t="s">
        <v>73</v>
      </c>
      <c r="J21" t="s">
        <v>74</v>
      </c>
      <c r="K21" t="s">
        <v>19</v>
      </c>
      <c r="L21" t="s">
        <v>20</v>
      </c>
      <c r="M21" s="1" t="s">
        <v>24</v>
      </c>
      <c r="N21" s="3">
        <v>0.26629999999999998</v>
      </c>
      <c r="O21" s="1">
        <v>21304</v>
      </c>
      <c r="P21" s="1">
        <v>56856.115199999993</v>
      </c>
    </row>
    <row r="22" spans="1:16" ht="15.75" x14ac:dyDescent="0.25">
      <c r="A22" s="2">
        <v>45327</v>
      </c>
      <c r="B22" s="1">
        <v>80000</v>
      </c>
      <c r="C22" t="s">
        <v>58</v>
      </c>
      <c r="D22" s="1">
        <v>213504</v>
      </c>
      <c r="E22" t="s">
        <v>46</v>
      </c>
      <c r="F22" t="s">
        <v>45</v>
      </c>
      <c r="G22" t="s">
        <v>24</v>
      </c>
      <c r="H22" t="s">
        <v>72</v>
      </c>
      <c r="I22" t="s">
        <v>73</v>
      </c>
      <c r="J22" t="s">
        <v>74</v>
      </c>
      <c r="K22" t="s">
        <v>14</v>
      </c>
      <c r="L22" t="s">
        <v>15</v>
      </c>
      <c r="M22" s="1" t="s">
        <v>24</v>
      </c>
      <c r="N22" s="3">
        <v>0.21329999999999999</v>
      </c>
      <c r="O22" s="1">
        <v>17064</v>
      </c>
      <c r="P22" s="1">
        <v>45540.403200000001</v>
      </c>
    </row>
    <row r="23" spans="1:16" ht="15.75" x14ac:dyDescent="0.25">
      <c r="A23" s="2">
        <v>45327</v>
      </c>
      <c r="B23" s="1">
        <v>80000</v>
      </c>
      <c r="C23" t="s">
        <v>58</v>
      </c>
      <c r="D23" s="1">
        <v>213504</v>
      </c>
      <c r="E23" t="s">
        <v>46</v>
      </c>
      <c r="F23" t="s">
        <v>45</v>
      </c>
      <c r="G23" t="s">
        <v>24</v>
      </c>
      <c r="H23" t="s">
        <v>72</v>
      </c>
      <c r="I23" t="s">
        <v>73</v>
      </c>
      <c r="J23" t="s">
        <v>74</v>
      </c>
      <c r="K23" t="s">
        <v>22</v>
      </c>
      <c r="L23" t="s">
        <v>23</v>
      </c>
      <c r="M23" s="1" t="s">
        <v>24</v>
      </c>
      <c r="N23" s="3">
        <v>0.26019999999999999</v>
      </c>
      <c r="O23" s="1">
        <v>20816</v>
      </c>
      <c r="P23" s="1">
        <v>55553.7408</v>
      </c>
    </row>
    <row r="24" spans="1:16" ht="15.75" x14ac:dyDescent="0.25">
      <c r="A24" s="2">
        <v>45327</v>
      </c>
      <c r="B24" s="1">
        <v>80000</v>
      </c>
      <c r="C24" t="s">
        <v>58</v>
      </c>
      <c r="D24" s="1">
        <v>213504</v>
      </c>
      <c r="E24" t="s">
        <v>46</v>
      </c>
      <c r="F24" t="s">
        <v>45</v>
      </c>
      <c r="G24" t="s">
        <v>24</v>
      </c>
      <c r="H24" t="s">
        <v>72</v>
      </c>
      <c r="I24" t="s">
        <v>73</v>
      </c>
      <c r="J24" t="s">
        <v>74</v>
      </c>
      <c r="K24" t="s">
        <v>25</v>
      </c>
      <c r="L24" t="s">
        <v>26</v>
      </c>
      <c r="M24" s="1" t="s">
        <v>24</v>
      </c>
      <c r="N24" s="3">
        <v>0.26019999999999999</v>
      </c>
      <c r="O24" s="1">
        <v>20816</v>
      </c>
      <c r="P24" s="1">
        <v>55553.7408</v>
      </c>
    </row>
  </sheetData>
  <pageMargins left="0.7" right="0.7" top="0.75" bottom="0.75" header="0.3" footer="0.3"/>
  <ignoredErrors>
    <ignoredError sqref="A1:P2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Handover</vt:lpstr>
      <vt:lpstr>Jobs</vt:lpstr>
      <vt:lpstr>Income Payments</vt:lpstr>
      <vt:lpstr>Job Distributions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Giorgi Nikabadze</cp:lastModifiedBy>
  <dcterms:created xsi:type="dcterms:W3CDTF">2026-06-08T16:17:06Z</dcterms:created>
  <dcterms:modified xsi:type="dcterms:W3CDTF">2026-06-08T16:32:07Z</dcterms:modified>
</cp:coreProperties>
</file>