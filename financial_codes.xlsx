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xt-postgres-starter\"/>
    </mc:Choice>
  </mc:AlternateContent>
  <xr:revisionPtr revIDLastSave="0" documentId="13_ncr:1_{F5442055-124D-41CB-A82C-7C60ACD06F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_codes.xlsx" sheetId="1" r:id="rId1"/>
  </sheets>
  <definedNames>
    <definedName name="Current_Date">#REF!</definedName>
    <definedName name="Level_NBG_Date">#REF!</definedName>
    <definedName name="NBG_RO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9" i="1" l="1"/>
  <c r="H177" i="1"/>
  <c r="H207" i="1"/>
  <c r="H192" i="1"/>
  <c r="H178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83" i="1" l="1"/>
  <c r="H188" i="1"/>
  <c r="H184" i="1" l="1"/>
  <c r="H185" i="1"/>
  <c r="H194" i="1"/>
  <c r="H206" i="1"/>
  <c r="H211" i="1"/>
  <c r="H217" i="1"/>
  <c r="H182" i="1"/>
  <c r="H199" i="1"/>
  <c r="H205" i="1"/>
  <c r="H213" i="1"/>
  <c r="H186" i="1"/>
  <c r="H187" i="1"/>
  <c r="H193" i="1"/>
  <c r="H180" i="1"/>
  <c r="H196" i="1"/>
  <c r="H203" i="1"/>
  <c r="H202" i="1"/>
  <c r="H195" i="1"/>
  <c r="H200" i="1"/>
  <c r="H210" i="1"/>
  <c r="H216" i="1"/>
  <c r="H191" i="1"/>
  <c r="H198" i="1"/>
  <c r="H204" i="1"/>
  <c r="H190" i="1"/>
  <c r="H209" i="1"/>
  <c r="H215" i="1"/>
  <c r="H208" i="1"/>
  <c r="H212" i="1"/>
  <c r="H201" i="1"/>
  <c r="H189" i="1"/>
  <c r="H197" i="1"/>
  <c r="H214" i="1"/>
  <c r="H181" i="1"/>
</calcChain>
</file>

<file path=xl/sharedStrings.xml><?xml version="1.0" encoding="utf-8"?>
<sst xmlns="http://schemas.openxmlformats.org/spreadsheetml/2006/main" count="650" uniqueCount="647">
  <si>
    <t>id</t>
  </si>
  <si>
    <t>uuid</t>
  </si>
  <si>
    <t>code</t>
  </si>
  <si>
    <t>name</t>
  </si>
  <si>
    <t>applies_to_pl</t>
  </si>
  <si>
    <t>applies_to_cf</t>
  </si>
  <si>
    <t>is_income</t>
  </si>
  <si>
    <t>parent_uuid</t>
  </si>
  <si>
    <t>D3761423-ED03-4DAA-9038-99FCCE64DF66</t>
  </si>
  <si>
    <t>348154BD-B2AB-41FC-A0E6-7E47179C4613</t>
  </si>
  <si>
    <t>B59170EC-16CC-499A-9FF7-0428DCB8F727</t>
  </si>
  <si>
    <t>1.1.1</t>
  </si>
  <si>
    <t>d65fc9fe-504b-4e0e-9b3f-bbd2575974d1</t>
  </si>
  <si>
    <t>1.1.1.1</t>
  </si>
  <si>
    <t>ed8ce82e-1955-4328-810f-6000af09348d</t>
  </si>
  <si>
    <t>1.1.1.2</t>
  </si>
  <si>
    <t>34087c63-d9c7-4cc2-9c37-33de11dd1355</t>
  </si>
  <si>
    <t>1.1.1.3</t>
  </si>
  <si>
    <t>ec639125-e73f-4116-b664-0706cc47cffa</t>
  </si>
  <si>
    <t>1.1.1.4</t>
  </si>
  <si>
    <t>34a7e31c-b651-479a-bb44-9c043172abfa</t>
  </si>
  <si>
    <t>1.1.1.5</t>
  </si>
  <si>
    <t>b0a03047-b57b-4d4d-81d5-985f66832458</t>
  </si>
  <si>
    <t>1.1.1.6</t>
  </si>
  <si>
    <t>12238130-9D12-4099-A48B-9EB5A085E0F8</t>
  </si>
  <si>
    <t>1.1.2</t>
  </si>
  <si>
    <t>C491BFF3-6F7B-4412-9DF0-EAED6F3EE238</t>
  </si>
  <si>
    <t>1.1.3</t>
  </si>
  <si>
    <t>954A7962-CBD4-4685-8632-CAED15DD0A33</t>
  </si>
  <si>
    <t>1.1.4</t>
  </si>
  <si>
    <t>eb80e745-cfb8-4270-895e-41148b519f34</t>
  </si>
  <si>
    <t>1.1.4.1</t>
  </si>
  <si>
    <t>6528bb2f-5d8b-4be4-a25a-13096f7b0e6a</t>
  </si>
  <si>
    <t>1.1.4.2</t>
  </si>
  <si>
    <t>4b1d941f-45d1-4c15-a26e-fd98d95d672d</t>
  </si>
  <si>
    <t>1.1.4.3</t>
  </si>
  <si>
    <t>27A2413D-D42E-4E02-88FD-FC675822E96D</t>
  </si>
  <si>
    <t>FEA4B88F-633F-4422-B3D6-250792A2DA80</t>
  </si>
  <si>
    <t>1.2.1</t>
  </si>
  <si>
    <t>31562B13-85C8-472E-8D02-01D802D635C1</t>
  </si>
  <si>
    <t>1.2.2</t>
  </si>
  <si>
    <t>B5CAA716-CA9B-47D4-85D4-9954ED4DBAD2</t>
  </si>
  <si>
    <t>1.2.3</t>
  </si>
  <si>
    <t>C562610F-187D-432D-95CA-C3CD7FA78679</t>
  </si>
  <si>
    <t>68627C8C-95F9-4383-9A95-1923038BB695</t>
  </si>
  <si>
    <t>1.3.1</t>
  </si>
  <si>
    <t>DB8A7407-60A7-468B-97C8-72D31D12D117</t>
  </si>
  <si>
    <t>1.3.2</t>
  </si>
  <si>
    <t>6590CE6D-0AC6-4CB8-9C29-9860CAAF64F4</t>
  </si>
  <si>
    <t>71399BEA-6130-464D-8523-F79F09995516</t>
  </si>
  <si>
    <t>F6E09BE3-67C2-497C-B53D-AB80B94379C9</t>
  </si>
  <si>
    <t>521F073C-5CFB-481F-8D1D-B21A6FA7F420</t>
  </si>
  <si>
    <t>A701AC0E-E48E-4C96-A4A4-C0D76FFE61F5</t>
  </si>
  <si>
    <t>B360EC46-80B6-4406-9037-97EE38BFFF03</t>
  </si>
  <si>
    <t>2.1.1</t>
  </si>
  <si>
    <t>802C9CD8-5533-4E3C-B83D-6CDC4F10A31C</t>
  </si>
  <si>
    <t>2.1.1.1</t>
  </si>
  <si>
    <t>B24B2E96-525B-4610-98F6-35E7243A18EC</t>
  </si>
  <si>
    <t>2.1.1.2</t>
  </si>
  <si>
    <t>C34CB1EE-8581-41CA-8F68-834E672E895C</t>
  </si>
  <si>
    <t>2.1.1.3</t>
  </si>
  <si>
    <t>950F96D9-1BD6-4B79-AD85-7C796AA9FB81</t>
  </si>
  <si>
    <t>2.1.1.4</t>
  </si>
  <si>
    <t>CBCE46BD-8EC7-440A-A138-8AA181CA1DBC</t>
  </si>
  <si>
    <t>2.1.1.5</t>
  </si>
  <si>
    <t>6721ED04-1A15-4F3C-BBD9-D7548E0ED971</t>
  </si>
  <si>
    <t>2.1.1.6</t>
  </si>
  <si>
    <t>D79813C8-A5DC-489B-9D2E-86512BED6D96</t>
  </si>
  <si>
    <t>2.1.1.7</t>
  </si>
  <si>
    <t>8AC5E6FF-9659-47A2-90B7-0EF86BB30981</t>
  </si>
  <si>
    <t>2.1.1.8</t>
  </si>
  <si>
    <t>B68D420A-D233-410F-9F0B-45B644A32366</t>
  </si>
  <si>
    <t>2.1.1.9</t>
  </si>
  <si>
    <t>44CCE094-DB29-4204-BF9E-0F9A9D490A52</t>
  </si>
  <si>
    <t>2.1.1.10</t>
  </si>
  <si>
    <t>B6364CA9-1DE6-4436-98E1-CE2F071B6C86</t>
  </si>
  <si>
    <t>2.1.1.11</t>
  </si>
  <si>
    <t>D4C169B3-F160-4D3A-9395-D5C40A13CEEE</t>
  </si>
  <si>
    <t>2.1.1.12</t>
  </si>
  <si>
    <t>276EB617-E5E6-4B45-9F8D-98CDF7FB3205</t>
  </si>
  <si>
    <t>2.1.1.13</t>
  </si>
  <si>
    <t>70FEA09A-8539-4298-908E-1E7FD4285FCE</t>
  </si>
  <si>
    <t>2.1.1.14</t>
  </si>
  <si>
    <t>9D358B62-00B8-4D81-AC71-34D284839F71</t>
  </si>
  <si>
    <t>2.1.1.15</t>
  </si>
  <si>
    <t>7B715D20-3E4D-47AA-BAEA-0DF19116C943</t>
  </si>
  <si>
    <t>2.1.1.16</t>
  </si>
  <si>
    <t>7CFEB6D5-7979-4942-AC23-71AC817FFA35</t>
  </si>
  <si>
    <t>2.1.1.17</t>
  </si>
  <si>
    <t>944FD5FD-216B-4F28-A75B-61485DB3990E</t>
  </si>
  <si>
    <t>2.1.1.18</t>
  </si>
  <si>
    <t>79012D94-38F5-4927-8683-CCC9F8885C7B</t>
  </si>
  <si>
    <t>2.1.2</t>
  </si>
  <si>
    <t>AA232495-9C0F-4317-9499-7C3F0F27CA3C</t>
  </si>
  <si>
    <t>2.1.2.1</t>
  </si>
  <si>
    <t>C2DF20F4-2A74-40FA-B852-21D6E6A13D7F</t>
  </si>
  <si>
    <t>2.1.2.2</t>
  </si>
  <si>
    <t>FF4DB567-06B2-4118-BE26-5CA9B6634FFF</t>
  </si>
  <si>
    <t>2.1.2.3</t>
  </si>
  <si>
    <t>8E386237-0CDD-4685-ADCB-4AA4BB3342C2</t>
  </si>
  <si>
    <t>2.1.2.4</t>
  </si>
  <si>
    <t>EA030209-6442-4949-995D-FAD0DB204CB2</t>
  </si>
  <si>
    <t>2.1.2.5</t>
  </si>
  <si>
    <t>C40AA500-FAA8-40A4-A2A1-CB0DC21026AA</t>
  </si>
  <si>
    <t>2.1.2.6</t>
  </si>
  <si>
    <t>D5A1EFF7-5A1B-4E40-98E7-4162DEA51A3F</t>
  </si>
  <si>
    <t>2.1.3</t>
  </si>
  <si>
    <t>381860CC-2554-4530-B195-98FA6C090460</t>
  </si>
  <si>
    <t>2.1.3.1</t>
  </si>
  <si>
    <t>247B12DC-1341-4D28-80F7-2024841011B6</t>
  </si>
  <si>
    <t>2.1.3.2</t>
  </si>
  <si>
    <t>1B3ADBEE-8D9C-4147-AEC1-EEE6B36928AE</t>
  </si>
  <si>
    <t>2.1.3.3</t>
  </si>
  <si>
    <t>3EDCE24C-AA30-4B72-86FF-0FA4587143AE</t>
  </si>
  <si>
    <t>2.1.3.4</t>
  </si>
  <si>
    <t>0A900693-570D-40AB-9999-2CBF11FA31DC</t>
  </si>
  <si>
    <t>2.1.3.5</t>
  </si>
  <si>
    <t>C132BB6E-81A7-4174-8300-51BF072C7F40</t>
  </si>
  <si>
    <t>2.1.3.6</t>
  </si>
  <si>
    <t>06A558AB-53B3-4D60-A16D-A874ED5F5469</t>
  </si>
  <si>
    <t>2.1.4</t>
  </si>
  <si>
    <t>4608B085-E778-4D82-9DC8-D4B47662A8FB</t>
  </si>
  <si>
    <t>2.1.4.1</t>
  </si>
  <si>
    <t>6DECCE1E-1A5F-4EF0-B519-42F3D8C51782</t>
  </si>
  <si>
    <t>2.1.4.2</t>
  </si>
  <si>
    <t>DA422875-3C14-412A-82A3-844BF1DF7DF4</t>
  </si>
  <si>
    <t>0B94B595-641F-4171-A8B5-7B83A291AA27</t>
  </si>
  <si>
    <t>2.2.1</t>
  </si>
  <si>
    <t>2FE75935-CAC2-411A-9CD2-BB2F7DD6EB16</t>
  </si>
  <si>
    <t>2.2.1.1</t>
  </si>
  <si>
    <t>68574531-00EC-4075-9189-DE5FFFD966E0</t>
  </si>
  <si>
    <t>2.2.1.2</t>
  </si>
  <si>
    <t>2DB6CEEF-ADEA-456D-8C21-121F28ACE788</t>
  </si>
  <si>
    <t>2.2.1.3</t>
  </si>
  <si>
    <t>98E1AF8C-151B-4FA6-9140-27AE54F40E43</t>
  </si>
  <si>
    <t>2.2.1.4</t>
  </si>
  <si>
    <t>D511F760-594B-4D17-9AF3-5E062EF1CFC4</t>
  </si>
  <si>
    <t>2.2.1.5</t>
  </si>
  <si>
    <t>2FAE4ED7-3D9B-419B-9DEB-07074DD8F509</t>
  </si>
  <si>
    <t>2.2.1.6</t>
  </si>
  <si>
    <t>641F6527-FAEF-4BF5-957F-9506B93E9EC0</t>
  </si>
  <si>
    <t>2.2.1.7</t>
  </si>
  <si>
    <t>CADFA443-1742-4785-8097-DCEDCE4404B4</t>
  </si>
  <si>
    <t>2.2.1.8</t>
  </si>
  <si>
    <t>C77589B5-96FD-479F-9E64-7EA82096EE18</t>
  </si>
  <si>
    <t>2.2.1.9</t>
  </si>
  <si>
    <t>9BFB3CF0-F0AA-45E2-8F0C-5CBA8C0FA1C3</t>
  </si>
  <si>
    <t>2.2.1.10</t>
  </si>
  <si>
    <t>461341D2-AE92-4BE7-A155-DBAC29B64410</t>
  </si>
  <si>
    <t>2.2.1.11</t>
  </si>
  <si>
    <t>C5E363EF-E91C-47AA-9797-ADE09D98E4A9</t>
  </si>
  <si>
    <t>2.2.1.12</t>
  </si>
  <si>
    <t>D3243141-C569-4421-9889-373CD756B412</t>
  </si>
  <si>
    <t>2.2.1.13</t>
  </si>
  <si>
    <t>91C4A817-E6DD-41E0-AED9-F1EEFEDC1FDD</t>
  </si>
  <si>
    <t>2.2.1.14</t>
  </si>
  <si>
    <t>EE4EED79-856A-48B2-A79A-A87CB6BECE2C</t>
  </si>
  <si>
    <t>2.2.1.15</t>
  </si>
  <si>
    <t>65642C8B-56AB-4799-B441-25E1EF37B8BF</t>
  </si>
  <si>
    <t>2.2.1.16</t>
  </si>
  <si>
    <t>B08AF906-2264-4E83-9A04-18BC4524DE86</t>
  </si>
  <si>
    <t>2.2.1.17</t>
  </si>
  <si>
    <t>C9CC3C55-AABA-4A5B-B04D-5504B8A19236</t>
  </si>
  <si>
    <t>2.2.1.18</t>
  </si>
  <si>
    <t>186CCF14-253E-407D-A4B5-1EB1E1034DAB</t>
  </si>
  <si>
    <t>2.2.2</t>
  </si>
  <si>
    <t>90BC90DD-FB88-4F9B-9D98-27C53FB57C73</t>
  </si>
  <si>
    <t>2.2.2.1</t>
  </si>
  <si>
    <t>AF991995-DB0C-491C-B3CA-E22D83692F25</t>
  </si>
  <si>
    <t>2.2.2.2</t>
  </si>
  <si>
    <t>90944533-4B6C-4922-98C2-84FC5B4B69CB</t>
  </si>
  <si>
    <t>2.2.2.3</t>
  </si>
  <si>
    <t>A5D8062B-31B0-4D2A-A29B-D6853630253B</t>
  </si>
  <si>
    <t>2.2.2.4</t>
  </si>
  <si>
    <t>DF706739-02A6-4BA8-8280-89600426C433</t>
  </si>
  <si>
    <t>2.2.2.5</t>
  </si>
  <si>
    <t>C4CA9323-E1B2-4824-A843-342FF66388E0</t>
  </si>
  <si>
    <t>2.2.3</t>
  </si>
  <si>
    <t>963E42AD-AC57-46B0-A593-0B9F613181B3</t>
  </si>
  <si>
    <t>2.2.3.1</t>
  </si>
  <si>
    <t>1F3825FC-C68E-48A8-BAB8-CEE98A07AAB4</t>
  </si>
  <si>
    <t>2.2.3.2</t>
  </si>
  <si>
    <t>FC992B94-7721-4FEF-BA6A-CCBCE99F429F</t>
  </si>
  <si>
    <t>2.2.3.3</t>
  </si>
  <si>
    <t>0957BEE1-CE31-461F-9F93-AC0F60488A6A</t>
  </si>
  <si>
    <t>2.2.3.4</t>
  </si>
  <si>
    <t>CCA5582E-3065-49ED-82F7-790866F6705D</t>
  </si>
  <si>
    <t>2.2.3.5</t>
  </si>
  <si>
    <t>EC0BFCF3-785E-4F30-A338-F59C42D0DEAE</t>
  </si>
  <si>
    <t>1E0BC08D-38D8-41E3-9799-ECE956FE1C3C</t>
  </si>
  <si>
    <t>2.3.1</t>
  </si>
  <si>
    <t>28648C23-2AD1-4C2E-9173-0E6940D0AC60</t>
  </si>
  <si>
    <t>896FF02C-F19B-41BB-A986-AA6794376B84</t>
  </si>
  <si>
    <t>641E22FA-BA53-472F-81F3-589808A03AC5</t>
  </si>
  <si>
    <t>D2F37390-C0B0-4257-8A5D-C9A73279DA1A</t>
  </si>
  <si>
    <t>319B2A70-B446-41F6-9F39-A3DFB1082786</t>
  </si>
  <si>
    <t>3.1.1</t>
  </si>
  <si>
    <t>D6543021-7C53-4FA2-99FD-A406999A8C11</t>
  </si>
  <si>
    <t>3.1.2</t>
  </si>
  <si>
    <t>C4B5B382-F98E-488E-9367-40DCC966B812</t>
  </si>
  <si>
    <t>3.1.3</t>
  </si>
  <si>
    <t>1D586A06-1FA7-434B-B57A-9BE74110FA2B</t>
  </si>
  <si>
    <t>3.1.4</t>
  </si>
  <si>
    <t>F5BC68CB-1817-4E77-B77C-7C72740F861A</t>
  </si>
  <si>
    <t>3.1.5</t>
  </si>
  <si>
    <t>57ECB6E7-93C2-43AC-9653-2338EEF9EB24</t>
  </si>
  <si>
    <t>3.1.6</t>
  </si>
  <si>
    <t>5FE6DA7B-C598-4802-BBD4-55ECF0DBED49</t>
  </si>
  <si>
    <t>3.1.7</t>
  </si>
  <si>
    <t>1856F2C3-F0FF-4D85-A7B6-67A66BD13077</t>
  </si>
  <si>
    <t>313EA5AB-0672-455F-90FD-70B502645959</t>
  </si>
  <si>
    <t>3.2.1</t>
  </si>
  <si>
    <t>85612434-F5A8-411F-8D2E-F225F2684A0E</t>
  </si>
  <si>
    <t>3.2.2</t>
  </si>
  <si>
    <t>4A081345-9C2D-462A-92A4-F69FDDE9492A</t>
  </si>
  <si>
    <t>3.2.3</t>
  </si>
  <si>
    <t>FB2DF534-03DC-401C-976A-573FBAA79A68</t>
  </si>
  <si>
    <t>3.2.4</t>
  </si>
  <si>
    <t>15B94EA6-84E6-4AC5-83DC-5C8450F7F024</t>
  </si>
  <si>
    <t>F3704F3E-5285-41C5-8B06-0ADF9423ABD7</t>
  </si>
  <si>
    <t>3.3.1</t>
  </si>
  <si>
    <t>F5600A96-9006-4806-858D-11363C442DD9</t>
  </si>
  <si>
    <t>3.3.2</t>
  </si>
  <si>
    <t>B347A893-33DB-4778-B271-913EC96FAC68</t>
  </si>
  <si>
    <t>3.3.3</t>
  </si>
  <si>
    <t>8C6922CE-4AEC-40E2-9C3C-4357F5055209</t>
  </si>
  <si>
    <t>3.3.4</t>
  </si>
  <si>
    <t>0F71CFB3-2BBA-48D2-AF25-4A19BF843B5A</t>
  </si>
  <si>
    <t>3.3.5</t>
  </si>
  <si>
    <t>06847B36-7E6A-4F3F-AC05-B23512971B63</t>
  </si>
  <si>
    <t>3.3.6</t>
  </si>
  <si>
    <t>4D2232F6-9022-4CAD-A54B-E4F11A283680</t>
  </si>
  <si>
    <t>3.3.7</t>
  </si>
  <si>
    <t>6D78AA59-2923-47DD-875D-50DB54F86EAF</t>
  </si>
  <si>
    <t>3.3.8</t>
  </si>
  <si>
    <t>B72E6F08-3D05-4D20-A391-214FC5399B82</t>
  </si>
  <si>
    <t>A49B2EC5-9CA4-46E4-9AB0-801329F334C5</t>
  </si>
  <si>
    <t>3.4.1</t>
  </si>
  <si>
    <t>31C84451-A684-4690-B0D9-9F1EADD3CBF6</t>
  </si>
  <si>
    <t>3.4.2</t>
  </si>
  <si>
    <t>07E7E554-B0C6-42C7-B7AB-60E9442F9DC3</t>
  </si>
  <si>
    <t>3.4.3</t>
  </si>
  <si>
    <t>A1CE0962-73F1-4FB2-BE53-60A339F9B0AC</t>
  </si>
  <si>
    <t>3.4.4</t>
  </si>
  <si>
    <t>7FF24FEC-DAAC-45F2-B350-92956D89FC4E</t>
  </si>
  <si>
    <t>3.4.5</t>
  </si>
  <si>
    <t>0895B913-24DE-403E-92C9-4CCB0CDDFDE1</t>
  </si>
  <si>
    <t>AC67CE74-E964-449C-8799-18928CCB6DE9</t>
  </si>
  <si>
    <t>3.5.1</t>
  </si>
  <si>
    <t>07F41509-5BEF-4A7B-9B15-39AA6AD018FA</t>
  </si>
  <si>
    <t>3.5.2</t>
  </si>
  <si>
    <t>9A89EAA1-2C16-4AA2-940E-01B6A7F9161D</t>
  </si>
  <si>
    <t>3.5.3</t>
  </si>
  <si>
    <t>7595E2DF-4575-4C46-AC75-986062EFAAAB</t>
  </si>
  <si>
    <t>3.5.4</t>
  </si>
  <si>
    <t>A63217DC-F0B3-4679-A87F-E7E33544A84D</t>
  </si>
  <si>
    <t>3.5.5</t>
  </si>
  <si>
    <t>FAABB63C-1F9B-45C3-BE7E-8FC829CF4E4D</t>
  </si>
  <si>
    <t>3.5.6</t>
  </si>
  <si>
    <t>91FAB313-3E99-40F5-A80B-25B861B1B7A6</t>
  </si>
  <si>
    <t>3.5.7</t>
  </si>
  <si>
    <t>23762087-0C67-4E8E-B18A-FC211306D65E</t>
  </si>
  <si>
    <t>F986FB99-25CB-42E0-87C3-CBDC33BAC712</t>
  </si>
  <si>
    <t>3.6.1</t>
  </si>
  <si>
    <t>8E306B07-59CD-495F-950B-606E7E5E8A6B</t>
  </si>
  <si>
    <t>3.6.2</t>
  </si>
  <si>
    <t>707F993A-A6BB-4241-BD72-75A5E653F77A</t>
  </si>
  <si>
    <t>3.6.3</t>
  </si>
  <si>
    <t>HORECA</t>
  </si>
  <si>
    <t>53A22DB7-6866-4F48-9350-4064AE186874</t>
  </si>
  <si>
    <t>FC56DFE7-B098-448B-8C50-B6CBABDD0AA6</t>
  </si>
  <si>
    <t>3.7.1</t>
  </si>
  <si>
    <t>476A349B-E89B-4747-BFB0-214918E931FA</t>
  </si>
  <si>
    <t>3.7.2</t>
  </si>
  <si>
    <t>54AB833D-3282-4947-BD12-088158AAE839</t>
  </si>
  <si>
    <t>3.7.3</t>
  </si>
  <si>
    <t>FCCB9CB7-2A94-4B91-A380-30A31FE53687</t>
  </si>
  <si>
    <t>3.7.4</t>
  </si>
  <si>
    <t>2897B2CB-488F-42DB-9D6A-10DDAE12E3BF</t>
  </si>
  <si>
    <t>14405C9A-029B-4FD0-A6F7-1C5FC817A379</t>
  </si>
  <si>
    <t>3.8.1</t>
  </si>
  <si>
    <t>8D15CD16-421A-416F-9507-A55434F8F3EF</t>
  </si>
  <si>
    <t>7297A2E7-BA11-44AB-814C-201C40D322B0</t>
  </si>
  <si>
    <t>3.9.1</t>
  </si>
  <si>
    <t>3827E292-4141-4DDE-A605-F1B758D639FC</t>
  </si>
  <si>
    <t>3.9.2</t>
  </si>
  <si>
    <t>725DFF46-B402-4287-8CAC-B69A0209CABB</t>
  </si>
  <si>
    <t>3.9.3</t>
  </si>
  <si>
    <t>1D200900-CD48-4769-A778-623F0D25D911</t>
  </si>
  <si>
    <t>3.9.4</t>
  </si>
  <si>
    <t>7C62A642-F3CF-4D28-A3FC-34D71F1BFA3B</t>
  </si>
  <si>
    <t>7E7849DA-D69E-4E50-B6B4-4A4F38985846</t>
  </si>
  <si>
    <t>E74FB625-318C-4BAD-94AB-F548A886C143</t>
  </si>
  <si>
    <t>8DFFBB12-F4FD-4A4D-A1F3-87EC72DC3BE0</t>
  </si>
  <si>
    <t>B93E611C-EFE5-41BE-8493-9FBC65F24C01</t>
  </si>
  <si>
    <t>473EA3CE-484F-464C-9D88-D2ED3196B1A8</t>
  </si>
  <si>
    <t>e592259f-b628-429a-aca0-8df5637e6d5a</t>
  </si>
  <si>
    <t>2D66F299-F531-4FD0-959D-31AE32AA80B0</t>
  </si>
  <si>
    <t>C621B2E9-3F3F-43A2-B7EB-385C732A4744</t>
  </si>
  <si>
    <t>402BE7E8-BACB-4DF7-A56D-A0F061E628A3</t>
  </si>
  <si>
    <t>24748DEB-759B-4389-9BAB-3D994CB01B0C</t>
  </si>
  <si>
    <t>4030C1C6-A861-48B6-B2A3-A802848E5156</t>
  </si>
  <si>
    <t>F082431F-29B1-4E65-A6C9-23F25701D7A7</t>
  </si>
  <si>
    <t>A0AF3969-984E-4F59-9104-4C2ECCED8AE9</t>
  </si>
  <si>
    <t>B2CBDA9A-38C0-40D3-9678-51F90BB225FD</t>
  </si>
  <si>
    <t>2393CB0F-0FED-4AA9-A706-AEF589B75D01</t>
  </si>
  <si>
    <t>C08A55A1-0C65-48C3-9235-EAB41ED94BF6</t>
  </si>
  <si>
    <t>028DD554-B733-480B-83CB-1FD7904CA67B</t>
  </si>
  <si>
    <t>321BF1B4-8D03-41D8-9E4C-BBE047C37473</t>
  </si>
  <si>
    <t>A4D181DE-A620-47AB-8CD9-1FA1E42F4B67</t>
  </si>
  <si>
    <t>C07A3BEE-109F-4BEF-984B-4037B0AD467C</t>
  </si>
  <si>
    <t>36898241-493C-4FBB-9D99-C07D79333720</t>
  </si>
  <si>
    <t>2E56F51A-A64A-474B-9498-9C92D5BCCC7C</t>
  </si>
  <si>
    <t>0563fc20-6da4-4213-8d6f-48c9702b5312</t>
  </si>
  <si>
    <t>417AFF8D-D92A-4342-BA52-B010018BD910</t>
  </si>
  <si>
    <t>5C58BC6D-F547-4E01-B95A-A858459FAF3E</t>
  </si>
  <si>
    <t>7.1.1</t>
  </si>
  <si>
    <t>E00F7D26-EB67-4380-9AC4-7C192F0DDE6C</t>
  </si>
  <si>
    <t>7.1.2</t>
  </si>
  <si>
    <t>BDB5ABCD-D0FA-4641-A709-DD6C2DB29726</t>
  </si>
  <si>
    <t>7.1.3</t>
  </si>
  <si>
    <t>50E07634-CDAC-423C-97AD-9ECD4BFAF758</t>
  </si>
  <si>
    <t>7.1.4</t>
  </si>
  <si>
    <t>A42A441B-39D3-41CC-9982-7F85C16248D0</t>
  </si>
  <si>
    <t>7.1.5</t>
  </si>
  <si>
    <t>7690AED9-83CB-4FF4-8221-59E0F4D6151F</t>
  </si>
  <si>
    <t>7.1.6</t>
  </si>
  <si>
    <t>34350AC9-F74B-4EBD-8782-05773A4C4206</t>
  </si>
  <si>
    <t>B5DFE79F-289E-4114-B2B4-B826F5B1BBE1</t>
  </si>
  <si>
    <t>7.2.1</t>
  </si>
  <si>
    <t>A7791E10-615B-4E6D-BA0E-8131194F6128</t>
  </si>
  <si>
    <t>7.2.2</t>
  </si>
  <si>
    <t>EDB3490B-99B9-4451-BCF3-FADB6416327C</t>
  </si>
  <si>
    <t>7.2.3</t>
  </si>
  <si>
    <t>21B2C78F-6220-494A-85ED-322A8632FC8A</t>
  </si>
  <si>
    <t>7.2.4</t>
  </si>
  <si>
    <t>35BD9FA6-799C-4571-BECE-5A97D515008C</t>
  </si>
  <si>
    <t>7.2.5</t>
  </si>
  <si>
    <t>E342E122-7863-417C-B59E-56A664FA4AD1</t>
  </si>
  <si>
    <t>7.2.6</t>
  </si>
  <si>
    <t>2498f92b-d736-4c24-a62e-610474215f39</t>
  </si>
  <si>
    <t>3EC6A224-3AF1-46FB-A810-E975FC383E1E</t>
  </si>
  <si>
    <t>CBB49982-361C-444C-9235-B680DFC6D406</t>
  </si>
  <si>
    <t>8.1.1</t>
  </si>
  <si>
    <t>2D6E9055-2B10-4642-9DE5-D1FEEA2FE3B5</t>
  </si>
  <si>
    <t>8.1.2</t>
  </si>
  <si>
    <t>05CC9791-E045-497E-A351-05F007B0DD80</t>
  </si>
  <si>
    <t>8.1.3</t>
  </si>
  <si>
    <t>D0AF1DBD-0FCD-425E-A28E-A7AC962C7C5F</t>
  </si>
  <si>
    <t>8.1.4</t>
  </si>
  <si>
    <t>813E3977-E90F-48A1-A4F7-1E83E8053629</t>
  </si>
  <si>
    <t>8.1.5</t>
  </si>
  <si>
    <t>0EE834B6-1AA4-47A6-872C-FCF062984395</t>
  </si>
  <si>
    <t>8.1.6</t>
  </si>
  <si>
    <t>3C1E69B5-24B8-4E85-A896-EB74A27872D4</t>
  </si>
  <si>
    <t>2764D860-9ADC-4086-9874-CA75762342FB</t>
  </si>
  <si>
    <t>8.2.1</t>
  </si>
  <si>
    <t>FDDA0704-CBD5-473C-A997-832847A20597</t>
  </si>
  <si>
    <t>8.2.2</t>
  </si>
  <si>
    <t>2C2A1058-5AFA-4880-9ED7-15D5AB9C0244</t>
  </si>
  <si>
    <t>8.2.3</t>
  </si>
  <si>
    <t>4B28F820-8B2F-4A2C-94B6-0152320DD4DF</t>
  </si>
  <si>
    <t>8.2.4</t>
  </si>
  <si>
    <t>7755A333-E426-47F7-98A5-32FF6F6587E9</t>
  </si>
  <si>
    <t>8.2.5</t>
  </si>
  <si>
    <t>D9880EA3-08F3-4326-833E-33D32D6A2242</t>
  </si>
  <si>
    <t>8.2.6</t>
  </si>
  <si>
    <t>04FD9197-F4B6-48AC-ACA1-72CC7DE2A79F</t>
  </si>
  <si>
    <t>2A539B41-44B8-4B1A-BDD5-BB78C65312C9</t>
  </si>
  <si>
    <t>AFA699A5-E9F2-4999-B7BD-8B26D988B122</t>
  </si>
  <si>
    <t>4AF27759-130C-4365-A44D-587780FB347A</t>
  </si>
  <si>
    <t>19887614-4435-42F2-AD14-7FE062B4DB73</t>
  </si>
  <si>
    <t>4ECA4C01-3342-432E-9C41-AA605E206ABC</t>
  </si>
  <si>
    <t>083F5606-A610-4D69-8E64-60D06464B3AF</t>
  </si>
  <si>
    <t>90CC3F86-7B35-4555-82E6-47D0DF9C2510</t>
  </si>
  <si>
    <t>1D26B8B3-4857-4720-B84A-14BD3FAE1FBB</t>
  </si>
  <si>
    <t>DF2C176A-3658-43A7-950B-385551630D34</t>
  </si>
  <si>
    <t>8FCB00C3-93B2-4AF7-A85D-B2B24DBB749E</t>
  </si>
  <si>
    <t>შემოსავლები რეალიზაციიდან</t>
  </si>
  <si>
    <t>შემოსავალი ლიფტების რეალიზაციიდან და სერვისიდან</t>
  </si>
  <si>
    <t>შემოსავალი ლიფტების რეალიზაციიდან</t>
  </si>
  <si>
    <t>ლიფტების ავანსი</t>
  </si>
  <si>
    <t>ლიფტების საქარხნო მზაობის ავანსი</t>
  </si>
  <si>
    <t>ლიფტების საბაჟოზე შემოსვლის ან დასაწყობების ავანსი</t>
  </si>
  <si>
    <t>ლიფტების მონტაჟის პროგრესის ავანსი</t>
  </si>
  <si>
    <t>ლიფტების ჩაბარება</t>
  </si>
  <si>
    <t>ლიფტების თანხის დაკავების გარანტია</t>
  </si>
  <si>
    <t>შემოსავალი ლიფტების სერვისიდან - გეგმიური</t>
  </si>
  <si>
    <t>შემოსავალი ლიფტების სერვისიდან - არაგეგმიური</t>
  </si>
  <si>
    <t>შემოსავალი ლიფტების შახტის გამყოფები</t>
  </si>
  <si>
    <t>ლიფტების გამოყოფების ავანსი</t>
  </si>
  <si>
    <t>ლიფტების გამყოფების მიღება ჩაბარება</t>
  </si>
  <si>
    <t>ლიფტების გამყოფების თანხის დაკავების გარანტია</t>
  </si>
  <si>
    <t>შემოსავალი MEP დანადგარების რეალიზაციიდან და მომსახურებიდან</t>
  </si>
  <si>
    <t>შემოსავალი MEP დანადგარების რეალიზაციიდან</t>
  </si>
  <si>
    <t>შემოსავალი MEP დანადგარების სერვისიდან - გეგმიური</t>
  </si>
  <si>
    <t>შემოსავალი MEP დანადგარების სერვისიდან - არაგეგმიური</t>
  </si>
  <si>
    <t>სხვა რეალიზაცია</t>
  </si>
  <si>
    <t>სხვადასხვა ინვენტარის რეალიზაცია</t>
  </si>
  <si>
    <t>იჯარიდან მიღებული შემოსავალი</t>
  </si>
  <si>
    <t>გაყიდვები საზღვარგარეთ</t>
  </si>
  <si>
    <t>უძრავი ქონების რეალიზაცია</t>
  </si>
  <si>
    <t>დანადგარების რეალიზაცია</t>
  </si>
  <si>
    <t>რეალიზებული პროდუქციის და სერვისის თვითღირებულება</t>
  </si>
  <si>
    <t>რეალიზებული ლიფტების და მათი სერვისის თვითღირებულება</t>
  </si>
  <si>
    <t>რეალიზებული ლიფტების თვითღირებულება</t>
  </si>
  <si>
    <t>ლიფტების საქარხნო თვითღირებულება</t>
  </si>
  <si>
    <t>ლიფტების ტრანსპორტირება</t>
  </si>
  <si>
    <t>ლიფტების მონტაჟის ღირებულება</t>
  </si>
  <si>
    <t>ლიფტების მონტაჟის დამხმარე შრომა</t>
  </si>
  <si>
    <t>ლიფტების  განბაჟება/სატერმინალო მომსახურება</t>
  </si>
  <si>
    <t>ლიფტების მონტაჟის დამხმარე მასალები</t>
  </si>
  <si>
    <t>ლიფტების მემონტაჟეების ბინის ქირა</t>
  </si>
  <si>
    <t>ლიფტების მონტაჟის გაუთვალისწინებელი ხარჯი</t>
  </si>
  <si>
    <t>ლიფტების მონტაჟის ბონუსები</t>
  </si>
  <si>
    <t>ლიფტების რეალიზაციის ბონუსები</t>
  </si>
  <si>
    <t>ლიფტების პროექტის მომსახურების ბონუსები</t>
  </si>
  <si>
    <t>ლიფტების პროექტის სხვა თვითღირებულება</t>
  </si>
  <si>
    <t>ლიფტების საგარანტიო მომსახურების თვითღირებულება</t>
  </si>
  <si>
    <t>ლიფტების სხვა დაუხარისხებელი ღირებულება</t>
  </si>
  <si>
    <t>ლიფტების სერტიფიცირების ღირებულება</t>
  </si>
  <si>
    <t>ლიფტების მონტაჟისთვის ხარაჩოს ღირებულება</t>
  </si>
  <si>
    <t>ლიფტების პროექტის ფინანსირების ხარჯი</t>
  </si>
  <si>
    <t>ლიფტების პროექტის ტვირთის დაზღვევა</t>
  </si>
  <si>
    <t>ლიფტების სერვისის თვითღირებულება - გეგმიური</t>
  </si>
  <si>
    <t>ლიფტების სერვისის ხელფასი - გეგმიური</t>
  </si>
  <si>
    <t xml:space="preserve">ლიფტების სერვისის ბონუსი- გეგმიური </t>
  </si>
  <si>
    <t xml:space="preserve">ლიფტების სერვისის მასალების ღირებულება - გეგმიური </t>
  </si>
  <si>
    <t>ლიფტების სერვისის მასალების ტრანსპორტირება- გეგმიური</t>
  </si>
  <si>
    <t xml:space="preserve">ლიფტების სერვისის მასალების განბაჟება - გეგმიური </t>
  </si>
  <si>
    <t xml:space="preserve">ლიფტების სერვისის სხვა ღირებულება - გეგმიური </t>
  </si>
  <si>
    <t>ლიფტების სერვისის თვითღირებულება - არაგეგმიური</t>
  </si>
  <si>
    <t>ლიფტების სერვისის ხელფასი - არაგეგმიური</t>
  </si>
  <si>
    <t>ლიფტების სერვისის მასალების ღირებულება - არაგეგმიური</t>
  </si>
  <si>
    <t>ლიფტების სერვისის მასალების ტრანსპორტირება- არაგეგმიური</t>
  </si>
  <si>
    <t>ლიფტების სერვისის მასალების განბაჟება - არაგეგმიური</t>
  </si>
  <si>
    <t>ლიფტების სერვისის სხვა ღირებულება - არაგეგმიური</t>
  </si>
  <si>
    <t>ლიფტის შახტების გამყოფების თვითღირებულება</t>
  </si>
  <si>
    <t>ლიფტის შახტების გამყოფების მასალების თვითღირებულება</t>
  </si>
  <si>
    <t>ლიფტის შახტების გამყოფების მონტაჟის საფასური</t>
  </si>
  <si>
    <t>რეალიზებული MEP დანადგარების და მათი სერვისის თვითღირებულება</t>
  </si>
  <si>
    <t>რეალიზებული MEP დანადგარების თვითღირებულება</t>
  </si>
  <si>
    <t>MEP დანადგარების საქარხნო თვითღირებულება</t>
  </si>
  <si>
    <t>MEP დანადგარების ტრანსპორტირება</t>
  </si>
  <si>
    <t>MEP დანადგარების მონტაჟის ღირებულება</t>
  </si>
  <si>
    <t>MEP დანადგარების მონტაჟის დამხმარე შრომა</t>
  </si>
  <si>
    <t>MEP დანადგარების  განბაჟება/სატერმინალო მომსახურება</t>
  </si>
  <si>
    <t>MEP დანადგარების მონტაჟის დამხმარე მასალები</t>
  </si>
  <si>
    <t>MEP დანადგარების მემონტაჟეების ბინის ქირა</t>
  </si>
  <si>
    <t>MEP დანადგარების მონტაჟის გაუთვალისწინებელი ხარჯი</t>
  </si>
  <si>
    <t>MEP დანადგარების მონტაჟის ბონუსები</t>
  </si>
  <si>
    <t>MEP დანადგარების რეალიზაციის ბონუსები</t>
  </si>
  <si>
    <t>MEP დანადგარების პროექტის მომსახურების ბონუსები</t>
  </si>
  <si>
    <t>MEP დანადგარების პროექტის სხვა თვითღირებულება</t>
  </si>
  <si>
    <t>MEP დანადგარების საგარანტიო მომსახურების თვითღირებულება</t>
  </si>
  <si>
    <t>MEP დანადგარების სხვა დაუხარისხებელი ღირებულება</t>
  </si>
  <si>
    <t>MEP დანადგარების სერტიფიცირების ღირებულება</t>
  </si>
  <si>
    <t>MEP დანადგარების მონტაჟისთვის ხარაჩოს ღირებულება</t>
  </si>
  <si>
    <t>MEP დანადგარების პროექტის ფინანსირების ხარჯი</t>
  </si>
  <si>
    <t>MEP დანადგარების პროექტის ტვირთის დაზღვევა</t>
  </si>
  <si>
    <t>MEP დანადგარების სერვისი - გეგმიური</t>
  </si>
  <si>
    <t>MEP დანადგარების სერვისის ხელფასი - გეგმიური</t>
  </si>
  <si>
    <t xml:space="preserve">MEP დანადგარების სერვისის მასალების ღირებულება - გეგმიური </t>
  </si>
  <si>
    <t xml:space="preserve">MEP დანადგარების სერვისის მასალების ტრანსპორტირება- გეგმიური </t>
  </si>
  <si>
    <t xml:space="preserve">MEP დანადგარების სერვისის მასალების განბაჟება - გეგმიური </t>
  </si>
  <si>
    <t xml:space="preserve">MEP დანადგარების სერვისის სხვა ღირებულება - გეგმიური </t>
  </si>
  <si>
    <t>MEP დანადგარების სერვისი - არაგეგმიური</t>
  </si>
  <si>
    <t xml:space="preserve">MEP დანადგარების სერვისის ხელფასი - არაგეგმიური </t>
  </si>
  <si>
    <t xml:space="preserve">MEP დანადგარების სერვისის მასალების ღირებულება - არაგეგმიური </t>
  </si>
  <si>
    <t xml:space="preserve">MEP დანადგარების სერვისის მასალების ტრანსპორტირება- არაგეგმიური </t>
  </si>
  <si>
    <t xml:space="preserve">MEP დანადგარების სერვისის მასალების განბაჟება - არაგეგმიური </t>
  </si>
  <si>
    <t xml:space="preserve">MEP დანადგარების სერვისის სხვა ღირებულება - არაგეგმიური </t>
  </si>
  <si>
    <t>სხვა რეალიზაციის თვითღირებულება</t>
  </si>
  <si>
    <t>სხვადახვა რეალიცებული ინვენტარის თვითღირებულება</t>
  </si>
  <si>
    <t>საზღვარგარეთ გაყიდული პროდუქციის თვითღირებულება</t>
  </si>
  <si>
    <t>უძრავი ქონების შესყიდვები</t>
  </si>
  <si>
    <t>ფიქსირებული ხარჯები</t>
  </si>
  <si>
    <t>დაქირავებულთა ანაზღაურება</t>
  </si>
  <si>
    <t>მენეჯმენტის ფიქსირებული ხელფასი</t>
  </si>
  <si>
    <t>მენეჯმენტის ბონუსები</t>
  </si>
  <si>
    <t>ადმინისტრაციის ფიქსირებული ხელფასი</t>
  </si>
  <si>
    <t>ადმინისტრაციის ბონუსები</t>
  </si>
  <si>
    <t>მონტაჟის ხელფასები</t>
  </si>
  <si>
    <t>მონტაჟის ბონუსები (წამახალისებელი, დამოუკიდებელი მონტაჟზე)</t>
  </si>
  <si>
    <t>სარგებლის სახით მიღებული ანაზღაურება</t>
  </si>
  <si>
    <t>იჯარის ხარჯი</t>
  </si>
  <si>
    <t>ოფისის იჯარის ხარჯი</t>
  </si>
  <si>
    <t>საწყობის იჯარის ხარჯი</t>
  </si>
  <si>
    <t>დაქირავებულების ბინების იჯარის ხარჯი</t>
  </si>
  <si>
    <t>სხვა იჯარის ხარჯები</t>
  </si>
  <si>
    <t>კომუნალური გადასახადები</t>
  </si>
  <si>
    <t>დენი და დასუფთავება</t>
  </si>
  <si>
    <t>გაზი</t>
  </si>
  <si>
    <t>წყალი</t>
  </si>
  <si>
    <t>კავშირგაბმულობა</t>
  </si>
  <si>
    <t>კონსიერჟი</t>
  </si>
  <si>
    <t>კომუნალურები ჭავჭავაძე</t>
  </si>
  <si>
    <t>კომუნალურები ბათუმის ბინა</t>
  </si>
  <si>
    <t>კომუნალურები თამარაშვილი</t>
  </si>
  <si>
    <t>სატრანსპორტო ხარჯები</t>
  </si>
  <si>
    <t>ავტომობილების შეკეთების ხარჯები</t>
  </si>
  <si>
    <t>საწვავის ხარჯები</t>
  </si>
  <si>
    <t>რეცხვა/ქიმწმენდა</t>
  </si>
  <si>
    <t>ნავიგაცია</t>
  </si>
  <si>
    <t>სხვა ავტ. ექსპლუატაცია</t>
  </si>
  <si>
    <t>საოფისე ხარჯები</t>
  </si>
  <si>
    <t>საკანცელარიო ხარჯები</t>
  </si>
  <si>
    <t>სამეურნეო ინვენტარი</t>
  </si>
  <si>
    <t>ქეითერინგი</t>
  </si>
  <si>
    <t>COVID-19 დაკავშირებული ხარჯები</t>
  </si>
  <si>
    <t>სპეცტანსაცმელი</t>
  </si>
  <si>
    <t>მცირეფასიანი ძირითადი საშუალებები</t>
  </si>
  <si>
    <t>კომპიუტერის ხარჯი</t>
  </si>
  <si>
    <t>წარმომადგენლობითი/სამივლინებო ხარჯები</t>
  </si>
  <si>
    <t>სამივლინებო ხარჯები</t>
  </si>
  <si>
    <t>წარმომადგენლობითი ხარჯები</t>
  </si>
  <si>
    <t>დაზღვევის ხარჯები</t>
  </si>
  <si>
    <t>თანამშრომლების ჯანმრთელობის დაზღვევის ხარჯები</t>
  </si>
  <si>
    <t>დაქირავებულების ჯანმრთელობის დაზღვევის ხარჯები</t>
  </si>
  <si>
    <t>ავტომობილების დაზღვევა</t>
  </si>
  <si>
    <t>სხვა დაზღვევის ხარჯი</t>
  </si>
  <si>
    <t>საბანკო ხარჯები</t>
  </si>
  <si>
    <t>საბანკო საკომისიო</t>
  </si>
  <si>
    <t>სხვადასხვა ხარჯები</t>
  </si>
  <si>
    <t>სხვა ხარჯი</t>
  </si>
  <si>
    <t>რეკლამის ხარჯი</t>
  </si>
  <si>
    <t>პროფესიონალური მომსახურება</t>
  </si>
  <si>
    <t>სხვა დაუხარისხებელი ხარჯი</t>
  </si>
  <si>
    <t>გადასახადები</t>
  </si>
  <si>
    <t>გადასახადების ერთიანი კოდი</t>
  </si>
  <si>
    <t>საპენსიოს ერთიანი კოდი</t>
  </si>
  <si>
    <t>მოგების გადასახადი</t>
  </si>
  <si>
    <t>ქონების გადასახადი</t>
  </si>
  <si>
    <t>დივიდენდის საშემოსავლო გადასახადი</t>
  </si>
  <si>
    <t>გეზი</t>
  </si>
  <si>
    <t>ფინანსური შემოდინებები</t>
  </si>
  <si>
    <t>სესხების აღება ბანკებისგან</t>
  </si>
  <si>
    <t>სესხების აღება მე-3 პირებისგან</t>
  </si>
  <si>
    <t>სესხის ძირის გადახდა მე-3 პირების მიერ</t>
  </si>
  <si>
    <t>სესხის %-ის გადახდა მე-3 პირების მიერ</t>
  </si>
  <si>
    <t>დამფუძნებლისგან აღებული სესხები</t>
  </si>
  <si>
    <t>ფინანური გადინებები</t>
  </si>
  <si>
    <t>ბანკის სესხების ძირის დაფარვა</t>
  </si>
  <si>
    <t>საპროცენტო ხარჯი</t>
  </si>
  <si>
    <t>გარანტიის/აკრედიტივის %</t>
  </si>
  <si>
    <t>მე-3 პირებისთვის სესხის დაბრუნება</t>
  </si>
  <si>
    <t>მე-3 პირებისთვის სესხის % გადახდა</t>
  </si>
  <si>
    <t>მე-3 პირებისთვის სესხის გაცემა</t>
  </si>
  <si>
    <t>სავალუტო ანგარიშების გადაფასება</t>
  </si>
  <si>
    <t>საკურსო სხვაობა</t>
  </si>
  <si>
    <t>დამფუძნებლის სესხის დაფარვა</t>
  </si>
  <si>
    <t>საინვესტიციო საქმიანობის შედეგი</t>
  </si>
  <si>
    <t>ინვესტიცია უძრავ ქონებაში</t>
  </si>
  <si>
    <t>ინვესიციები დანადგარებში</t>
  </si>
  <si>
    <t>კომპიუტერული ტექნიკის შეძენა</t>
  </si>
  <si>
    <t>საოფისე ინვენტარის შეძენა</t>
  </si>
  <si>
    <t>აღჭურვილობის შეძენა</t>
  </si>
  <si>
    <t>პროგრამული უზრუნველყოფა</t>
  </si>
  <si>
    <t>ცვეთა</t>
  </si>
  <si>
    <t>უძრავ ქონების ცვეთა</t>
  </si>
  <si>
    <t>დანადგარების ცვეთა</t>
  </si>
  <si>
    <t>კომპიუტერული ტექნიკის ცვეთა</t>
  </si>
  <si>
    <t>საოფისე ინვენტარის ცვეთა</t>
  </si>
  <si>
    <t>აღჭურვილობის ცვეთა</t>
  </si>
  <si>
    <t>პროგრამული უზრუნველყოფის ამორტიზაცია</t>
  </si>
  <si>
    <t>დივიდენდები</t>
  </si>
  <si>
    <t>დივიდენდები - შპს ინდეკო</t>
  </si>
  <si>
    <t>დივიდენდები - მალხაზ კურტანიძე</t>
  </si>
  <si>
    <t>დივიდენდები - გიორგი ბახტაძე</t>
  </si>
  <si>
    <t>დივიდენდები - პაატა დვალიშვილი</t>
  </si>
  <si>
    <t>დივიდენდები - ნიკოლოზ მედულაშვილი</t>
  </si>
  <si>
    <t>დივიდენდები - ირაკლი მეგრელიშვილი</t>
  </si>
  <si>
    <t>კაპიტალის შევსება</t>
  </si>
  <si>
    <t>შპს ინდეკო</t>
  </si>
  <si>
    <t>მალხაზ კურტანიძე</t>
  </si>
  <si>
    <t>გიორგი ბახტაძე</t>
  </si>
  <si>
    <t>პაატა დვალიშვილი</t>
  </si>
  <si>
    <t>ნიკოლოზ მედულაშვილი</t>
  </si>
  <si>
    <t>ირაკლი მეგრელიშვილი</t>
  </si>
  <si>
    <t>გარეუწყისური გატარებები</t>
  </si>
  <si>
    <t>Conversion</t>
  </si>
  <si>
    <t>Business Card</t>
  </si>
  <si>
    <t>1</t>
  </si>
  <si>
    <t>1.1</t>
  </si>
  <si>
    <t>1.2</t>
  </si>
  <si>
    <t>1.3</t>
  </si>
  <si>
    <t>1.4</t>
  </si>
  <si>
    <t>1.5</t>
  </si>
  <si>
    <t>1.6</t>
  </si>
  <si>
    <t>2</t>
  </si>
  <si>
    <t>2.1</t>
  </si>
  <si>
    <t>2.2</t>
  </si>
  <si>
    <t>2.3</t>
  </si>
  <si>
    <t>2.4</t>
  </si>
  <si>
    <t>2.5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</si>
  <si>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</si>
  <si>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</si>
  <si>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</si>
  <si>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</si>
  <si>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</si>
  <si>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</si>
  <si>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</si>
  <si>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</si>
  <si>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</si>
  <si>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</si>
  <si>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</t>
  </si>
  <si>
    <t>4.1</t>
  </si>
  <si>
    <t>4.2</t>
  </si>
  <si>
    <t>4.3</t>
  </si>
  <si>
    <t>4.4</t>
  </si>
  <si>
    <t>4.5</t>
  </si>
  <si>
    <t>4.6</t>
  </si>
  <si>
    <t>5</t>
  </si>
  <si>
    <t>5.1</t>
  </si>
  <si>
    <t>5.2</t>
  </si>
  <si>
    <t>5.3</t>
  </si>
  <si>
    <t>5.4</t>
  </si>
  <si>
    <t>5.5</t>
  </si>
  <si>
    <t>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</si>
  <si>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</si>
  <si>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</si>
  <si>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</si>
  <si>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</si>
  <si>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</si>
  <si>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</si>
  <si>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</si>
  <si>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</si>
  <si>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</si>
  <si>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7</t>
  </si>
  <si>
    <t>7.1</t>
  </si>
  <si>
    <t>7.2</t>
  </si>
  <si>
    <t>8</t>
  </si>
  <si>
    <t>8.1</t>
  </si>
  <si>
    <t>8.2</t>
  </si>
  <si>
    <t>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</si>
  <si>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</si>
  <si>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</si>
  <si>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</si>
  <si>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</si>
  <si>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</si>
  <si>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</si>
  <si>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</si>
  <si>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</si>
  <si>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</si>
  <si>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დამფუძნებლები</t>
  </si>
  <si>
    <t>0.10</t>
  </si>
  <si>
    <t>ინვესტიციები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</si>
</sst>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topLeftCell="A183" workbookViewId="0">
      <selection activeCell="D218" sqref="D218"/>
    </sheetView>
  </sheetViews>
  <sheetFormatPr defaultRowHeight="15" x14ac:dyDescent="0.25"/>
  <cols>
    <col min="1" max="1" width="2.7109375" bestFit="1" customWidth="1"/>
    <col min="2" max="2" width="40.28515625" bestFit="1" customWidth="1"/>
    <col min="3" max="3" width="7.7109375" bestFit="1" customWidth="1"/>
    <col min="4" max="4" width="74.7109375" bestFit="1" customWidth="1"/>
    <col min="5" max="5" width="13.140625" bestFit="1" customWidth="1"/>
    <col min="6" max="6" width="12.85546875" bestFit="1" customWidth="1"/>
    <col min="7" max="7" width="10" bestFit="1" customWidth="1"/>
    <col min="8" max="8" width="39.28515625" bestFit="1" customWidth="1"/>
    <col min="9" max="9" width="9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8</v>
      </c>
      <c r="C2" t="s">
        <v>582</v>
      </c>
      <c r="D2" t="s">
        <v>378</v>
      </c>
      <c r="E2" t="b">
        <v>1</v>
      </c>
      <c r="F2" t="b">
        <v>1</v>
      </c>
      <c r="G2" t="b">
        <v>1</v>
      </c>
      <c r="H2" t="str">
        <f t="shared" ref="H2:H33" si="0">IFERROR(INDEX(B:B,MATCH(LEFT(SUBSTITUTE(C2,".","/",LEN(C2)-LEN(SUBSTITUTE(C2,".",""))),SEARCH("/",SUBSTITUTE(C2,".","/",LEN(C2)-LEN(SUBSTITUTE(C2,".",""))),1)-1),C:C,0)),"NULL")</f>
        <v>NULL</v>
      </c>
    </row>
    <row r="3" spans="1:8" x14ac:dyDescent="0.25">
      <c r="B3" t="s">
        <v>9</v>
      </c>
      <c r="C3" t="s">
        <v>583</v>
      </c>
      <c r="D3" t="s">
        <v>379</v>
      </c>
      <c r="E3" t="b">
        <v>1</v>
      </c>
      <c r="F3" t="b">
        <v>1</v>
      </c>
      <c r="G3" t="b">
        <v>1</v>
      </c>
      <c r="H3" t="str">
        <f t="shared" si="0"/>
        <v>D3761423-ED03-4DAA-9038-99FCCE64DF66</v>
      </c>
    </row>
    <row r="4" spans="1:8" x14ac:dyDescent="0.25">
      <c r="B4" t="s">
        <v>10</v>
      </c>
      <c r="C4" t="s">
        <v>11</v>
      </c>
      <c r="D4" t="s">
        <v>380</v>
      </c>
      <c r="E4" t="b">
        <v>1</v>
      </c>
      <c r="F4" t="b">
        <v>1</v>
      </c>
      <c r="G4" t="b">
        <v>1</v>
      </c>
      <c r="H4" t="str">
        <f t="shared" si="0"/>
        <v>348154BD-B2AB-41FC-A0E6-7E47179C4613</v>
      </c>
    </row>
    <row r="5" spans="1:8" x14ac:dyDescent="0.25">
      <c r="B5" t="s">
        <v>12</v>
      </c>
      <c r="C5" t="s">
        <v>13</v>
      </c>
      <c r="D5" t="s">
        <v>381</v>
      </c>
      <c r="E5" t="b">
        <v>0</v>
      </c>
      <c r="F5" t="b">
        <v>1</v>
      </c>
      <c r="G5" t="b">
        <v>1</v>
      </c>
      <c r="H5" t="str">
        <f t="shared" si="0"/>
        <v>B59170EC-16CC-499A-9FF7-0428DCB8F727</v>
      </c>
    </row>
    <row r="6" spans="1:8" x14ac:dyDescent="0.25">
      <c r="B6" t="s">
        <v>14</v>
      </c>
      <c r="C6" t="s">
        <v>15</v>
      </c>
      <c r="D6" t="s">
        <v>382</v>
      </c>
      <c r="E6" t="b">
        <v>0</v>
      </c>
      <c r="F6" t="b">
        <v>1</v>
      </c>
      <c r="G6" t="b">
        <v>1</v>
      </c>
      <c r="H6" t="str">
        <f t="shared" si="0"/>
        <v>B59170EC-16CC-499A-9FF7-0428DCB8F727</v>
      </c>
    </row>
    <row r="7" spans="1:8" x14ac:dyDescent="0.25">
      <c r="B7" t="s">
        <v>16</v>
      </c>
      <c r="C7" t="s">
        <v>17</v>
      </c>
      <c r="D7" t="s">
        <v>383</v>
      </c>
      <c r="E7" t="b">
        <v>0</v>
      </c>
      <c r="F7" t="b">
        <v>1</v>
      </c>
      <c r="G7" t="b">
        <v>1</v>
      </c>
      <c r="H7" t="str">
        <f t="shared" si="0"/>
        <v>B59170EC-16CC-499A-9FF7-0428DCB8F727</v>
      </c>
    </row>
    <row r="8" spans="1:8" x14ac:dyDescent="0.25">
      <c r="B8" t="s">
        <v>18</v>
      </c>
      <c r="C8" t="s">
        <v>19</v>
      </c>
      <c r="D8" t="s">
        <v>384</v>
      </c>
      <c r="E8" t="b">
        <v>0</v>
      </c>
      <c r="F8" t="b">
        <v>1</v>
      </c>
      <c r="G8" t="b">
        <v>1</v>
      </c>
      <c r="H8" t="str">
        <f t="shared" si="0"/>
        <v>B59170EC-16CC-499A-9FF7-0428DCB8F727</v>
      </c>
    </row>
    <row r="9" spans="1:8" x14ac:dyDescent="0.25">
      <c r="B9" t="s">
        <v>20</v>
      </c>
      <c r="C9" t="s">
        <v>21</v>
      </c>
      <c r="D9" t="s">
        <v>385</v>
      </c>
      <c r="E9" t="b">
        <v>0</v>
      </c>
      <c r="F9" t="b">
        <v>1</v>
      </c>
      <c r="G9" t="b">
        <v>1</v>
      </c>
      <c r="H9" t="str">
        <f t="shared" si="0"/>
        <v>B59170EC-16CC-499A-9FF7-0428DCB8F727</v>
      </c>
    </row>
    <row r="10" spans="1:8" x14ac:dyDescent="0.25">
      <c r="B10" t="s">
        <v>22</v>
      </c>
      <c r="C10" t="s">
        <v>23</v>
      </c>
      <c r="D10" t="s">
        <v>386</v>
      </c>
      <c r="E10" t="b">
        <v>0</v>
      </c>
      <c r="F10" t="b">
        <v>1</v>
      </c>
      <c r="G10" t="b">
        <v>1</v>
      </c>
      <c r="H10" t="str">
        <f t="shared" si="0"/>
        <v>B59170EC-16CC-499A-9FF7-0428DCB8F727</v>
      </c>
    </row>
    <row r="11" spans="1:8" x14ac:dyDescent="0.25">
      <c r="B11" t="s">
        <v>24</v>
      </c>
      <c r="C11" t="s">
        <v>25</v>
      </c>
      <c r="D11" t="s">
        <v>387</v>
      </c>
      <c r="E11" t="b">
        <v>1</v>
      </c>
      <c r="F11" t="b">
        <v>1</v>
      </c>
      <c r="G11" t="b">
        <v>1</v>
      </c>
      <c r="H11" t="str">
        <f t="shared" si="0"/>
        <v>348154BD-B2AB-41FC-A0E6-7E47179C4613</v>
      </c>
    </row>
    <row r="12" spans="1:8" x14ac:dyDescent="0.25">
      <c r="B12" t="s">
        <v>26</v>
      </c>
      <c r="C12" t="s">
        <v>27</v>
      </c>
      <c r="D12" t="s">
        <v>388</v>
      </c>
      <c r="E12" t="b">
        <v>1</v>
      </c>
      <c r="F12" t="b">
        <v>1</v>
      </c>
      <c r="G12" t="b">
        <v>1</v>
      </c>
      <c r="H12" t="str">
        <f t="shared" si="0"/>
        <v>348154BD-B2AB-41FC-A0E6-7E47179C4613</v>
      </c>
    </row>
    <row r="13" spans="1:8" x14ac:dyDescent="0.25">
      <c r="B13" t="s">
        <v>28</v>
      </c>
      <c r="C13" t="s">
        <v>29</v>
      </c>
      <c r="D13" t="s">
        <v>389</v>
      </c>
      <c r="E13" t="b">
        <v>1</v>
      </c>
      <c r="F13" t="b">
        <v>1</v>
      </c>
      <c r="G13" t="b">
        <v>1</v>
      </c>
      <c r="H13" t="str">
        <f t="shared" si="0"/>
        <v>348154BD-B2AB-41FC-A0E6-7E47179C4613</v>
      </c>
    </row>
    <row r="14" spans="1:8" x14ac:dyDescent="0.25">
      <c r="B14" t="s">
        <v>30</v>
      </c>
      <c r="C14" t="s">
        <v>31</v>
      </c>
      <c r="D14" t="s">
        <v>390</v>
      </c>
      <c r="E14" t="b">
        <v>0</v>
      </c>
      <c r="F14" t="b">
        <v>1</v>
      </c>
      <c r="G14" t="b">
        <v>1</v>
      </c>
      <c r="H14" t="str">
        <f t="shared" si="0"/>
        <v>954A7962-CBD4-4685-8632-CAED15DD0A33</v>
      </c>
    </row>
    <row r="15" spans="1:8" x14ac:dyDescent="0.25">
      <c r="B15" t="s">
        <v>32</v>
      </c>
      <c r="C15" t="s">
        <v>33</v>
      </c>
      <c r="D15" t="s">
        <v>391</v>
      </c>
      <c r="E15" t="b">
        <v>0</v>
      </c>
      <c r="F15" t="b">
        <v>1</v>
      </c>
      <c r="G15" t="b">
        <v>1</v>
      </c>
      <c r="H15" t="str">
        <f t="shared" si="0"/>
        <v>954A7962-CBD4-4685-8632-CAED15DD0A33</v>
      </c>
    </row>
    <row r="16" spans="1:8" x14ac:dyDescent="0.25">
      <c r="B16" t="s">
        <v>34</v>
      </c>
      <c r="C16" t="s">
        <v>35</v>
      </c>
      <c r="D16" t="s">
        <v>392</v>
      </c>
      <c r="E16" t="b">
        <v>0</v>
      </c>
      <c r="F16" t="b">
        <v>1</v>
      </c>
      <c r="G16" t="b">
        <v>1</v>
      </c>
      <c r="H16" t="str">
        <f t="shared" si="0"/>
        <v>954A7962-CBD4-4685-8632-CAED15DD0A33</v>
      </c>
    </row>
    <row r="17" spans="2:8" x14ac:dyDescent="0.25">
      <c r="B17" t="s">
        <v>36</v>
      </c>
      <c r="C17" t="s">
        <v>584</v>
      </c>
      <c r="D17" t="s">
        <v>393</v>
      </c>
      <c r="E17" t="b">
        <v>1</v>
      </c>
      <c r="F17" t="b">
        <v>1</v>
      </c>
      <c r="G17" t="b">
        <v>1</v>
      </c>
      <c r="H17" t="str">
        <f t="shared" si="0"/>
        <v>D3761423-ED03-4DAA-9038-99FCCE64DF66</v>
      </c>
    </row>
    <row r="18" spans="2:8" x14ac:dyDescent="0.25">
      <c r="B18" t="s">
        <v>37</v>
      </c>
      <c r="C18" t="s">
        <v>38</v>
      </c>
      <c r="D18" t="s">
        <v>394</v>
      </c>
      <c r="E18" t="b">
        <v>1</v>
      </c>
      <c r="F18" t="b">
        <v>1</v>
      </c>
      <c r="G18" t="b">
        <v>1</v>
      </c>
      <c r="H18" t="str">
        <f t="shared" si="0"/>
        <v>27A2413D-D42E-4E02-88FD-FC675822E96D</v>
      </c>
    </row>
    <row r="19" spans="2:8" x14ac:dyDescent="0.25">
      <c r="B19" t="s">
        <v>39</v>
      </c>
      <c r="C19" t="s">
        <v>40</v>
      </c>
      <c r="D19" t="s">
        <v>395</v>
      </c>
      <c r="E19" t="b">
        <v>1</v>
      </c>
      <c r="F19" t="b">
        <v>1</v>
      </c>
      <c r="G19" t="b">
        <v>1</v>
      </c>
      <c r="H19" t="str">
        <f t="shared" si="0"/>
        <v>27A2413D-D42E-4E02-88FD-FC675822E96D</v>
      </c>
    </row>
    <row r="20" spans="2:8" x14ac:dyDescent="0.25">
      <c r="B20" t="s">
        <v>41</v>
      </c>
      <c r="C20" t="s">
        <v>42</v>
      </c>
      <c r="D20" t="s">
        <v>396</v>
      </c>
      <c r="E20" t="b">
        <v>1</v>
      </c>
      <c r="F20" t="b">
        <v>1</v>
      </c>
      <c r="G20" t="b">
        <v>1</v>
      </c>
      <c r="H20" t="str">
        <f t="shared" si="0"/>
        <v>27A2413D-D42E-4E02-88FD-FC675822E96D</v>
      </c>
    </row>
    <row r="21" spans="2:8" x14ac:dyDescent="0.25">
      <c r="B21" t="s">
        <v>43</v>
      </c>
      <c r="C21" t="s">
        <v>585</v>
      </c>
      <c r="D21" t="s">
        <v>397</v>
      </c>
      <c r="E21" t="b">
        <v>1</v>
      </c>
      <c r="F21" t="b">
        <v>1</v>
      </c>
      <c r="G21" t="b">
        <v>1</v>
      </c>
      <c r="H21" t="str">
        <f t="shared" si="0"/>
        <v>D3761423-ED03-4DAA-9038-99FCCE64DF66</v>
      </c>
    </row>
    <row r="22" spans="2:8" x14ac:dyDescent="0.25">
      <c r="B22" t="s">
        <v>44</v>
      </c>
      <c r="C22" t="s">
        <v>45</v>
      </c>
      <c r="D22" t="s">
        <v>398</v>
      </c>
      <c r="E22" t="b">
        <v>1</v>
      </c>
      <c r="F22" t="b">
        <v>1</v>
      </c>
      <c r="G22" t="b">
        <v>1</v>
      </c>
      <c r="H22" t="str">
        <f t="shared" si="0"/>
        <v>C562610F-187D-432D-95CA-C3CD7FA78679</v>
      </c>
    </row>
    <row r="23" spans="2:8" x14ac:dyDescent="0.25">
      <c r="B23" t="s">
        <v>46</v>
      </c>
      <c r="C23" t="s">
        <v>47</v>
      </c>
      <c r="D23" t="s">
        <v>399</v>
      </c>
      <c r="E23" t="b">
        <v>1</v>
      </c>
      <c r="F23" t="b">
        <v>1</v>
      </c>
      <c r="G23" t="b">
        <v>1</v>
      </c>
      <c r="H23" t="str">
        <f t="shared" si="0"/>
        <v>C562610F-187D-432D-95CA-C3CD7FA78679</v>
      </c>
    </row>
    <row r="24" spans="2:8" x14ac:dyDescent="0.25">
      <c r="B24" t="s">
        <v>48</v>
      </c>
      <c r="C24" t="s">
        <v>586</v>
      </c>
      <c r="D24" t="s">
        <v>400</v>
      </c>
      <c r="E24" t="b">
        <v>1</v>
      </c>
      <c r="F24" t="b">
        <v>1</v>
      </c>
      <c r="G24" t="b">
        <v>1</v>
      </c>
      <c r="H24" t="str">
        <f t="shared" si="0"/>
        <v>D3761423-ED03-4DAA-9038-99FCCE64DF66</v>
      </c>
    </row>
    <row r="25" spans="2:8" x14ac:dyDescent="0.25">
      <c r="B25" t="s">
        <v>49</v>
      </c>
      <c r="C25" t="s">
        <v>587</v>
      </c>
      <c r="D25" t="s">
        <v>401</v>
      </c>
      <c r="E25" t="b">
        <v>1</v>
      </c>
      <c r="F25" t="b">
        <v>1</v>
      </c>
      <c r="G25" t="b">
        <v>1</v>
      </c>
      <c r="H25" t="str">
        <f t="shared" si="0"/>
        <v>D3761423-ED03-4DAA-9038-99FCCE64DF66</v>
      </c>
    </row>
    <row r="26" spans="2:8" x14ac:dyDescent="0.25">
      <c r="B26" t="s">
        <v>50</v>
      </c>
      <c r="C26" t="s">
        <v>588</v>
      </c>
      <c r="D26" t="s">
        <v>402</v>
      </c>
      <c r="E26" t="b">
        <v>1</v>
      </c>
      <c r="F26" t="b">
        <v>1</v>
      </c>
      <c r="G26" t="b">
        <v>1</v>
      </c>
      <c r="H26" t="str">
        <f t="shared" si="0"/>
        <v>D3761423-ED03-4DAA-9038-99FCCE64DF66</v>
      </c>
    </row>
    <row r="27" spans="2:8" x14ac:dyDescent="0.25">
      <c r="B27" t="s">
        <v>51</v>
      </c>
      <c r="C27" t="s">
        <v>589</v>
      </c>
      <c r="D27" t="s">
        <v>403</v>
      </c>
      <c r="E27" t="b">
        <v>1</v>
      </c>
      <c r="F27" t="b">
        <v>1</v>
      </c>
      <c r="G27" t="b">
        <v>0</v>
      </c>
      <c r="H27" t="str">
        <f t="shared" si="0"/>
        <v>NULL</v>
      </c>
    </row>
    <row r="28" spans="2:8" x14ac:dyDescent="0.25">
      <c r="B28" t="s">
        <v>52</v>
      </c>
      <c r="C28" t="s">
        <v>590</v>
      </c>
      <c r="D28" t="s">
        <v>404</v>
      </c>
      <c r="E28" t="b">
        <v>1</v>
      </c>
      <c r="F28" t="b">
        <v>1</v>
      </c>
      <c r="G28" t="b">
        <v>0</v>
      </c>
      <c r="H28" t="str">
        <f t="shared" si="0"/>
        <v>521F073C-5CFB-481F-8D1D-B21A6FA7F420</v>
      </c>
    </row>
    <row r="29" spans="2:8" x14ac:dyDescent="0.25">
      <c r="B29" t="s">
        <v>53</v>
      </c>
      <c r="C29" t="s">
        <v>54</v>
      </c>
      <c r="D29" t="s">
        <v>405</v>
      </c>
      <c r="E29" t="b">
        <v>1</v>
      </c>
      <c r="F29" t="b">
        <v>1</v>
      </c>
      <c r="G29" t="b">
        <v>0</v>
      </c>
      <c r="H29" t="str">
        <f t="shared" si="0"/>
        <v>A701AC0E-E48E-4C96-A4A4-C0D76FFE61F5</v>
      </c>
    </row>
    <row r="30" spans="2:8" x14ac:dyDescent="0.25">
      <c r="B30" t="s">
        <v>55</v>
      </c>
      <c r="C30" t="s">
        <v>56</v>
      </c>
      <c r="D30" t="s">
        <v>406</v>
      </c>
      <c r="E30" t="b">
        <v>1</v>
      </c>
      <c r="F30" t="b">
        <v>1</v>
      </c>
      <c r="G30" t="b">
        <v>0</v>
      </c>
      <c r="H30" t="str">
        <f t="shared" si="0"/>
        <v>B360EC46-80B6-4406-9037-97EE38BFFF03</v>
      </c>
    </row>
    <row r="31" spans="2:8" x14ac:dyDescent="0.25">
      <c r="B31" t="s">
        <v>57</v>
      </c>
      <c r="C31" t="s">
        <v>58</v>
      </c>
      <c r="D31" t="s">
        <v>407</v>
      </c>
      <c r="E31" t="b">
        <v>1</v>
      </c>
      <c r="F31" t="b">
        <v>1</v>
      </c>
      <c r="G31" t="b">
        <v>0</v>
      </c>
      <c r="H31" t="str">
        <f t="shared" si="0"/>
        <v>B360EC46-80B6-4406-9037-97EE38BFFF03</v>
      </c>
    </row>
    <row r="32" spans="2:8" x14ac:dyDescent="0.25">
      <c r="B32" t="s">
        <v>59</v>
      </c>
      <c r="C32" t="s">
        <v>60</v>
      </c>
      <c r="D32" t="s">
        <v>408</v>
      </c>
      <c r="E32" t="b">
        <v>1</v>
      </c>
      <c r="F32" t="b">
        <v>1</v>
      </c>
      <c r="G32" t="b">
        <v>0</v>
      </c>
      <c r="H32" t="str">
        <f t="shared" si="0"/>
        <v>B360EC46-80B6-4406-9037-97EE38BFFF03</v>
      </c>
    </row>
    <row r="33" spans="2:8" x14ac:dyDescent="0.25">
      <c r="B33" t="s">
        <v>61</v>
      </c>
      <c r="C33" t="s">
        <v>62</v>
      </c>
      <c r="D33" t="s">
        <v>409</v>
      </c>
      <c r="E33" t="b">
        <v>1</v>
      </c>
      <c r="F33" t="b">
        <v>1</v>
      </c>
      <c r="G33" t="b">
        <v>0</v>
      </c>
      <c r="H33" t="str">
        <f t="shared" si="0"/>
        <v>B360EC46-80B6-4406-9037-97EE38BFFF03</v>
      </c>
    </row>
    <row r="34" spans="2:8" x14ac:dyDescent="0.25">
      <c r="B34" t="s">
        <v>63</v>
      </c>
      <c r="C34" t="s">
        <v>64</v>
      </c>
      <c r="D34" t="s">
        <v>410</v>
      </c>
      <c r="E34" t="b">
        <v>1</v>
      </c>
      <c r="F34" t="b">
        <v>1</v>
      </c>
      <c r="G34" t="b">
        <v>0</v>
      </c>
      <c r="H34" t="str">
        <f t="shared" ref="H34:H65" si="1">IFERROR(INDEX(B:B,MATCH(LEFT(SUBSTITUTE(C34,".","/",LEN(C34)-LEN(SUBSTITUTE(C34,".",""))),SEARCH("/",SUBSTITUTE(C34,".","/",LEN(C34)-LEN(SUBSTITUTE(C34,".",""))),1)-1),C:C,0)),"NULL")</f>
        <v>B360EC46-80B6-4406-9037-97EE38BFFF03</v>
      </c>
    </row>
    <row r="35" spans="2:8" x14ac:dyDescent="0.25">
      <c r="B35" t="s">
        <v>65</v>
      </c>
      <c r="C35" t="s">
        <v>66</v>
      </c>
      <c r="D35" t="s">
        <v>411</v>
      </c>
      <c r="E35" t="b">
        <v>1</v>
      </c>
      <c r="F35" t="b">
        <v>1</v>
      </c>
      <c r="G35" t="b">
        <v>0</v>
      </c>
      <c r="H35" t="str">
        <f t="shared" si="1"/>
        <v>B360EC46-80B6-4406-9037-97EE38BFFF03</v>
      </c>
    </row>
    <row r="36" spans="2:8" x14ac:dyDescent="0.25">
      <c r="B36" t="s">
        <v>67</v>
      </c>
      <c r="C36" t="s">
        <v>68</v>
      </c>
      <c r="D36" t="s">
        <v>412</v>
      </c>
      <c r="E36" t="b">
        <v>1</v>
      </c>
      <c r="F36" t="b">
        <v>1</v>
      </c>
      <c r="G36" t="b">
        <v>0</v>
      </c>
      <c r="H36" t="str">
        <f t="shared" si="1"/>
        <v>B360EC46-80B6-4406-9037-97EE38BFFF03</v>
      </c>
    </row>
    <row r="37" spans="2:8" x14ac:dyDescent="0.25">
      <c r="B37" t="s">
        <v>69</v>
      </c>
      <c r="C37" t="s">
        <v>70</v>
      </c>
      <c r="D37" t="s">
        <v>413</v>
      </c>
      <c r="E37" t="b">
        <v>1</v>
      </c>
      <c r="F37" t="b">
        <v>1</v>
      </c>
      <c r="G37" t="b">
        <v>0</v>
      </c>
      <c r="H37" t="str">
        <f t="shared" si="1"/>
        <v>B360EC46-80B6-4406-9037-97EE38BFFF03</v>
      </c>
    </row>
    <row r="38" spans="2:8" x14ac:dyDescent="0.25">
      <c r="B38" t="s">
        <v>71</v>
      </c>
      <c r="C38" t="s">
        <v>72</v>
      </c>
      <c r="D38" t="s">
        <v>414</v>
      </c>
      <c r="E38" t="b">
        <v>1</v>
      </c>
      <c r="F38" t="b">
        <v>1</v>
      </c>
      <c r="G38" t="b">
        <v>0</v>
      </c>
      <c r="H38" t="str">
        <f t="shared" si="1"/>
        <v>B360EC46-80B6-4406-9037-97EE38BFFF03</v>
      </c>
    </row>
    <row r="39" spans="2:8" x14ac:dyDescent="0.25">
      <c r="B39" t="s">
        <v>73</v>
      </c>
      <c r="C39" t="s">
        <v>74</v>
      </c>
      <c r="D39" t="s">
        <v>415</v>
      </c>
      <c r="E39" t="b">
        <v>1</v>
      </c>
      <c r="F39" t="b">
        <v>1</v>
      </c>
      <c r="G39" t="b">
        <v>0</v>
      </c>
      <c r="H39" t="str">
        <f t="shared" si="1"/>
        <v>B360EC46-80B6-4406-9037-97EE38BFFF03</v>
      </c>
    </row>
    <row r="40" spans="2:8" x14ac:dyDescent="0.25">
      <c r="B40" t="s">
        <v>75</v>
      </c>
      <c r="C40" t="s">
        <v>76</v>
      </c>
      <c r="D40" t="s">
        <v>416</v>
      </c>
      <c r="E40" t="b">
        <v>1</v>
      </c>
      <c r="F40" t="b">
        <v>1</v>
      </c>
      <c r="G40" t="b">
        <v>0</v>
      </c>
      <c r="H40" t="str">
        <f t="shared" si="1"/>
        <v>B360EC46-80B6-4406-9037-97EE38BFFF03</v>
      </c>
    </row>
    <row r="41" spans="2:8" x14ac:dyDescent="0.25">
      <c r="B41" t="s">
        <v>77</v>
      </c>
      <c r="C41" t="s">
        <v>78</v>
      </c>
      <c r="D41" t="s">
        <v>417</v>
      </c>
      <c r="E41" t="b">
        <v>1</v>
      </c>
      <c r="F41" t="b">
        <v>1</v>
      </c>
      <c r="G41" t="b">
        <v>0</v>
      </c>
      <c r="H41" t="str">
        <f t="shared" si="1"/>
        <v>B360EC46-80B6-4406-9037-97EE38BFFF03</v>
      </c>
    </row>
    <row r="42" spans="2:8" x14ac:dyDescent="0.25">
      <c r="B42" t="s">
        <v>79</v>
      </c>
      <c r="C42" t="s">
        <v>80</v>
      </c>
      <c r="D42" t="s">
        <v>418</v>
      </c>
      <c r="E42" t="b">
        <v>1</v>
      </c>
      <c r="F42" t="b">
        <v>1</v>
      </c>
      <c r="G42" t="b">
        <v>0</v>
      </c>
      <c r="H42" t="str">
        <f t="shared" si="1"/>
        <v>B360EC46-80B6-4406-9037-97EE38BFFF03</v>
      </c>
    </row>
    <row r="43" spans="2:8" x14ac:dyDescent="0.25">
      <c r="B43" t="s">
        <v>81</v>
      </c>
      <c r="C43" t="s">
        <v>82</v>
      </c>
      <c r="D43" t="s">
        <v>419</v>
      </c>
      <c r="E43" t="b">
        <v>1</v>
      </c>
      <c r="F43" t="b">
        <v>1</v>
      </c>
      <c r="G43" t="b">
        <v>0</v>
      </c>
      <c r="H43" t="str">
        <f t="shared" si="1"/>
        <v>B360EC46-80B6-4406-9037-97EE38BFFF03</v>
      </c>
    </row>
    <row r="44" spans="2:8" x14ac:dyDescent="0.25">
      <c r="B44" t="s">
        <v>83</v>
      </c>
      <c r="C44" t="s">
        <v>84</v>
      </c>
      <c r="D44" t="s">
        <v>420</v>
      </c>
      <c r="E44" t="b">
        <v>1</v>
      </c>
      <c r="F44" t="b">
        <v>1</v>
      </c>
      <c r="G44" t="b">
        <v>0</v>
      </c>
      <c r="H44" t="str">
        <f t="shared" si="1"/>
        <v>B360EC46-80B6-4406-9037-97EE38BFFF03</v>
      </c>
    </row>
    <row r="45" spans="2:8" x14ac:dyDescent="0.25">
      <c r="B45" t="s">
        <v>85</v>
      </c>
      <c r="C45" t="s">
        <v>86</v>
      </c>
      <c r="D45" t="s">
        <v>421</v>
      </c>
      <c r="E45" t="b">
        <v>1</v>
      </c>
      <c r="F45" t="b">
        <v>1</v>
      </c>
      <c r="G45" t="b">
        <v>0</v>
      </c>
      <c r="H45" t="str">
        <f t="shared" si="1"/>
        <v>B360EC46-80B6-4406-9037-97EE38BFFF03</v>
      </c>
    </row>
    <row r="46" spans="2:8" x14ac:dyDescent="0.25">
      <c r="B46" t="s">
        <v>87</v>
      </c>
      <c r="C46" t="s">
        <v>88</v>
      </c>
      <c r="D46" t="s">
        <v>422</v>
      </c>
      <c r="E46" t="b">
        <v>1</v>
      </c>
      <c r="F46" t="b">
        <v>1</v>
      </c>
      <c r="G46" t="b">
        <v>0</v>
      </c>
      <c r="H46" t="str">
        <f t="shared" si="1"/>
        <v>B360EC46-80B6-4406-9037-97EE38BFFF03</v>
      </c>
    </row>
    <row r="47" spans="2:8" x14ac:dyDescent="0.25">
      <c r="B47" t="s">
        <v>89</v>
      </c>
      <c r="C47" t="s">
        <v>90</v>
      </c>
      <c r="D47" t="s">
        <v>423</v>
      </c>
      <c r="E47" t="b">
        <v>1</v>
      </c>
      <c r="F47" t="b">
        <v>1</v>
      </c>
      <c r="G47" t="b">
        <v>0</v>
      </c>
      <c r="H47" t="str">
        <f t="shared" si="1"/>
        <v>B360EC46-80B6-4406-9037-97EE38BFFF03</v>
      </c>
    </row>
    <row r="48" spans="2:8" x14ac:dyDescent="0.25">
      <c r="B48" t="s">
        <v>91</v>
      </c>
      <c r="C48" t="s">
        <v>92</v>
      </c>
      <c r="D48" t="s">
        <v>424</v>
      </c>
      <c r="E48" t="b">
        <v>1</v>
      </c>
      <c r="F48" t="b">
        <v>1</v>
      </c>
      <c r="G48" t="b">
        <v>0</v>
      </c>
      <c r="H48" t="str">
        <f t="shared" si="1"/>
        <v>A701AC0E-E48E-4C96-A4A4-C0D76FFE61F5</v>
      </c>
    </row>
    <row r="49" spans="2:8" x14ac:dyDescent="0.25">
      <c r="B49" t="s">
        <v>93</v>
      </c>
      <c r="C49" t="s">
        <v>94</v>
      </c>
      <c r="D49" t="s">
        <v>425</v>
      </c>
      <c r="E49" t="b">
        <v>1</v>
      </c>
      <c r="F49" t="b">
        <v>1</v>
      </c>
      <c r="G49" t="b">
        <v>0</v>
      </c>
      <c r="H49" t="str">
        <f t="shared" si="1"/>
        <v>79012D94-38F5-4927-8683-CCC9F8885C7B</v>
      </c>
    </row>
    <row r="50" spans="2:8" x14ac:dyDescent="0.25">
      <c r="B50" t="s">
        <v>95</v>
      </c>
      <c r="C50" t="s">
        <v>96</v>
      </c>
      <c r="D50" t="s">
        <v>426</v>
      </c>
      <c r="E50" t="b">
        <v>1</v>
      </c>
      <c r="F50" t="b">
        <v>1</v>
      </c>
      <c r="G50" t="b">
        <v>0</v>
      </c>
      <c r="H50" t="str">
        <f t="shared" si="1"/>
        <v>79012D94-38F5-4927-8683-CCC9F8885C7B</v>
      </c>
    </row>
    <row r="51" spans="2:8" x14ac:dyDescent="0.25">
      <c r="B51" t="s">
        <v>97</v>
      </c>
      <c r="C51" t="s">
        <v>98</v>
      </c>
      <c r="D51" t="s">
        <v>427</v>
      </c>
      <c r="E51" t="b">
        <v>1</v>
      </c>
      <c r="F51" t="b">
        <v>1</v>
      </c>
      <c r="G51" t="b">
        <v>0</v>
      </c>
      <c r="H51" t="str">
        <f t="shared" si="1"/>
        <v>79012D94-38F5-4927-8683-CCC9F8885C7B</v>
      </c>
    </row>
    <row r="52" spans="2:8" x14ac:dyDescent="0.25">
      <c r="B52" s="1" t="s">
        <v>99</v>
      </c>
      <c r="C52" t="s">
        <v>100</v>
      </c>
      <c r="D52" t="s">
        <v>428</v>
      </c>
      <c r="E52" t="b">
        <v>1</v>
      </c>
      <c r="F52" t="b">
        <v>1</v>
      </c>
      <c r="G52" t="b">
        <v>0</v>
      </c>
      <c r="H52" t="str">
        <f t="shared" si="1"/>
        <v>79012D94-38F5-4927-8683-CCC9F8885C7B</v>
      </c>
    </row>
    <row r="53" spans="2:8" x14ac:dyDescent="0.25">
      <c r="B53" t="s">
        <v>101</v>
      </c>
      <c r="C53" t="s">
        <v>102</v>
      </c>
      <c r="D53" t="s">
        <v>429</v>
      </c>
      <c r="E53" t="b">
        <v>1</v>
      </c>
      <c r="F53" t="b">
        <v>1</v>
      </c>
      <c r="G53" t="b">
        <v>0</v>
      </c>
      <c r="H53" t="str">
        <f t="shared" si="1"/>
        <v>79012D94-38F5-4927-8683-CCC9F8885C7B</v>
      </c>
    </row>
    <row r="54" spans="2:8" x14ac:dyDescent="0.25">
      <c r="B54" t="s">
        <v>103</v>
      </c>
      <c r="C54" t="s">
        <v>104</v>
      </c>
      <c r="D54" t="s">
        <v>430</v>
      </c>
      <c r="E54" t="b">
        <v>1</v>
      </c>
      <c r="F54" t="b">
        <v>1</v>
      </c>
      <c r="G54" t="b">
        <v>0</v>
      </c>
      <c r="H54" t="str">
        <f t="shared" si="1"/>
        <v>79012D94-38F5-4927-8683-CCC9F8885C7B</v>
      </c>
    </row>
    <row r="55" spans="2:8" x14ac:dyDescent="0.25">
      <c r="B55" t="s">
        <v>105</v>
      </c>
      <c r="C55" t="s">
        <v>106</v>
      </c>
      <c r="D55" t="s">
        <v>431</v>
      </c>
      <c r="E55" t="b">
        <v>1</v>
      </c>
      <c r="F55" t="b">
        <v>1</v>
      </c>
      <c r="G55" t="b">
        <v>0</v>
      </c>
      <c r="H55" t="str">
        <f t="shared" si="1"/>
        <v>A701AC0E-E48E-4C96-A4A4-C0D76FFE61F5</v>
      </c>
    </row>
    <row r="56" spans="2:8" x14ac:dyDescent="0.25">
      <c r="B56" t="s">
        <v>107</v>
      </c>
      <c r="C56" t="s">
        <v>108</v>
      </c>
      <c r="D56" t="s">
        <v>432</v>
      </c>
      <c r="E56" t="b">
        <v>1</v>
      </c>
      <c r="F56" t="b">
        <v>1</v>
      </c>
      <c r="G56" t="b">
        <v>0</v>
      </c>
      <c r="H56" t="str">
        <f t="shared" si="1"/>
        <v>D5A1EFF7-5A1B-4E40-98E7-4162DEA51A3F</v>
      </c>
    </row>
    <row r="57" spans="2:8" x14ac:dyDescent="0.25">
      <c r="B57" t="s">
        <v>109</v>
      </c>
      <c r="C57" t="s">
        <v>110</v>
      </c>
      <c r="D57" t="s">
        <v>432</v>
      </c>
      <c r="E57" t="b">
        <v>1</v>
      </c>
      <c r="F57" t="b">
        <v>1</v>
      </c>
      <c r="G57" t="b">
        <v>0</v>
      </c>
      <c r="H57" t="str">
        <f t="shared" si="1"/>
        <v>D5A1EFF7-5A1B-4E40-98E7-4162DEA51A3F</v>
      </c>
    </row>
    <row r="58" spans="2:8" x14ac:dyDescent="0.25">
      <c r="B58" t="s">
        <v>111</v>
      </c>
      <c r="C58" t="s">
        <v>112</v>
      </c>
      <c r="D58" t="s">
        <v>433</v>
      </c>
      <c r="E58" t="b">
        <v>1</v>
      </c>
      <c r="F58" t="b">
        <v>1</v>
      </c>
      <c r="G58" t="b">
        <v>0</v>
      </c>
      <c r="H58" t="str">
        <f t="shared" si="1"/>
        <v>D5A1EFF7-5A1B-4E40-98E7-4162DEA51A3F</v>
      </c>
    </row>
    <row r="59" spans="2:8" x14ac:dyDescent="0.25">
      <c r="B59" t="s">
        <v>113</v>
      </c>
      <c r="C59" t="s">
        <v>114</v>
      </c>
      <c r="D59" t="s">
        <v>434</v>
      </c>
      <c r="E59" t="b">
        <v>1</v>
      </c>
      <c r="F59" t="b">
        <v>1</v>
      </c>
      <c r="G59" t="b">
        <v>0</v>
      </c>
      <c r="H59" t="str">
        <f t="shared" si="1"/>
        <v>D5A1EFF7-5A1B-4E40-98E7-4162DEA51A3F</v>
      </c>
    </row>
    <row r="60" spans="2:8" x14ac:dyDescent="0.25">
      <c r="B60" t="s">
        <v>115</v>
      </c>
      <c r="C60" t="s">
        <v>116</v>
      </c>
      <c r="D60" t="s">
        <v>435</v>
      </c>
      <c r="E60" t="b">
        <v>1</v>
      </c>
      <c r="F60" t="b">
        <v>1</v>
      </c>
      <c r="G60" t="b">
        <v>0</v>
      </c>
      <c r="H60" t="str">
        <f t="shared" si="1"/>
        <v>D5A1EFF7-5A1B-4E40-98E7-4162DEA51A3F</v>
      </c>
    </row>
    <row r="61" spans="2:8" x14ac:dyDescent="0.25">
      <c r="B61" t="s">
        <v>117</v>
      </c>
      <c r="C61" t="s">
        <v>118</v>
      </c>
      <c r="D61" t="s">
        <v>436</v>
      </c>
      <c r="E61" t="b">
        <v>1</v>
      </c>
      <c r="F61" t="b">
        <v>1</v>
      </c>
      <c r="G61" t="b">
        <v>0</v>
      </c>
      <c r="H61" t="str">
        <f t="shared" si="1"/>
        <v>D5A1EFF7-5A1B-4E40-98E7-4162DEA51A3F</v>
      </c>
    </row>
    <row r="62" spans="2:8" x14ac:dyDescent="0.25">
      <c r="B62" t="s">
        <v>119</v>
      </c>
      <c r="C62" t="s">
        <v>120</v>
      </c>
      <c r="D62" t="s">
        <v>437</v>
      </c>
      <c r="E62" t="b">
        <v>1</v>
      </c>
      <c r="F62" t="b">
        <v>1</v>
      </c>
      <c r="G62" t="b">
        <v>0</v>
      </c>
      <c r="H62" t="str">
        <f t="shared" si="1"/>
        <v>A701AC0E-E48E-4C96-A4A4-C0D76FFE61F5</v>
      </c>
    </row>
    <row r="63" spans="2:8" x14ac:dyDescent="0.25">
      <c r="B63" t="s">
        <v>121</v>
      </c>
      <c r="C63" t="s">
        <v>122</v>
      </c>
      <c r="D63" t="s">
        <v>438</v>
      </c>
      <c r="E63" t="b">
        <v>1</v>
      </c>
      <c r="F63" t="b">
        <v>1</v>
      </c>
      <c r="G63" t="b">
        <v>0</v>
      </c>
      <c r="H63" t="str">
        <f t="shared" si="1"/>
        <v>06A558AB-53B3-4D60-A16D-A874ED5F5469</v>
      </c>
    </row>
    <row r="64" spans="2:8" x14ac:dyDescent="0.25">
      <c r="B64" t="s">
        <v>123</v>
      </c>
      <c r="C64" t="s">
        <v>124</v>
      </c>
      <c r="D64" t="s">
        <v>439</v>
      </c>
      <c r="E64" t="b">
        <v>1</v>
      </c>
      <c r="F64" t="b">
        <v>1</v>
      </c>
      <c r="G64" t="b">
        <v>0</v>
      </c>
      <c r="H64" t="str">
        <f t="shared" si="1"/>
        <v>06A558AB-53B3-4D60-A16D-A874ED5F5469</v>
      </c>
    </row>
    <row r="65" spans="2:8" x14ac:dyDescent="0.25">
      <c r="B65" t="s">
        <v>125</v>
      </c>
      <c r="C65" t="s">
        <v>591</v>
      </c>
      <c r="D65" t="s">
        <v>440</v>
      </c>
      <c r="E65" t="b">
        <v>1</v>
      </c>
      <c r="F65" t="b">
        <v>1</v>
      </c>
      <c r="G65" t="b">
        <v>0</v>
      </c>
      <c r="H65" t="str">
        <f t="shared" si="1"/>
        <v>521F073C-5CFB-481F-8D1D-B21A6FA7F420</v>
      </c>
    </row>
    <row r="66" spans="2:8" x14ac:dyDescent="0.25">
      <c r="B66" t="s">
        <v>126</v>
      </c>
      <c r="C66" t="s">
        <v>127</v>
      </c>
      <c r="D66" t="s">
        <v>441</v>
      </c>
      <c r="E66" t="b">
        <v>1</v>
      </c>
      <c r="F66" t="b">
        <v>1</v>
      </c>
      <c r="G66" t="b">
        <v>0</v>
      </c>
      <c r="H66" t="str">
        <f t="shared" ref="H66:H97" si="2">IFERROR(INDEX(B:B,MATCH(LEFT(SUBSTITUTE(C66,".","/",LEN(C66)-LEN(SUBSTITUTE(C66,".",""))),SEARCH("/",SUBSTITUTE(C66,".","/",LEN(C66)-LEN(SUBSTITUTE(C66,".",""))),1)-1),C:C,0)),"NULL")</f>
        <v>DA422875-3C14-412A-82A3-844BF1DF7DF4</v>
      </c>
    </row>
    <row r="67" spans="2:8" x14ac:dyDescent="0.25">
      <c r="B67" t="s">
        <v>128</v>
      </c>
      <c r="C67" t="s">
        <v>129</v>
      </c>
      <c r="D67" t="s">
        <v>442</v>
      </c>
      <c r="E67" t="b">
        <v>1</v>
      </c>
      <c r="F67" t="b">
        <v>1</v>
      </c>
      <c r="G67" t="b">
        <v>0</v>
      </c>
      <c r="H67" t="str">
        <f t="shared" si="2"/>
        <v>0B94B595-641F-4171-A8B5-7B83A291AA27</v>
      </c>
    </row>
    <row r="68" spans="2:8" x14ac:dyDescent="0.25">
      <c r="B68" t="s">
        <v>130</v>
      </c>
      <c r="C68" t="s">
        <v>131</v>
      </c>
      <c r="D68" t="s">
        <v>443</v>
      </c>
      <c r="E68" t="b">
        <v>1</v>
      </c>
      <c r="F68" t="b">
        <v>1</v>
      </c>
      <c r="G68" t="b">
        <v>0</v>
      </c>
      <c r="H68" t="str">
        <f t="shared" si="2"/>
        <v>0B94B595-641F-4171-A8B5-7B83A291AA27</v>
      </c>
    </row>
    <row r="69" spans="2:8" x14ac:dyDescent="0.25">
      <c r="B69" t="s">
        <v>132</v>
      </c>
      <c r="C69" t="s">
        <v>133</v>
      </c>
      <c r="D69" t="s">
        <v>444</v>
      </c>
      <c r="E69" t="b">
        <v>1</v>
      </c>
      <c r="F69" t="b">
        <v>1</v>
      </c>
      <c r="G69" t="b">
        <v>0</v>
      </c>
      <c r="H69" t="str">
        <f t="shared" si="2"/>
        <v>0B94B595-641F-4171-A8B5-7B83A291AA27</v>
      </c>
    </row>
    <row r="70" spans="2:8" x14ac:dyDescent="0.25">
      <c r="B70" t="s">
        <v>134</v>
      </c>
      <c r="C70" t="s">
        <v>135</v>
      </c>
      <c r="D70" t="s">
        <v>445</v>
      </c>
      <c r="E70" t="b">
        <v>1</v>
      </c>
      <c r="F70" t="b">
        <v>1</v>
      </c>
      <c r="G70" t="b">
        <v>0</v>
      </c>
      <c r="H70" t="str">
        <f t="shared" si="2"/>
        <v>0B94B595-641F-4171-A8B5-7B83A291AA27</v>
      </c>
    </row>
    <row r="71" spans="2:8" x14ac:dyDescent="0.25">
      <c r="B71" t="s">
        <v>136</v>
      </c>
      <c r="C71" t="s">
        <v>137</v>
      </c>
      <c r="D71" t="s">
        <v>446</v>
      </c>
      <c r="E71" t="b">
        <v>1</v>
      </c>
      <c r="F71" t="b">
        <v>1</v>
      </c>
      <c r="G71" t="b">
        <v>0</v>
      </c>
      <c r="H71" t="str">
        <f t="shared" si="2"/>
        <v>0B94B595-641F-4171-A8B5-7B83A291AA27</v>
      </c>
    </row>
    <row r="72" spans="2:8" x14ac:dyDescent="0.25">
      <c r="B72" t="s">
        <v>138</v>
      </c>
      <c r="C72" t="s">
        <v>139</v>
      </c>
      <c r="D72" t="s">
        <v>447</v>
      </c>
      <c r="E72" t="b">
        <v>1</v>
      </c>
      <c r="F72" t="b">
        <v>1</v>
      </c>
      <c r="G72" t="b">
        <v>0</v>
      </c>
      <c r="H72" t="str">
        <f t="shared" si="2"/>
        <v>0B94B595-641F-4171-A8B5-7B83A291AA27</v>
      </c>
    </row>
    <row r="73" spans="2:8" x14ac:dyDescent="0.25">
      <c r="B73" t="s">
        <v>140</v>
      </c>
      <c r="C73" t="s">
        <v>141</v>
      </c>
      <c r="D73" t="s">
        <v>448</v>
      </c>
      <c r="E73" t="b">
        <v>1</v>
      </c>
      <c r="F73" t="b">
        <v>1</v>
      </c>
      <c r="G73" t="b">
        <v>0</v>
      </c>
      <c r="H73" t="str">
        <f t="shared" si="2"/>
        <v>0B94B595-641F-4171-A8B5-7B83A291AA27</v>
      </c>
    </row>
    <row r="74" spans="2:8" x14ac:dyDescent="0.25">
      <c r="B74" t="s">
        <v>142</v>
      </c>
      <c r="C74" t="s">
        <v>143</v>
      </c>
      <c r="D74" t="s">
        <v>449</v>
      </c>
      <c r="E74" t="b">
        <v>1</v>
      </c>
      <c r="F74" t="b">
        <v>1</v>
      </c>
      <c r="G74" t="b">
        <v>0</v>
      </c>
      <c r="H74" t="str">
        <f t="shared" si="2"/>
        <v>0B94B595-641F-4171-A8B5-7B83A291AA27</v>
      </c>
    </row>
    <row r="75" spans="2:8" x14ac:dyDescent="0.25">
      <c r="B75" t="s">
        <v>144</v>
      </c>
      <c r="C75" t="s">
        <v>145</v>
      </c>
      <c r="D75" t="s">
        <v>450</v>
      </c>
      <c r="E75" t="b">
        <v>1</v>
      </c>
      <c r="F75" t="b">
        <v>1</v>
      </c>
      <c r="G75" t="b">
        <v>0</v>
      </c>
      <c r="H75" t="str">
        <f t="shared" si="2"/>
        <v>0B94B595-641F-4171-A8B5-7B83A291AA27</v>
      </c>
    </row>
    <row r="76" spans="2:8" x14ac:dyDescent="0.25">
      <c r="B76" t="s">
        <v>146</v>
      </c>
      <c r="C76" t="s">
        <v>147</v>
      </c>
      <c r="D76" t="s">
        <v>451</v>
      </c>
      <c r="E76" t="b">
        <v>1</v>
      </c>
      <c r="F76" t="b">
        <v>1</v>
      </c>
      <c r="G76" t="b">
        <v>0</v>
      </c>
      <c r="H76" t="str">
        <f t="shared" si="2"/>
        <v>0B94B595-641F-4171-A8B5-7B83A291AA27</v>
      </c>
    </row>
    <row r="77" spans="2:8" x14ac:dyDescent="0.25">
      <c r="B77" t="s">
        <v>148</v>
      </c>
      <c r="C77" t="s">
        <v>149</v>
      </c>
      <c r="D77" t="s">
        <v>452</v>
      </c>
      <c r="E77" t="b">
        <v>1</v>
      </c>
      <c r="F77" t="b">
        <v>1</v>
      </c>
      <c r="G77" t="b">
        <v>0</v>
      </c>
      <c r="H77" t="str">
        <f t="shared" si="2"/>
        <v>0B94B595-641F-4171-A8B5-7B83A291AA27</v>
      </c>
    </row>
    <row r="78" spans="2:8" x14ac:dyDescent="0.25">
      <c r="B78" t="s">
        <v>150</v>
      </c>
      <c r="C78" t="s">
        <v>151</v>
      </c>
      <c r="D78" t="s">
        <v>453</v>
      </c>
      <c r="E78" t="b">
        <v>1</v>
      </c>
      <c r="F78" t="b">
        <v>1</v>
      </c>
      <c r="G78" t="b">
        <v>0</v>
      </c>
      <c r="H78" t="str">
        <f t="shared" si="2"/>
        <v>0B94B595-641F-4171-A8B5-7B83A291AA27</v>
      </c>
    </row>
    <row r="79" spans="2:8" x14ac:dyDescent="0.25">
      <c r="B79" t="s">
        <v>152</v>
      </c>
      <c r="C79" t="s">
        <v>153</v>
      </c>
      <c r="D79" t="s">
        <v>454</v>
      </c>
      <c r="E79" t="b">
        <v>1</v>
      </c>
      <c r="F79" t="b">
        <v>1</v>
      </c>
      <c r="G79" t="b">
        <v>0</v>
      </c>
      <c r="H79" t="str">
        <f t="shared" si="2"/>
        <v>0B94B595-641F-4171-A8B5-7B83A291AA27</v>
      </c>
    </row>
    <row r="80" spans="2:8" x14ac:dyDescent="0.25">
      <c r="B80" t="s">
        <v>154</v>
      </c>
      <c r="C80" t="s">
        <v>155</v>
      </c>
      <c r="D80" t="s">
        <v>455</v>
      </c>
      <c r="E80" t="b">
        <v>1</v>
      </c>
      <c r="F80" t="b">
        <v>1</v>
      </c>
      <c r="G80" t="b">
        <v>0</v>
      </c>
      <c r="H80" t="str">
        <f t="shared" si="2"/>
        <v>0B94B595-641F-4171-A8B5-7B83A291AA27</v>
      </c>
    </row>
    <row r="81" spans="2:8" x14ac:dyDescent="0.25">
      <c r="B81" t="s">
        <v>156</v>
      </c>
      <c r="C81" t="s">
        <v>157</v>
      </c>
      <c r="D81" t="s">
        <v>456</v>
      </c>
      <c r="E81" t="b">
        <v>1</v>
      </c>
      <c r="F81" t="b">
        <v>1</v>
      </c>
      <c r="G81" t="b">
        <v>0</v>
      </c>
      <c r="H81" t="str">
        <f t="shared" si="2"/>
        <v>0B94B595-641F-4171-A8B5-7B83A291AA27</v>
      </c>
    </row>
    <row r="82" spans="2:8" x14ac:dyDescent="0.25">
      <c r="B82" t="s">
        <v>158</v>
      </c>
      <c r="C82" t="s">
        <v>159</v>
      </c>
      <c r="D82" t="s">
        <v>457</v>
      </c>
      <c r="E82" t="b">
        <v>1</v>
      </c>
      <c r="F82" t="b">
        <v>1</v>
      </c>
      <c r="G82" t="b">
        <v>0</v>
      </c>
      <c r="H82" t="str">
        <f t="shared" si="2"/>
        <v>0B94B595-641F-4171-A8B5-7B83A291AA27</v>
      </c>
    </row>
    <row r="83" spans="2:8" x14ac:dyDescent="0.25">
      <c r="B83" t="s">
        <v>160</v>
      </c>
      <c r="C83" t="s">
        <v>161</v>
      </c>
      <c r="D83" t="s">
        <v>458</v>
      </c>
      <c r="E83" t="b">
        <v>1</v>
      </c>
      <c r="F83" t="b">
        <v>1</v>
      </c>
      <c r="G83" t="b">
        <v>0</v>
      </c>
      <c r="H83" t="str">
        <f t="shared" si="2"/>
        <v>0B94B595-641F-4171-A8B5-7B83A291AA27</v>
      </c>
    </row>
    <row r="84" spans="2:8" x14ac:dyDescent="0.25">
      <c r="B84" t="s">
        <v>162</v>
      </c>
      <c r="C84" t="s">
        <v>163</v>
      </c>
      <c r="D84" t="s">
        <v>459</v>
      </c>
      <c r="E84" t="b">
        <v>1</v>
      </c>
      <c r="F84" t="b">
        <v>1</v>
      </c>
      <c r="G84" t="b">
        <v>0</v>
      </c>
      <c r="H84" t="str">
        <f t="shared" si="2"/>
        <v>0B94B595-641F-4171-A8B5-7B83A291AA27</v>
      </c>
    </row>
    <row r="85" spans="2:8" x14ac:dyDescent="0.25">
      <c r="B85" t="s">
        <v>164</v>
      </c>
      <c r="C85" t="s">
        <v>165</v>
      </c>
      <c r="D85" t="s">
        <v>460</v>
      </c>
      <c r="E85" t="b">
        <v>1</v>
      </c>
      <c r="F85" t="b">
        <v>1</v>
      </c>
      <c r="G85" t="b">
        <v>0</v>
      </c>
      <c r="H85" t="str">
        <f t="shared" si="2"/>
        <v>DA422875-3C14-412A-82A3-844BF1DF7DF4</v>
      </c>
    </row>
    <row r="86" spans="2:8" x14ac:dyDescent="0.25">
      <c r="B86" t="s">
        <v>166</v>
      </c>
      <c r="C86" t="s">
        <v>167</v>
      </c>
      <c r="D86" t="s">
        <v>461</v>
      </c>
      <c r="E86" t="b">
        <v>1</v>
      </c>
      <c r="F86" t="b">
        <v>1</v>
      </c>
      <c r="G86" t="b">
        <v>0</v>
      </c>
      <c r="H86" t="str">
        <f t="shared" si="2"/>
        <v>186CCF14-253E-407D-A4B5-1EB1E1034DAB</v>
      </c>
    </row>
    <row r="87" spans="2:8" x14ac:dyDescent="0.25">
      <c r="B87" t="s">
        <v>168</v>
      </c>
      <c r="C87" t="s">
        <v>169</v>
      </c>
      <c r="D87" t="s">
        <v>462</v>
      </c>
      <c r="E87" t="b">
        <v>1</v>
      </c>
      <c r="F87" t="b">
        <v>1</v>
      </c>
      <c r="G87" t="b">
        <v>0</v>
      </c>
      <c r="H87" t="str">
        <f t="shared" si="2"/>
        <v>186CCF14-253E-407D-A4B5-1EB1E1034DAB</v>
      </c>
    </row>
    <row r="88" spans="2:8" x14ac:dyDescent="0.25">
      <c r="B88" t="s">
        <v>170</v>
      </c>
      <c r="C88" t="s">
        <v>171</v>
      </c>
      <c r="D88" t="s">
        <v>463</v>
      </c>
      <c r="E88" t="b">
        <v>1</v>
      </c>
      <c r="F88" t="b">
        <v>1</v>
      </c>
      <c r="G88" t="b">
        <v>0</v>
      </c>
      <c r="H88" t="str">
        <f t="shared" si="2"/>
        <v>186CCF14-253E-407D-A4B5-1EB1E1034DAB</v>
      </c>
    </row>
    <row r="89" spans="2:8" x14ac:dyDescent="0.25">
      <c r="B89" t="s">
        <v>172</v>
      </c>
      <c r="C89" t="s">
        <v>173</v>
      </c>
      <c r="D89" t="s">
        <v>464</v>
      </c>
      <c r="E89" t="b">
        <v>1</v>
      </c>
      <c r="F89" t="b">
        <v>1</v>
      </c>
      <c r="G89" t="b">
        <v>0</v>
      </c>
      <c r="H89" t="str">
        <f t="shared" si="2"/>
        <v>186CCF14-253E-407D-A4B5-1EB1E1034DAB</v>
      </c>
    </row>
    <row r="90" spans="2:8" x14ac:dyDescent="0.25">
      <c r="B90" t="s">
        <v>174</v>
      </c>
      <c r="C90" t="s">
        <v>175</v>
      </c>
      <c r="D90" t="s">
        <v>465</v>
      </c>
      <c r="E90" t="b">
        <v>1</v>
      </c>
      <c r="F90" t="b">
        <v>1</v>
      </c>
      <c r="G90" t="b">
        <v>0</v>
      </c>
      <c r="H90" t="str">
        <f t="shared" si="2"/>
        <v>186CCF14-253E-407D-A4B5-1EB1E1034DAB</v>
      </c>
    </row>
    <row r="91" spans="2:8" x14ac:dyDescent="0.25">
      <c r="B91" t="s">
        <v>176</v>
      </c>
      <c r="C91" t="s">
        <v>177</v>
      </c>
      <c r="D91" t="s">
        <v>466</v>
      </c>
      <c r="E91" t="b">
        <v>1</v>
      </c>
      <c r="F91" t="b">
        <v>1</v>
      </c>
      <c r="G91" t="b">
        <v>0</v>
      </c>
      <c r="H91" t="str">
        <f t="shared" si="2"/>
        <v>DA422875-3C14-412A-82A3-844BF1DF7DF4</v>
      </c>
    </row>
    <row r="92" spans="2:8" x14ac:dyDescent="0.25">
      <c r="B92" t="s">
        <v>178</v>
      </c>
      <c r="C92" t="s">
        <v>179</v>
      </c>
      <c r="D92" t="s">
        <v>467</v>
      </c>
      <c r="E92" t="b">
        <v>1</v>
      </c>
      <c r="F92" t="b">
        <v>1</v>
      </c>
      <c r="G92" t="b">
        <v>0</v>
      </c>
      <c r="H92" t="str">
        <f t="shared" si="2"/>
        <v>C4CA9323-E1B2-4824-A843-342FF66388E0</v>
      </c>
    </row>
    <row r="93" spans="2:8" x14ac:dyDescent="0.25">
      <c r="B93" t="s">
        <v>180</v>
      </c>
      <c r="C93" t="s">
        <v>181</v>
      </c>
      <c r="D93" t="s">
        <v>468</v>
      </c>
      <c r="E93" t="b">
        <v>1</v>
      </c>
      <c r="F93" t="b">
        <v>1</v>
      </c>
      <c r="G93" t="b">
        <v>0</v>
      </c>
      <c r="H93" t="str">
        <f t="shared" si="2"/>
        <v>C4CA9323-E1B2-4824-A843-342FF66388E0</v>
      </c>
    </row>
    <row r="94" spans="2:8" x14ac:dyDescent="0.25">
      <c r="B94" t="s">
        <v>182</v>
      </c>
      <c r="C94" t="s">
        <v>183</v>
      </c>
      <c r="D94" t="s">
        <v>469</v>
      </c>
      <c r="E94" t="b">
        <v>1</v>
      </c>
      <c r="F94" t="b">
        <v>1</v>
      </c>
      <c r="G94" t="b">
        <v>0</v>
      </c>
      <c r="H94" t="str">
        <f t="shared" si="2"/>
        <v>C4CA9323-E1B2-4824-A843-342FF66388E0</v>
      </c>
    </row>
    <row r="95" spans="2:8" x14ac:dyDescent="0.25">
      <c r="B95" t="s">
        <v>184</v>
      </c>
      <c r="C95" t="s">
        <v>185</v>
      </c>
      <c r="D95" t="s">
        <v>470</v>
      </c>
      <c r="E95" t="b">
        <v>1</v>
      </c>
      <c r="F95" t="b">
        <v>1</v>
      </c>
      <c r="G95" t="b">
        <v>0</v>
      </c>
      <c r="H95" t="str">
        <f t="shared" si="2"/>
        <v>C4CA9323-E1B2-4824-A843-342FF66388E0</v>
      </c>
    </row>
    <row r="96" spans="2:8" x14ac:dyDescent="0.25">
      <c r="B96" t="s">
        <v>186</v>
      </c>
      <c r="C96" t="s">
        <v>187</v>
      </c>
      <c r="D96" t="s">
        <v>471</v>
      </c>
      <c r="E96" t="b">
        <v>1</v>
      </c>
      <c r="F96" t="b">
        <v>1</v>
      </c>
      <c r="G96" t="b">
        <v>0</v>
      </c>
      <c r="H96" t="str">
        <f t="shared" si="2"/>
        <v>C4CA9323-E1B2-4824-A843-342FF66388E0</v>
      </c>
    </row>
    <row r="97" spans="2:8" x14ac:dyDescent="0.25">
      <c r="B97" t="s">
        <v>188</v>
      </c>
      <c r="C97" t="s">
        <v>592</v>
      </c>
      <c r="D97" t="s">
        <v>472</v>
      </c>
      <c r="E97" t="b">
        <v>1</v>
      </c>
      <c r="F97" t="b">
        <v>1</v>
      </c>
      <c r="G97" t="b">
        <v>0</v>
      </c>
      <c r="H97" t="str">
        <f t="shared" si="2"/>
        <v>521F073C-5CFB-481F-8D1D-B21A6FA7F420</v>
      </c>
    </row>
    <row r="98" spans="2:8" x14ac:dyDescent="0.25">
      <c r="B98" t="s">
        <v>189</v>
      </c>
      <c r="C98" t="s">
        <v>190</v>
      </c>
      <c r="D98" t="s">
        <v>473</v>
      </c>
      <c r="E98" t="b">
        <v>1</v>
      </c>
      <c r="F98" t="b">
        <v>1</v>
      </c>
      <c r="G98" t="b">
        <v>0</v>
      </c>
      <c r="H98" t="str">
        <f t="shared" ref="H98:H129" si="3">IFERROR(INDEX(B:B,MATCH(LEFT(SUBSTITUTE(C98,".","/",LEN(C98)-LEN(SUBSTITUTE(C98,".",""))),SEARCH("/",SUBSTITUTE(C98,".","/",LEN(C98)-LEN(SUBSTITUTE(C98,".",""))),1)-1),C:C,0)),"NULL")</f>
        <v>EC0BFCF3-785E-4F30-A338-F59C42D0DEAE</v>
      </c>
    </row>
    <row r="99" spans="2:8" x14ac:dyDescent="0.25">
      <c r="B99" t="s">
        <v>191</v>
      </c>
      <c r="C99" t="s">
        <v>593</v>
      </c>
      <c r="D99" t="s">
        <v>474</v>
      </c>
      <c r="E99" t="b">
        <v>1</v>
      </c>
      <c r="F99" t="b">
        <v>1</v>
      </c>
      <c r="G99" t="b">
        <v>0</v>
      </c>
      <c r="H99" t="str">
        <f t="shared" si="3"/>
        <v>521F073C-5CFB-481F-8D1D-B21A6FA7F420</v>
      </c>
    </row>
    <row r="100" spans="2:8" x14ac:dyDescent="0.25">
      <c r="B100" t="s">
        <v>192</v>
      </c>
      <c r="C100" t="s">
        <v>594</v>
      </c>
      <c r="D100" t="s">
        <v>475</v>
      </c>
      <c r="E100" t="b">
        <v>1</v>
      </c>
      <c r="F100" t="b">
        <v>1</v>
      </c>
      <c r="G100" t="b">
        <v>0</v>
      </c>
      <c r="H100" t="str">
        <f t="shared" si="3"/>
        <v>521F073C-5CFB-481F-8D1D-B21A6FA7F420</v>
      </c>
    </row>
    <row r="101" spans="2:8" x14ac:dyDescent="0.25">
      <c r="B101" t="s">
        <v>193</v>
      </c>
      <c r="C101" t="s">
        <v>595</v>
      </c>
      <c r="D101" t="s">
        <v>476</v>
      </c>
      <c r="E101" t="b">
        <v>1</v>
      </c>
      <c r="F101" t="b">
        <v>1</v>
      </c>
      <c r="G101" t="b">
        <v>0</v>
      </c>
      <c r="H101" t="str">
        <f t="shared" si="3"/>
        <v>NULL</v>
      </c>
    </row>
    <row r="102" spans="2:8" x14ac:dyDescent="0.25">
      <c r="B102" t="s">
        <v>194</v>
      </c>
      <c r="C102" t="s">
        <v>596</v>
      </c>
      <c r="D102" t="s">
        <v>477</v>
      </c>
      <c r="E102" t="b">
        <v>1</v>
      </c>
      <c r="F102" t="b">
        <v>1</v>
      </c>
      <c r="G102" t="b">
        <v>0</v>
      </c>
      <c r="H102" t="str">
        <f t="shared" si="3"/>
        <v>641E22FA-BA53-472F-81F3-589808A03AC5</v>
      </c>
    </row>
    <row r="103" spans="2:8" x14ac:dyDescent="0.25">
      <c r="B103" t="s">
        <v>195</v>
      </c>
      <c r="C103" t="s">
        <v>196</v>
      </c>
      <c r="D103" t="s">
        <v>478</v>
      </c>
      <c r="E103" t="b">
        <v>1</v>
      </c>
      <c r="F103" t="b">
        <v>1</v>
      </c>
      <c r="G103" t="b">
        <v>0</v>
      </c>
      <c r="H103" t="str">
        <f t="shared" si="3"/>
        <v>D2F37390-C0B0-4257-8A5D-C9A73279DA1A</v>
      </c>
    </row>
    <row r="104" spans="2:8" x14ac:dyDescent="0.25">
      <c r="B104" t="s">
        <v>197</v>
      </c>
      <c r="C104" t="s">
        <v>198</v>
      </c>
      <c r="D104" t="s">
        <v>479</v>
      </c>
      <c r="E104" t="b">
        <v>1</v>
      </c>
      <c r="F104" t="b">
        <v>1</v>
      </c>
      <c r="G104" t="b">
        <v>0</v>
      </c>
      <c r="H104" t="str">
        <f t="shared" si="3"/>
        <v>D2F37390-C0B0-4257-8A5D-C9A73279DA1A</v>
      </c>
    </row>
    <row r="105" spans="2:8" x14ac:dyDescent="0.25">
      <c r="B105" t="s">
        <v>199</v>
      </c>
      <c r="C105" t="s">
        <v>200</v>
      </c>
      <c r="D105" t="s">
        <v>480</v>
      </c>
      <c r="E105" t="b">
        <v>1</v>
      </c>
      <c r="F105" t="b">
        <v>1</v>
      </c>
      <c r="G105" t="b">
        <v>0</v>
      </c>
      <c r="H105" t="str">
        <f t="shared" si="3"/>
        <v>D2F37390-C0B0-4257-8A5D-C9A73279DA1A</v>
      </c>
    </row>
    <row r="106" spans="2:8" x14ac:dyDescent="0.25">
      <c r="B106" t="s">
        <v>201</v>
      </c>
      <c r="C106" t="s">
        <v>202</v>
      </c>
      <c r="D106" t="s">
        <v>481</v>
      </c>
      <c r="E106" t="b">
        <v>1</v>
      </c>
      <c r="F106" t="b">
        <v>1</v>
      </c>
      <c r="G106" t="b">
        <v>0</v>
      </c>
      <c r="H106" t="str">
        <f t="shared" si="3"/>
        <v>D2F37390-C0B0-4257-8A5D-C9A73279DA1A</v>
      </c>
    </row>
    <row r="107" spans="2:8" x14ac:dyDescent="0.25">
      <c r="B107" t="s">
        <v>203</v>
      </c>
      <c r="C107" t="s">
        <v>204</v>
      </c>
      <c r="D107" t="s">
        <v>482</v>
      </c>
      <c r="E107" t="b">
        <v>1</v>
      </c>
      <c r="F107" t="b">
        <v>1</v>
      </c>
      <c r="G107" t="b">
        <v>0</v>
      </c>
      <c r="H107" t="str">
        <f t="shared" si="3"/>
        <v>D2F37390-C0B0-4257-8A5D-C9A73279DA1A</v>
      </c>
    </row>
    <row r="108" spans="2:8" x14ac:dyDescent="0.25">
      <c r="B108" t="s">
        <v>205</v>
      </c>
      <c r="C108" t="s">
        <v>206</v>
      </c>
      <c r="D108" t="s">
        <v>483</v>
      </c>
      <c r="E108" t="b">
        <v>1</v>
      </c>
      <c r="F108" t="b">
        <v>1</v>
      </c>
      <c r="G108" t="b">
        <v>0</v>
      </c>
      <c r="H108" t="str">
        <f t="shared" si="3"/>
        <v>D2F37390-C0B0-4257-8A5D-C9A73279DA1A</v>
      </c>
    </row>
    <row r="109" spans="2:8" x14ac:dyDescent="0.25">
      <c r="B109" t="s">
        <v>207</v>
      </c>
      <c r="C109" t="s">
        <v>208</v>
      </c>
      <c r="D109" t="s">
        <v>484</v>
      </c>
      <c r="E109" t="b">
        <v>1</v>
      </c>
      <c r="F109" t="b">
        <v>1</v>
      </c>
      <c r="G109" t="b">
        <v>0</v>
      </c>
      <c r="H109" t="str">
        <f t="shared" si="3"/>
        <v>D2F37390-C0B0-4257-8A5D-C9A73279DA1A</v>
      </c>
    </row>
    <row r="110" spans="2:8" x14ac:dyDescent="0.25">
      <c r="B110" t="s">
        <v>209</v>
      </c>
      <c r="C110" t="s">
        <v>597</v>
      </c>
      <c r="D110" t="s">
        <v>485</v>
      </c>
      <c r="E110" t="b">
        <v>1</v>
      </c>
      <c r="F110" t="b">
        <v>1</v>
      </c>
      <c r="G110" t="b">
        <v>0</v>
      </c>
      <c r="H110" t="str">
        <f t="shared" si="3"/>
        <v>641E22FA-BA53-472F-81F3-589808A03AC5</v>
      </c>
    </row>
    <row r="111" spans="2:8" x14ac:dyDescent="0.25">
      <c r="B111" t="s">
        <v>210</v>
      </c>
      <c r="C111" t="s">
        <v>211</v>
      </c>
      <c r="D111" t="s">
        <v>486</v>
      </c>
      <c r="E111" t="b">
        <v>1</v>
      </c>
      <c r="F111" t="b">
        <v>1</v>
      </c>
      <c r="G111" t="b">
        <v>0</v>
      </c>
      <c r="H111" t="str">
        <f t="shared" si="3"/>
        <v>1856F2C3-F0FF-4D85-A7B6-67A66BD13077</v>
      </c>
    </row>
    <row r="112" spans="2:8" x14ac:dyDescent="0.25">
      <c r="B112" t="s">
        <v>212</v>
      </c>
      <c r="C112" t="s">
        <v>213</v>
      </c>
      <c r="D112" t="s">
        <v>487</v>
      </c>
      <c r="E112" t="b">
        <v>1</v>
      </c>
      <c r="F112" t="b">
        <v>1</v>
      </c>
      <c r="G112" t="b">
        <v>0</v>
      </c>
      <c r="H112" t="str">
        <f t="shared" si="3"/>
        <v>1856F2C3-F0FF-4D85-A7B6-67A66BD13077</v>
      </c>
    </row>
    <row r="113" spans="2:8" x14ac:dyDescent="0.25">
      <c r="B113" t="s">
        <v>214</v>
      </c>
      <c r="C113" t="s">
        <v>215</v>
      </c>
      <c r="D113" t="s">
        <v>488</v>
      </c>
      <c r="E113" t="b">
        <v>1</v>
      </c>
      <c r="F113" t="b">
        <v>1</v>
      </c>
      <c r="G113" t="b">
        <v>0</v>
      </c>
      <c r="H113" t="str">
        <f t="shared" si="3"/>
        <v>1856F2C3-F0FF-4D85-A7B6-67A66BD13077</v>
      </c>
    </row>
    <row r="114" spans="2:8" x14ac:dyDescent="0.25">
      <c r="B114" t="s">
        <v>216</v>
      </c>
      <c r="C114" t="s">
        <v>217</v>
      </c>
      <c r="D114" t="s">
        <v>489</v>
      </c>
      <c r="E114" t="b">
        <v>1</v>
      </c>
      <c r="F114" t="b">
        <v>1</v>
      </c>
      <c r="G114" t="b">
        <v>0</v>
      </c>
      <c r="H114" t="str">
        <f t="shared" si="3"/>
        <v>1856F2C3-F0FF-4D85-A7B6-67A66BD13077</v>
      </c>
    </row>
    <row r="115" spans="2:8" x14ac:dyDescent="0.25">
      <c r="B115" t="s">
        <v>218</v>
      </c>
      <c r="C115" t="s">
        <v>598</v>
      </c>
      <c r="D115" t="s">
        <v>490</v>
      </c>
      <c r="E115" t="b">
        <v>1</v>
      </c>
      <c r="F115" t="b">
        <v>1</v>
      </c>
      <c r="G115" t="b">
        <v>0</v>
      </c>
      <c r="H115" t="str">
        <f t="shared" si="3"/>
        <v>641E22FA-BA53-472F-81F3-589808A03AC5</v>
      </c>
    </row>
    <row r="116" spans="2:8" x14ac:dyDescent="0.25">
      <c r="B116" t="s">
        <v>219</v>
      </c>
      <c r="C116" t="s">
        <v>220</v>
      </c>
      <c r="D116" t="s">
        <v>491</v>
      </c>
      <c r="E116" t="b">
        <v>1</v>
      </c>
      <c r="F116" t="b">
        <v>1</v>
      </c>
      <c r="G116" t="b">
        <v>0</v>
      </c>
      <c r="H116" t="str">
        <f t="shared" si="3"/>
        <v>15B94EA6-84E6-4AC5-83DC-5C8450F7F024</v>
      </c>
    </row>
    <row r="117" spans="2:8" x14ac:dyDescent="0.25">
      <c r="B117" t="s">
        <v>221</v>
      </c>
      <c r="C117" t="s">
        <v>222</v>
      </c>
      <c r="D117" t="s">
        <v>492</v>
      </c>
      <c r="E117" t="b">
        <v>1</v>
      </c>
      <c r="F117" t="b">
        <v>1</v>
      </c>
      <c r="G117" t="b">
        <v>0</v>
      </c>
      <c r="H117" t="str">
        <f t="shared" si="3"/>
        <v>15B94EA6-84E6-4AC5-83DC-5C8450F7F024</v>
      </c>
    </row>
    <row r="118" spans="2:8" x14ac:dyDescent="0.25">
      <c r="B118" t="s">
        <v>223</v>
      </c>
      <c r="C118" t="s">
        <v>224</v>
      </c>
      <c r="D118" t="s">
        <v>493</v>
      </c>
      <c r="E118" t="b">
        <v>1</v>
      </c>
      <c r="F118" t="b">
        <v>1</v>
      </c>
      <c r="G118" t="b">
        <v>0</v>
      </c>
      <c r="H118" t="str">
        <f t="shared" si="3"/>
        <v>15B94EA6-84E6-4AC5-83DC-5C8450F7F024</v>
      </c>
    </row>
    <row r="119" spans="2:8" x14ac:dyDescent="0.25">
      <c r="B119" t="s">
        <v>225</v>
      </c>
      <c r="C119" t="s">
        <v>226</v>
      </c>
      <c r="D119" t="s">
        <v>494</v>
      </c>
      <c r="E119" t="b">
        <v>1</v>
      </c>
      <c r="F119" t="b">
        <v>1</v>
      </c>
      <c r="G119" t="b">
        <v>0</v>
      </c>
      <c r="H119" t="str">
        <f t="shared" si="3"/>
        <v>15B94EA6-84E6-4AC5-83DC-5C8450F7F024</v>
      </c>
    </row>
    <row r="120" spans="2:8" x14ac:dyDescent="0.25">
      <c r="B120" t="s">
        <v>227</v>
      </c>
      <c r="C120" t="s">
        <v>228</v>
      </c>
      <c r="D120" t="s">
        <v>495</v>
      </c>
      <c r="E120" t="b">
        <v>1</v>
      </c>
      <c r="F120" t="b">
        <v>1</v>
      </c>
      <c r="G120" t="b">
        <v>0</v>
      </c>
      <c r="H120" t="str">
        <f t="shared" si="3"/>
        <v>15B94EA6-84E6-4AC5-83DC-5C8450F7F024</v>
      </c>
    </row>
    <row r="121" spans="2:8" x14ac:dyDescent="0.25">
      <c r="B121" t="s">
        <v>229</v>
      </c>
      <c r="C121" t="s">
        <v>230</v>
      </c>
      <c r="D121" t="s">
        <v>496</v>
      </c>
      <c r="E121" t="b">
        <v>1</v>
      </c>
      <c r="F121" t="b">
        <v>1</v>
      </c>
      <c r="G121" t="b">
        <v>0</v>
      </c>
      <c r="H121" t="str">
        <f t="shared" si="3"/>
        <v>15B94EA6-84E6-4AC5-83DC-5C8450F7F024</v>
      </c>
    </row>
    <row r="122" spans="2:8" x14ac:dyDescent="0.25">
      <c r="B122" t="s">
        <v>231</v>
      </c>
      <c r="C122" t="s">
        <v>232</v>
      </c>
      <c r="D122" t="s">
        <v>497</v>
      </c>
      <c r="E122" t="b">
        <v>1</v>
      </c>
      <c r="F122" t="b">
        <v>1</v>
      </c>
      <c r="G122" t="b">
        <v>0</v>
      </c>
      <c r="H122" t="str">
        <f t="shared" si="3"/>
        <v>15B94EA6-84E6-4AC5-83DC-5C8450F7F024</v>
      </c>
    </row>
    <row r="123" spans="2:8" x14ac:dyDescent="0.25">
      <c r="B123" t="s">
        <v>233</v>
      </c>
      <c r="C123" t="s">
        <v>234</v>
      </c>
      <c r="D123" t="s">
        <v>498</v>
      </c>
      <c r="E123" t="b">
        <v>1</v>
      </c>
      <c r="F123" t="b">
        <v>1</v>
      </c>
      <c r="G123" t="b">
        <v>0</v>
      </c>
      <c r="H123" t="str">
        <f t="shared" si="3"/>
        <v>15B94EA6-84E6-4AC5-83DC-5C8450F7F024</v>
      </c>
    </row>
    <row r="124" spans="2:8" x14ac:dyDescent="0.25">
      <c r="B124" t="s">
        <v>235</v>
      </c>
      <c r="C124" t="s">
        <v>599</v>
      </c>
      <c r="D124" t="s">
        <v>499</v>
      </c>
      <c r="E124" t="b">
        <v>1</v>
      </c>
      <c r="F124" t="b">
        <v>1</v>
      </c>
      <c r="G124" t="b">
        <v>0</v>
      </c>
      <c r="H124" t="str">
        <f t="shared" si="3"/>
        <v>641E22FA-BA53-472F-81F3-589808A03AC5</v>
      </c>
    </row>
    <row r="125" spans="2:8" x14ac:dyDescent="0.25">
      <c r="B125" t="s">
        <v>236</v>
      </c>
      <c r="C125" t="s">
        <v>237</v>
      </c>
      <c r="D125" t="s">
        <v>500</v>
      </c>
      <c r="E125" t="b">
        <v>1</v>
      </c>
      <c r="F125" t="b">
        <v>1</v>
      </c>
      <c r="G125" t="b">
        <v>0</v>
      </c>
      <c r="H125" t="str">
        <f t="shared" si="3"/>
        <v>B72E6F08-3D05-4D20-A391-214FC5399B82</v>
      </c>
    </row>
    <row r="126" spans="2:8" x14ac:dyDescent="0.25">
      <c r="B126" t="s">
        <v>238</v>
      </c>
      <c r="C126" t="s">
        <v>239</v>
      </c>
      <c r="D126" t="s">
        <v>501</v>
      </c>
      <c r="E126" t="b">
        <v>1</v>
      </c>
      <c r="F126" t="b">
        <v>1</v>
      </c>
      <c r="G126" t="b">
        <v>0</v>
      </c>
      <c r="H126" t="str">
        <f t="shared" si="3"/>
        <v>B72E6F08-3D05-4D20-A391-214FC5399B82</v>
      </c>
    </row>
    <row r="127" spans="2:8" x14ac:dyDescent="0.25">
      <c r="B127" t="s">
        <v>240</v>
      </c>
      <c r="C127" t="s">
        <v>241</v>
      </c>
      <c r="D127" t="s">
        <v>502</v>
      </c>
      <c r="E127" t="b">
        <v>1</v>
      </c>
      <c r="F127" t="b">
        <v>1</v>
      </c>
      <c r="G127" t="b">
        <v>0</v>
      </c>
      <c r="H127" t="str">
        <f t="shared" si="3"/>
        <v>B72E6F08-3D05-4D20-A391-214FC5399B82</v>
      </c>
    </row>
    <row r="128" spans="2:8" x14ac:dyDescent="0.25">
      <c r="B128" t="s">
        <v>242</v>
      </c>
      <c r="C128" t="s">
        <v>243</v>
      </c>
      <c r="D128" t="s">
        <v>503</v>
      </c>
      <c r="E128" t="b">
        <v>1</v>
      </c>
      <c r="F128" t="b">
        <v>1</v>
      </c>
      <c r="G128" t="b">
        <v>0</v>
      </c>
      <c r="H128" t="str">
        <f t="shared" si="3"/>
        <v>B72E6F08-3D05-4D20-A391-214FC5399B82</v>
      </c>
    </row>
    <row r="129" spans="2:8" x14ac:dyDescent="0.25">
      <c r="B129" t="s">
        <v>244</v>
      </c>
      <c r="C129" t="s">
        <v>245</v>
      </c>
      <c r="D129" t="s">
        <v>504</v>
      </c>
      <c r="E129" t="b">
        <v>1</v>
      </c>
      <c r="F129" t="b">
        <v>1</v>
      </c>
      <c r="G129" t="b">
        <v>0</v>
      </c>
      <c r="H129" t="str">
        <f t="shared" si="3"/>
        <v>B72E6F08-3D05-4D20-A391-214FC5399B82</v>
      </c>
    </row>
    <row r="130" spans="2:8" x14ac:dyDescent="0.25">
      <c r="B130" t="s">
        <v>246</v>
      </c>
      <c r="C130" t="s">
        <v>600</v>
      </c>
      <c r="D130" t="s">
        <v>505</v>
      </c>
      <c r="E130" t="b">
        <v>1</v>
      </c>
      <c r="F130" t="b">
        <v>1</v>
      </c>
      <c r="G130" t="b">
        <v>0</v>
      </c>
      <c r="H130" t="str">
        <f t="shared" ref="H130:H161" si="4">IFERROR(INDEX(B:B,MATCH(LEFT(SUBSTITUTE(C130,".","/",LEN(C130)-LEN(SUBSTITUTE(C130,".",""))),SEARCH("/",SUBSTITUTE(C130,".","/",LEN(C130)-LEN(SUBSTITUTE(C130,".",""))),1)-1),C:C,0)),"NULL")</f>
        <v>641E22FA-BA53-472F-81F3-589808A03AC5</v>
      </c>
    </row>
    <row r="131" spans="2:8" x14ac:dyDescent="0.25">
      <c r="B131" t="s">
        <v>247</v>
      </c>
      <c r="C131" t="s">
        <v>248</v>
      </c>
      <c r="D131" t="s">
        <v>506</v>
      </c>
      <c r="E131" t="b">
        <v>1</v>
      </c>
      <c r="F131" t="b">
        <v>1</v>
      </c>
      <c r="G131" t="b">
        <v>0</v>
      </c>
      <c r="H131" t="str">
        <f t="shared" si="4"/>
        <v>0895B913-24DE-403E-92C9-4CCB0CDDFDE1</v>
      </c>
    </row>
    <row r="132" spans="2:8" x14ac:dyDescent="0.25">
      <c r="B132" t="s">
        <v>249</v>
      </c>
      <c r="C132" t="s">
        <v>250</v>
      </c>
      <c r="D132" t="s">
        <v>507</v>
      </c>
      <c r="E132" t="b">
        <v>1</v>
      </c>
      <c r="F132" t="b">
        <v>1</v>
      </c>
      <c r="G132" t="b">
        <v>0</v>
      </c>
      <c r="H132" t="str">
        <f t="shared" si="4"/>
        <v>0895B913-24DE-403E-92C9-4CCB0CDDFDE1</v>
      </c>
    </row>
    <row r="133" spans="2:8" x14ac:dyDescent="0.25">
      <c r="B133" t="s">
        <v>251</v>
      </c>
      <c r="C133" t="s">
        <v>252</v>
      </c>
      <c r="D133" t="s">
        <v>508</v>
      </c>
      <c r="E133" t="b">
        <v>1</v>
      </c>
      <c r="F133" t="b">
        <v>1</v>
      </c>
      <c r="G133" t="b">
        <v>0</v>
      </c>
      <c r="H133" t="str">
        <f t="shared" si="4"/>
        <v>0895B913-24DE-403E-92C9-4CCB0CDDFDE1</v>
      </c>
    </row>
    <row r="134" spans="2:8" x14ac:dyDescent="0.25">
      <c r="B134" t="s">
        <v>253</v>
      </c>
      <c r="C134" t="s">
        <v>254</v>
      </c>
      <c r="D134" t="s">
        <v>509</v>
      </c>
      <c r="E134" t="b">
        <v>1</v>
      </c>
      <c r="F134" t="b">
        <v>1</v>
      </c>
      <c r="G134" t="b">
        <v>0</v>
      </c>
      <c r="H134" t="str">
        <f t="shared" si="4"/>
        <v>0895B913-24DE-403E-92C9-4CCB0CDDFDE1</v>
      </c>
    </row>
    <row r="135" spans="2:8" x14ac:dyDescent="0.25">
      <c r="B135" t="s">
        <v>255</v>
      </c>
      <c r="C135" t="s">
        <v>256</v>
      </c>
      <c r="D135" t="s">
        <v>510</v>
      </c>
      <c r="E135" t="b">
        <v>1</v>
      </c>
      <c r="F135" t="b">
        <v>1</v>
      </c>
      <c r="G135" t="b">
        <v>0</v>
      </c>
      <c r="H135" t="str">
        <f t="shared" si="4"/>
        <v>0895B913-24DE-403E-92C9-4CCB0CDDFDE1</v>
      </c>
    </row>
    <row r="136" spans="2:8" x14ac:dyDescent="0.25">
      <c r="B136" t="s">
        <v>257</v>
      </c>
      <c r="C136" t="s">
        <v>258</v>
      </c>
      <c r="D136" t="s">
        <v>511</v>
      </c>
      <c r="E136" t="b">
        <v>1</v>
      </c>
      <c r="F136" t="b">
        <v>1</v>
      </c>
      <c r="G136" t="b">
        <v>0</v>
      </c>
      <c r="H136" t="str">
        <f t="shared" si="4"/>
        <v>0895B913-24DE-403E-92C9-4CCB0CDDFDE1</v>
      </c>
    </row>
    <row r="137" spans="2:8" x14ac:dyDescent="0.25">
      <c r="B137" t="s">
        <v>259</v>
      </c>
      <c r="C137" t="s">
        <v>260</v>
      </c>
      <c r="D137" t="s">
        <v>512</v>
      </c>
      <c r="E137" t="b">
        <v>1</v>
      </c>
      <c r="F137" t="b">
        <v>1</v>
      </c>
      <c r="G137" t="b">
        <v>0</v>
      </c>
      <c r="H137" t="str">
        <f t="shared" si="4"/>
        <v>0895B913-24DE-403E-92C9-4CCB0CDDFDE1</v>
      </c>
    </row>
    <row r="138" spans="2:8" x14ac:dyDescent="0.25">
      <c r="B138" t="s">
        <v>261</v>
      </c>
      <c r="C138" t="s">
        <v>601</v>
      </c>
      <c r="D138" t="s">
        <v>513</v>
      </c>
      <c r="E138" t="b">
        <v>1</v>
      </c>
      <c r="F138" t="b">
        <v>1</v>
      </c>
      <c r="G138" t="b">
        <v>0</v>
      </c>
      <c r="H138" t="str">
        <f t="shared" si="4"/>
        <v>641E22FA-BA53-472F-81F3-589808A03AC5</v>
      </c>
    </row>
    <row r="139" spans="2:8" x14ac:dyDescent="0.25">
      <c r="B139" t="s">
        <v>262</v>
      </c>
      <c r="C139" t="s">
        <v>263</v>
      </c>
      <c r="D139" t="s">
        <v>514</v>
      </c>
      <c r="E139" t="b">
        <v>1</v>
      </c>
      <c r="F139" t="b">
        <v>1</v>
      </c>
      <c r="G139" t="b">
        <v>0</v>
      </c>
      <c r="H139" t="str">
        <f t="shared" si="4"/>
        <v>23762087-0C67-4E8E-B18A-FC211306D65E</v>
      </c>
    </row>
    <row r="140" spans="2:8" x14ac:dyDescent="0.25">
      <c r="B140" t="s">
        <v>264</v>
      </c>
      <c r="C140" t="s">
        <v>265</v>
      </c>
      <c r="D140" t="s">
        <v>515</v>
      </c>
      <c r="E140" t="b">
        <v>1</v>
      </c>
      <c r="F140" t="b">
        <v>1</v>
      </c>
      <c r="G140" t="b">
        <v>0</v>
      </c>
      <c r="H140" t="str">
        <f t="shared" si="4"/>
        <v>23762087-0C67-4E8E-B18A-FC211306D65E</v>
      </c>
    </row>
    <row r="141" spans="2:8" x14ac:dyDescent="0.25">
      <c r="B141" t="s">
        <v>266</v>
      </c>
      <c r="C141" t="s">
        <v>267</v>
      </c>
      <c r="D141" t="s">
        <v>268</v>
      </c>
      <c r="E141" t="b">
        <v>1</v>
      </c>
      <c r="F141" t="b">
        <v>1</v>
      </c>
      <c r="G141" t="b">
        <v>0</v>
      </c>
      <c r="H141" t="str">
        <f t="shared" si="4"/>
        <v>23762087-0C67-4E8E-B18A-FC211306D65E</v>
      </c>
    </row>
    <row r="142" spans="2:8" x14ac:dyDescent="0.25">
      <c r="B142" t="s">
        <v>269</v>
      </c>
      <c r="C142" t="s">
        <v>602</v>
      </c>
      <c r="D142" t="s">
        <v>516</v>
      </c>
      <c r="E142" t="b">
        <v>1</v>
      </c>
      <c r="F142" t="b">
        <v>1</v>
      </c>
      <c r="G142" t="b">
        <v>0</v>
      </c>
      <c r="H142" t="str">
        <f t="shared" si="4"/>
        <v>641E22FA-BA53-472F-81F3-589808A03AC5</v>
      </c>
    </row>
    <row r="143" spans="2:8" x14ac:dyDescent="0.25">
      <c r="B143" t="s">
        <v>270</v>
      </c>
      <c r="C143" t="s">
        <v>271</v>
      </c>
      <c r="D143" t="s">
        <v>517</v>
      </c>
      <c r="E143" t="b">
        <v>1</v>
      </c>
      <c r="F143" t="b">
        <v>1</v>
      </c>
      <c r="G143" t="b">
        <v>0</v>
      </c>
      <c r="H143" t="str">
        <f t="shared" si="4"/>
        <v>53A22DB7-6866-4F48-9350-4064AE186874</v>
      </c>
    </row>
    <row r="144" spans="2:8" x14ac:dyDescent="0.25">
      <c r="B144" t="s">
        <v>272</v>
      </c>
      <c r="C144" t="s">
        <v>273</v>
      </c>
      <c r="D144" t="s">
        <v>518</v>
      </c>
      <c r="E144" t="b">
        <v>1</v>
      </c>
      <c r="F144" t="b">
        <v>1</v>
      </c>
      <c r="G144" t="b">
        <v>0</v>
      </c>
      <c r="H144" t="str">
        <f t="shared" si="4"/>
        <v>53A22DB7-6866-4F48-9350-4064AE186874</v>
      </c>
    </row>
    <row r="145" spans="2:8" x14ac:dyDescent="0.25">
      <c r="B145" t="s">
        <v>274</v>
      </c>
      <c r="C145" t="s">
        <v>275</v>
      </c>
      <c r="D145" t="s">
        <v>519</v>
      </c>
      <c r="E145" t="b">
        <v>1</v>
      </c>
      <c r="F145" t="b">
        <v>1</v>
      </c>
      <c r="G145" t="b">
        <v>0</v>
      </c>
      <c r="H145" t="str">
        <f t="shared" si="4"/>
        <v>53A22DB7-6866-4F48-9350-4064AE186874</v>
      </c>
    </row>
    <row r="146" spans="2:8" x14ac:dyDescent="0.25">
      <c r="B146" t="s">
        <v>276</v>
      </c>
      <c r="C146" t="s">
        <v>277</v>
      </c>
      <c r="D146" t="s">
        <v>520</v>
      </c>
      <c r="E146" t="b">
        <v>1</v>
      </c>
      <c r="F146" t="b">
        <v>1</v>
      </c>
      <c r="G146" t="b">
        <v>0</v>
      </c>
      <c r="H146" t="str">
        <f t="shared" si="4"/>
        <v>53A22DB7-6866-4F48-9350-4064AE186874</v>
      </c>
    </row>
    <row r="147" spans="2:8" x14ac:dyDescent="0.25">
      <c r="B147" t="s">
        <v>278</v>
      </c>
      <c r="C147" t="s">
        <v>603</v>
      </c>
      <c r="D147" t="s">
        <v>521</v>
      </c>
      <c r="E147" t="b">
        <v>1</v>
      </c>
      <c r="F147" t="b">
        <v>1</v>
      </c>
      <c r="G147" t="b">
        <v>0</v>
      </c>
      <c r="H147" t="str">
        <f t="shared" si="4"/>
        <v>641E22FA-BA53-472F-81F3-589808A03AC5</v>
      </c>
    </row>
    <row r="148" spans="2:8" x14ac:dyDescent="0.25">
      <c r="B148" t="s">
        <v>279</v>
      </c>
      <c r="C148" t="s">
        <v>280</v>
      </c>
      <c r="D148" t="s">
        <v>522</v>
      </c>
      <c r="E148" t="b">
        <v>1</v>
      </c>
      <c r="F148" t="b">
        <v>1</v>
      </c>
      <c r="G148" t="b">
        <v>0</v>
      </c>
      <c r="H148" t="str">
        <f t="shared" si="4"/>
        <v>2897B2CB-488F-42DB-9D6A-10DDAE12E3BF</v>
      </c>
    </row>
    <row r="149" spans="2:8" x14ac:dyDescent="0.25">
      <c r="B149" t="s">
        <v>281</v>
      </c>
      <c r="C149" t="s">
        <v>604</v>
      </c>
      <c r="D149" t="s">
        <v>523</v>
      </c>
      <c r="E149" t="b">
        <v>1</v>
      </c>
      <c r="F149" t="b">
        <v>1</v>
      </c>
      <c r="G149" t="b">
        <v>0</v>
      </c>
      <c r="H149" t="str">
        <f t="shared" si="4"/>
        <v>641E22FA-BA53-472F-81F3-589808A03AC5</v>
      </c>
    </row>
    <row r="150" spans="2:8" x14ac:dyDescent="0.25">
      <c r="B150" t="s">
        <v>282</v>
      </c>
      <c r="C150" t="s">
        <v>283</v>
      </c>
      <c r="D150" t="s">
        <v>524</v>
      </c>
      <c r="E150" t="b">
        <v>1</v>
      </c>
      <c r="F150" t="b">
        <v>1</v>
      </c>
      <c r="G150" t="b">
        <v>0</v>
      </c>
      <c r="H150" t="str">
        <f t="shared" si="4"/>
        <v>8D15CD16-421A-416F-9507-A55434F8F3EF</v>
      </c>
    </row>
    <row r="151" spans="2:8" x14ac:dyDescent="0.25">
      <c r="B151" t="s">
        <v>284</v>
      </c>
      <c r="C151" t="s">
        <v>285</v>
      </c>
      <c r="D151" t="s">
        <v>525</v>
      </c>
      <c r="E151" t="b">
        <v>1</v>
      </c>
      <c r="F151" t="b">
        <v>1</v>
      </c>
      <c r="G151" t="b">
        <v>0</v>
      </c>
      <c r="H151" t="str">
        <f t="shared" si="4"/>
        <v>8D15CD16-421A-416F-9507-A55434F8F3EF</v>
      </c>
    </row>
    <row r="152" spans="2:8" x14ac:dyDescent="0.25">
      <c r="B152" t="s">
        <v>286</v>
      </c>
      <c r="C152" t="s">
        <v>287</v>
      </c>
      <c r="D152" t="s">
        <v>526</v>
      </c>
      <c r="E152" t="b">
        <v>1</v>
      </c>
      <c r="F152" t="b">
        <v>1</v>
      </c>
      <c r="G152" t="b">
        <v>0</v>
      </c>
      <c r="H152" t="str">
        <f t="shared" si="4"/>
        <v>8D15CD16-421A-416F-9507-A55434F8F3EF</v>
      </c>
    </row>
    <row r="153" spans="2:8" x14ac:dyDescent="0.25">
      <c r="B153" t="s">
        <v>288</v>
      </c>
      <c r="C153" t="s">
        <v>289</v>
      </c>
      <c r="D153" t="s">
        <v>527</v>
      </c>
      <c r="E153" t="b">
        <v>1</v>
      </c>
      <c r="F153" t="b">
        <v>1</v>
      </c>
      <c r="G153" t="b">
        <v>0</v>
      </c>
      <c r="H153" t="str">
        <f t="shared" si="4"/>
        <v>8D15CD16-421A-416F-9507-A55434F8F3EF</v>
      </c>
    </row>
    <row r="154" spans="2:8" x14ac:dyDescent="0.25">
      <c r="B154" t="s">
        <v>290</v>
      </c>
      <c r="C154" t="s">
        <v>605</v>
      </c>
      <c r="D154" t="s">
        <v>528</v>
      </c>
      <c r="E154" t="b">
        <v>1</v>
      </c>
      <c r="F154" t="b">
        <v>1</v>
      </c>
      <c r="G154" t="b">
        <v>0</v>
      </c>
      <c r="H154" t="str">
        <f t="shared" si="4"/>
        <v>NULL</v>
      </c>
    </row>
    <row r="155" spans="2:8" x14ac:dyDescent="0.25">
      <c r="B155" s="1" t="s">
        <v>291</v>
      </c>
      <c r="C155" t="s">
        <v>606</v>
      </c>
      <c r="D155" t="s">
        <v>529</v>
      </c>
      <c r="E155" t="b">
        <v>0</v>
      </c>
      <c r="F155" t="b">
        <v>1</v>
      </c>
      <c r="G155" t="b">
        <v>0</v>
      </c>
      <c r="H155" t="str">
        <f t="shared" si="4"/>
        <v>7C62A642-F3CF-4D28-A3FC-34D71F1BFA3B</v>
      </c>
    </row>
    <row r="156" spans="2:8" x14ac:dyDescent="0.25">
      <c r="B156" t="s">
        <v>292</v>
      </c>
      <c r="C156" t="s">
        <v>607</v>
      </c>
      <c r="D156" t="s">
        <v>530</v>
      </c>
      <c r="E156" t="b">
        <v>0</v>
      </c>
      <c r="F156" t="b">
        <v>1</v>
      </c>
      <c r="G156" t="b">
        <v>0</v>
      </c>
      <c r="H156" t="str">
        <f t="shared" si="4"/>
        <v>7C62A642-F3CF-4D28-A3FC-34D71F1BFA3B</v>
      </c>
    </row>
    <row r="157" spans="2:8" x14ac:dyDescent="0.25">
      <c r="B157" t="s">
        <v>293</v>
      </c>
      <c r="C157" t="s">
        <v>608</v>
      </c>
      <c r="D157" t="s">
        <v>531</v>
      </c>
      <c r="E157" t="b">
        <v>1</v>
      </c>
      <c r="F157" t="b">
        <v>0</v>
      </c>
      <c r="G157" t="b">
        <v>0</v>
      </c>
      <c r="H157" t="str">
        <f t="shared" si="4"/>
        <v>7C62A642-F3CF-4D28-A3FC-34D71F1BFA3B</v>
      </c>
    </row>
    <row r="158" spans="2:8" x14ac:dyDescent="0.25">
      <c r="B158" t="s">
        <v>294</v>
      </c>
      <c r="C158" t="s">
        <v>609</v>
      </c>
      <c r="D158" t="s">
        <v>532</v>
      </c>
      <c r="E158" t="b">
        <v>1</v>
      </c>
      <c r="F158" t="b">
        <v>0</v>
      </c>
      <c r="G158" t="b">
        <v>0</v>
      </c>
      <c r="H158" t="str">
        <f t="shared" si="4"/>
        <v>7C62A642-F3CF-4D28-A3FC-34D71F1BFA3B</v>
      </c>
    </row>
    <row r="159" spans="2:8" x14ac:dyDescent="0.25">
      <c r="B159" t="s">
        <v>295</v>
      </c>
      <c r="C159" t="s">
        <v>610</v>
      </c>
      <c r="D159" t="s">
        <v>533</v>
      </c>
      <c r="E159" t="b">
        <v>1</v>
      </c>
      <c r="F159" t="b">
        <v>0</v>
      </c>
      <c r="G159" t="b">
        <v>0</v>
      </c>
      <c r="H159" t="str">
        <f t="shared" si="4"/>
        <v>7C62A642-F3CF-4D28-A3FC-34D71F1BFA3B</v>
      </c>
    </row>
    <row r="160" spans="2:8" x14ac:dyDescent="0.25">
      <c r="B160" t="s">
        <v>296</v>
      </c>
      <c r="C160" t="s">
        <v>611</v>
      </c>
      <c r="D160" t="s">
        <v>534</v>
      </c>
      <c r="E160" t="b">
        <v>1</v>
      </c>
      <c r="F160" t="b">
        <v>1</v>
      </c>
      <c r="G160" t="b">
        <v>0</v>
      </c>
      <c r="H160" t="str">
        <f t="shared" si="4"/>
        <v>7C62A642-F3CF-4D28-A3FC-34D71F1BFA3B</v>
      </c>
    </row>
    <row r="161" spans="2:8" x14ac:dyDescent="0.25">
      <c r="B161" t="s">
        <v>297</v>
      </c>
      <c r="C161" t="s">
        <v>612</v>
      </c>
      <c r="D161" t="s">
        <v>535</v>
      </c>
      <c r="E161" t="b">
        <v>0</v>
      </c>
      <c r="F161" t="b">
        <v>1</v>
      </c>
      <c r="G161" t="b">
        <v>1</v>
      </c>
      <c r="H161" t="str">
        <f t="shared" si="4"/>
        <v>NULL</v>
      </c>
    </row>
    <row r="162" spans="2:8" x14ac:dyDescent="0.25">
      <c r="B162" t="s">
        <v>298</v>
      </c>
      <c r="C162" t="s">
        <v>613</v>
      </c>
      <c r="D162" t="s">
        <v>536</v>
      </c>
      <c r="E162" t="b">
        <v>0</v>
      </c>
      <c r="F162" t="b">
        <v>1</v>
      </c>
      <c r="G162" t="b">
        <v>1</v>
      </c>
      <c r="H162" t="str">
        <f t="shared" ref="H162:H176" si="5">IFERROR(INDEX(B:B,MATCH(LEFT(SUBSTITUTE(C162,".","/",LEN(C162)-LEN(SUBSTITUTE(C162,".",""))),SEARCH("/",SUBSTITUTE(C162,".","/",LEN(C162)-LEN(SUBSTITUTE(C162,".",""))),1)-1),C:C,0)),"NULL")</f>
        <v>2D66F299-F531-4FD0-959D-31AE32AA80B0</v>
      </c>
    </row>
    <row r="163" spans="2:8" x14ac:dyDescent="0.25">
      <c r="B163" t="s">
        <v>299</v>
      </c>
      <c r="C163" t="s">
        <v>614</v>
      </c>
      <c r="D163" t="s">
        <v>537</v>
      </c>
      <c r="E163" t="b">
        <v>0</v>
      </c>
      <c r="F163" t="b">
        <v>1</v>
      </c>
      <c r="G163" t="b">
        <v>1</v>
      </c>
      <c r="H163" t="str">
        <f t="shared" si="5"/>
        <v>2D66F299-F531-4FD0-959D-31AE32AA80B0</v>
      </c>
    </row>
    <row r="164" spans="2:8" x14ac:dyDescent="0.25">
      <c r="B164" t="s">
        <v>300</v>
      </c>
      <c r="C164" t="s">
        <v>615</v>
      </c>
      <c r="D164" t="s">
        <v>538</v>
      </c>
      <c r="E164" t="b">
        <v>0</v>
      </c>
      <c r="F164" t="b">
        <v>1</v>
      </c>
      <c r="G164" t="b">
        <v>1</v>
      </c>
      <c r="H164" t="str">
        <f t="shared" si="5"/>
        <v>2D66F299-F531-4FD0-959D-31AE32AA80B0</v>
      </c>
    </row>
    <row r="165" spans="2:8" x14ac:dyDescent="0.25">
      <c r="B165" t="s">
        <v>301</v>
      </c>
      <c r="C165" t="s">
        <v>616</v>
      </c>
      <c r="D165" t="s">
        <v>539</v>
      </c>
      <c r="E165" t="b">
        <v>1</v>
      </c>
      <c r="F165" t="b">
        <v>1</v>
      </c>
      <c r="G165" t="b">
        <v>1</v>
      </c>
      <c r="H165" t="str">
        <f t="shared" si="5"/>
        <v>2D66F299-F531-4FD0-959D-31AE32AA80B0</v>
      </c>
    </row>
    <row r="166" spans="2:8" x14ac:dyDescent="0.25">
      <c r="B166" t="s">
        <v>302</v>
      </c>
      <c r="C166" t="s">
        <v>617</v>
      </c>
      <c r="D166" t="s">
        <v>540</v>
      </c>
      <c r="E166" t="b">
        <v>0</v>
      </c>
      <c r="F166" t="b">
        <v>1</v>
      </c>
      <c r="G166" t="b">
        <v>1</v>
      </c>
      <c r="H166" t="str">
        <f t="shared" si="5"/>
        <v>2D66F299-F531-4FD0-959D-31AE32AA80B0</v>
      </c>
    </row>
    <row r="167" spans="2:8" x14ac:dyDescent="0.25">
      <c r="B167" t="s">
        <v>303</v>
      </c>
      <c r="C167" t="s">
        <v>618</v>
      </c>
      <c r="D167" t="s">
        <v>541</v>
      </c>
      <c r="E167" t="b">
        <v>0</v>
      </c>
      <c r="F167" t="b">
        <v>1</v>
      </c>
      <c r="G167" t="b">
        <v>0</v>
      </c>
      <c r="H167" t="str">
        <f t="shared" si="5"/>
        <v>NULL</v>
      </c>
    </row>
    <row r="168" spans="2:8" x14ac:dyDescent="0.25">
      <c r="B168" t="s">
        <v>304</v>
      </c>
      <c r="C168" t="s">
        <v>619</v>
      </c>
      <c r="D168" t="s">
        <v>542</v>
      </c>
      <c r="E168" t="b">
        <v>0</v>
      </c>
      <c r="F168" t="b">
        <v>1</v>
      </c>
      <c r="G168" t="b">
        <v>0</v>
      </c>
      <c r="H168" t="str">
        <f t="shared" si="5"/>
        <v>A0AF3969-984E-4F59-9104-4C2ECCED8AE9</v>
      </c>
    </row>
    <row r="169" spans="2:8" x14ac:dyDescent="0.25">
      <c r="B169" t="s">
        <v>305</v>
      </c>
      <c r="C169" t="s">
        <v>620</v>
      </c>
      <c r="D169" t="s">
        <v>543</v>
      </c>
      <c r="E169" t="b">
        <v>1</v>
      </c>
      <c r="F169" t="b">
        <v>1</v>
      </c>
      <c r="G169" t="b">
        <v>0</v>
      </c>
      <c r="H169" t="str">
        <f t="shared" si="5"/>
        <v>A0AF3969-984E-4F59-9104-4C2ECCED8AE9</v>
      </c>
    </row>
    <row r="170" spans="2:8" x14ac:dyDescent="0.25">
      <c r="B170" t="s">
        <v>306</v>
      </c>
      <c r="C170" t="s">
        <v>621</v>
      </c>
      <c r="D170" t="s">
        <v>544</v>
      </c>
      <c r="E170" t="b">
        <v>1</v>
      </c>
      <c r="F170" t="b">
        <v>1</v>
      </c>
      <c r="G170" t="b">
        <v>0</v>
      </c>
      <c r="H170" t="str">
        <f t="shared" si="5"/>
        <v>A0AF3969-984E-4F59-9104-4C2ECCED8AE9</v>
      </c>
    </row>
    <row r="171" spans="2:8" x14ac:dyDescent="0.25">
      <c r="B171" t="s">
        <v>307</v>
      </c>
      <c r="C171" t="s">
        <v>622</v>
      </c>
      <c r="D171" t="s">
        <v>545</v>
      </c>
      <c r="E171" t="b">
        <v>0</v>
      </c>
      <c r="F171" t="b">
        <v>1</v>
      </c>
      <c r="G171" t="b">
        <v>0</v>
      </c>
      <c r="H171" t="str">
        <f t="shared" si="5"/>
        <v>A0AF3969-984E-4F59-9104-4C2ECCED8AE9</v>
      </c>
    </row>
    <row r="172" spans="2:8" x14ac:dyDescent="0.25">
      <c r="B172" t="s">
        <v>308</v>
      </c>
      <c r="C172" t="s">
        <v>623</v>
      </c>
      <c r="D172" t="s">
        <v>546</v>
      </c>
      <c r="E172" t="b">
        <v>1</v>
      </c>
      <c r="F172" t="b">
        <v>1</v>
      </c>
      <c r="G172" t="b">
        <v>0</v>
      </c>
      <c r="H172" t="str">
        <f t="shared" si="5"/>
        <v>A0AF3969-984E-4F59-9104-4C2ECCED8AE9</v>
      </c>
    </row>
    <row r="173" spans="2:8" x14ac:dyDescent="0.25">
      <c r="B173" t="s">
        <v>309</v>
      </c>
      <c r="C173" t="s">
        <v>624</v>
      </c>
      <c r="D173" t="s">
        <v>547</v>
      </c>
      <c r="E173" t="b">
        <v>0</v>
      </c>
      <c r="F173" t="b">
        <v>1</v>
      </c>
      <c r="G173" t="b">
        <v>0</v>
      </c>
      <c r="H173" t="str">
        <f t="shared" si="5"/>
        <v>A0AF3969-984E-4F59-9104-4C2ECCED8AE9</v>
      </c>
    </row>
    <row r="174" spans="2:8" x14ac:dyDescent="0.25">
      <c r="B174" t="s">
        <v>310</v>
      </c>
      <c r="C174" t="s">
        <v>625</v>
      </c>
      <c r="D174" t="s">
        <v>548</v>
      </c>
      <c r="E174" t="b">
        <v>1</v>
      </c>
      <c r="F174" t="b">
        <v>1</v>
      </c>
      <c r="G174" t="b">
        <v>0</v>
      </c>
      <c r="H174" t="str">
        <f t="shared" si="5"/>
        <v>A0AF3969-984E-4F59-9104-4C2ECCED8AE9</v>
      </c>
    </row>
    <row r="175" spans="2:8" x14ac:dyDescent="0.25">
      <c r="B175" t="s">
        <v>311</v>
      </c>
      <c r="C175" t="s">
        <v>626</v>
      </c>
      <c r="D175" t="s">
        <v>549</v>
      </c>
      <c r="E175" t="b">
        <v>1</v>
      </c>
      <c r="F175" t="b">
        <v>1</v>
      </c>
      <c r="G175" t="b">
        <v>0</v>
      </c>
      <c r="H175" t="str">
        <f t="shared" si="5"/>
        <v>A0AF3969-984E-4F59-9104-4C2ECCED8AE9</v>
      </c>
    </row>
    <row r="176" spans="2:8" x14ac:dyDescent="0.25">
      <c r="B176" t="s">
        <v>312</v>
      </c>
      <c r="C176" t="s">
        <v>627</v>
      </c>
      <c r="D176" t="s">
        <v>550</v>
      </c>
      <c r="E176" t="b">
        <v>0</v>
      </c>
      <c r="F176" t="b">
        <v>1</v>
      </c>
      <c r="G176" t="b">
        <v>0</v>
      </c>
      <c r="H176" t="str">
        <f t="shared" si="5"/>
        <v>A0AF3969-984E-4F59-9104-4C2ECCED8AE9</v>
      </c>
    </row>
    <row r="177" spans="2:8" x14ac:dyDescent="0.25">
      <c r="B177" t="s">
        <v>313</v>
      </c>
      <c r="C177" t="s">
        <v>628</v>
      </c>
      <c r="D177" t="s">
        <v>551</v>
      </c>
      <c r="E177" t="b">
        <v>0</v>
      </c>
      <c r="F177" t="b">
        <v>1</v>
      </c>
      <c r="G177" t="b">
        <v>0</v>
      </c>
      <c r="H177" t="str">
        <f t="shared" ref="H177" si="6">IFERROR(INDEX(B:B,MATCH(LEFT(SUBSTITUTE(C177,".","/",LEN(C177)-LEN(SUBSTITUTE(C177,".",""))),SEARCH("/",SUBSTITUTE(C177,".","/",LEN(C177)-LEN(SUBSTITUTE(C177,".",""))),1)-1),C:C,0)),"NULL")</f>
        <v>NULL</v>
      </c>
    </row>
    <row r="178" spans="2:8" x14ac:dyDescent="0.25">
      <c r="B178" t="s">
        <v>314</v>
      </c>
      <c r="C178" s="2" t="s">
        <v>629</v>
      </c>
      <c r="D178" t="s">
        <v>646</v>
      </c>
      <c r="E178" t="b">
        <v>0</v>
      </c>
      <c r="F178" t="b">
        <v>1</v>
      </c>
      <c r="G178" t="b">
        <v>0</v>
      </c>
      <c r="H178" t="str">
        <f t="shared" ref="H178:H217" si="7">IFERROR(INDEX(B:B,MATCH(LEFT(SUBSTITUTE(C178,".","/",LEN(C178)-LEN(SUBSTITUTE(C178,".",""))),SEARCH("/",SUBSTITUTE(C178,".","/",LEN(C178)-LEN(SUBSTITUTE(C178,".",""))),1)-1),C:C,0)),"NULL")</f>
        <v>0563fc20-6da4-4213-8d6f-48c9702b5312</v>
      </c>
    </row>
    <row r="179" spans="2:8" x14ac:dyDescent="0.25">
      <c r="B179" t="s">
        <v>315</v>
      </c>
      <c r="C179" t="s">
        <v>316</v>
      </c>
      <c r="D179" t="s">
        <v>552</v>
      </c>
      <c r="E179" t="b">
        <v>0</v>
      </c>
      <c r="F179" t="b">
        <v>1</v>
      </c>
      <c r="G179" t="b">
        <v>0</v>
      </c>
      <c r="H179" t="str">
        <f t="shared" si="7"/>
        <v>417AFF8D-D92A-4342-BA52-B010018BD910</v>
      </c>
    </row>
    <row r="180" spans="2:8" x14ac:dyDescent="0.25">
      <c r="B180" t="s">
        <v>317</v>
      </c>
      <c r="C180" s="2" t="s">
        <v>318</v>
      </c>
      <c r="D180" t="s">
        <v>553</v>
      </c>
      <c r="E180" t="b">
        <v>0</v>
      </c>
      <c r="F180" t="b">
        <v>1</v>
      </c>
      <c r="G180" t="b">
        <v>0</v>
      </c>
      <c r="H180" t="str">
        <f t="shared" si="7"/>
        <v>417AFF8D-D92A-4342-BA52-B010018BD910</v>
      </c>
    </row>
    <row r="181" spans="2:8" x14ac:dyDescent="0.25">
      <c r="B181" t="s">
        <v>319</v>
      </c>
      <c r="C181" s="2" t="s">
        <v>320</v>
      </c>
      <c r="D181" t="s">
        <v>554</v>
      </c>
      <c r="E181" t="b">
        <v>0</v>
      </c>
      <c r="F181" t="b">
        <v>1</v>
      </c>
      <c r="G181" t="b">
        <v>0</v>
      </c>
      <c r="H181" t="str">
        <f t="shared" si="7"/>
        <v>417AFF8D-D92A-4342-BA52-B010018BD910</v>
      </c>
    </row>
    <row r="182" spans="2:8" x14ac:dyDescent="0.25">
      <c r="B182" s="1" t="s">
        <v>321</v>
      </c>
      <c r="C182" s="2" t="s">
        <v>322</v>
      </c>
      <c r="D182" t="s">
        <v>555</v>
      </c>
      <c r="E182" t="b">
        <v>0</v>
      </c>
      <c r="F182" t="b">
        <v>1</v>
      </c>
      <c r="G182" t="b">
        <v>0</v>
      </c>
      <c r="H182" t="str">
        <f t="shared" si="7"/>
        <v>417AFF8D-D92A-4342-BA52-B010018BD910</v>
      </c>
    </row>
    <row r="183" spans="2:8" x14ac:dyDescent="0.25">
      <c r="B183" t="s">
        <v>323</v>
      </c>
      <c r="C183" s="2" t="s">
        <v>324</v>
      </c>
      <c r="D183" t="s">
        <v>556</v>
      </c>
      <c r="E183" t="b">
        <v>0</v>
      </c>
      <c r="F183" t="b">
        <v>1</v>
      </c>
      <c r="G183" t="b">
        <v>0</v>
      </c>
      <c r="H183" t="str">
        <f t="shared" si="7"/>
        <v>417AFF8D-D92A-4342-BA52-B010018BD910</v>
      </c>
    </row>
    <row r="184" spans="2:8" x14ac:dyDescent="0.25">
      <c r="B184" t="s">
        <v>325</v>
      </c>
      <c r="C184" s="2" t="s">
        <v>326</v>
      </c>
      <c r="D184" t="s">
        <v>557</v>
      </c>
      <c r="E184" t="b">
        <v>0</v>
      </c>
      <c r="F184" t="b">
        <v>1</v>
      </c>
      <c r="G184" t="b">
        <v>0</v>
      </c>
      <c r="H184" t="str">
        <f t="shared" si="7"/>
        <v>417AFF8D-D92A-4342-BA52-B010018BD910</v>
      </c>
    </row>
    <row r="185" spans="2:8" x14ac:dyDescent="0.25">
      <c r="B185" t="s">
        <v>327</v>
      </c>
      <c r="C185" t="s">
        <v>630</v>
      </c>
      <c r="D185" t="s">
        <v>558</v>
      </c>
      <c r="E185" t="b">
        <v>1</v>
      </c>
      <c r="F185" t="b">
        <v>0</v>
      </c>
      <c r="G185" t="b">
        <v>0</v>
      </c>
      <c r="H185" t="str">
        <f t="shared" si="7"/>
        <v>0563fc20-6da4-4213-8d6f-48c9702b5312</v>
      </c>
    </row>
    <row r="186" spans="2:8" x14ac:dyDescent="0.25">
      <c r="B186" t="s">
        <v>328</v>
      </c>
      <c r="C186" t="s">
        <v>329</v>
      </c>
      <c r="D186" t="s">
        <v>559</v>
      </c>
      <c r="E186" t="b">
        <v>1</v>
      </c>
      <c r="F186" t="b">
        <v>0</v>
      </c>
      <c r="G186" t="b">
        <v>0</v>
      </c>
      <c r="H186" t="str">
        <f t="shared" si="7"/>
        <v>34350AC9-F74B-4EBD-8782-05773A4C4206</v>
      </c>
    </row>
    <row r="187" spans="2:8" x14ac:dyDescent="0.25">
      <c r="B187" t="s">
        <v>330</v>
      </c>
      <c r="C187" t="s">
        <v>331</v>
      </c>
      <c r="D187" t="s">
        <v>560</v>
      </c>
      <c r="E187" t="b">
        <v>1</v>
      </c>
      <c r="F187" t="b">
        <v>0</v>
      </c>
      <c r="G187" t="b">
        <v>0</v>
      </c>
      <c r="H187" t="str">
        <f t="shared" si="7"/>
        <v>34350AC9-F74B-4EBD-8782-05773A4C4206</v>
      </c>
    </row>
    <row r="188" spans="2:8" x14ac:dyDescent="0.25">
      <c r="B188" t="s">
        <v>332</v>
      </c>
      <c r="C188" t="s">
        <v>333</v>
      </c>
      <c r="D188" t="s">
        <v>561</v>
      </c>
      <c r="E188" t="b">
        <v>1</v>
      </c>
      <c r="F188" t="b">
        <v>0</v>
      </c>
      <c r="G188" t="b">
        <v>0</v>
      </c>
      <c r="H188" t="str">
        <f t="shared" si="7"/>
        <v>34350AC9-F74B-4EBD-8782-05773A4C4206</v>
      </c>
    </row>
    <row r="189" spans="2:8" x14ac:dyDescent="0.25">
      <c r="B189" t="s">
        <v>334</v>
      </c>
      <c r="C189" t="s">
        <v>335</v>
      </c>
      <c r="D189" t="s">
        <v>562</v>
      </c>
      <c r="E189" t="b">
        <v>1</v>
      </c>
      <c r="F189" t="b">
        <v>0</v>
      </c>
      <c r="G189" t="b">
        <v>0</v>
      </c>
      <c r="H189" t="str">
        <f t="shared" si="7"/>
        <v>34350AC9-F74B-4EBD-8782-05773A4C4206</v>
      </c>
    </row>
    <row r="190" spans="2:8" x14ac:dyDescent="0.25">
      <c r="B190" t="s">
        <v>336</v>
      </c>
      <c r="C190" t="s">
        <v>337</v>
      </c>
      <c r="D190" t="s">
        <v>563</v>
      </c>
      <c r="E190" t="b">
        <v>1</v>
      </c>
      <c r="F190" t="b">
        <v>0</v>
      </c>
      <c r="G190" t="b">
        <v>0</v>
      </c>
      <c r="H190" t="str">
        <f t="shared" si="7"/>
        <v>34350AC9-F74B-4EBD-8782-05773A4C4206</v>
      </c>
    </row>
    <row r="191" spans="2:8" x14ac:dyDescent="0.25">
      <c r="B191" t="s">
        <v>338</v>
      </c>
      <c r="C191" t="s">
        <v>339</v>
      </c>
      <c r="D191" t="s">
        <v>564</v>
      </c>
      <c r="E191" t="b">
        <v>1</v>
      </c>
      <c r="F191" t="b">
        <v>0</v>
      </c>
      <c r="G191" t="b">
        <v>0</v>
      </c>
      <c r="H191" t="str">
        <f t="shared" si="7"/>
        <v>34350AC9-F74B-4EBD-8782-05773A4C4206</v>
      </c>
    </row>
    <row r="192" spans="2:8" x14ac:dyDescent="0.25">
      <c r="B192" t="s">
        <v>340</v>
      </c>
      <c r="C192" t="s">
        <v>631</v>
      </c>
      <c r="D192" t="s">
        <v>644</v>
      </c>
      <c r="E192" t="b">
        <v>1</v>
      </c>
      <c r="F192" t="b">
        <v>1</v>
      </c>
      <c r="G192" t="b">
        <v>0</v>
      </c>
      <c r="H192" t="str">
        <f t="shared" si="7"/>
        <v>NULL</v>
      </c>
    </row>
    <row r="193" spans="2:8" x14ac:dyDescent="0.25">
      <c r="B193" t="s">
        <v>341</v>
      </c>
      <c r="C193" t="s">
        <v>632</v>
      </c>
      <c r="D193" t="s">
        <v>565</v>
      </c>
      <c r="E193" t="b">
        <v>1</v>
      </c>
      <c r="F193" t="b">
        <v>1</v>
      </c>
      <c r="G193" t="b">
        <v>0</v>
      </c>
      <c r="H193" t="str">
        <f t="shared" si="7"/>
        <v>2498f92b-d736-4c24-a62e-610474215f39</v>
      </c>
    </row>
    <row r="194" spans="2:8" x14ac:dyDescent="0.25">
      <c r="B194" t="s">
        <v>342</v>
      </c>
      <c r="C194" t="s">
        <v>343</v>
      </c>
      <c r="D194" t="s">
        <v>566</v>
      </c>
      <c r="E194" t="b">
        <v>1</v>
      </c>
      <c r="F194" t="b">
        <v>1</v>
      </c>
      <c r="G194" t="b">
        <v>0</v>
      </c>
      <c r="H194" t="str">
        <f t="shared" si="7"/>
        <v>3EC6A224-3AF1-46FB-A810-E975FC383E1E</v>
      </c>
    </row>
    <row r="195" spans="2:8" x14ac:dyDescent="0.25">
      <c r="B195" t="s">
        <v>344</v>
      </c>
      <c r="C195" t="s">
        <v>345</v>
      </c>
      <c r="D195" t="s">
        <v>567</v>
      </c>
      <c r="E195" t="b">
        <v>1</v>
      </c>
      <c r="F195" t="b">
        <v>1</v>
      </c>
      <c r="G195" t="b">
        <v>0</v>
      </c>
      <c r="H195" t="str">
        <f t="shared" si="7"/>
        <v>3EC6A224-3AF1-46FB-A810-E975FC383E1E</v>
      </c>
    </row>
    <row r="196" spans="2:8" x14ac:dyDescent="0.25">
      <c r="B196" t="s">
        <v>346</v>
      </c>
      <c r="C196" t="s">
        <v>347</v>
      </c>
      <c r="D196" t="s">
        <v>568</v>
      </c>
      <c r="E196" t="b">
        <v>1</v>
      </c>
      <c r="F196" t="b">
        <v>1</v>
      </c>
      <c r="G196" t="b">
        <v>0</v>
      </c>
      <c r="H196" t="str">
        <f t="shared" si="7"/>
        <v>3EC6A224-3AF1-46FB-A810-E975FC383E1E</v>
      </c>
    </row>
    <row r="197" spans="2:8" x14ac:dyDescent="0.25">
      <c r="B197" t="s">
        <v>348</v>
      </c>
      <c r="C197" t="s">
        <v>349</v>
      </c>
      <c r="D197" t="s">
        <v>569</v>
      </c>
      <c r="E197" t="b">
        <v>1</v>
      </c>
      <c r="F197" t="b">
        <v>1</v>
      </c>
      <c r="G197" t="b">
        <v>0</v>
      </c>
      <c r="H197" t="str">
        <f t="shared" si="7"/>
        <v>3EC6A224-3AF1-46FB-A810-E975FC383E1E</v>
      </c>
    </row>
    <row r="198" spans="2:8" x14ac:dyDescent="0.25">
      <c r="B198" s="1" t="s">
        <v>350</v>
      </c>
      <c r="C198" t="s">
        <v>351</v>
      </c>
      <c r="D198" t="s">
        <v>570</v>
      </c>
      <c r="E198" t="b">
        <v>1</v>
      </c>
      <c r="F198" t="b">
        <v>1</v>
      </c>
      <c r="G198" t="b">
        <v>0</v>
      </c>
      <c r="H198" t="str">
        <f t="shared" si="7"/>
        <v>3EC6A224-3AF1-46FB-A810-E975FC383E1E</v>
      </c>
    </row>
    <row r="199" spans="2:8" x14ac:dyDescent="0.25">
      <c r="B199" t="s">
        <v>352</v>
      </c>
      <c r="C199" t="s">
        <v>353</v>
      </c>
      <c r="D199" t="s">
        <v>571</v>
      </c>
      <c r="E199" t="b">
        <v>1</v>
      </c>
      <c r="F199" t="b">
        <v>1</v>
      </c>
      <c r="G199" t="b">
        <v>0</v>
      </c>
      <c r="H199" t="str">
        <f t="shared" si="7"/>
        <v>3EC6A224-3AF1-46FB-A810-E975FC383E1E</v>
      </c>
    </row>
    <row r="200" spans="2:8" x14ac:dyDescent="0.25">
      <c r="B200" t="s">
        <v>354</v>
      </c>
      <c r="C200" t="s">
        <v>633</v>
      </c>
      <c r="D200" t="s">
        <v>572</v>
      </c>
      <c r="E200" t="b">
        <v>1</v>
      </c>
      <c r="F200" t="b">
        <v>1</v>
      </c>
      <c r="G200" t="b">
        <v>1</v>
      </c>
      <c r="H200" t="str">
        <f t="shared" si="7"/>
        <v>2498f92b-d736-4c24-a62e-610474215f39</v>
      </c>
    </row>
    <row r="201" spans="2:8" x14ac:dyDescent="0.25">
      <c r="B201" t="s">
        <v>355</v>
      </c>
      <c r="C201" t="s">
        <v>356</v>
      </c>
      <c r="D201" t="s">
        <v>573</v>
      </c>
      <c r="E201" t="b">
        <v>1</v>
      </c>
      <c r="F201" t="b">
        <v>1</v>
      </c>
      <c r="G201" t="b">
        <v>1</v>
      </c>
      <c r="H201" t="str">
        <f t="shared" si="7"/>
        <v>3C1E69B5-24B8-4E85-A896-EB74A27872D4</v>
      </c>
    </row>
    <row r="202" spans="2:8" x14ac:dyDescent="0.25">
      <c r="B202" t="s">
        <v>357</v>
      </c>
      <c r="C202" t="s">
        <v>358</v>
      </c>
      <c r="D202" t="s">
        <v>574</v>
      </c>
      <c r="E202" t="b">
        <v>1</v>
      </c>
      <c r="F202" t="b">
        <v>1</v>
      </c>
      <c r="G202" t="b">
        <v>1</v>
      </c>
      <c r="H202" t="str">
        <f t="shared" si="7"/>
        <v>3C1E69B5-24B8-4E85-A896-EB74A27872D4</v>
      </c>
    </row>
    <row r="203" spans="2:8" x14ac:dyDescent="0.25">
      <c r="B203" t="s">
        <v>359</v>
      </c>
      <c r="C203" t="s">
        <v>360</v>
      </c>
      <c r="D203" t="s">
        <v>575</v>
      </c>
      <c r="E203" t="b">
        <v>1</v>
      </c>
      <c r="F203" t="b">
        <v>1</v>
      </c>
      <c r="G203" t="b">
        <v>1</v>
      </c>
      <c r="H203" t="str">
        <f t="shared" si="7"/>
        <v>3C1E69B5-24B8-4E85-A896-EB74A27872D4</v>
      </c>
    </row>
    <row r="204" spans="2:8" x14ac:dyDescent="0.25">
      <c r="B204" t="s">
        <v>361</v>
      </c>
      <c r="C204" t="s">
        <v>362</v>
      </c>
      <c r="D204" t="s">
        <v>576</v>
      </c>
      <c r="E204" t="b">
        <v>1</v>
      </c>
      <c r="F204" t="b">
        <v>1</v>
      </c>
      <c r="G204" t="b">
        <v>1</v>
      </c>
      <c r="H204" t="str">
        <f t="shared" si="7"/>
        <v>3C1E69B5-24B8-4E85-A896-EB74A27872D4</v>
      </c>
    </row>
    <row r="205" spans="2:8" x14ac:dyDescent="0.25">
      <c r="B205" t="s">
        <v>363</v>
      </c>
      <c r="C205" t="s">
        <v>364</v>
      </c>
      <c r="D205" t="s">
        <v>577</v>
      </c>
      <c r="E205" t="b">
        <v>1</v>
      </c>
      <c r="F205" t="b">
        <v>1</v>
      </c>
      <c r="G205" t="b">
        <v>1</v>
      </c>
      <c r="H205" t="str">
        <f t="shared" si="7"/>
        <v>3C1E69B5-24B8-4E85-A896-EB74A27872D4</v>
      </c>
    </row>
    <row r="206" spans="2:8" x14ac:dyDescent="0.25">
      <c r="B206" t="s">
        <v>365</v>
      </c>
      <c r="C206" t="s">
        <v>366</v>
      </c>
      <c r="D206" t="s">
        <v>578</v>
      </c>
      <c r="E206" t="b">
        <v>1</v>
      </c>
      <c r="F206" t="b">
        <v>1</v>
      </c>
      <c r="G206" t="b">
        <v>1</v>
      </c>
      <c r="H206" t="str">
        <f t="shared" si="7"/>
        <v>3C1E69B5-24B8-4E85-A896-EB74A27872D4</v>
      </c>
    </row>
    <row r="207" spans="2:8" x14ac:dyDescent="0.25">
      <c r="B207" t="s">
        <v>367</v>
      </c>
      <c r="C207" t="s">
        <v>634</v>
      </c>
      <c r="D207" t="s">
        <v>579</v>
      </c>
      <c r="E207" t="b">
        <v>0</v>
      </c>
      <c r="F207" t="b">
        <v>1</v>
      </c>
      <c r="G207" t="b">
        <v>1</v>
      </c>
      <c r="H207" t="str">
        <f t="shared" si="7"/>
        <v>NULL</v>
      </c>
    </row>
    <row r="208" spans="2:8" x14ac:dyDescent="0.25">
      <c r="B208" t="s">
        <v>368</v>
      </c>
      <c r="C208" t="s">
        <v>635</v>
      </c>
      <c r="D208">
        <v>1430</v>
      </c>
      <c r="E208" t="b">
        <v>0</v>
      </c>
      <c r="F208" t="b">
        <v>1</v>
      </c>
      <c r="G208" t="b">
        <v>1</v>
      </c>
      <c r="H208" t="str">
        <f t="shared" si="7"/>
        <v>04FD9197-F4B6-48AC-ACA1-72CC7DE2A79F</v>
      </c>
    </row>
    <row r="209" spans="2:8" x14ac:dyDescent="0.25">
      <c r="B209" t="s">
        <v>369</v>
      </c>
      <c r="C209" t="s">
        <v>636</v>
      </c>
      <c r="D209">
        <v>1430</v>
      </c>
      <c r="E209" t="b">
        <v>0</v>
      </c>
      <c r="F209" t="b">
        <v>1</v>
      </c>
      <c r="G209" t="b">
        <v>0</v>
      </c>
      <c r="H209" t="str">
        <f t="shared" si="7"/>
        <v>04FD9197-F4B6-48AC-ACA1-72CC7DE2A79F</v>
      </c>
    </row>
    <row r="210" spans="2:8" x14ac:dyDescent="0.25">
      <c r="B210" t="s">
        <v>370</v>
      </c>
      <c r="C210" t="s">
        <v>637</v>
      </c>
      <c r="D210">
        <v>1110</v>
      </c>
      <c r="E210" t="b">
        <v>0</v>
      </c>
      <c r="F210" t="b">
        <v>1</v>
      </c>
      <c r="G210" t="b">
        <v>1</v>
      </c>
      <c r="H210" t="str">
        <f t="shared" si="7"/>
        <v>04FD9197-F4B6-48AC-ACA1-72CC7DE2A79F</v>
      </c>
    </row>
    <row r="211" spans="2:8" x14ac:dyDescent="0.25">
      <c r="B211" t="s">
        <v>371</v>
      </c>
      <c r="C211" t="s">
        <v>638</v>
      </c>
      <c r="D211">
        <v>1110</v>
      </c>
      <c r="E211" t="b">
        <v>0</v>
      </c>
      <c r="F211" t="b">
        <v>1</v>
      </c>
      <c r="G211" t="b">
        <v>0</v>
      </c>
      <c r="H211" t="str">
        <f t="shared" si="7"/>
        <v>04FD9197-F4B6-48AC-ACA1-72CC7DE2A79F</v>
      </c>
    </row>
    <row r="212" spans="2:8" x14ac:dyDescent="0.25">
      <c r="B212" t="s">
        <v>372</v>
      </c>
      <c r="C212" t="s">
        <v>639</v>
      </c>
      <c r="D212" t="s">
        <v>580</v>
      </c>
      <c r="E212" t="b">
        <v>0</v>
      </c>
      <c r="F212" t="b">
        <v>1</v>
      </c>
      <c r="G212" t="b">
        <v>1</v>
      </c>
      <c r="H212" t="str">
        <f t="shared" si="7"/>
        <v>04FD9197-F4B6-48AC-ACA1-72CC7DE2A79F</v>
      </c>
    </row>
    <row r="213" spans="2:8" x14ac:dyDescent="0.25">
      <c r="B213" t="s">
        <v>373</v>
      </c>
      <c r="C213" t="s">
        <v>640</v>
      </c>
      <c r="D213" t="s">
        <v>580</v>
      </c>
      <c r="E213" t="b">
        <v>0</v>
      </c>
      <c r="F213" t="b">
        <v>1</v>
      </c>
      <c r="G213" t="b">
        <v>0</v>
      </c>
      <c r="H213" t="str">
        <f t="shared" si="7"/>
        <v>04FD9197-F4B6-48AC-ACA1-72CC7DE2A79F</v>
      </c>
    </row>
    <row r="214" spans="2:8" x14ac:dyDescent="0.25">
      <c r="B214" t="s">
        <v>374</v>
      </c>
      <c r="C214" t="s">
        <v>641</v>
      </c>
      <c r="D214" t="s">
        <v>581</v>
      </c>
      <c r="E214" t="b">
        <v>0</v>
      </c>
      <c r="F214" t="b">
        <v>1</v>
      </c>
      <c r="G214" t="b">
        <v>1</v>
      </c>
      <c r="H214" t="str">
        <f t="shared" si="7"/>
        <v>04FD9197-F4B6-48AC-ACA1-72CC7DE2A79F</v>
      </c>
    </row>
    <row r="215" spans="2:8" x14ac:dyDescent="0.25">
      <c r="B215" t="s">
        <v>375</v>
      </c>
      <c r="C215" t="s">
        <v>642</v>
      </c>
      <c r="D215" t="s">
        <v>581</v>
      </c>
      <c r="E215" t="b">
        <v>0</v>
      </c>
      <c r="F215" t="b">
        <v>1</v>
      </c>
      <c r="G215" t="b">
        <v>0</v>
      </c>
      <c r="H215" t="str">
        <f t="shared" si="7"/>
        <v>04FD9197-F4B6-48AC-ACA1-72CC7DE2A79F</v>
      </c>
    </row>
    <row r="216" spans="2:8" x14ac:dyDescent="0.25">
      <c r="B216" t="s">
        <v>376</v>
      </c>
      <c r="C216" t="s">
        <v>643</v>
      </c>
      <c r="D216">
        <v>1200</v>
      </c>
      <c r="E216" t="b">
        <v>0</v>
      </c>
      <c r="F216" t="b">
        <v>1</v>
      </c>
      <c r="G216" t="b">
        <v>1</v>
      </c>
      <c r="H216" t="str">
        <f t="shared" si="7"/>
        <v>04FD9197-F4B6-48AC-ACA1-72CC7DE2A79F</v>
      </c>
    </row>
    <row r="217" spans="2:8" x14ac:dyDescent="0.25">
      <c r="B217" t="s">
        <v>377</v>
      </c>
      <c r="C217" s="2" t="s">
        <v>645</v>
      </c>
      <c r="D217">
        <v>1200</v>
      </c>
      <c r="E217" t="b">
        <v>0</v>
      </c>
      <c r="F217" t="b">
        <v>1</v>
      </c>
      <c r="G217" t="b">
        <v>0</v>
      </c>
      <c r="H217" t="str">
        <f t="shared" si="7"/>
        <v>04FD9197-F4B6-48AC-ACA1-72CC7DE2A79F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financial_codes.xlsx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Giorgi Nikabadze</cp:lastModifiedBy>
  <dcterms:created xsi:type="dcterms:W3CDTF">2025-11-07T10:22:22Z</dcterms:created>
  <dcterms:modified xsi:type="dcterms:W3CDTF">2025-11-09T09:29:45Z</dcterms:modified>
</cp:coreProperties>
</file>